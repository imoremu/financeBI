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imore\SW\Finance\FinanceBI\data\demo\"/>
    </mc:Choice>
  </mc:AlternateContent>
  <xr:revisionPtr revIDLastSave="0" documentId="13_ncr:1_{F5B56AA7-7260-4B91-8620-108F4FFD8A40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Movimientos" sheetId="1" r:id="rId1"/>
    <sheet name="Especie" sheetId="2" r:id="rId2"/>
    <sheet name="Saldo" sheetId="3" r:id="rId3"/>
    <sheet name="Transacciones" sheetId="6" r:id="rId4"/>
    <sheet name="Elementos Financieros" sheetId="4" r:id="rId5"/>
    <sheet name="Stocks" sheetId="10" r:id="rId6"/>
    <sheet name="Impuestos IRPF Ahorro" sheetId="7" r:id="rId7"/>
    <sheet name="USD EUR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6" l="1"/>
  <c r="J31" i="6" s="1" a="1"/>
  <c r="J31" i="6" s="1"/>
  <c r="K31" i="6" a="1"/>
  <c r="K31" i="6" s="1"/>
  <c r="L31" i="6" s="1" a="1"/>
  <c r="L31" i="6" s="1"/>
  <c r="S31" i="6" s="1"/>
  <c r="V30" i="6"/>
  <c r="J30" i="6" s="1" a="1"/>
  <c r="J30" i="6" s="1"/>
  <c r="K30" i="6" a="1"/>
  <c r="K30" i="6" s="1"/>
  <c r="L30" i="6" s="1" a="1"/>
  <c r="L30" i="6" s="1"/>
  <c r="S30" i="6" s="1"/>
  <c r="V12" i="6"/>
  <c r="J12" i="6" s="1" a="1"/>
  <c r="J12" i="6" s="1"/>
  <c r="K12" i="6" a="1"/>
  <c r="K12" i="6" s="1"/>
  <c r="L12" i="6" s="1" a="1"/>
  <c r="L12" i="6" s="1"/>
  <c r="S12" i="6" s="1"/>
  <c r="K10" i="6" a="1"/>
  <c r="K10" i="6" s="1"/>
  <c r="L10" i="6" s="1" a="1"/>
  <c r="L10" i="6" s="1"/>
  <c r="S10" i="6" s="1"/>
  <c r="V10" i="6"/>
  <c r="V9" i="6"/>
  <c r="K9" i="6" a="1"/>
  <c r="K9" i="6" s="1"/>
  <c r="L9" i="6" s="1" a="1"/>
  <c r="L9" i="6" s="1"/>
  <c r="S9" i="6" s="1"/>
  <c r="J654" i="3"/>
  <c r="J653" i="3"/>
  <c r="J652" i="3"/>
  <c r="J651" i="3"/>
  <c r="G649" i="3" a="1"/>
  <c r="G649" i="3" s="1"/>
  <c r="F649" i="3" s="1" a="1"/>
  <c r="F649" i="3" s="1"/>
  <c r="H649" i="3"/>
  <c r="J649" i="3"/>
  <c r="D8263" i="10"/>
  <c r="D8264" i="10"/>
  <c r="D8265" i="10"/>
  <c r="D8266" i="10"/>
  <c r="D8267" i="10"/>
  <c r="D8268" i="10"/>
  <c r="D8269" i="10"/>
  <c r="D8270" i="10"/>
  <c r="D8271" i="10"/>
  <c r="D8272" i="10"/>
  <c r="D8273" i="10"/>
  <c r="D8274" i="10"/>
  <c r="D8275" i="10"/>
  <c r="D8276" i="10"/>
  <c r="D8277" i="10"/>
  <c r="D8278" i="10"/>
  <c r="D8279" i="10"/>
  <c r="D8280" i="10"/>
  <c r="D8281" i="10"/>
  <c r="D8282" i="10"/>
  <c r="D8283" i="10"/>
  <c r="D8284" i="10"/>
  <c r="D8285" i="10"/>
  <c r="D8286" i="10"/>
  <c r="D8287" i="10"/>
  <c r="D8288" i="10"/>
  <c r="D8289" i="10"/>
  <c r="D8290" i="10"/>
  <c r="D8291" i="10"/>
  <c r="D8292" i="10"/>
  <c r="D8293" i="10"/>
  <c r="D8294" i="10"/>
  <c r="D8295" i="10"/>
  <c r="D8296" i="10"/>
  <c r="D8297" i="10"/>
  <c r="D8298" i="10"/>
  <c r="D8299" i="10"/>
  <c r="D8300" i="10"/>
  <c r="D8301" i="10"/>
  <c r="D8302" i="10"/>
  <c r="D8303" i="10"/>
  <c r="D8304" i="10"/>
  <c r="D8305" i="10"/>
  <c r="D8306" i="10"/>
  <c r="D8307" i="10"/>
  <c r="D8308" i="10"/>
  <c r="D8309" i="10"/>
  <c r="D8310" i="10"/>
  <c r="D8311" i="10"/>
  <c r="D8312" i="10"/>
  <c r="D8313" i="10"/>
  <c r="D8314" i="10"/>
  <c r="D8315" i="10"/>
  <c r="D8316" i="10"/>
  <c r="D8317" i="10"/>
  <c r="D8318" i="10"/>
  <c r="D8319" i="10"/>
  <c r="D8320" i="10"/>
  <c r="D8321" i="10"/>
  <c r="D8322" i="10"/>
  <c r="D8323" i="10"/>
  <c r="D8324" i="10"/>
  <c r="D8325" i="10"/>
  <c r="D8326" i="10"/>
  <c r="D8327" i="10"/>
  <c r="D8328" i="10"/>
  <c r="D8329" i="10"/>
  <c r="D8330" i="10"/>
  <c r="D8331" i="10"/>
  <c r="D8332" i="10"/>
  <c r="D8333" i="10"/>
  <c r="D8334" i="10"/>
  <c r="D8335" i="10"/>
  <c r="D8336" i="10"/>
  <c r="D8337" i="10"/>
  <c r="D8338" i="10"/>
  <c r="D8339" i="10"/>
  <c r="D8340" i="10"/>
  <c r="D8341" i="10"/>
  <c r="D8342" i="10"/>
  <c r="D8343" i="10"/>
  <c r="D8344" i="10"/>
  <c r="D8345" i="10"/>
  <c r="D8346" i="10"/>
  <c r="D8347" i="10"/>
  <c r="D8348" i="10"/>
  <c r="D8349" i="10"/>
  <c r="D8350" i="10"/>
  <c r="D8351" i="10"/>
  <c r="D8352" i="10"/>
  <c r="D8353" i="10"/>
  <c r="D8354" i="10"/>
  <c r="D8355" i="10"/>
  <c r="D8356" i="10"/>
  <c r="D8357" i="10"/>
  <c r="D8358" i="10"/>
  <c r="D8359" i="10"/>
  <c r="D8360" i="10"/>
  <c r="D8361" i="10"/>
  <c r="D8362" i="10"/>
  <c r="D8363" i="10"/>
  <c r="D8364" i="10"/>
  <c r="D8365" i="10"/>
  <c r="D8366" i="10"/>
  <c r="D8367" i="10"/>
  <c r="D8368" i="10"/>
  <c r="D8369" i="10"/>
  <c r="D8370" i="10"/>
  <c r="D8371" i="10"/>
  <c r="D8372" i="10"/>
  <c r="D8373" i="10"/>
  <c r="D8374" i="10"/>
  <c r="D8375" i="10"/>
  <c r="D8376" i="10"/>
  <c r="D8377" i="10"/>
  <c r="D8378" i="10"/>
  <c r="D8379" i="10"/>
  <c r="D8380" i="10"/>
  <c r="D8381" i="10"/>
  <c r="D8382" i="10"/>
  <c r="D8383" i="10"/>
  <c r="D8384" i="10"/>
  <c r="D8385" i="10"/>
  <c r="D8386" i="10"/>
  <c r="D8387" i="10"/>
  <c r="D8388" i="10"/>
  <c r="D8389" i="10"/>
  <c r="D8390" i="10"/>
  <c r="D8391" i="10"/>
  <c r="D8392" i="10"/>
  <c r="D8393" i="10"/>
  <c r="D8394" i="10"/>
  <c r="D8395" i="10"/>
  <c r="D8396" i="10"/>
  <c r="D8397" i="10"/>
  <c r="D8398" i="10"/>
  <c r="D8399" i="10"/>
  <c r="D8400" i="10"/>
  <c r="D8262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633" i="10"/>
  <c r="K19" i="6" a="1"/>
  <c r="K19" i="6" s="1"/>
  <c r="L19" i="6" s="1" a="1"/>
  <c r="L19" i="6" s="1"/>
  <c r="S19" i="6" s="1"/>
  <c r="V19" i="6"/>
  <c r="D1492" i="10"/>
  <c r="K15" i="6" a="1"/>
  <c r="K15" i="6" s="1"/>
  <c r="L15" i="6" s="1" a="1"/>
  <c r="L15" i="6" s="1"/>
  <c r="S15" i="6" s="1"/>
  <c r="V15" i="6"/>
  <c r="K8" i="6" a="1"/>
  <c r="K8" i="6" s="1"/>
  <c r="L8" i="6" s="1" a="1"/>
  <c r="L8" i="6" s="1"/>
  <c r="S8" i="6" s="1"/>
  <c r="V8" i="6"/>
  <c r="E2" i="3"/>
  <c r="G2" i="3" a="1"/>
  <c r="G2" i="3" s="1"/>
  <c r="F2" i="3" s="1" a="1"/>
  <c r="F2" i="3" s="1"/>
  <c r="J2" i="3"/>
  <c r="D8261" i="10"/>
  <c r="D6632" i="10"/>
  <c r="D5142" i="10"/>
  <c r="D1491" i="10"/>
  <c r="D3652" i="10"/>
  <c r="D8260" i="10"/>
  <c r="D6631" i="10"/>
  <c r="D5141" i="10"/>
  <c r="D1490" i="10"/>
  <c r="D3651" i="10"/>
  <c r="D3650" i="10"/>
  <c r="D3649" i="10"/>
  <c r="D8259" i="10"/>
  <c r="D6630" i="10"/>
  <c r="D5140" i="10"/>
  <c r="D1489" i="10"/>
  <c r="D3648" i="10"/>
  <c r="D8258" i="10"/>
  <c r="D6629" i="10"/>
  <c r="D5139" i="10"/>
  <c r="D1488" i="10"/>
  <c r="D3647" i="10"/>
  <c r="D3646" i="10"/>
  <c r="D5138" i="10"/>
  <c r="D1487" i="10"/>
  <c r="D8257" i="10"/>
  <c r="D6628" i="10"/>
  <c r="D3645" i="10"/>
  <c r="D8256" i="10"/>
  <c r="D6627" i="10"/>
  <c r="D5137" i="10"/>
  <c r="D1486" i="10"/>
  <c r="D3644" i="10"/>
  <c r="D3643" i="10"/>
  <c r="D3642" i="10"/>
  <c r="D8255" i="10"/>
  <c r="D6626" i="10"/>
  <c r="D5136" i="10"/>
  <c r="D1485" i="10"/>
  <c r="D3641" i="10"/>
  <c r="D8254" i="10"/>
  <c r="D6625" i="10"/>
  <c r="D5135" i="10"/>
  <c r="D1484" i="10"/>
  <c r="D3640" i="10"/>
  <c r="D8253" i="10"/>
  <c r="D6624" i="10"/>
  <c r="D5134" i="10"/>
  <c r="D1483" i="10"/>
  <c r="D3639" i="10"/>
  <c r="D8252" i="10"/>
  <c r="D6623" i="10"/>
  <c r="D5133" i="10"/>
  <c r="D1482" i="10"/>
  <c r="D3638" i="10"/>
  <c r="D8251" i="10"/>
  <c r="D6622" i="10"/>
  <c r="D5132" i="10"/>
  <c r="D1481" i="10"/>
  <c r="D3637" i="10"/>
  <c r="D3636" i="10"/>
  <c r="D3635" i="10"/>
  <c r="D8250" i="10"/>
  <c r="D6621" i="10"/>
  <c r="D5131" i="10"/>
  <c r="D1480" i="10"/>
  <c r="D3634" i="10"/>
  <c r="D8249" i="10"/>
  <c r="D6620" i="10"/>
  <c r="D5130" i="10"/>
  <c r="D1479" i="10"/>
  <c r="D3633" i="10"/>
  <c r="D8248" i="10"/>
  <c r="D6619" i="10"/>
  <c r="D5129" i="10"/>
  <c r="D1478" i="10"/>
  <c r="D3632" i="10"/>
  <c r="D8247" i="10"/>
  <c r="D6618" i="10"/>
  <c r="D5128" i="10"/>
  <c r="D1477" i="10"/>
  <c r="D3631" i="10"/>
  <c r="D8246" i="10"/>
  <c r="D6617" i="10"/>
  <c r="D5127" i="10"/>
  <c r="D1476" i="10"/>
  <c r="D3630" i="10"/>
  <c r="D3629" i="10"/>
  <c r="D3628" i="10"/>
  <c r="D8245" i="10"/>
  <c r="D6616" i="10"/>
  <c r="D5126" i="10"/>
  <c r="D1475" i="10"/>
  <c r="D3627" i="10"/>
  <c r="D8244" i="10"/>
  <c r="D6615" i="10"/>
  <c r="D5125" i="10"/>
  <c r="D1474" i="10"/>
  <c r="D3626" i="10"/>
  <c r="D8243" i="10"/>
  <c r="D6614" i="10"/>
  <c r="D5124" i="10"/>
  <c r="D1473" i="10"/>
  <c r="D3625" i="10"/>
  <c r="D8242" i="10"/>
  <c r="D6613" i="10"/>
  <c r="D5123" i="10"/>
  <c r="D1472" i="10"/>
  <c r="D3624" i="10"/>
  <c r="D8241" i="10"/>
  <c r="D6612" i="10"/>
  <c r="D5122" i="10"/>
  <c r="D1471" i="10"/>
  <c r="D3623" i="10"/>
  <c r="D3622" i="10"/>
  <c r="D3621" i="10"/>
  <c r="D5121" i="10"/>
  <c r="D1470" i="10"/>
  <c r="D8240" i="10"/>
  <c r="D6611" i="10"/>
  <c r="D3620" i="10"/>
  <c r="D3619" i="10"/>
  <c r="D8239" i="10"/>
  <c r="D6610" i="10"/>
  <c r="D5120" i="10"/>
  <c r="D1469" i="10"/>
  <c r="D3618" i="10"/>
  <c r="D8238" i="10"/>
  <c r="D6609" i="10"/>
  <c r="D5119" i="10"/>
  <c r="D1468" i="10"/>
  <c r="D3617" i="10"/>
  <c r="D8237" i="10"/>
  <c r="D6608" i="10"/>
  <c r="D5118" i="10"/>
  <c r="D1467" i="10"/>
  <c r="D3616" i="10"/>
  <c r="D3615" i="10"/>
  <c r="D3614" i="10"/>
  <c r="D8236" i="10"/>
  <c r="D6607" i="10"/>
  <c r="D5117" i="10"/>
  <c r="D1466" i="10"/>
  <c r="D3613" i="10"/>
  <c r="D8235" i="10"/>
  <c r="D6606" i="10"/>
  <c r="D5116" i="10"/>
  <c r="D1465" i="10"/>
  <c r="D3612" i="10"/>
  <c r="D8234" i="10"/>
  <c r="D6605" i="10"/>
  <c r="D5115" i="10"/>
  <c r="D1464" i="10"/>
  <c r="D3611" i="10"/>
  <c r="D8233" i="10"/>
  <c r="D6604" i="10"/>
  <c r="D5114" i="10"/>
  <c r="D1463" i="10"/>
  <c r="D3610" i="10"/>
  <c r="D8232" i="10"/>
  <c r="D6603" i="10"/>
  <c r="D5113" i="10"/>
  <c r="D1462" i="10"/>
  <c r="D3609" i="10"/>
  <c r="D3608" i="10"/>
  <c r="D3607" i="10"/>
  <c r="D8231" i="10"/>
  <c r="D6602" i="10"/>
  <c r="D5112" i="10"/>
  <c r="D1461" i="10"/>
  <c r="D3606" i="10"/>
  <c r="D8230" i="10"/>
  <c r="D6601" i="10"/>
  <c r="D5111" i="10"/>
  <c r="D1460" i="10"/>
  <c r="D3605" i="10"/>
  <c r="D8229" i="10"/>
  <c r="D6600" i="10"/>
  <c r="D5110" i="10"/>
  <c r="D1459" i="10"/>
  <c r="D3604" i="10"/>
  <c r="D8228" i="10"/>
  <c r="D6599" i="10"/>
  <c r="D5109" i="10"/>
  <c r="D1458" i="10"/>
  <c r="D3603" i="10"/>
  <c r="D8227" i="10"/>
  <c r="D6598" i="10"/>
  <c r="D5108" i="10"/>
  <c r="D1457" i="10"/>
  <c r="D3602" i="10"/>
  <c r="D3601" i="10"/>
  <c r="D3600" i="10"/>
  <c r="D8226" i="10"/>
  <c r="D6597" i="10"/>
  <c r="D5107" i="10"/>
  <c r="D1456" i="10"/>
  <c r="D3599" i="10"/>
  <c r="D8225" i="10"/>
  <c r="D6596" i="10"/>
  <c r="D5106" i="10"/>
  <c r="D1455" i="10"/>
  <c r="D3598" i="10"/>
  <c r="D8224" i="10"/>
  <c r="D6595" i="10"/>
  <c r="D5105" i="10"/>
  <c r="D1454" i="10"/>
  <c r="D3597" i="10"/>
  <c r="D8223" i="10"/>
  <c r="D6594" i="10"/>
  <c r="D5104" i="10"/>
  <c r="D1453" i="10"/>
  <c r="D3596" i="10"/>
  <c r="D8222" i="10"/>
  <c r="D6593" i="10"/>
  <c r="D5103" i="10"/>
  <c r="D1452" i="10"/>
  <c r="D3595" i="10"/>
  <c r="D3594" i="10"/>
  <c r="D3593" i="10"/>
  <c r="D8221" i="10"/>
  <c r="D6592" i="10"/>
  <c r="D5102" i="10"/>
  <c r="D1451" i="10"/>
  <c r="D3592" i="10"/>
  <c r="D8220" i="10"/>
  <c r="D6591" i="10"/>
  <c r="D5101" i="10"/>
  <c r="D1450" i="10"/>
  <c r="D3591" i="10"/>
  <c r="D8219" i="10"/>
  <c r="D6590" i="10"/>
  <c r="D5100" i="10"/>
  <c r="D1449" i="10"/>
  <c r="D3590" i="10"/>
  <c r="D8218" i="10"/>
  <c r="D6589" i="10"/>
  <c r="D5099" i="10"/>
  <c r="D1448" i="10"/>
  <c r="D3589" i="10"/>
  <c r="D8217" i="10"/>
  <c r="D6588" i="10"/>
  <c r="D5098" i="10"/>
  <c r="D1447" i="10"/>
  <c r="D3588" i="10"/>
  <c r="D3587" i="10"/>
  <c r="D3586" i="10"/>
  <c r="D8216" i="10"/>
  <c r="D6587" i="10"/>
  <c r="D5097" i="10"/>
  <c r="D1446" i="10"/>
  <c r="D3585" i="10"/>
  <c r="D8215" i="10"/>
  <c r="D6586" i="10"/>
  <c r="D5096" i="10"/>
  <c r="D1445" i="10"/>
  <c r="D3584" i="10"/>
  <c r="D8214" i="10"/>
  <c r="D6585" i="10"/>
  <c r="D5095" i="10"/>
  <c r="D1444" i="10"/>
  <c r="D3583" i="10"/>
  <c r="D8213" i="10"/>
  <c r="D6584" i="10"/>
  <c r="D5094" i="10"/>
  <c r="D1443" i="10"/>
  <c r="D3582" i="10"/>
  <c r="D8212" i="10"/>
  <c r="D6583" i="10"/>
  <c r="D5093" i="10"/>
  <c r="D1442" i="10"/>
  <c r="D3581" i="10"/>
  <c r="D3580" i="10"/>
  <c r="D3579" i="10"/>
  <c r="D8211" i="10"/>
  <c r="D6582" i="10"/>
  <c r="D5092" i="10"/>
  <c r="D1441" i="10"/>
  <c r="D3578" i="10"/>
  <c r="D8210" i="10"/>
  <c r="D6581" i="10"/>
  <c r="D5091" i="10"/>
  <c r="D1440" i="10"/>
  <c r="D3577" i="10"/>
  <c r="D8209" i="10"/>
  <c r="D6580" i="10"/>
  <c r="D5090" i="10"/>
  <c r="D1439" i="10"/>
  <c r="D3576" i="10"/>
  <c r="D8208" i="10"/>
  <c r="D6579" i="10"/>
  <c r="D5089" i="10"/>
  <c r="D1438" i="10"/>
  <c r="D3575" i="10"/>
  <c r="D8207" i="10"/>
  <c r="D6578" i="10"/>
  <c r="D5088" i="10"/>
  <c r="D1437" i="10"/>
  <c r="D3574" i="10"/>
  <c r="D3573" i="10"/>
  <c r="D3572" i="10"/>
  <c r="D8206" i="10"/>
  <c r="D6577" i="10"/>
  <c r="D5087" i="10"/>
  <c r="D1436" i="10"/>
  <c r="D3571" i="10"/>
  <c r="D8205" i="10"/>
  <c r="D6576" i="10"/>
  <c r="D5086" i="10"/>
  <c r="D1435" i="10"/>
  <c r="D3570" i="10"/>
  <c r="D8204" i="10"/>
  <c r="D6575" i="10"/>
  <c r="D5085" i="10"/>
  <c r="D1434" i="10"/>
  <c r="D3569" i="10"/>
  <c r="D8203" i="10"/>
  <c r="D6574" i="10"/>
  <c r="D5084" i="10"/>
  <c r="D1433" i="10"/>
  <c r="D3568" i="10"/>
  <c r="D8202" i="10"/>
  <c r="D6573" i="10"/>
  <c r="D5083" i="10"/>
  <c r="D1432" i="10"/>
  <c r="D3567" i="10"/>
  <c r="D3566" i="10"/>
  <c r="D3565" i="10"/>
  <c r="D8201" i="10"/>
  <c r="D6572" i="10"/>
  <c r="D5082" i="10"/>
  <c r="D1431" i="10"/>
  <c r="D3564" i="10"/>
  <c r="D8200" i="10"/>
  <c r="D6571" i="10"/>
  <c r="D5081" i="10"/>
  <c r="D1430" i="10"/>
  <c r="D3563" i="10"/>
  <c r="D8199" i="10"/>
  <c r="D6570" i="10"/>
  <c r="D5080" i="10"/>
  <c r="D1429" i="10"/>
  <c r="D3562" i="10"/>
  <c r="D8198" i="10"/>
  <c r="D6569" i="10"/>
  <c r="D5079" i="10"/>
  <c r="D1428" i="10"/>
  <c r="D3561" i="10"/>
  <c r="D8197" i="10"/>
  <c r="D6568" i="10"/>
  <c r="D5078" i="10"/>
  <c r="D1427" i="10"/>
  <c r="D3560" i="10"/>
  <c r="D3559" i="10"/>
  <c r="D3558" i="10"/>
  <c r="D8196" i="10"/>
  <c r="D6567" i="10"/>
  <c r="D5077" i="10"/>
  <c r="D1426" i="10"/>
  <c r="D3557" i="10"/>
  <c r="D8195" i="10"/>
  <c r="D6566" i="10"/>
  <c r="D5076" i="10"/>
  <c r="D1425" i="10"/>
  <c r="D3556" i="10"/>
  <c r="D8194" i="10"/>
  <c r="D6565" i="10"/>
  <c r="D5075" i="10"/>
  <c r="D1424" i="10"/>
  <c r="D3555" i="10"/>
  <c r="D8193" i="10"/>
  <c r="D6564" i="10"/>
  <c r="D5074" i="10"/>
  <c r="D1423" i="10"/>
  <c r="D3554" i="10"/>
  <c r="D8192" i="10"/>
  <c r="D6563" i="10"/>
  <c r="D5073" i="10"/>
  <c r="D1422" i="10"/>
  <c r="D3553" i="10"/>
  <c r="D3552" i="10"/>
  <c r="D3551" i="10"/>
  <c r="D8191" i="10"/>
  <c r="D6562" i="10"/>
  <c r="D5072" i="10"/>
  <c r="D1421" i="10"/>
  <c r="D3550" i="10"/>
  <c r="D8190" i="10"/>
  <c r="D6561" i="10"/>
  <c r="D5071" i="10"/>
  <c r="D1420" i="10"/>
  <c r="D3549" i="10"/>
  <c r="D8189" i="10"/>
  <c r="D6560" i="10"/>
  <c r="D5070" i="10"/>
  <c r="D1419" i="10"/>
  <c r="D3548" i="10"/>
  <c r="D8188" i="10"/>
  <c r="D6559" i="10"/>
  <c r="D5069" i="10"/>
  <c r="D1418" i="10"/>
  <c r="D3547" i="10"/>
  <c r="D8187" i="10"/>
  <c r="D6558" i="10"/>
  <c r="D5068" i="10"/>
  <c r="D1417" i="10"/>
  <c r="D3546" i="10"/>
  <c r="D3545" i="10"/>
  <c r="D3544" i="10"/>
  <c r="D8186" i="10"/>
  <c r="D6557" i="10"/>
  <c r="D5067" i="10"/>
  <c r="D1416" i="10"/>
  <c r="D3543" i="10"/>
  <c r="D8185" i="10"/>
  <c r="D6556" i="10"/>
  <c r="D5066" i="10"/>
  <c r="D1415" i="10"/>
  <c r="D3542" i="10"/>
  <c r="D8184" i="10"/>
  <c r="D6555" i="10"/>
  <c r="D5065" i="10"/>
  <c r="D1414" i="10"/>
  <c r="D3541" i="10"/>
  <c r="D8183" i="10"/>
  <c r="D6554" i="10"/>
  <c r="D5064" i="10"/>
  <c r="D1413" i="10"/>
  <c r="D3540" i="10"/>
  <c r="D8182" i="10"/>
  <c r="D6553" i="10"/>
  <c r="D5063" i="10"/>
  <c r="D1412" i="10"/>
  <c r="D3539" i="10"/>
  <c r="D3538" i="10"/>
  <c r="D3537" i="10"/>
  <c r="D8181" i="10"/>
  <c r="D6552" i="10"/>
  <c r="D5062" i="10"/>
  <c r="D1411" i="10"/>
  <c r="D3536" i="10"/>
  <c r="D8180" i="10"/>
  <c r="D6551" i="10"/>
  <c r="D5061" i="10"/>
  <c r="D1410" i="10"/>
  <c r="D3535" i="10"/>
  <c r="D8179" i="10"/>
  <c r="D6550" i="10"/>
  <c r="D5060" i="10"/>
  <c r="D1409" i="10"/>
  <c r="D3534" i="10"/>
  <c r="D8178" i="10"/>
  <c r="D6549" i="10"/>
  <c r="D5059" i="10"/>
  <c r="D1408" i="10"/>
  <c r="D3533" i="10"/>
  <c r="D3532" i="10"/>
  <c r="D3531" i="10"/>
  <c r="D3530" i="10"/>
  <c r="D8177" i="10"/>
  <c r="D6548" i="10"/>
  <c r="D5058" i="10"/>
  <c r="D1407" i="10"/>
  <c r="D3529" i="10"/>
  <c r="D8176" i="10"/>
  <c r="D6547" i="10"/>
  <c r="D5057" i="10"/>
  <c r="D1406" i="10"/>
  <c r="D3528" i="10"/>
  <c r="D8175" i="10"/>
  <c r="D6546" i="10"/>
  <c r="D5056" i="10"/>
  <c r="D1405" i="10"/>
  <c r="D3527" i="10"/>
  <c r="D8174" i="10"/>
  <c r="D6545" i="10"/>
  <c r="D5055" i="10"/>
  <c r="D1404" i="10"/>
  <c r="D3526" i="10"/>
  <c r="D8173" i="10"/>
  <c r="D6544" i="10"/>
  <c r="D5054" i="10"/>
  <c r="D1403" i="10"/>
  <c r="D3525" i="10"/>
  <c r="D3524" i="10"/>
  <c r="D3523" i="10"/>
  <c r="D8172" i="10"/>
  <c r="D6543" i="10"/>
  <c r="D5053" i="10"/>
  <c r="D1402" i="10"/>
  <c r="D3522" i="10"/>
  <c r="D8171" i="10"/>
  <c r="D6542" i="10"/>
  <c r="D5052" i="10"/>
  <c r="D1401" i="10"/>
  <c r="D3521" i="10"/>
  <c r="D8170" i="10"/>
  <c r="D6541" i="10"/>
  <c r="D5051" i="10"/>
  <c r="D1400" i="10"/>
  <c r="D3520" i="10"/>
  <c r="D8169" i="10"/>
  <c r="D6540" i="10"/>
  <c r="D5050" i="10"/>
  <c r="D1399" i="10"/>
  <c r="D3519" i="10"/>
  <c r="D8168" i="10"/>
  <c r="D6539" i="10"/>
  <c r="D5049" i="10"/>
  <c r="D1398" i="10"/>
  <c r="D3518" i="10"/>
  <c r="D3517" i="10"/>
  <c r="D3516" i="10"/>
  <c r="D8167" i="10"/>
  <c r="D6538" i="10"/>
  <c r="D5048" i="10"/>
  <c r="D1397" i="10"/>
  <c r="D3515" i="10"/>
  <c r="D8166" i="10"/>
  <c r="D6537" i="10"/>
  <c r="D5047" i="10"/>
  <c r="D1396" i="10"/>
  <c r="D3514" i="10"/>
  <c r="D8165" i="10"/>
  <c r="D6536" i="10"/>
  <c r="D5046" i="10"/>
  <c r="D1395" i="10"/>
  <c r="D3513" i="10"/>
  <c r="D8164" i="10"/>
  <c r="D6535" i="10"/>
  <c r="D5045" i="10"/>
  <c r="D1394" i="10"/>
  <c r="D3512" i="10"/>
  <c r="D8163" i="10"/>
  <c r="D6534" i="10"/>
  <c r="D5044" i="10"/>
  <c r="D1393" i="10"/>
  <c r="D3511" i="10"/>
  <c r="D3510" i="10"/>
  <c r="D3509" i="10"/>
  <c r="D8162" i="10"/>
  <c r="D6533" i="10"/>
  <c r="D5043" i="10"/>
  <c r="D1392" i="10"/>
  <c r="D3508" i="10"/>
  <c r="D8161" i="10"/>
  <c r="D6532" i="10"/>
  <c r="D5042" i="10"/>
  <c r="D1391" i="10"/>
  <c r="D3507" i="10"/>
  <c r="D8160" i="10"/>
  <c r="D6531" i="10"/>
  <c r="D5041" i="10"/>
  <c r="D1390" i="10"/>
  <c r="D3506" i="10"/>
  <c r="D8159" i="10"/>
  <c r="D6530" i="10"/>
  <c r="D5040" i="10"/>
  <c r="D1389" i="10"/>
  <c r="D3505" i="10"/>
  <c r="D8158" i="10"/>
  <c r="D6529" i="10"/>
  <c r="D5039" i="10"/>
  <c r="D1388" i="10"/>
  <c r="D3504" i="10"/>
  <c r="D3503" i="10"/>
  <c r="D3502" i="10"/>
  <c r="D8157" i="10"/>
  <c r="D6528" i="10"/>
  <c r="D5038" i="10"/>
  <c r="D1387" i="10"/>
  <c r="D3501" i="10"/>
  <c r="D8156" i="10"/>
  <c r="D6527" i="10"/>
  <c r="D5037" i="10"/>
  <c r="D1386" i="10"/>
  <c r="D3500" i="10"/>
  <c r="D8155" i="10"/>
  <c r="D6526" i="10"/>
  <c r="D5036" i="10"/>
  <c r="D1385" i="10"/>
  <c r="D3499" i="10"/>
  <c r="D8154" i="10"/>
  <c r="D6525" i="10"/>
  <c r="D5035" i="10"/>
  <c r="D1384" i="10"/>
  <c r="D3498" i="10"/>
  <c r="D8153" i="10"/>
  <c r="D6524" i="10"/>
  <c r="D5034" i="10"/>
  <c r="D1383" i="10"/>
  <c r="D3497" i="10"/>
  <c r="D3496" i="10"/>
  <c r="D3495" i="10"/>
  <c r="D8152" i="10"/>
  <c r="D6523" i="10"/>
  <c r="D5033" i="10"/>
  <c r="D1382" i="10"/>
  <c r="D3494" i="10"/>
  <c r="D8151" i="10"/>
  <c r="D6522" i="10"/>
  <c r="D5032" i="10"/>
  <c r="D1381" i="10"/>
  <c r="D3493" i="10"/>
  <c r="D8150" i="10"/>
  <c r="D6521" i="10"/>
  <c r="D5031" i="10"/>
  <c r="D1380" i="10"/>
  <c r="D3492" i="10"/>
  <c r="D8149" i="10"/>
  <c r="D6520" i="10"/>
  <c r="D5030" i="10"/>
  <c r="D1379" i="10"/>
  <c r="D3491" i="10"/>
  <c r="D8148" i="10"/>
  <c r="D6519" i="10"/>
  <c r="D5029" i="10"/>
  <c r="D1378" i="10"/>
  <c r="D3490" i="10"/>
  <c r="D3489" i="10"/>
  <c r="D3488" i="10"/>
  <c r="D8147" i="10"/>
  <c r="D6518" i="10"/>
  <c r="D5028" i="10"/>
  <c r="D1377" i="10"/>
  <c r="D3487" i="10"/>
  <c r="D8146" i="10"/>
  <c r="D6517" i="10"/>
  <c r="D5027" i="10"/>
  <c r="D1376" i="10"/>
  <c r="D3486" i="10"/>
  <c r="D8145" i="10"/>
  <c r="D6516" i="10"/>
  <c r="D5026" i="10"/>
  <c r="D1375" i="10"/>
  <c r="D3485" i="10"/>
  <c r="D8144" i="10"/>
  <c r="D6515" i="10"/>
  <c r="D5025" i="10"/>
  <c r="D1374" i="10"/>
  <c r="D3484" i="10"/>
  <c r="D8143" i="10"/>
  <c r="D6514" i="10"/>
  <c r="D5024" i="10"/>
  <c r="D1373" i="10"/>
  <c r="D3483" i="10"/>
  <c r="D3482" i="10"/>
  <c r="D3481" i="10"/>
  <c r="D8142" i="10"/>
  <c r="D6513" i="10"/>
  <c r="D5023" i="10"/>
  <c r="D1372" i="10"/>
  <c r="D3480" i="10"/>
  <c r="D8141" i="10"/>
  <c r="D6512" i="10"/>
  <c r="D5022" i="10"/>
  <c r="D1371" i="10"/>
  <c r="D3479" i="10"/>
  <c r="D8140" i="10"/>
  <c r="D6511" i="10"/>
  <c r="D5021" i="10"/>
  <c r="D1370" i="10"/>
  <c r="D3478" i="10"/>
  <c r="D8139" i="10"/>
  <c r="D6510" i="10"/>
  <c r="D5020" i="10"/>
  <c r="D1369" i="10"/>
  <c r="D3477" i="10"/>
  <c r="D8138" i="10"/>
  <c r="D6509" i="10"/>
  <c r="D5019" i="10"/>
  <c r="D1368" i="10"/>
  <c r="D3476" i="10"/>
  <c r="D3475" i="10"/>
  <c r="D3474" i="10"/>
  <c r="D8137" i="10"/>
  <c r="D6508" i="10"/>
  <c r="D5018" i="10"/>
  <c r="D1367" i="10"/>
  <c r="D3473" i="10"/>
  <c r="D3472" i="10"/>
  <c r="D5017" i="10"/>
  <c r="D1366" i="10"/>
  <c r="D8136" i="10"/>
  <c r="D6507" i="10"/>
  <c r="D3471" i="10"/>
  <c r="D8135" i="10"/>
  <c r="D6506" i="10"/>
  <c r="D5016" i="10"/>
  <c r="D1365" i="10"/>
  <c r="D3470" i="10"/>
  <c r="D8134" i="10"/>
  <c r="D6505" i="10"/>
  <c r="D5015" i="10"/>
  <c r="D1364" i="10"/>
  <c r="D3469" i="10"/>
  <c r="D3468" i="10"/>
  <c r="D3467" i="10"/>
  <c r="D8133" i="10"/>
  <c r="D6504" i="10"/>
  <c r="D5014" i="10"/>
  <c r="D1363" i="10"/>
  <c r="D3466" i="10"/>
  <c r="D8132" i="10"/>
  <c r="D6503" i="10"/>
  <c r="D5013" i="10"/>
  <c r="D1362" i="10"/>
  <c r="D3465" i="10"/>
  <c r="D8131" i="10"/>
  <c r="D6502" i="10"/>
  <c r="D5012" i="10"/>
  <c r="D1361" i="10"/>
  <c r="D3464" i="10"/>
  <c r="D8130" i="10"/>
  <c r="D6501" i="10"/>
  <c r="D5011" i="10"/>
  <c r="D1360" i="10"/>
  <c r="D3463" i="10"/>
  <c r="D8129" i="10"/>
  <c r="D6500" i="10"/>
  <c r="D5010" i="10"/>
  <c r="D1359" i="10"/>
  <c r="D3462" i="10"/>
  <c r="D3461" i="10"/>
  <c r="D3460" i="10"/>
  <c r="D8128" i="10"/>
  <c r="D6499" i="10"/>
  <c r="D5009" i="10"/>
  <c r="D1358" i="10"/>
  <c r="D3459" i="10"/>
  <c r="D8127" i="10"/>
  <c r="D6498" i="10"/>
  <c r="D5008" i="10"/>
  <c r="D1357" i="10"/>
  <c r="D3458" i="10"/>
  <c r="D3457" i="10"/>
  <c r="D8126" i="10"/>
  <c r="D6497" i="10"/>
  <c r="D5007" i="10"/>
  <c r="D1356" i="10"/>
  <c r="D3456" i="10"/>
  <c r="D8125" i="10"/>
  <c r="D6496" i="10"/>
  <c r="D5006" i="10"/>
  <c r="D1355" i="10"/>
  <c r="D3455" i="10"/>
  <c r="D3454" i="10"/>
  <c r="D3453" i="10"/>
  <c r="D8124" i="10"/>
  <c r="D6495" i="10"/>
  <c r="D5005" i="10"/>
  <c r="D1354" i="10"/>
  <c r="D3452" i="10"/>
  <c r="D8123" i="10"/>
  <c r="D6494" i="10"/>
  <c r="D5004" i="10"/>
  <c r="D1353" i="10"/>
  <c r="D3451" i="10"/>
  <c r="D8122" i="10"/>
  <c r="D6493" i="10"/>
  <c r="D5003" i="10"/>
  <c r="D1352" i="10"/>
  <c r="D3450" i="10"/>
  <c r="D8121" i="10"/>
  <c r="D6492" i="10"/>
  <c r="D5002" i="10"/>
  <c r="D1351" i="10"/>
  <c r="D3449" i="10"/>
  <c r="D8120" i="10"/>
  <c r="D6491" i="10"/>
  <c r="D5001" i="10"/>
  <c r="D1350" i="10"/>
  <c r="D3448" i="10"/>
  <c r="D3447" i="10"/>
  <c r="D3446" i="10"/>
  <c r="D8119" i="10"/>
  <c r="D6490" i="10"/>
  <c r="D5000" i="10"/>
  <c r="D1349" i="10"/>
  <c r="D3445" i="10"/>
  <c r="D8118" i="10"/>
  <c r="D6489" i="10"/>
  <c r="D4999" i="10"/>
  <c r="D1348" i="10"/>
  <c r="D3444" i="10"/>
  <c r="D8117" i="10"/>
  <c r="D6488" i="10"/>
  <c r="D4998" i="10"/>
  <c r="D1347" i="10"/>
  <c r="D3443" i="10"/>
  <c r="D8116" i="10"/>
  <c r="D6487" i="10"/>
  <c r="D4997" i="10"/>
  <c r="D1346" i="10"/>
  <c r="D3442" i="10"/>
  <c r="D8115" i="10"/>
  <c r="D6486" i="10"/>
  <c r="D4996" i="10"/>
  <c r="D1345" i="10"/>
  <c r="D3441" i="10"/>
  <c r="D3440" i="10"/>
  <c r="D3439" i="10"/>
  <c r="D8114" i="10"/>
  <c r="D6485" i="10"/>
  <c r="D4995" i="10"/>
  <c r="D1344" i="10"/>
  <c r="D3438" i="10"/>
  <c r="D8113" i="10"/>
  <c r="D6484" i="10"/>
  <c r="D4994" i="10"/>
  <c r="D1343" i="10"/>
  <c r="D3437" i="10"/>
  <c r="D8112" i="10"/>
  <c r="D6483" i="10"/>
  <c r="D4993" i="10"/>
  <c r="D1342" i="10"/>
  <c r="D3436" i="10"/>
  <c r="D8111" i="10"/>
  <c r="D6482" i="10"/>
  <c r="D4992" i="10"/>
  <c r="D1341" i="10"/>
  <c r="D3435" i="10"/>
  <c r="D3434" i="10"/>
  <c r="D3433" i="10"/>
  <c r="D3432" i="10"/>
  <c r="D8110" i="10"/>
  <c r="D6481" i="10"/>
  <c r="D4991" i="10"/>
  <c r="D1340" i="10"/>
  <c r="D3431" i="10"/>
  <c r="D8109" i="10"/>
  <c r="D6480" i="10"/>
  <c r="D4990" i="10"/>
  <c r="D1339" i="10"/>
  <c r="D3430" i="10"/>
  <c r="D8108" i="10"/>
  <c r="D6479" i="10"/>
  <c r="D4989" i="10"/>
  <c r="D1338" i="10"/>
  <c r="D3429" i="10"/>
  <c r="D8107" i="10"/>
  <c r="D6478" i="10"/>
  <c r="D4988" i="10"/>
  <c r="D1337" i="10"/>
  <c r="D3428" i="10"/>
  <c r="D8106" i="10"/>
  <c r="D6477" i="10"/>
  <c r="D4987" i="10"/>
  <c r="D1336" i="10"/>
  <c r="D3427" i="10"/>
  <c r="D3426" i="10"/>
  <c r="D3425" i="10"/>
  <c r="D8105" i="10"/>
  <c r="D6476" i="10"/>
  <c r="D4986" i="10"/>
  <c r="D1335" i="10"/>
  <c r="D3424" i="10"/>
  <c r="D8104" i="10"/>
  <c r="D6475" i="10"/>
  <c r="D4985" i="10"/>
  <c r="D1334" i="10"/>
  <c r="D3423" i="10"/>
  <c r="D8103" i="10"/>
  <c r="D6474" i="10"/>
  <c r="D4984" i="10"/>
  <c r="D1333" i="10"/>
  <c r="D3422" i="10"/>
  <c r="D8102" i="10"/>
  <c r="D6473" i="10"/>
  <c r="D4983" i="10"/>
  <c r="D1332" i="10"/>
  <c r="D3421" i="10"/>
  <c r="D8101" i="10"/>
  <c r="D6472" i="10"/>
  <c r="D4982" i="10"/>
  <c r="D1331" i="10"/>
  <c r="D3420" i="10"/>
  <c r="D3419" i="10"/>
  <c r="D3418" i="10"/>
  <c r="D8100" i="10"/>
  <c r="D6471" i="10"/>
  <c r="D4981" i="10"/>
  <c r="D1330" i="10"/>
  <c r="D3417" i="10"/>
  <c r="D8099" i="10"/>
  <c r="D6470" i="10"/>
  <c r="D4980" i="10"/>
  <c r="D1329" i="10"/>
  <c r="D3416" i="10"/>
  <c r="D8098" i="10"/>
  <c r="D6469" i="10"/>
  <c r="D4979" i="10"/>
  <c r="D1328" i="10"/>
  <c r="D3415" i="10"/>
  <c r="D8097" i="10"/>
  <c r="D6468" i="10"/>
  <c r="D4978" i="10"/>
  <c r="D1327" i="10"/>
  <c r="D3414" i="10"/>
  <c r="D8096" i="10"/>
  <c r="D6467" i="10"/>
  <c r="D4977" i="10"/>
  <c r="D1326" i="10"/>
  <c r="D3413" i="10"/>
  <c r="D3412" i="10"/>
  <c r="D3411" i="10"/>
  <c r="D8095" i="10"/>
  <c r="D6466" i="10"/>
  <c r="D4976" i="10"/>
  <c r="D1325" i="10"/>
  <c r="D3410" i="10"/>
  <c r="D8094" i="10"/>
  <c r="D6465" i="10"/>
  <c r="D4975" i="10"/>
  <c r="D1324" i="10"/>
  <c r="D3409" i="10"/>
  <c r="D8093" i="10"/>
  <c r="D6464" i="10"/>
  <c r="D4974" i="10"/>
  <c r="D1323" i="10"/>
  <c r="D3408" i="10"/>
  <c r="D8092" i="10"/>
  <c r="D6463" i="10"/>
  <c r="D4973" i="10"/>
  <c r="D1322" i="10"/>
  <c r="D3407" i="10"/>
  <c r="D8091" i="10"/>
  <c r="D6462" i="10"/>
  <c r="D4972" i="10"/>
  <c r="D1321" i="10"/>
  <c r="D3406" i="10"/>
  <c r="D3405" i="10"/>
  <c r="D3404" i="10"/>
  <c r="D8090" i="10"/>
  <c r="D6461" i="10"/>
  <c r="D4971" i="10"/>
  <c r="D1320" i="10"/>
  <c r="D3403" i="10"/>
  <c r="D8089" i="10"/>
  <c r="D6460" i="10"/>
  <c r="D4970" i="10"/>
  <c r="D1319" i="10"/>
  <c r="D3402" i="10"/>
  <c r="D8088" i="10"/>
  <c r="D6459" i="10"/>
  <c r="D4969" i="10"/>
  <c r="D1318" i="10"/>
  <c r="D3401" i="10"/>
  <c r="D8087" i="10"/>
  <c r="D6458" i="10"/>
  <c r="D4968" i="10"/>
  <c r="D1317" i="10"/>
  <c r="D3400" i="10"/>
  <c r="D8086" i="10"/>
  <c r="D6457" i="10"/>
  <c r="D4967" i="10"/>
  <c r="D1316" i="10"/>
  <c r="D3399" i="10"/>
  <c r="D3398" i="10"/>
  <c r="D3397" i="10"/>
  <c r="D8085" i="10"/>
  <c r="D6456" i="10"/>
  <c r="D4966" i="10"/>
  <c r="D1315" i="10"/>
  <c r="D3396" i="10"/>
  <c r="D8084" i="10"/>
  <c r="D6455" i="10"/>
  <c r="D4965" i="10"/>
  <c r="D1314" i="10"/>
  <c r="D3395" i="10"/>
  <c r="D8083" i="10"/>
  <c r="D6454" i="10"/>
  <c r="D4964" i="10"/>
  <c r="D1313" i="10"/>
  <c r="D3394" i="10"/>
  <c r="D8082" i="10"/>
  <c r="D6453" i="10"/>
  <c r="D4963" i="10"/>
  <c r="D1312" i="10"/>
  <c r="D3393" i="10"/>
  <c r="D8081" i="10"/>
  <c r="D6452" i="10"/>
  <c r="D4962" i="10"/>
  <c r="D1311" i="10"/>
  <c r="D3392" i="10"/>
  <c r="D3391" i="10"/>
  <c r="D3390" i="10"/>
  <c r="D8080" i="10"/>
  <c r="D6451" i="10"/>
  <c r="D4961" i="10"/>
  <c r="D1310" i="10"/>
  <c r="D3389" i="10"/>
  <c r="D8079" i="10"/>
  <c r="D6450" i="10"/>
  <c r="D4960" i="10"/>
  <c r="D1309" i="10"/>
  <c r="D3388" i="10"/>
  <c r="D8078" i="10"/>
  <c r="D6449" i="10"/>
  <c r="D4959" i="10"/>
  <c r="D1308" i="10"/>
  <c r="D3387" i="10"/>
  <c r="D8077" i="10"/>
  <c r="D6448" i="10"/>
  <c r="D4958" i="10"/>
  <c r="D1307" i="10"/>
  <c r="D3386" i="10"/>
  <c r="D8076" i="10"/>
  <c r="D6447" i="10"/>
  <c r="D4957" i="10"/>
  <c r="D1306" i="10"/>
  <c r="D3385" i="10"/>
  <c r="D3384" i="10"/>
  <c r="D3383" i="10"/>
  <c r="D8075" i="10"/>
  <c r="D6446" i="10"/>
  <c r="D4956" i="10"/>
  <c r="D1305" i="10"/>
  <c r="D3382" i="10"/>
  <c r="D8074" i="10"/>
  <c r="D6445" i="10"/>
  <c r="D4955" i="10"/>
  <c r="D1304" i="10"/>
  <c r="D3381" i="10"/>
  <c r="D8073" i="10"/>
  <c r="D6444" i="10"/>
  <c r="D4954" i="10"/>
  <c r="D1303" i="10"/>
  <c r="D3380" i="10"/>
  <c r="D8072" i="10"/>
  <c r="D6443" i="10"/>
  <c r="D4953" i="10"/>
  <c r="D1302" i="10"/>
  <c r="D3379" i="10"/>
  <c r="D8071" i="10"/>
  <c r="D6442" i="10"/>
  <c r="D4952" i="10"/>
  <c r="D1301" i="10"/>
  <c r="D3378" i="10"/>
  <c r="D3377" i="10"/>
  <c r="D3376" i="10"/>
  <c r="D3375" i="10"/>
  <c r="D8070" i="10"/>
  <c r="D6441" i="10"/>
  <c r="D4951" i="10"/>
  <c r="D1300" i="10"/>
  <c r="D3374" i="10"/>
  <c r="D8069" i="10"/>
  <c r="D6440" i="10"/>
  <c r="D4950" i="10"/>
  <c r="D1299" i="10"/>
  <c r="D3373" i="10"/>
  <c r="D8068" i="10"/>
  <c r="D6439" i="10"/>
  <c r="D4949" i="10"/>
  <c r="D1298" i="10"/>
  <c r="D3372" i="10"/>
  <c r="D8067" i="10"/>
  <c r="D6438" i="10"/>
  <c r="D4948" i="10"/>
  <c r="D1297" i="10"/>
  <c r="D3371" i="10"/>
  <c r="D3370" i="10"/>
  <c r="D3369" i="10"/>
  <c r="D8066" i="10"/>
  <c r="D6437" i="10"/>
  <c r="D4947" i="10"/>
  <c r="D1296" i="10"/>
  <c r="D3368" i="10"/>
  <c r="D8065" i="10"/>
  <c r="D6436" i="10"/>
  <c r="D4946" i="10"/>
  <c r="D1295" i="10"/>
  <c r="D3367" i="10"/>
  <c r="D8064" i="10"/>
  <c r="D6435" i="10"/>
  <c r="D4945" i="10"/>
  <c r="D1294" i="10"/>
  <c r="D3366" i="10"/>
  <c r="D8063" i="10"/>
  <c r="D6434" i="10"/>
  <c r="D4944" i="10"/>
  <c r="D1293" i="10"/>
  <c r="D3365" i="10"/>
  <c r="D8062" i="10"/>
  <c r="D6433" i="10"/>
  <c r="D4943" i="10"/>
  <c r="D1292" i="10"/>
  <c r="D3364" i="10"/>
  <c r="D3363" i="10"/>
  <c r="D3362" i="10"/>
  <c r="D8061" i="10"/>
  <c r="D6432" i="10"/>
  <c r="D4942" i="10"/>
  <c r="D1291" i="10"/>
  <c r="D3361" i="10"/>
  <c r="D8060" i="10"/>
  <c r="D6431" i="10"/>
  <c r="D4941" i="10"/>
  <c r="D1290" i="10"/>
  <c r="D3360" i="10"/>
  <c r="D8059" i="10"/>
  <c r="D6430" i="10"/>
  <c r="D4940" i="10"/>
  <c r="D1289" i="10"/>
  <c r="D3359" i="10"/>
  <c r="D8058" i="10"/>
  <c r="D6429" i="10"/>
  <c r="D4939" i="10"/>
  <c r="D1288" i="10"/>
  <c r="D3358" i="10"/>
  <c r="D8057" i="10"/>
  <c r="D6428" i="10"/>
  <c r="D4938" i="10"/>
  <c r="D1287" i="10"/>
  <c r="D3357" i="10"/>
  <c r="D3356" i="10"/>
  <c r="D3355" i="10"/>
  <c r="D8056" i="10"/>
  <c r="D6427" i="10"/>
  <c r="D4937" i="10"/>
  <c r="D1286" i="10"/>
  <c r="D3354" i="10"/>
  <c r="D8055" i="10"/>
  <c r="D6426" i="10"/>
  <c r="D4936" i="10"/>
  <c r="D1285" i="10"/>
  <c r="D3353" i="10"/>
  <c r="D8054" i="10"/>
  <c r="D6425" i="10"/>
  <c r="D4935" i="10"/>
  <c r="D1284" i="10"/>
  <c r="D3352" i="10"/>
  <c r="D8053" i="10"/>
  <c r="D6424" i="10"/>
  <c r="D4934" i="10"/>
  <c r="D1283" i="10"/>
  <c r="D3351" i="10"/>
  <c r="D8052" i="10"/>
  <c r="D6423" i="10"/>
  <c r="D4933" i="10"/>
  <c r="D1282" i="10"/>
  <c r="D3350" i="10"/>
  <c r="D3349" i="10"/>
  <c r="D3348" i="10"/>
  <c r="D8051" i="10"/>
  <c r="D6422" i="10"/>
  <c r="D4932" i="10"/>
  <c r="D1281" i="10"/>
  <c r="D3347" i="10"/>
  <c r="D8050" i="10"/>
  <c r="D6421" i="10"/>
  <c r="D4931" i="10"/>
  <c r="D1280" i="10"/>
  <c r="D3346" i="10"/>
  <c r="D8049" i="10"/>
  <c r="D6420" i="10"/>
  <c r="D4930" i="10"/>
  <c r="D1279" i="10"/>
  <c r="D3345" i="10"/>
  <c r="D8048" i="10"/>
  <c r="D6419" i="10"/>
  <c r="D4929" i="10"/>
  <c r="D1278" i="10"/>
  <c r="D3344" i="10"/>
  <c r="D8047" i="10"/>
  <c r="D6418" i="10"/>
  <c r="D4928" i="10"/>
  <c r="D1277" i="10"/>
  <c r="D3343" i="10"/>
  <c r="D3342" i="10"/>
  <c r="D3341" i="10"/>
  <c r="D8046" i="10"/>
  <c r="D6417" i="10"/>
  <c r="D4927" i="10"/>
  <c r="D1276" i="10"/>
  <c r="D3340" i="10"/>
  <c r="D8045" i="10"/>
  <c r="D6416" i="10"/>
  <c r="D4926" i="10"/>
  <c r="D1275" i="10"/>
  <c r="D3339" i="10"/>
  <c r="D8044" i="10"/>
  <c r="D6415" i="10"/>
  <c r="D4925" i="10"/>
  <c r="D1274" i="10"/>
  <c r="D3338" i="10"/>
  <c r="D8043" i="10"/>
  <c r="D6414" i="10"/>
  <c r="D4924" i="10"/>
  <c r="D1273" i="10"/>
  <c r="D3337" i="10"/>
  <c r="D3336" i="10"/>
  <c r="D3335" i="10"/>
  <c r="D3334" i="10"/>
  <c r="D8042" i="10"/>
  <c r="D6413" i="10"/>
  <c r="D4923" i="10"/>
  <c r="D1272" i="10"/>
  <c r="D3333" i="10"/>
  <c r="D8041" i="10"/>
  <c r="D6412" i="10"/>
  <c r="D4922" i="10"/>
  <c r="D1271" i="10"/>
  <c r="D3332" i="10"/>
  <c r="D8040" i="10"/>
  <c r="D6411" i="10"/>
  <c r="D4921" i="10"/>
  <c r="D1270" i="10"/>
  <c r="D3331" i="10"/>
  <c r="D8039" i="10"/>
  <c r="D6410" i="10"/>
  <c r="D4920" i="10"/>
  <c r="D1269" i="10"/>
  <c r="D3330" i="10"/>
  <c r="D8038" i="10"/>
  <c r="D6409" i="10"/>
  <c r="D4919" i="10"/>
  <c r="D1268" i="10"/>
  <c r="D3329" i="10"/>
  <c r="D3328" i="10"/>
  <c r="D3327" i="10"/>
  <c r="D8037" i="10"/>
  <c r="D6408" i="10"/>
  <c r="D4918" i="10"/>
  <c r="D1267" i="10"/>
  <c r="D3326" i="10"/>
  <c r="D8036" i="10"/>
  <c r="D6407" i="10"/>
  <c r="D4917" i="10"/>
  <c r="D1266" i="10"/>
  <c r="D3325" i="10"/>
  <c r="D8035" i="10"/>
  <c r="D6406" i="10"/>
  <c r="D4916" i="10"/>
  <c r="D1265" i="10"/>
  <c r="D3324" i="10"/>
  <c r="D8034" i="10"/>
  <c r="D6405" i="10"/>
  <c r="D4915" i="10"/>
  <c r="D1264" i="10"/>
  <c r="D3323" i="10"/>
  <c r="D8033" i="10"/>
  <c r="D6404" i="10"/>
  <c r="D4914" i="10"/>
  <c r="D1263" i="10"/>
  <c r="D3322" i="10"/>
  <c r="D3321" i="10"/>
  <c r="D3320" i="10"/>
  <c r="D8032" i="10"/>
  <c r="D6403" i="10"/>
  <c r="D4913" i="10"/>
  <c r="D1262" i="10"/>
  <c r="D3319" i="10"/>
  <c r="D8031" i="10"/>
  <c r="D6402" i="10"/>
  <c r="D4912" i="10"/>
  <c r="D1261" i="10"/>
  <c r="D3318" i="10"/>
  <c r="D8030" i="10"/>
  <c r="D6401" i="10"/>
  <c r="D4911" i="10"/>
  <c r="D1260" i="10"/>
  <c r="D3317" i="10"/>
  <c r="D8029" i="10"/>
  <c r="D6400" i="10"/>
  <c r="D4910" i="10"/>
  <c r="D1259" i="10"/>
  <c r="D3316" i="10"/>
  <c r="D8028" i="10"/>
  <c r="D6399" i="10"/>
  <c r="D4909" i="10"/>
  <c r="D1258" i="10"/>
  <c r="D3315" i="10"/>
  <c r="D3314" i="10"/>
  <c r="D3313" i="10"/>
  <c r="D8027" i="10"/>
  <c r="D6398" i="10"/>
  <c r="D4908" i="10"/>
  <c r="D1257" i="10"/>
  <c r="D3312" i="10"/>
  <c r="D8026" i="10"/>
  <c r="D6397" i="10"/>
  <c r="D4907" i="10"/>
  <c r="D1256" i="10"/>
  <c r="D3311" i="10"/>
  <c r="D8025" i="10"/>
  <c r="D6396" i="10"/>
  <c r="D4906" i="10"/>
  <c r="D1255" i="10"/>
  <c r="D3310" i="10"/>
  <c r="D8024" i="10"/>
  <c r="D6395" i="10"/>
  <c r="D4905" i="10"/>
  <c r="D1254" i="10"/>
  <c r="D3309" i="10"/>
  <c r="D8023" i="10"/>
  <c r="D6394" i="10"/>
  <c r="D4904" i="10"/>
  <c r="D1253" i="10"/>
  <c r="D3308" i="10"/>
  <c r="D3307" i="10"/>
  <c r="D3306" i="10"/>
  <c r="D8022" i="10"/>
  <c r="D6393" i="10"/>
  <c r="D4903" i="10"/>
  <c r="D1252" i="10"/>
  <c r="D3305" i="10"/>
  <c r="D8021" i="10"/>
  <c r="D6392" i="10"/>
  <c r="D4902" i="10"/>
  <c r="D1251" i="10"/>
  <c r="D3304" i="10"/>
  <c r="D8020" i="10"/>
  <c r="D6391" i="10"/>
  <c r="D4901" i="10"/>
  <c r="D1250" i="10"/>
  <c r="D3303" i="10"/>
  <c r="D8019" i="10"/>
  <c r="D6390" i="10"/>
  <c r="D4900" i="10"/>
  <c r="D1249" i="10"/>
  <c r="D3302" i="10"/>
  <c r="D3301" i="10"/>
  <c r="D3300" i="10"/>
  <c r="D3299" i="10"/>
  <c r="D8018" i="10"/>
  <c r="D6389" i="10"/>
  <c r="D4899" i="10"/>
  <c r="D1248" i="10"/>
  <c r="D3298" i="10"/>
  <c r="D8017" i="10"/>
  <c r="D6388" i="10"/>
  <c r="D4898" i="10"/>
  <c r="D1247" i="10"/>
  <c r="D3297" i="10"/>
  <c r="D8016" i="10"/>
  <c r="D6387" i="10"/>
  <c r="D4897" i="10"/>
  <c r="D1246" i="10"/>
  <c r="D3296" i="10"/>
  <c r="D8015" i="10"/>
  <c r="D6386" i="10"/>
  <c r="D4896" i="10"/>
  <c r="D1245" i="10"/>
  <c r="D3295" i="10"/>
  <c r="D8014" i="10"/>
  <c r="D6385" i="10"/>
  <c r="D4895" i="10"/>
  <c r="D1244" i="10"/>
  <c r="D3294" i="10"/>
  <c r="D3293" i="10"/>
  <c r="D3292" i="10"/>
  <c r="D8013" i="10"/>
  <c r="D6384" i="10"/>
  <c r="D4894" i="10"/>
  <c r="D1243" i="10"/>
  <c r="D3291" i="10"/>
  <c r="D8012" i="10"/>
  <c r="D6383" i="10"/>
  <c r="D4893" i="10"/>
  <c r="D1242" i="10"/>
  <c r="D3290" i="10"/>
  <c r="D8011" i="10"/>
  <c r="D6382" i="10"/>
  <c r="D4892" i="10"/>
  <c r="D1241" i="10"/>
  <c r="D3289" i="10"/>
  <c r="D8010" i="10"/>
  <c r="D6381" i="10"/>
  <c r="D4891" i="10"/>
  <c r="D1240" i="10"/>
  <c r="D3288" i="10"/>
  <c r="D3287" i="10"/>
  <c r="D3286" i="10"/>
  <c r="D3285" i="10"/>
  <c r="D8009" i="10"/>
  <c r="D6380" i="10"/>
  <c r="D4890" i="10"/>
  <c r="D1239" i="10"/>
  <c r="D3284" i="10"/>
  <c r="D8008" i="10"/>
  <c r="D6379" i="10"/>
  <c r="D4889" i="10"/>
  <c r="D1238" i="10"/>
  <c r="D3283" i="10"/>
  <c r="D8007" i="10"/>
  <c r="D6378" i="10"/>
  <c r="D4888" i="10"/>
  <c r="D1237" i="10"/>
  <c r="D3282" i="10"/>
  <c r="D8006" i="10"/>
  <c r="D6377" i="10"/>
  <c r="D4887" i="10"/>
  <c r="D1236" i="10"/>
  <c r="D3281" i="10"/>
  <c r="D3280" i="10"/>
  <c r="D3279" i="10"/>
  <c r="D3278" i="10"/>
  <c r="D8005" i="10"/>
  <c r="D6376" i="10"/>
  <c r="D4886" i="10"/>
  <c r="D1235" i="10"/>
  <c r="D3277" i="10"/>
  <c r="D8004" i="10"/>
  <c r="D6375" i="10"/>
  <c r="D4885" i="10"/>
  <c r="D1234" i="10"/>
  <c r="D3276" i="10"/>
  <c r="D8003" i="10"/>
  <c r="D6374" i="10"/>
  <c r="D4884" i="10"/>
  <c r="D1233" i="10"/>
  <c r="D3275" i="10"/>
  <c r="D8002" i="10"/>
  <c r="D6373" i="10"/>
  <c r="D4883" i="10"/>
  <c r="D1232" i="10"/>
  <c r="D3274" i="10"/>
  <c r="D8001" i="10"/>
  <c r="D6372" i="10"/>
  <c r="D4882" i="10"/>
  <c r="D1231" i="10"/>
  <c r="D3273" i="10"/>
  <c r="D3272" i="10"/>
  <c r="D3271" i="10"/>
  <c r="D8000" i="10"/>
  <c r="D6371" i="10"/>
  <c r="D4881" i="10"/>
  <c r="D1230" i="10"/>
  <c r="D3270" i="10"/>
  <c r="D7999" i="10"/>
  <c r="D6370" i="10"/>
  <c r="D4880" i="10"/>
  <c r="D1229" i="10"/>
  <c r="D3269" i="10"/>
  <c r="D7998" i="10"/>
  <c r="D6369" i="10"/>
  <c r="D4879" i="10"/>
  <c r="D1228" i="10"/>
  <c r="D3268" i="10"/>
  <c r="D7997" i="10"/>
  <c r="D6368" i="10"/>
  <c r="D4878" i="10"/>
  <c r="D1227" i="10"/>
  <c r="D3267" i="10"/>
  <c r="D7996" i="10"/>
  <c r="D6367" i="10"/>
  <c r="D4877" i="10"/>
  <c r="D1226" i="10"/>
  <c r="D3266" i="10"/>
  <c r="D3265" i="10"/>
  <c r="D3264" i="10"/>
  <c r="D7995" i="10"/>
  <c r="D6366" i="10"/>
  <c r="D4876" i="10"/>
  <c r="D1225" i="10"/>
  <c r="D3263" i="10"/>
  <c r="D7994" i="10"/>
  <c r="D6365" i="10"/>
  <c r="D4875" i="10"/>
  <c r="D1224" i="10"/>
  <c r="D3262" i="10"/>
  <c r="D7993" i="10"/>
  <c r="D6364" i="10"/>
  <c r="D4874" i="10"/>
  <c r="D1223" i="10"/>
  <c r="D3261" i="10"/>
  <c r="D7992" i="10"/>
  <c r="D6363" i="10"/>
  <c r="D4873" i="10"/>
  <c r="D1222" i="10"/>
  <c r="D3260" i="10"/>
  <c r="D7991" i="10"/>
  <c r="D6362" i="10"/>
  <c r="D4872" i="10"/>
  <c r="D1221" i="10"/>
  <c r="D3259" i="10"/>
  <c r="D3258" i="10"/>
  <c r="D3257" i="10"/>
  <c r="D7990" i="10"/>
  <c r="D6361" i="10"/>
  <c r="D4871" i="10"/>
  <c r="D1220" i="10"/>
  <c r="D3256" i="10"/>
  <c r="D7989" i="10"/>
  <c r="D6360" i="10"/>
  <c r="D4870" i="10"/>
  <c r="D1219" i="10"/>
  <c r="D3255" i="10"/>
  <c r="D7988" i="10"/>
  <c r="D6359" i="10"/>
  <c r="D4869" i="10"/>
  <c r="D1218" i="10"/>
  <c r="D3254" i="10"/>
  <c r="D7987" i="10"/>
  <c r="D6358" i="10"/>
  <c r="D4868" i="10"/>
  <c r="D1217" i="10"/>
  <c r="D3253" i="10"/>
  <c r="D7986" i="10"/>
  <c r="D6357" i="10"/>
  <c r="D4867" i="10"/>
  <c r="D1216" i="10"/>
  <c r="D3252" i="10"/>
  <c r="D3251" i="10"/>
  <c r="D3250" i="10"/>
  <c r="D4866" i="10"/>
  <c r="D1215" i="10"/>
  <c r="D7985" i="10"/>
  <c r="D6356" i="10"/>
  <c r="D3249" i="10"/>
  <c r="D3248" i="10"/>
  <c r="D7984" i="10"/>
  <c r="D6355" i="10"/>
  <c r="D4865" i="10"/>
  <c r="D1214" i="10"/>
  <c r="D3247" i="10"/>
  <c r="D7983" i="10"/>
  <c r="D6354" i="10"/>
  <c r="D4864" i="10"/>
  <c r="D1213" i="10"/>
  <c r="D3246" i="10"/>
  <c r="D7982" i="10"/>
  <c r="D6353" i="10"/>
  <c r="D4863" i="10"/>
  <c r="D1212" i="10"/>
  <c r="D3245" i="10"/>
  <c r="D3244" i="10"/>
  <c r="D3243" i="10"/>
  <c r="D7981" i="10"/>
  <c r="D6352" i="10"/>
  <c r="D4862" i="10"/>
  <c r="D1211" i="10"/>
  <c r="D3242" i="10"/>
  <c r="D7980" i="10"/>
  <c r="D6351" i="10"/>
  <c r="D4861" i="10"/>
  <c r="D1210" i="10"/>
  <c r="D3241" i="10"/>
  <c r="D7979" i="10"/>
  <c r="D6350" i="10"/>
  <c r="D4860" i="10"/>
  <c r="D1209" i="10"/>
  <c r="D3240" i="10"/>
  <c r="D7978" i="10"/>
  <c r="D6349" i="10"/>
  <c r="D4859" i="10"/>
  <c r="D1208" i="10"/>
  <c r="D3239" i="10"/>
  <c r="D7977" i="10"/>
  <c r="D6348" i="10"/>
  <c r="D4858" i="10"/>
  <c r="D1207" i="10"/>
  <c r="D3238" i="10"/>
  <c r="D3237" i="10"/>
  <c r="D3236" i="10"/>
  <c r="D7976" i="10"/>
  <c r="D6347" i="10"/>
  <c r="D4857" i="10"/>
  <c r="D1206" i="10"/>
  <c r="D3235" i="10"/>
  <c r="D7975" i="10"/>
  <c r="D6346" i="10"/>
  <c r="D4856" i="10"/>
  <c r="D1205" i="10"/>
  <c r="D3234" i="10"/>
  <c r="D7974" i="10"/>
  <c r="D6345" i="10"/>
  <c r="D4855" i="10"/>
  <c r="D1204" i="10"/>
  <c r="D3233" i="10"/>
  <c r="D7973" i="10"/>
  <c r="D6344" i="10"/>
  <c r="D4854" i="10"/>
  <c r="D1203" i="10"/>
  <c r="D3232" i="10"/>
  <c r="D7972" i="10"/>
  <c r="D6343" i="10"/>
  <c r="D4853" i="10"/>
  <c r="D1202" i="10"/>
  <c r="D3231" i="10"/>
  <c r="D3230" i="10"/>
  <c r="D3229" i="10"/>
  <c r="D7971" i="10"/>
  <c r="D6342" i="10"/>
  <c r="D4852" i="10"/>
  <c r="D1201" i="10"/>
  <c r="D3228" i="10"/>
  <c r="D7970" i="10"/>
  <c r="D6341" i="10"/>
  <c r="D4851" i="10"/>
  <c r="D1200" i="10"/>
  <c r="D3227" i="10"/>
  <c r="D7969" i="10"/>
  <c r="D6340" i="10"/>
  <c r="D4850" i="10"/>
  <c r="D1199" i="10"/>
  <c r="D3226" i="10"/>
  <c r="D7968" i="10"/>
  <c r="D6339" i="10"/>
  <c r="D4849" i="10"/>
  <c r="D1198" i="10"/>
  <c r="D3225" i="10"/>
  <c r="D7967" i="10"/>
  <c r="D6338" i="10"/>
  <c r="D4848" i="10"/>
  <c r="D1197" i="10"/>
  <c r="D3224" i="10"/>
  <c r="D3223" i="10"/>
  <c r="D3222" i="10"/>
  <c r="D7966" i="10"/>
  <c r="D6337" i="10"/>
  <c r="D4847" i="10"/>
  <c r="D1196" i="10"/>
  <c r="D3221" i="10"/>
  <c r="D7965" i="10"/>
  <c r="D6336" i="10"/>
  <c r="D4846" i="10"/>
  <c r="D1195" i="10"/>
  <c r="D3220" i="10"/>
  <c r="D7964" i="10"/>
  <c r="D6335" i="10"/>
  <c r="D4845" i="10"/>
  <c r="D1194" i="10"/>
  <c r="D3219" i="10"/>
  <c r="D7963" i="10"/>
  <c r="D6334" i="10"/>
  <c r="D4844" i="10"/>
  <c r="D1193" i="10"/>
  <c r="D3218" i="10"/>
  <c r="D7962" i="10"/>
  <c r="D6333" i="10"/>
  <c r="D4843" i="10"/>
  <c r="D1192" i="10"/>
  <c r="D3217" i="10"/>
  <c r="D3216" i="10"/>
  <c r="D3215" i="10"/>
  <c r="D7961" i="10"/>
  <c r="D6332" i="10"/>
  <c r="D4842" i="10"/>
  <c r="D1191" i="10"/>
  <c r="D3214" i="10"/>
  <c r="D7960" i="10"/>
  <c r="D6331" i="10"/>
  <c r="D4841" i="10"/>
  <c r="D1190" i="10"/>
  <c r="D3213" i="10"/>
  <c r="D7959" i="10"/>
  <c r="D6330" i="10"/>
  <c r="D4840" i="10"/>
  <c r="D1189" i="10"/>
  <c r="D3212" i="10"/>
  <c r="D7958" i="10"/>
  <c r="D6329" i="10"/>
  <c r="D4839" i="10"/>
  <c r="D1188" i="10"/>
  <c r="D3211" i="10"/>
  <c r="D7957" i="10"/>
  <c r="D6328" i="10"/>
  <c r="D4838" i="10"/>
  <c r="D1187" i="10"/>
  <c r="D3210" i="10"/>
  <c r="D3209" i="10"/>
  <c r="D3208" i="10"/>
  <c r="D7956" i="10"/>
  <c r="D6327" i="10"/>
  <c r="D4837" i="10"/>
  <c r="D1186" i="10"/>
  <c r="D3207" i="10"/>
  <c r="D7955" i="10"/>
  <c r="D6326" i="10"/>
  <c r="D4836" i="10"/>
  <c r="D1185" i="10"/>
  <c r="D3206" i="10"/>
  <c r="D7954" i="10"/>
  <c r="D6325" i="10"/>
  <c r="D4835" i="10"/>
  <c r="D1184" i="10"/>
  <c r="D3205" i="10"/>
  <c r="D7953" i="10"/>
  <c r="D6324" i="10"/>
  <c r="D4834" i="10"/>
  <c r="D1183" i="10"/>
  <c r="D3204" i="10"/>
  <c r="D7952" i="10"/>
  <c r="D6323" i="10"/>
  <c r="D4833" i="10"/>
  <c r="D1182" i="10"/>
  <c r="D3203" i="10"/>
  <c r="D3202" i="10"/>
  <c r="D3201" i="10"/>
  <c r="D7951" i="10"/>
  <c r="D6322" i="10"/>
  <c r="D4832" i="10"/>
  <c r="D1181" i="10"/>
  <c r="D3200" i="10"/>
  <c r="D7950" i="10"/>
  <c r="D6321" i="10"/>
  <c r="D4831" i="10"/>
  <c r="D1180" i="10"/>
  <c r="D3199" i="10"/>
  <c r="D7949" i="10"/>
  <c r="D6320" i="10"/>
  <c r="D4830" i="10"/>
  <c r="D1179" i="10"/>
  <c r="D3198" i="10"/>
  <c r="D7948" i="10"/>
  <c r="D6319" i="10"/>
  <c r="D4829" i="10"/>
  <c r="D1178" i="10"/>
  <c r="D3197" i="10"/>
  <c r="D7947" i="10"/>
  <c r="D6318" i="10"/>
  <c r="D4828" i="10"/>
  <c r="D1177" i="10"/>
  <c r="D3196" i="10"/>
  <c r="D3195" i="10"/>
  <c r="D3194" i="10"/>
  <c r="D7946" i="10"/>
  <c r="D6317" i="10"/>
  <c r="D4827" i="10"/>
  <c r="D1176" i="10"/>
  <c r="D3193" i="10"/>
  <c r="D7945" i="10"/>
  <c r="D6316" i="10"/>
  <c r="D4826" i="10"/>
  <c r="D1175" i="10"/>
  <c r="D3192" i="10"/>
  <c r="D7944" i="10"/>
  <c r="D6315" i="10"/>
  <c r="D4825" i="10"/>
  <c r="D1174" i="10"/>
  <c r="D3191" i="10"/>
  <c r="D7943" i="10"/>
  <c r="D6314" i="10"/>
  <c r="D4824" i="10"/>
  <c r="D1173" i="10"/>
  <c r="D3190" i="10"/>
  <c r="D7942" i="10"/>
  <c r="D6313" i="10"/>
  <c r="D4823" i="10"/>
  <c r="D1172" i="10"/>
  <c r="D3189" i="10"/>
  <c r="D3188" i="10"/>
  <c r="D3187" i="10"/>
  <c r="D7941" i="10"/>
  <c r="D6312" i="10"/>
  <c r="D4822" i="10"/>
  <c r="D1171" i="10"/>
  <c r="D3186" i="10"/>
  <c r="D7940" i="10"/>
  <c r="D6311" i="10"/>
  <c r="D4821" i="10"/>
  <c r="D1170" i="10"/>
  <c r="D3185" i="10"/>
  <c r="D7939" i="10"/>
  <c r="D6310" i="10"/>
  <c r="D4820" i="10"/>
  <c r="D1169" i="10"/>
  <c r="D3184" i="10"/>
  <c r="D7938" i="10"/>
  <c r="D6309" i="10"/>
  <c r="D4819" i="10"/>
  <c r="D1168" i="10"/>
  <c r="D3183" i="10"/>
  <c r="D7937" i="10"/>
  <c r="D6308" i="10"/>
  <c r="D4818" i="10"/>
  <c r="D1167" i="10"/>
  <c r="D3182" i="10"/>
  <c r="D3181" i="10"/>
  <c r="D3180" i="10"/>
  <c r="D7936" i="10"/>
  <c r="D6307" i="10"/>
  <c r="D4817" i="10"/>
  <c r="D1166" i="10"/>
  <c r="D3179" i="10"/>
  <c r="D7935" i="10"/>
  <c r="D6306" i="10"/>
  <c r="D4816" i="10"/>
  <c r="D1165" i="10"/>
  <c r="D3178" i="10"/>
  <c r="D7934" i="10"/>
  <c r="D6305" i="10"/>
  <c r="D4815" i="10"/>
  <c r="D1164" i="10"/>
  <c r="D3177" i="10"/>
  <c r="D7933" i="10"/>
  <c r="D6304" i="10"/>
  <c r="D4814" i="10"/>
  <c r="D1163" i="10"/>
  <c r="D3176" i="10"/>
  <c r="D7932" i="10"/>
  <c r="D6303" i="10"/>
  <c r="D4813" i="10"/>
  <c r="D1162" i="10"/>
  <c r="D3175" i="10"/>
  <c r="D3174" i="10"/>
  <c r="D3173" i="10"/>
  <c r="D7931" i="10"/>
  <c r="D6302" i="10"/>
  <c r="D4812" i="10"/>
  <c r="D1161" i="10"/>
  <c r="D3172" i="10"/>
  <c r="D7930" i="10"/>
  <c r="D6301" i="10"/>
  <c r="D4811" i="10"/>
  <c r="D1160" i="10"/>
  <c r="D3171" i="10"/>
  <c r="D7929" i="10"/>
  <c r="D6300" i="10"/>
  <c r="D4810" i="10"/>
  <c r="D1159" i="10"/>
  <c r="D3170" i="10"/>
  <c r="D7928" i="10"/>
  <c r="D6299" i="10"/>
  <c r="D4809" i="10"/>
  <c r="D1158" i="10"/>
  <c r="D3169" i="10"/>
  <c r="D3168" i="10"/>
  <c r="D3167" i="10"/>
  <c r="D3166" i="10"/>
  <c r="D7927" i="10"/>
  <c r="D6298" i="10"/>
  <c r="D4808" i="10"/>
  <c r="D1157" i="10"/>
  <c r="D3165" i="10"/>
  <c r="D7926" i="10"/>
  <c r="D6297" i="10"/>
  <c r="D4807" i="10"/>
  <c r="D1156" i="10"/>
  <c r="D3164" i="10"/>
  <c r="D7925" i="10"/>
  <c r="D6296" i="10"/>
  <c r="D4806" i="10"/>
  <c r="D1155" i="10"/>
  <c r="D3163" i="10"/>
  <c r="D7924" i="10"/>
  <c r="D6295" i="10"/>
  <c r="D4805" i="10"/>
  <c r="D1154" i="10"/>
  <c r="D3162" i="10"/>
  <c r="D7923" i="10"/>
  <c r="D6294" i="10"/>
  <c r="D4804" i="10"/>
  <c r="D1153" i="10"/>
  <c r="D3161" i="10"/>
  <c r="D3160" i="10"/>
  <c r="D3159" i="10"/>
  <c r="D7922" i="10"/>
  <c r="D6293" i="10"/>
  <c r="D4803" i="10"/>
  <c r="D1152" i="10"/>
  <c r="D3158" i="10"/>
  <c r="D7921" i="10"/>
  <c r="D6292" i="10"/>
  <c r="D4802" i="10"/>
  <c r="D1151" i="10"/>
  <c r="D3157" i="10"/>
  <c r="D7920" i="10"/>
  <c r="D6291" i="10"/>
  <c r="D4801" i="10"/>
  <c r="D1150" i="10"/>
  <c r="D3156" i="10"/>
  <c r="D7919" i="10"/>
  <c r="D6290" i="10"/>
  <c r="D4800" i="10"/>
  <c r="D1149" i="10"/>
  <c r="D3155" i="10"/>
  <c r="D7918" i="10"/>
  <c r="D6289" i="10"/>
  <c r="D4799" i="10"/>
  <c r="D1148" i="10"/>
  <c r="D3154" i="10"/>
  <c r="D3153" i="10"/>
  <c r="D3152" i="10"/>
  <c r="D7917" i="10"/>
  <c r="D6288" i="10"/>
  <c r="D4798" i="10"/>
  <c r="D1147" i="10"/>
  <c r="D3151" i="10"/>
  <c r="D7916" i="10"/>
  <c r="D6287" i="10"/>
  <c r="D4797" i="10"/>
  <c r="D1146" i="10"/>
  <c r="D3150" i="10"/>
  <c r="D7915" i="10"/>
  <c r="D6286" i="10"/>
  <c r="D4796" i="10"/>
  <c r="D1145" i="10"/>
  <c r="D3149" i="10"/>
  <c r="D7914" i="10"/>
  <c r="D6285" i="10"/>
  <c r="D4795" i="10"/>
  <c r="D1144" i="10"/>
  <c r="D3148" i="10"/>
  <c r="D7913" i="10"/>
  <c r="D6284" i="10"/>
  <c r="D4794" i="10"/>
  <c r="D1143" i="10"/>
  <c r="D3147" i="10"/>
  <c r="D3146" i="10"/>
  <c r="D3145" i="10"/>
  <c r="D7912" i="10"/>
  <c r="D6283" i="10"/>
  <c r="D4793" i="10"/>
  <c r="D1142" i="10"/>
  <c r="D3144" i="10"/>
  <c r="D7911" i="10"/>
  <c r="D6282" i="10"/>
  <c r="D4792" i="10"/>
  <c r="D1141" i="10"/>
  <c r="D3143" i="10"/>
  <c r="D7910" i="10"/>
  <c r="D6281" i="10"/>
  <c r="D4791" i="10"/>
  <c r="D1140" i="10"/>
  <c r="D3142" i="10"/>
  <c r="D7909" i="10"/>
  <c r="D6280" i="10"/>
  <c r="D4790" i="10"/>
  <c r="D1139" i="10"/>
  <c r="D3141" i="10"/>
  <c r="D7908" i="10"/>
  <c r="D6279" i="10"/>
  <c r="D4789" i="10"/>
  <c r="D1138" i="10"/>
  <c r="D3140" i="10"/>
  <c r="D3139" i="10"/>
  <c r="D3138" i="10"/>
  <c r="D7907" i="10"/>
  <c r="D6278" i="10"/>
  <c r="D4788" i="10"/>
  <c r="D1137" i="10"/>
  <c r="D3137" i="10"/>
  <c r="D7906" i="10"/>
  <c r="D6277" i="10"/>
  <c r="D4787" i="10"/>
  <c r="D1136" i="10"/>
  <c r="D3136" i="10"/>
  <c r="D7905" i="10"/>
  <c r="D6276" i="10"/>
  <c r="D4786" i="10"/>
  <c r="D1135" i="10"/>
  <c r="D3135" i="10"/>
  <c r="D7904" i="10"/>
  <c r="D6275" i="10"/>
  <c r="D4785" i="10"/>
  <c r="D1134" i="10"/>
  <c r="D3134" i="10"/>
  <c r="D7903" i="10"/>
  <c r="D6274" i="10"/>
  <c r="D4784" i="10"/>
  <c r="D1133" i="10"/>
  <c r="D3133" i="10"/>
  <c r="D3132" i="10"/>
  <c r="D3131" i="10"/>
  <c r="D7902" i="10"/>
  <c r="D6273" i="10"/>
  <c r="D4783" i="10"/>
  <c r="D1132" i="10"/>
  <c r="D3130" i="10"/>
  <c r="D7901" i="10"/>
  <c r="D6272" i="10"/>
  <c r="D4782" i="10"/>
  <c r="D1131" i="10"/>
  <c r="D3129" i="10"/>
  <c r="D7900" i="10"/>
  <c r="D6271" i="10"/>
  <c r="D4781" i="10"/>
  <c r="D1130" i="10"/>
  <c r="D3128" i="10"/>
  <c r="D7899" i="10"/>
  <c r="D6270" i="10"/>
  <c r="D4780" i="10"/>
  <c r="D1129" i="10"/>
  <c r="D3127" i="10"/>
  <c r="D7898" i="10"/>
  <c r="D6269" i="10"/>
  <c r="D4779" i="10"/>
  <c r="D1128" i="10"/>
  <c r="D3126" i="10"/>
  <c r="D3125" i="10"/>
  <c r="D3124" i="10"/>
  <c r="D7897" i="10"/>
  <c r="D6268" i="10"/>
  <c r="D4778" i="10"/>
  <c r="D1127" i="10"/>
  <c r="D3123" i="10"/>
  <c r="D7896" i="10"/>
  <c r="D6267" i="10"/>
  <c r="D4777" i="10"/>
  <c r="D1126" i="10"/>
  <c r="D3122" i="10"/>
  <c r="D7895" i="10"/>
  <c r="D6266" i="10"/>
  <c r="D4776" i="10"/>
  <c r="D1125" i="10"/>
  <c r="D3121" i="10"/>
  <c r="D7894" i="10"/>
  <c r="D6265" i="10"/>
  <c r="D4775" i="10"/>
  <c r="D1124" i="10"/>
  <c r="D3120" i="10"/>
  <c r="D7893" i="10"/>
  <c r="D6264" i="10"/>
  <c r="D4774" i="10"/>
  <c r="D1123" i="10"/>
  <c r="D3119" i="10"/>
  <c r="D3118" i="10"/>
  <c r="D3117" i="10"/>
  <c r="D7892" i="10"/>
  <c r="D6263" i="10"/>
  <c r="D4773" i="10"/>
  <c r="D1122" i="10"/>
  <c r="D3116" i="10"/>
  <c r="D7891" i="10"/>
  <c r="D6262" i="10"/>
  <c r="D4772" i="10"/>
  <c r="D1121" i="10"/>
  <c r="D3115" i="10"/>
  <c r="D7890" i="10"/>
  <c r="D6261" i="10"/>
  <c r="D4771" i="10"/>
  <c r="D1120" i="10"/>
  <c r="D3114" i="10"/>
  <c r="D7889" i="10"/>
  <c r="D6260" i="10"/>
  <c r="D4770" i="10"/>
  <c r="D1119" i="10"/>
  <c r="D3113" i="10"/>
  <c r="D7888" i="10"/>
  <c r="D6259" i="10"/>
  <c r="D4769" i="10"/>
  <c r="D1118" i="10"/>
  <c r="D3112" i="10"/>
  <c r="D3111" i="10"/>
  <c r="D3110" i="10"/>
  <c r="D7887" i="10"/>
  <c r="D6258" i="10"/>
  <c r="D4768" i="10"/>
  <c r="D1117" i="10"/>
  <c r="D3109" i="10"/>
  <c r="D7886" i="10"/>
  <c r="D6257" i="10"/>
  <c r="D4767" i="10"/>
  <c r="D1116" i="10"/>
  <c r="D3108" i="10"/>
  <c r="D7885" i="10"/>
  <c r="D6256" i="10"/>
  <c r="D4766" i="10"/>
  <c r="D1115" i="10"/>
  <c r="D3107" i="10"/>
  <c r="D3106" i="10"/>
  <c r="D4765" i="10"/>
  <c r="D1114" i="10"/>
  <c r="D7884" i="10"/>
  <c r="D6255" i="10"/>
  <c r="D3105" i="10"/>
  <c r="D3104" i="10"/>
  <c r="D3103" i="10"/>
  <c r="D7883" i="10"/>
  <c r="D6254" i="10"/>
  <c r="D4764" i="10"/>
  <c r="D1113" i="10"/>
  <c r="D3102" i="10"/>
  <c r="D7882" i="10"/>
  <c r="D6253" i="10"/>
  <c r="D4763" i="10"/>
  <c r="D1112" i="10"/>
  <c r="D3101" i="10"/>
  <c r="D7881" i="10"/>
  <c r="D6252" i="10"/>
  <c r="D4762" i="10"/>
  <c r="D1111" i="10"/>
  <c r="D3100" i="10"/>
  <c r="D7880" i="10"/>
  <c r="D6251" i="10"/>
  <c r="D4761" i="10"/>
  <c r="D1110" i="10"/>
  <c r="D3099" i="10"/>
  <c r="D7879" i="10"/>
  <c r="D6250" i="10"/>
  <c r="D4760" i="10"/>
  <c r="D1109" i="10"/>
  <c r="D3098" i="10"/>
  <c r="D3097" i="10"/>
  <c r="D3096" i="10"/>
  <c r="D7878" i="10"/>
  <c r="D6249" i="10"/>
  <c r="D4759" i="10"/>
  <c r="D1108" i="10"/>
  <c r="D3095" i="10"/>
  <c r="D7877" i="10"/>
  <c r="D6248" i="10"/>
  <c r="D4758" i="10"/>
  <c r="D1107" i="10"/>
  <c r="D3094" i="10"/>
  <c r="D7876" i="10"/>
  <c r="D6247" i="10"/>
  <c r="D4757" i="10"/>
  <c r="D1106" i="10"/>
  <c r="D3093" i="10"/>
  <c r="D7875" i="10"/>
  <c r="D6246" i="10"/>
  <c r="D4756" i="10"/>
  <c r="D1105" i="10"/>
  <c r="D3092" i="10"/>
  <c r="D3091" i="10"/>
  <c r="D3090" i="10"/>
  <c r="D3089" i="10"/>
  <c r="D7874" i="10"/>
  <c r="D6245" i="10"/>
  <c r="D4755" i="10"/>
  <c r="D1104" i="10"/>
  <c r="D3088" i="10"/>
  <c r="D7873" i="10"/>
  <c r="D6244" i="10"/>
  <c r="D4754" i="10"/>
  <c r="D1103" i="10"/>
  <c r="D3087" i="10"/>
  <c r="D7872" i="10"/>
  <c r="D6243" i="10"/>
  <c r="D4753" i="10"/>
  <c r="D1102" i="10"/>
  <c r="D3086" i="10"/>
  <c r="D7871" i="10"/>
  <c r="D6242" i="10"/>
  <c r="D4752" i="10"/>
  <c r="D1101" i="10"/>
  <c r="D3085" i="10"/>
  <c r="D7870" i="10"/>
  <c r="D6241" i="10"/>
  <c r="D4751" i="10"/>
  <c r="D1100" i="10"/>
  <c r="D3084" i="10"/>
  <c r="D3083" i="10"/>
  <c r="D3082" i="10"/>
  <c r="D7869" i="10"/>
  <c r="D6240" i="10"/>
  <c r="D4750" i="10"/>
  <c r="D1099" i="10"/>
  <c r="D3081" i="10"/>
  <c r="D7868" i="10"/>
  <c r="D6239" i="10"/>
  <c r="D4749" i="10"/>
  <c r="D1098" i="10"/>
  <c r="D3080" i="10"/>
  <c r="D7867" i="10"/>
  <c r="D6238" i="10"/>
  <c r="D4748" i="10"/>
  <c r="D1097" i="10"/>
  <c r="D3079" i="10"/>
  <c r="D7866" i="10"/>
  <c r="D6237" i="10"/>
  <c r="D4747" i="10"/>
  <c r="D1096" i="10"/>
  <c r="D3078" i="10"/>
  <c r="D7865" i="10"/>
  <c r="D6236" i="10"/>
  <c r="D4746" i="10"/>
  <c r="D1095" i="10"/>
  <c r="D3077" i="10"/>
  <c r="D3076" i="10"/>
  <c r="D3075" i="10"/>
  <c r="D7864" i="10"/>
  <c r="D6235" i="10"/>
  <c r="D4745" i="10"/>
  <c r="D1094" i="10"/>
  <c r="D3074" i="10"/>
  <c r="D7863" i="10"/>
  <c r="D6234" i="10"/>
  <c r="D4744" i="10"/>
  <c r="D1093" i="10"/>
  <c r="D3073" i="10"/>
  <c r="D7862" i="10"/>
  <c r="D6233" i="10"/>
  <c r="D4743" i="10"/>
  <c r="D1092" i="10"/>
  <c r="D3072" i="10"/>
  <c r="D7861" i="10"/>
  <c r="D6232" i="10"/>
  <c r="D4742" i="10"/>
  <c r="D1091" i="10"/>
  <c r="D3071" i="10"/>
  <c r="D3070" i="10"/>
  <c r="D3069" i="10"/>
  <c r="D3068" i="10"/>
  <c r="D7860" i="10"/>
  <c r="D6231" i="10"/>
  <c r="D4741" i="10"/>
  <c r="D1090" i="10"/>
  <c r="D3067" i="10"/>
  <c r="D7859" i="10"/>
  <c r="D6230" i="10"/>
  <c r="D4740" i="10"/>
  <c r="D1089" i="10"/>
  <c r="D3066" i="10"/>
  <c r="D7858" i="10"/>
  <c r="D6229" i="10"/>
  <c r="D4739" i="10"/>
  <c r="D1088" i="10"/>
  <c r="D3065" i="10"/>
  <c r="D7857" i="10"/>
  <c r="D6228" i="10"/>
  <c r="D4738" i="10"/>
  <c r="D1087" i="10"/>
  <c r="D3064" i="10"/>
  <c r="D7856" i="10"/>
  <c r="D6227" i="10"/>
  <c r="D4737" i="10"/>
  <c r="D1086" i="10"/>
  <c r="D3063" i="10"/>
  <c r="D3062" i="10"/>
  <c r="D3061" i="10"/>
  <c r="D7855" i="10"/>
  <c r="D6226" i="10"/>
  <c r="D4736" i="10"/>
  <c r="D1085" i="10"/>
  <c r="D3060" i="10"/>
  <c r="D7854" i="10"/>
  <c r="D6225" i="10"/>
  <c r="D4735" i="10"/>
  <c r="D1084" i="10"/>
  <c r="D3059" i="10"/>
  <c r="D7853" i="10"/>
  <c r="D6224" i="10"/>
  <c r="D4734" i="10"/>
  <c r="D1083" i="10"/>
  <c r="D3058" i="10"/>
  <c r="D7852" i="10"/>
  <c r="D6223" i="10"/>
  <c r="D4733" i="10"/>
  <c r="D1082" i="10"/>
  <c r="D3057" i="10"/>
  <c r="D7851" i="10"/>
  <c r="D6222" i="10"/>
  <c r="D4732" i="10"/>
  <c r="D1081" i="10"/>
  <c r="D3056" i="10"/>
  <c r="D3055" i="10"/>
  <c r="D3054" i="10"/>
  <c r="D7850" i="10"/>
  <c r="D6221" i="10"/>
  <c r="D4731" i="10"/>
  <c r="D1080" i="10"/>
  <c r="D3053" i="10"/>
  <c r="D7849" i="10"/>
  <c r="D6220" i="10"/>
  <c r="D4730" i="10"/>
  <c r="D1079" i="10"/>
  <c r="D3052" i="10"/>
  <c r="D7848" i="10"/>
  <c r="D6219" i="10"/>
  <c r="D4729" i="10"/>
  <c r="D1078" i="10"/>
  <c r="D3051" i="10"/>
  <c r="D7847" i="10"/>
  <c r="D6218" i="10"/>
  <c r="D4728" i="10"/>
  <c r="D1077" i="10"/>
  <c r="D3050" i="10"/>
  <c r="D7846" i="10"/>
  <c r="D6217" i="10"/>
  <c r="D4727" i="10"/>
  <c r="D1076" i="10"/>
  <c r="D3049" i="10"/>
  <c r="D3048" i="10"/>
  <c r="D3047" i="10"/>
  <c r="D7845" i="10"/>
  <c r="D6216" i="10"/>
  <c r="D4726" i="10"/>
  <c r="D1075" i="10"/>
  <c r="D3046" i="10"/>
  <c r="D7844" i="10"/>
  <c r="D6215" i="10"/>
  <c r="D4725" i="10"/>
  <c r="D1074" i="10"/>
  <c r="D3045" i="10"/>
  <c r="D7843" i="10"/>
  <c r="D6214" i="10"/>
  <c r="D4724" i="10"/>
  <c r="D1073" i="10"/>
  <c r="D3044" i="10"/>
  <c r="D7842" i="10"/>
  <c r="D6213" i="10"/>
  <c r="D4723" i="10"/>
  <c r="D1072" i="10"/>
  <c r="D3043" i="10"/>
  <c r="D7841" i="10"/>
  <c r="D6212" i="10"/>
  <c r="D4722" i="10"/>
  <c r="D1071" i="10"/>
  <c r="D3042" i="10"/>
  <c r="D3041" i="10"/>
  <c r="D3040" i="10"/>
  <c r="D7840" i="10"/>
  <c r="D6211" i="10"/>
  <c r="D4721" i="10"/>
  <c r="D1070" i="10"/>
  <c r="D3039" i="10"/>
  <c r="D7839" i="10"/>
  <c r="D6210" i="10"/>
  <c r="D4720" i="10"/>
  <c r="D1069" i="10"/>
  <c r="D3038" i="10"/>
  <c r="D7838" i="10"/>
  <c r="D6209" i="10"/>
  <c r="D4719" i="10"/>
  <c r="D1068" i="10"/>
  <c r="D3037" i="10"/>
  <c r="D7837" i="10"/>
  <c r="D6208" i="10"/>
  <c r="D4718" i="10"/>
  <c r="D1067" i="10"/>
  <c r="D3036" i="10"/>
  <c r="D7836" i="10"/>
  <c r="D6207" i="10"/>
  <c r="D4717" i="10"/>
  <c r="D1066" i="10"/>
  <c r="D3035" i="10"/>
  <c r="D3034" i="10"/>
  <c r="D3033" i="10"/>
  <c r="D7835" i="10"/>
  <c r="D6206" i="10"/>
  <c r="D4716" i="10"/>
  <c r="D1065" i="10"/>
  <c r="D3032" i="10"/>
  <c r="D7834" i="10"/>
  <c r="D6205" i="10"/>
  <c r="D4715" i="10"/>
  <c r="D1064" i="10"/>
  <c r="D3031" i="10"/>
  <c r="D7833" i="10"/>
  <c r="D6204" i="10"/>
  <c r="D4714" i="10"/>
  <c r="D1063" i="10"/>
  <c r="D3030" i="10"/>
  <c r="D7832" i="10"/>
  <c r="D6203" i="10"/>
  <c r="D4713" i="10"/>
  <c r="D1062" i="10"/>
  <c r="D3029" i="10"/>
  <c r="D7831" i="10"/>
  <c r="D6202" i="10"/>
  <c r="D4712" i="10"/>
  <c r="D1061" i="10"/>
  <c r="D3028" i="10"/>
  <c r="D3027" i="10"/>
  <c r="D3026" i="10"/>
  <c r="D7830" i="10"/>
  <c r="D6201" i="10"/>
  <c r="D4711" i="10"/>
  <c r="D1060" i="10"/>
  <c r="D3025" i="10"/>
  <c r="D7829" i="10"/>
  <c r="D6200" i="10"/>
  <c r="D4710" i="10"/>
  <c r="D1059" i="10"/>
  <c r="D3024" i="10"/>
  <c r="D7828" i="10"/>
  <c r="D6199" i="10"/>
  <c r="D4709" i="10"/>
  <c r="D1058" i="10"/>
  <c r="D3023" i="10"/>
  <c r="D7827" i="10"/>
  <c r="D6198" i="10"/>
  <c r="D4708" i="10"/>
  <c r="D1057" i="10"/>
  <c r="D3022" i="10"/>
  <c r="D7826" i="10"/>
  <c r="D6197" i="10"/>
  <c r="D4707" i="10"/>
  <c r="D1056" i="10"/>
  <c r="D3021" i="10"/>
  <c r="D3020" i="10"/>
  <c r="D3019" i="10"/>
  <c r="D3018" i="10"/>
  <c r="D7825" i="10"/>
  <c r="D6196" i="10"/>
  <c r="D4706" i="10"/>
  <c r="D1055" i="10"/>
  <c r="D3017" i="10"/>
  <c r="D7824" i="10"/>
  <c r="D6195" i="10"/>
  <c r="D4705" i="10"/>
  <c r="D1054" i="10"/>
  <c r="D3016" i="10"/>
  <c r="D7823" i="10"/>
  <c r="D6194" i="10"/>
  <c r="D4704" i="10"/>
  <c r="D1053" i="10"/>
  <c r="D3015" i="10"/>
  <c r="D7822" i="10"/>
  <c r="D6193" i="10"/>
  <c r="D4703" i="10"/>
  <c r="D1052" i="10"/>
  <c r="D3014" i="10"/>
  <c r="D3013" i="10"/>
  <c r="D3012" i="10"/>
  <c r="D7821" i="10"/>
  <c r="D6192" i="10"/>
  <c r="D4702" i="10"/>
  <c r="D1051" i="10"/>
  <c r="D3011" i="10"/>
  <c r="D7820" i="10"/>
  <c r="D6191" i="10"/>
  <c r="D4701" i="10"/>
  <c r="D1050" i="10"/>
  <c r="D3010" i="10"/>
  <c r="D7819" i="10"/>
  <c r="D6190" i="10"/>
  <c r="D4700" i="10"/>
  <c r="D1049" i="10"/>
  <c r="D3009" i="10"/>
  <c r="D7818" i="10"/>
  <c r="D6189" i="10"/>
  <c r="D4699" i="10"/>
  <c r="D1048" i="10"/>
  <c r="D3008" i="10"/>
  <c r="D7817" i="10"/>
  <c r="D6188" i="10"/>
  <c r="D4698" i="10"/>
  <c r="D1047" i="10"/>
  <c r="D3007" i="10"/>
  <c r="D3006" i="10"/>
  <c r="D3005" i="10"/>
  <c r="D7816" i="10"/>
  <c r="D6187" i="10"/>
  <c r="D4697" i="10"/>
  <c r="D1046" i="10"/>
  <c r="D3004" i="10"/>
  <c r="D7815" i="10"/>
  <c r="D6186" i="10"/>
  <c r="D4696" i="10"/>
  <c r="D1045" i="10"/>
  <c r="D3003" i="10"/>
  <c r="D7814" i="10"/>
  <c r="D6185" i="10"/>
  <c r="D4695" i="10"/>
  <c r="D1044" i="10"/>
  <c r="D3002" i="10"/>
  <c r="D7813" i="10"/>
  <c r="D6184" i="10"/>
  <c r="D4694" i="10"/>
  <c r="D1043" i="10"/>
  <c r="D3001" i="10"/>
  <c r="D7812" i="10"/>
  <c r="D6183" i="10"/>
  <c r="D4693" i="10"/>
  <c r="D1042" i="10"/>
  <c r="D3000" i="10"/>
  <c r="D2999" i="10"/>
  <c r="D2998" i="10"/>
  <c r="D7811" i="10"/>
  <c r="D6182" i="10"/>
  <c r="D4692" i="10"/>
  <c r="D1041" i="10"/>
  <c r="D2997" i="10"/>
  <c r="D7810" i="10"/>
  <c r="D6181" i="10"/>
  <c r="D4691" i="10"/>
  <c r="D1040" i="10"/>
  <c r="D2996" i="10"/>
  <c r="D7809" i="10"/>
  <c r="D6180" i="10"/>
  <c r="D4690" i="10"/>
  <c r="D1039" i="10"/>
  <c r="D2995" i="10"/>
  <c r="D7808" i="10"/>
  <c r="D6179" i="10"/>
  <c r="D4689" i="10"/>
  <c r="D1038" i="10"/>
  <c r="D2994" i="10"/>
  <c r="D7807" i="10"/>
  <c r="D6178" i="10"/>
  <c r="D4688" i="10"/>
  <c r="D1037" i="10"/>
  <c r="D2993" i="10"/>
  <c r="D2992" i="10"/>
  <c r="D2991" i="10"/>
  <c r="D7806" i="10"/>
  <c r="D6177" i="10"/>
  <c r="D4687" i="10"/>
  <c r="D1036" i="10"/>
  <c r="D2990" i="10"/>
  <c r="D7805" i="10"/>
  <c r="D6176" i="10"/>
  <c r="D4686" i="10"/>
  <c r="D1035" i="10"/>
  <c r="D2989" i="10"/>
  <c r="D7804" i="10"/>
  <c r="D6175" i="10"/>
  <c r="D4685" i="10"/>
  <c r="D1034" i="10"/>
  <c r="D2988" i="10"/>
  <c r="D7803" i="10"/>
  <c r="D6174" i="10"/>
  <c r="D4684" i="10"/>
  <c r="D1033" i="10"/>
  <c r="D2987" i="10"/>
  <c r="D7802" i="10"/>
  <c r="D6173" i="10"/>
  <c r="D4683" i="10"/>
  <c r="D1032" i="10"/>
  <c r="D2986" i="10"/>
  <c r="D2985" i="10"/>
  <c r="D2984" i="10"/>
  <c r="D7801" i="10"/>
  <c r="D6172" i="10"/>
  <c r="D4682" i="10"/>
  <c r="D1031" i="10"/>
  <c r="D2983" i="10"/>
  <c r="D7800" i="10"/>
  <c r="D6171" i="10"/>
  <c r="D4681" i="10"/>
  <c r="D1030" i="10"/>
  <c r="D2982" i="10"/>
  <c r="D7799" i="10"/>
  <c r="D6170" i="10"/>
  <c r="D4680" i="10"/>
  <c r="D1029" i="10"/>
  <c r="D2981" i="10"/>
  <c r="D7798" i="10"/>
  <c r="D6169" i="10"/>
  <c r="D4679" i="10"/>
  <c r="D1028" i="10"/>
  <c r="D2980" i="10"/>
  <c r="D7797" i="10"/>
  <c r="D6168" i="10"/>
  <c r="D4678" i="10"/>
  <c r="D1027" i="10"/>
  <c r="D2979" i="10"/>
  <c r="D2978" i="10"/>
  <c r="D2977" i="10"/>
  <c r="D7796" i="10"/>
  <c r="D6167" i="10"/>
  <c r="D4677" i="10"/>
  <c r="D1026" i="10"/>
  <c r="D2976" i="10"/>
  <c r="D7795" i="10"/>
  <c r="D6166" i="10"/>
  <c r="D4676" i="10"/>
  <c r="D1025" i="10"/>
  <c r="D2975" i="10"/>
  <c r="D7794" i="10"/>
  <c r="D6165" i="10"/>
  <c r="D4675" i="10"/>
  <c r="D1024" i="10"/>
  <c r="D2974" i="10"/>
  <c r="D7793" i="10"/>
  <c r="D6164" i="10"/>
  <c r="D4674" i="10"/>
  <c r="D1023" i="10"/>
  <c r="D2973" i="10"/>
  <c r="D2972" i="10"/>
  <c r="D2971" i="10"/>
  <c r="D2970" i="10"/>
  <c r="D7792" i="10"/>
  <c r="D6163" i="10"/>
  <c r="D4673" i="10"/>
  <c r="D1022" i="10"/>
  <c r="D2969" i="10"/>
  <c r="D7791" i="10"/>
  <c r="D6162" i="10"/>
  <c r="D4672" i="10"/>
  <c r="D1021" i="10"/>
  <c r="D2968" i="10"/>
  <c r="D7790" i="10"/>
  <c r="D6161" i="10"/>
  <c r="D4671" i="10"/>
  <c r="D1020" i="10"/>
  <c r="D2967" i="10"/>
  <c r="D7789" i="10"/>
  <c r="D6160" i="10"/>
  <c r="D4670" i="10"/>
  <c r="D1019" i="10"/>
  <c r="D2966" i="10"/>
  <c r="D7788" i="10"/>
  <c r="D6159" i="10"/>
  <c r="D4669" i="10"/>
  <c r="D1018" i="10"/>
  <c r="D2965" i="10"/>
  <c r="D2964" i="10"/>
  <c r="D2963" i="10"/>
  <c r="D7787" i="10"/>
  <c r="D6158" i="10"/>
  <c r="D4668" i="10"/>
  <c r="D1017" i="10"/>
  <c r="D2962" i="10"/>
  <c r="D7786" i="10"/>
  <c r="D6157" i="10"/>
  <c r="D4667" i="10"/>
  <c r="D1016" i="10"/>
  <c r="D2961" i="10"/>
  <c r="D7785" i="10"/>
  <c r="D6156" i="10"/>
  <c r="D4666" i="10"/>
  <c r="D1015" i="10"/>
  <c r="D2960" i="10"/>
  <c r="D7784" i="10"/>
  <c r="D6155" i="10"/>
  <c r="D4665" i="10"/>
  <c r="D1014" i="10"/>
  <c r="D2959" i="10"/>
  <c r="D7783" i="10"/>
  <c r="D6154" i="10"/>
  <c r="D4664" i="10"/>
  <c r="D1013" i="10"/>
  <c r="D2958" i="10"/>
  <c r="D2957" i="10"/>
  <c r="D2956" i="10"/>
  <c r="D7782" i="10"/>
  <c r="D6153" i="10"/>
  <c r="D4663" i="10"/>
  <c r="D1012" i="10"/>
  <c r="D2955" i="10"/>
  <c r="D7781" i="10"/>
  <c r="D6152" i="10"/>
  <c r="D4662" i="10"/>
  <c r="D1011" i="10"/>
  <c r="D2954" i="10"/>
  <c r="D7780" i="10"/>
  <c r="D6151" i="10"/>
  <c r="D4661" i="10"/>
  <c r="D1010" i="10"/>
  <c r="D2953" i="10"/>
  <c r="D7779" i="10"/>
  <c r="D6150" i="10"/>
  <c r="D4660" i="10"/>
  <c r="D1009" i="10"/>
  <c r="D2952" i="10"/>
  <c r="D7778" i="10"/>
  <c r="D6149" i="10"/>
  <c r="D4659" i="10"/>
  <c r="D1008" i="10"/>
  <c r="D2951" i="10"/>
  <c r="D2950" i="10"/>
  <c r="D2949" i="10"/>
  <c r="D7777" i="10"/>
  <c r="D6148" i="10"/>
  <c r="D4658" i="10"/>
  <c r="D1007" i="10"/>
  <c r="D2948" i="10"/>
  <c r="D7776" i="10"/>
  <c r="D6147" i="10"/>
  <c r="D4657" i="10"/>
  <c r="D1006" i="10"/>
  <c r="D2947" i="10"/>
  <c r="D7775" i="10"/>
  <c r="D6146" i="10"/>
  <c r="D4656" i="10"/>
  <c r="D1005" i="10"/>
  <c r="D2946" i="10"/>
  <c r="D7774" i="10"/>
  <c r="D6145" i="10"/>
  <c r="D4655" i="10"/>
  <c r="D1004" i="10"/>
  <c r="D2945" i="10"/>
  <c r="D7773" i="10"/>
  <c r="D6144" i="10"/>
  <c r="D4654" i="10"/>
  <c r="D1003" i="10"/>
  <c r="D2944" i="10"/>
  <c r="D2943" i="10"/>
  <c r="D2942" i="10"/>
  <c r="D7772" i="10"/>
  <c r="D6143" i="10"/>
  <c r="D4653" i="10"/>
  <c r="D1002" i="10"/>
  <c r="D2941" i="10"/>
  <c r="D7771" i="10"/>
  <c r="D6142" i="10"/>
  <c r="D4652" i="10"/>
  <c r="D1001" i="10"/>
  <c r="D2940" i="10"/>
  <c r="D7770" i="10"/>
  <c r="D6141" i="10"/>
  <c r="D4651" i="10"/>
  <c r="D1000" i="10"/>
  <c r="D2939" i="10"/>
  <c r="D7769" i="10"/>
  <c r="D6140" i="10"/>
  <c r="D4650" i="10"/>
  <c r="D999" i="10"/>
  <c r="D2938" i="10"/>
  <c r="D2937" i="10"/>
  <c r="D2936" i="10"/>
  <c r="D2935" i="10"/>
  <c r="D7768" i="10"/>
  <c r="D6139" i="10"/>
  <c r="D4649" i="10"/>
  <c r="D998" i="10"/>
  <c r="D2934" i="10"/>
  <c r="D7767" i="10"/>
  <c r="D6138" i="10"/>
  <c r="D4648" i="10"/>
  <c r="D997" i="10"/>
  <c r="D2933" i="10"/>
  <c r="D7766" i="10"/>
  <c r="D6137" i="10"/>
  <c r="D4647" i="10"/>
  <c r="D996" i="10"/>
  <c r="D2932" i="10"/>
  <c r="D7765" i="10"/>
  <c r="D6136" i="10"/>
  <c r="D4646" i="10"/>
  <c r="D995" i="10"/>
  <c r="D2931" i="10"/>
  <c r="D7764" i="10"/>
  <c r="D6135" i="10"/>
  <c r="D4645" i="10"/>
  <c r="D994" i="10"/>
  <c r="D2930" i="10"/>
  <c r="D2929" i="10"/>
  <c r="D2928" i="10"/>
  <c r="D7763" i="10"/>
  <c r="D6134" i="10"/>
  <c r="D4644" i="10"/>
  <c r="D993" i="10"/>
  <c r="D2927" i="10"/>
  <c r="D7762" i="10"/>
  <c r="D6133" i="10"/>
  <c r="D4643" i="10"/>
  <c r="D992" i="10"/>
  <c r="D2926" i="10"/>
  <c r="D7761" i="10"/>
  <c r="D6132" i="10"/>
  <c r="D4642" i="10"/>
  <c r="D991" i="10"/>
  <c r="D2925" i="10"/>
  <c r="D7760" i="10"/>
  <c r="D6131" i="10"/>
  <c r="D4641" i="10"/>
  <c r="D990" i="10"/>
  <c r="D2924" i="10"/>
  <c r="D2923" i="10"/>
  <c r="D2922" i="10"/>
  <c r="D2921" i="10"/>
  <c r="D7759" i="10"/>
  <c r="D6130" i="10"/>
  <c r="D4640" i="10"/>
  <c r="D989" i="10"/>
  <c r="D2920" i="10"/>
  <c r="D7758" i="10"/>
  <c r="D6129" i="10"/>
  <c r="D4639" i="10"/>
  <c r="D988" i="10"/>
  <c r="D2919" i="10"/>
  <c r="D7757" i="10"/>
  <c r="D6128" i="10"/>
  <c r="D4638" i="10"/>
  <c r="D987" i="10"/>
  <c r="D2918" i="10"/>
  <c r="D7756" i="10"/>
  <c r="D6127" i="10"/>
  <c r="D4637" i="10"/>
  <c r="D986" i="10"/>
  <c r="D2917" i="10"/>
  <c r="D2916" i="10"/>
  <c r="D2915" i="10"/>
  <c r="D2914" i="10"/>
  <c r="D7755" i="10"/>
  <c r="D6126" i="10"/>
  <c r="D4636" i="10"/>
  <c r="D985" i="10"/>
  <c r="D2913" i="10"/>
  <c r="D7754" i="10"/>
  <c r="D6125" i="10"/>
  <c r="D4635" i="10"/>
  <c r="D984" i="10"/>
  <c r="D2912" i="10"/>
  <c r="D7753" i="10"/>
  <c r="D6124" i="10"/>
  <c r="D4634" i="10"/>
  <c r="D983" i="10"/>
  <c r="D2911" i="10"/>
  <c r="D7752" i="10"/>
  <c r="D6123" i="10"/>
  <c r="D4633" i="10"/>
  <c r="D982" i="10"/>
  <c r="D2910" i="10"/>
  <c r="D7751" i="10"/>
  <c r="D6122" i="10"/>
  <c r="D4632" i="10"/>
  <c r="D981" i="10"/>
  <c r="D2909" i="10"/>
  <c r="D2908" i="10"/>
  <c r="D2907" i="10"/>
  <c r="D7750" i="10"/>
  <c r="D6121" i="10"/>
  <c r="D4631" i="10"/>
  <c r="D980" i="10"/>
  <c r="D2906" i="10"/>
  <c r="D7749" i="10"/>
  <c r="D6120" i="10"/>
  <c r="D4630" i="10"/>
  <c r="D979" i="10"/>
  <c r="D2905" i="10"/>
  <c r="D7748" i="10"/>
  <c r="D6119" i="10"/>
  <c r="D4629" i="10"/>
  <c r="D978" i="10"/>
  <c r="D2904" i="10"/>
  <c r="D7747" i="10"/>
  <c r="D6118" i="10"/>
  <c r="D4628" i="10"/>
  <c r="D977" i="10"/>
  <c r="D2903" i="10"/>
  <c r="D7746" i="10"/>
  <c r="D6117" i="10"/>
  <c r="D4627" i="10"/>
  <c r="D976" i="10"/>
  <c r="D2902" i="10"/>
  <c r="D2901" i="10"/>
  <c r="D2900" i="10"/>
  <c r="D7745" i="10"/>
  <c r="D6116" i="10"/>
  <c r="D4626" i="10"/>
  <c r="D975" i="10"/>
  <c r="D2899" i="10"/>
  <c r="D7744" i="10"/>
  <c r="D6115" i="10"/>
  <c r="D4625" i="10"/>
  <c r="D974" i="10"/>
  <c r="D2898" i="10"/>
  <c r="D7743" i="10"/>
  <c r="D6114" i="10"/>
  <c r="D4624" i="10"/>
  <c r="D973" i="10"/>
  <c r="D2897" i="10"/>
  <c r="D7742" i="10"/>
  <c r="D6113" i="10"/>
  <c r="D4623" i="10"/>
  <c r="D972" i="10"/>
  <c r="D2896" i="10"/>
  <c r="D7741" i="10"/>
  <c r="D6112" i="10"/>
  <c r="D4622" i="10"/>
  <c r="D971" i="10"/>
  <c r="D2895" i="10"/>
  <c r="D2894" i="10"/>
  <c r="D2893" i="10"/>
  <c r="D7740" i="10"/>
  <c r="D6111" i="10"/>
  <c r="D4621" i="10"/>
  <c r="D970" i="10"/>
  <c r="D2892" i="10"/>
  <c r="D7739" i="10"/>
  <c r="D6110" i="10"/>
  <c r="D4620" i="10"/>
  <c r="D969" i="10"/>
  <c r="D2891" i="10"/>
  <c r="D7738" i="10"/>
  <c r="D6109" i="10"/>
  <c r="D4619" i="10"/>
  <c r="D968" i="10"/>
  <c r="D2890" i="10"/>
  <c r="D7737" i="10"/>
  <c r="D6108" i="10"/>
  <c r="D4618" i="10"/>
  <c r="D967" i="10"/>
  <c r="D2889" i="10"/>
  <c r="D7736" i="10"/>
  <c r="D6107" i="10"/>
  <c r="D4617" i="10"/>
  <c r="D966" i="10"/>
  <c r="D2888" i="10"/>
  <c r="D2887" i="10"/>
  <c r="D2886" i="10"/>
  <c r="D4616" i="10"/>
  <c r="D965" i="10"/>
  <c r="D7735" i="10"/>
  <c r="D6106" i="10"/>
  <c r="D2885" i="10"/>
  <c r="D2884" i="10"/>
  <c r="D7734" i="10"/>
  <c r="D6105" i="10"/>
  <c r="D4615" i="10"/>
  <c r="D964" i="10"/>
  <c r="D2883" i="10"/>
  <c r="D7733" i="10"/>
  <c r="D6104" i="10"/>
  <c r="D4614" i="10"/>
  <c r="D963" i="10"/>
  <c r="D2882" i="10"/>
  <c r="D7732" i="10"/>
  <c r="D6103" i="10"/>
  <c r="D4613" i="10"/>
  <c r="D962" i="10"/>
  <c r="D2881" i="10"/>
  <c r="D2880" i="10"/>
  <c r="D2879" i="10"/>
  <c r="D7731" i="10"/>
  <c r="D6102" i="10"/>
  <c r="D4612" i="10"/>
  <c r="D961" i="10"/>
  <c r="D2878" i="10"/>
  <c r="D7730" i="10"/>
  <c r="D6101" i="10"/>
  <c r="D4611" i="10"/>
  <c r="D960" i="10"/>
  <c r="D2877" i="10"/>
  <c r="D7729" i="10"/>
  <c r="D6100" i="10"/>
  <c r="D4610" i="10"/>
  <c r="D959" i="10"/>
  <c r="D2876" i="10"/>
  <c r="D7728" i="10"/>
  <c r="D6099" i="10"/>
  <c r="D4609" i="10"/>
  <c r="D958" i="10"/>
  <c r="D2875" i="10"/>
  <c r="D7727" i="10"/>
  <c r="D6098" i="10"/>
  <c r="D4608" i="10"/>
  <c r="D957" i="10"/>
  <c r="D2874" i="10"/>
  <c r="D2873" i="10"/>
  <c r="D2872" i="10"/>
  <c r="D7726" i="10"/>
  <c r="D6097" i="10"/>
  <c r="D4607" i="10"/>
  <c r="D956" i="10"/>
  <c r="D2871" i="10"/>
  <c r="D7725" i="10"/>
  <c r="D6096" i="10"/>
  <c r="D4606" i="10"/>
  <c r="D955" i="10"/>
  <c r="D2870" i="10"/>
  <c r="D7724" i="10"/>
  <c r="D6095" i="10"/>
  <c r="D4605" i="10"/>
  <c r="D954" i="10"/>
  <c r="D2869" i="10"/>
  <c r="D7723" i="10"/>
  <c r="D6094" i="10"/>
  <c r="D4604" i="10"/>
  <c r="D953" i="10"/>
  <c r="D2868" i="10"/>
  <c r="D7722" i="10"/>
  <c r="D6093" i="10"/>
  <c r="D4603" i="10"/>
  <c r="D952" i="10"/>
  <c r="D2867" i="10"/>
  <c r="D2866" i="10"/>
  <c r="D2865" i="10"/>
  <c r="D7721" i="10"/>
  <c r="D6092" i="10"/>
  <c r="D4602" i="10"/>
  <c r="D951" i="10"/>
  <c r="D2864" i="10"/>
  <c r="D7720" i="10"/>
  <c r="D6091" i="10"/>
  <c r="D4601" i="10"/>
  <c r="D950" i="10"/>
  <c r="D2863" i="10"/>
  <c r="D7719" i="10"/>
  <c r="D6090" i="10"/>
  <c r="D4600" i="10"/>
  <c r="D949" i="10"/>
  <c r="D2862" i="10"/>
  <c r="D7718" i="10"/>
  <c r="D6089" i="10"/>
  <c r="D4599" i="10"/>
  <c r="D948" i="10"/>
  <c r="D2861" i="10"/>
  <c r="D7717" i="10"/>
  <c r="D6088" i="10"/>
  <c r="D4598" i="10"/>
  <c r="D947" i="10"/>
  <c r="D2860" i="10"/>
  <c r="D2859" i="10"/>
  <c r="D2858" i="10"/>
  <c r="D7716" i="10"/>
  <c r="D6087" i="10"/>
  <c r="D4597" i="10"/>
  <c r="D946" i="10"/>
  <c r="D2857" i="10"/>
  <c r="D7715" i="10"/>
  <c r="D6086" i="10"/>
  <c r="D4596" i="10"/>
  <c r="D945" i="10"/>
  <c r="D2856" i="10"/>
  <c r="D7714" i="10"/>
  <c r="D6085" i="10"/>
  <c r="D4595" i="10"/>
  <c r="D944" i="10"/>
  <c r="D2855" i="10"/>
  <c r="D7713" i="10"/>
  <c r="D6084" i="10"/>
  <c r="D4594" i="10"/>
  <c r="D943" i="10"/>
  <c r="D2854" i="10"/>
  <c r="D7712" i="10"/>
  <c r="D6083" i="10"/>
  <c r="D4593" i="10"/>
  <c r="D942" i="10"/>
  <c r="D2853" i="10"/>
  <c r="D2852" i="10"/>
  <c r="D2851" i="10"/>
  <c r="D7711" i="10"/>
  <c r="D6082" i="10"/>
  <c r="D4592" i="10"/>
  <c r="D941" i="10"/>
  <c r="D2850" i="10"/>
  <c r="D7710" i="10"/>
  <c r="D6081" i="10"/>
  <c r="D4591" i="10"/>
  <c r="D940" i="10"/>
  <c r="D2849" i="10"/>
  <c r="D7709" i="10"/>
  <c r="D6080" i="10"/>
  <c r="D4590" i="10"/>
  <c r="D939" i="10"/>
  <c r="D2848" i="10"/>
  <c r="D7708" i="10"/>
  <c r="D6079" i="10"/>
  <c r="D4589" i="10"/>
  <c r="D938" i="10"/>
  <c r="D2847" i="10"/>
  <c r="D7707" i="10"/>
  <c r="D6078" i="10"/>
  <c r="D4588" i="10"/>
  <c r="D937" i="10"/>
  <c r="D2846" i="10"/>
  <c r="D2845" i="10"/>
  <c r="D2844" i="10"/>
  <c r="D7706" i="10"/>
  <c r="D6077" i="10"/>
  <c r="D4587" i="10"/>
  <c r="D936" i="10"/>
  <c r="D2843" i="10"/>
  <c r="D7705" i="10"/>
  <c r="D6076" i="10"/>
  <c r="D4586" i="10"/>
  <c r="D935" i="10"/>
  <c r="D2842" i="10"/>
  <c r="D7704" i="10"/>
  <c r="D6075" i="10"/>
  <c r="D4585" i="10"/>
  <c r="D934" i="10"/>
  <c r="D2841" i="10"/>
  <c r="D7703" i="10"/>
  <c r="D6074" i="10"/>
  <c r="D4584" i="10"/>
  <c r="D933" i="10"/>
  <c r="D2840" i="10"/>
  <c r="D7702" i="10"/>
  <c r="D6073" i="10"/>
  <c r="D4583" i="10"/>
  <c r="D932" i="10"/>
  <c r="D2839" i="10"/>
  <c r="D2838" i="10"/>
  <c r="D2837" i="10"/>
  <c r="D7701" i="10"/>
  <c r="D6072" i="10"/>
  <c r="D4582" i="10"/>
  <c r="D931" i="10"/>
  <c r="D2836" i="10"/>
  <c r="D7700" i="10"/>
  <c r="D6071" i="10"/>
  <c r="D4581" i="10"/>
  <c r="D930" i="10"/>
  <c r="D2835" i="10"/>
  <c r="D7699" i="10"/>
  <c r="D6070" i="10"/>
  <c r="D4580" i="10"/>
  <c r="D929" i="10"/>
  <c r="D2834" i="10"/>
  <c r="D7698" i="10"/>
  <c r="D6069" i="10"/>
  <c r="D4579" i="10"/>
  <c r="D928" i="10"/>
  <c r="D2833" i="10"/>
  <c r="D7697" i="10"/>
  <c r="D6068" i="10"/>
  <c r="D4578" i="10"/>
  <c r="D927" i="10"/>
  <c r="D2832" i="10"/>
  <c r="D2831" i="10"/>
  <c r="D2830" i="10"/>
  <c r="D7696" i="10"/>
  <c r="D6067" i="10"/>
  <c r="D4577" i="10"/>
  <c r="D926" i="10"/>
  <c r="D2829" i="10"/>
  <c r="D7695" i="10"/>
  <c r="D6066" i="10"/>
  <c r="D4576" i="10"/>
  <c r="D925" i="10"/>
  <c r="D2828" i="10"/>
  <c r="D7694" i="10"/>
  <c r="D6065" i="10"/>
  <c r="D4575" i="10"/>
  <c r="D924" i="10"/>
  <c r="D2827" i="10"/>
  <c r="D7693" i="10"/>
  <c r="D6064" i="10"/>
  <c r="D4574" i="10"/>
  <c r="D923" i="10"/>
  <c r="D2826" i="10"/>
  <c r="D7692" i="10"/>
  <c r="D6063" i="10"/>
  <c r="D4573" i="10"/>
  <c r="D922" i="10"/>
  <c r="D2825" i="10"/>
  <c r="D2824" i="10"/>
  <c r="D2823" i="10"/>
  <c r="D7691" i="10"/>
  <c r="D6062" i="10"/>
  <c r="D4572" i="10"/>
  <c r="D921" i="10"/>
  <c r="D2822" i="10"/>
  <c r="D7690" i="10"/>
  <c r="D6061" i="10"/>
  <c r="D4571" i="10"/>
  <c r="D920" i="10"/>
  <c r="D2821" i="10"/>
  <c r="D7689" i="10"/>
  <c r="D6060" i="10"/>
  <c r="D4570" i="10"/>
  <c r="D919" i="10"/>
  <c r="D2820" i="10"/>
  <c r="D7688" i="10"/>
  <c r="D6059" i="10"/>
  <c r="D4569" i="10"/>
  <c r="D918" i="10"/>
  <c r="D2819" i="10"/>
  <c r="D7687" i="10"/>
  <c r="D6058" i="10"/>
  <c r="D4568" i="10"/>
  <c r="D917" i="10"/>
  <c r="D2818" i="10"/>
  <c r="D2817" i="10"/>
  <c r="D2816" i="10"/>
  <c r="D7686" i="10"/>
  <c r="D6057" i="10"/>
  <c r="D4567" i="10"/>
  <c r="D916" i="10"/>
  <c r="D2815" i="10"/>
  <c r="D7685" i="10"/>
  <c r="D6056" i="10"/>
  <c r="D4566" i="10"/>
  <c r="D915" i="10"/>
  <c r="D2814" i="10"/>
  <c r="D7684" i="10"/>
  <c r="D6055" i="10"/>
  <c r="D4565" i="10"/>
  <c r="D914" i="10"/>
  <c r="D2813" i="10"/>
  <c r="D7683" i="10"/>
  <c r="D6054" i="10"/>
  <c r="D4564" i="10"/>
  <c r="D913" i="10"/>
  <c r="D2812" i="10"/>
  <c r="D7682" i="10"/>
  <c r="D6053" i="10"/>
  <c r="D4563" i="10"/>
  <c r="D912" i="10"/>
  <c r="D2811" i="10"/>
  <c r="D2810" i="10"/>
  <c r="D2809" i="10"/>
  <c r="D7681" i="10"/>
  <c r="D6052" i="10"/>
  <c r="D4562" i="10"/>
  <c r="D911" i="10"/>
  <c r="D2808" i="10"/>
  <c r="D7680" i="10"/>
  <c r="D6051" i="10"/>
  <c r="D4561" i="10"/>
  <c r="D910" i="10"/>
  <c r="D2807" i="10"/>
  <c r="D7679" i="10"/>
  <c r="D6050" i="10"/>
  <c r="D4560" i="10"/>
  <c r="D909" i="10"/>
  <c r="D2806" i="10"/>
  <c r="D7678" i="10"/>
  <c r="D6049" i="10"/>
  <c r="D4559" i="10"/>
  <c r="D908" i="10"/>
  <c r="D2805" i="10"/>
  <c r="D2804" i="10"/>
  <c r="D2803" i="10"/>
  <c r="D2802" i="10"/>
  <c r="D7677" i="10"/>
  <c r="D6048" i="10"/>
  <c r="D4558" i="10"/>
  <c r="D907" i="10"/>
  <c r="D2801" i="10"/>
  <c r="D7676" i="10"/>
  <c r="D6047" i="10"/>
  <c r="D4557" i="10"/>
  <c r="D906" i="10"/>
  <c r="D2800" i="10"/>
  <c r="D7675" i="10"/>
  <c r="D6046" i="10"/>
  <c r="D4556" i="10"/>
  <c r="D905" i="10"/>
  <c r="D2799" i="10"/>
  <c r="D7674" i="10"/>
  <c r="D6045" i="10"/>
  <c r="D4555" i="10"/>
  <c r="D904" i="10"/>
  <c r="D2798" i="10"/>
  <c r="D7673" i="10"/>
  <c r="D6044" i="10"/>
  <c r="D4554" i="10"/>
  <c r="D903" i="10"/>
  <c r="D2797" i="10"/>
  <c r="D2796" i="10"/>
  <c r="D2795" i="10"/>
  <c r="D7672" i="10"/>
  <c r="D6043" i="10"/>
  <c r="D4553" i="10"/>
  <c r="D902" i="10"/>
  <c r="D2794" i="10"/>
  <c r="D7671" i="10"/>
  <c r="D6042" i="10"/>
  <c r="D4552" i="10"/>
  <c r="D901" i="10"/>
  <c r="D2793" i="10"/>
  <c r="D7670" i="10"/>
  <c r="D6041" i="10"/>
  <c r="D4551" i="10"/>
  <c r="D900" i="10"/>
  <c r="D2792" i="10"/>
  <c r="D7669" i="10"/>
  <c r="D6040" i="10"/>
  <c r="D4550" i="10"/>
  <c r="D899" i="10"/>
  <c r="D2791" i="10"/>
  <c r="D7668" i="10"/>
  <c r="D6039" i="10"/>
  <c r="D4549" i="10"/>
  <c r="D898" i="10"/>
  <c r="D2790" i="10"/>
  <c r="D2789" i="10"/>
  <c r="D2788" i="10"/>
  <c r="D7667" i="10"/>
  <c r="D6038" i="10"/>
  <c r="D4548" i="10"/>
  <c r="D897" i="10"/>
  <c r="D2787" i="10"/>
  <c r="D7666" i="10"/>
  <c r="D6037" i="10"/>
  <c r="D4547" i="10"/>
  <c r="D896" i="10"/>
  <c r="D2786" i="10"/>
  <c r="D7665" i="10"/>
  <c r="D6036" i="10"/>
  <c r="D4546" i="10"/>
  <c r="D895" i="10"/>
  <c r="D2785" i="10"/>
  <c r="D7664" i="10"/>
  <c r="D6035" i="10"/>
  <c r="D4545" i="10"/>
  <c r="D894" i="10"/>
  <c r="D2784" i="10"/>
  <c r="D7663" i="10"/>
  <c r="D6034" i="10"/>
  <c r="D4544" i="10"/>
  <c r="D893" i="10"/>
  <c r="D2783" i="10"/>
  <c r="D2782" i="10"/>
  <c r="D2781" i="10"/>
  <c r="D7662" i="10"/>
  <c r="D6033" i="10"/>
  <c r="D4543" i="10"/>
  <c r="D892" i="10"/>
  <c r="D2780" i="10"/>
  <c r="D7661" i="10"/>
  <c r="D6032" i="10"/>
  <c r="D4542" i="10"/>
  <c r="D891" i="10"/>
  <c r="D2779" i="10"/>
  <c r="D7660" i="10"/>
  <c r="D6031" i="10"/>
  <c r="D4541" i="10"/>
  <c r="D890" i="10"/>
  <c r="D2778" i="10"/>
  <c r="D7659" i="10"/>
  <c r="D6030" i="10"/>
  <c r="D4540" i="10"/>
  <c r="D889" i="10"/>
  <c r="D2777" i="10"/>
  <c r="D7658" i="10"/>
  <c r="D6029" i="10"/>
  <c r="D4539" i="10"/>
  <c r="D888" i="10"/>
  <c r="D2776" i="10"/>
  <c r="D2775" i="10"/>
  <c r="D2774" i="10"/>
  <c r="D7657" i="10"/>
  <c r="D6028" i="10"/>
  <c r="D4538" i="10"/>
  <c r="D887" i="10"/>
  <c r="D2773" i="10"/>
  <c r="D7656" i="10"/>
  <c r="D6027" i="10"/>
  <c r="D4537" i="10"/>
  <c r="D886" i="10"/>
  <c r="D2772" i="10"/>
  <c r="D7655" i="10"/>
  <c r="D6026" i="10"/>
  <c r="D4536" i="10"/>
  <c r="D885" i="10"/>
  <c r="D2771" i="10"/>
  <c r="D7654" i="10"/>
  <c r="D6025" i="10"/>
  <c r="D4535" i="10"/>
  <c r="D884" i="10"/>
  <c r="D2770" i="10"/>
  <c r="D7653" i="10"/>
  <c r="D6024" i="10"/>
  <c r="D4534" i="10"/>
  <c r="D883" i="10"/>
  <c r="D2769" i="10"/>
  <c r="D2768" i="10"/>
  <c r="D2767" i="10"/>
  <c r="D7652" i="10"/>
  <c r="D6023" i="10"/>
  <c r="D4533" i="10"/>
  <c r="D882" i="10"/>
  <c r="D2766" i="10"/>
  <c r="D7651" i="10"/>
  <c r="D6022" i="10"/>
  <c r="D4532" i="10"/>
  <c r="D881" i="10"/>
  <c r="D2765" i="10"/>
  <c r="D7650" i="10"/>
  <c r="D6021" i="10"/>
  <c r="D4531" i="10"/>
  <c r="D880" i="10"/>
  <c r="D2764" i="10"/>
  <c r="D7649" i="10"/>
  <c r="D6020" i="10"/>
  <c r="D4530" i="10"/>
  <c r="D879" i="10"/>
  <c r="D2763" i="10"/>
  <c r="D7648" i="10"/>
  <c r="D6019" i="10"/>
  <c r="D4529" i="10"/>
  <c r="D878" i="10"/>
  <c r="D2762" i="10"/>
  <c r="D2761" i="10"/>
  <c r="D2760" i="10"/>
  <c r="D7647" i="10"/>
  <c r="D6018" i="10"/>
  <c r="D4528" i="10"/>
  <c r="D877" i="10"/>
  <c r="D2759" i="10"/>
  <c r="D7646" i="10"/>
  <c r="D6017" i="10"/>
  <c r="D4527" i="10"/>
  <c r="D876" i="10"/>
  <c r="D2758" i="10"/>
  <c r="D7645" i="10"/>
  <c r="D6016" i="10"/>
  <c r="D4526" i="10"/>
  <c r="D875" i="10"/>
  <c r="D2757" i="10"/>
  <c r="D7644" i="10"/>
  <c r="D6015" i="10"/>
  <c r="D4525" i="10"/>
  <c r="D874" i="10"/>
  <c r="D2756" i="10"/>
  <c r="D7643" i="10"/>
  <c r="D6014" i="10"/>
  <c r="D4524" i="10"/>
  <c r="D873" i="10"/>
  <c r="D2755" i="10"/>
  <c r="D2754" i="10"/>
  <c r="D2753" i="10"/>
  <c r="D7642" i="10"/>
  <c r="D6013" i="10"/>
  <c r="D4523" i="10"/>
  <c r="D872" i="10"/>
  <c r="D2752" i="10"/>
  <c r="D7641" i="10"/>
  <c r="D6012" i="10"/>
  <c r="D4522" i="10"/>
  <c r="D871" i="10"/>
  <c r="D2751" i="10"/>
  <c r="D7640" i="10"/>
  <c r="D6011" i="10"/>
  <c r="D4521" i="10"/>
  <c r="D870" i="10"/>
  <c r="D2750" i="10"/>
  <c r="D7639" i="10"/>
  <c r="D6010" i="10"/>
  <c r="D4520" i="10"/>
  <c r="D869" i="10"/>
  <c r="D2749" i="10"/>
  <c r="D7638" i="10"/>
  <c r="D6009" i="10"/>
  <c r="D4519" i="10"/>
  <c r="D868" i="10"/>
  <c r="D2748" i="10"/>
  <c r="D2747" i="10"/>
  <c r="D2746" i="10"/>
  <c r="D7637" i="10"/>
  <c r="D6008" i="10"/>
  <c r="D4518" i="10"/>
  <c r="D867" i="10"/>
  <c r="D2745" i="10"/>
  <c r="D7636" i="10"/>
  <c r="D6007" i="10"/>
  <c r="D4517" i="10"/>
  <c r="D866" i="10"/>
  <c r="D2744" i="10"/>
  <c r="D7635" i="10"/>
  <c r="D6006" i="10"/>
  <c r="D4516" i="10"/>
  <c r="D865" i="10"/>
  <c r="D2743" i="10"/>
  <c r="D7634" i="10"/>
  <c r="D6005" i="10"/>
  <c r="D4515" i="10"/>
  <c r="D864" i="10"/>
  <c r="D2742" i="10"/>
  <c r="D2741" i="10"/>
  <c r="D2740" i="10"/>
  <c r="D2739" i="10"/>
  <c r="D7633" i="10"/>
  <c r="D6004" i="10"/>
  <c r="D4514" i="10"/>
  <c r="D863" i="10"/>
  <c r="D2738" i="10"/>
  <c r="D7632" i="10"/>
  <c r="D6003" i="10"/>
  <c r="D4513" i="10"/>
  <c r="D862" i="10"/>
  <c r="D2737" i="10"/>
  <c r="D7631" i="10"/>
  <c r="D6002" i="10"/>
  <c r="D4512" i="10"/>
  <c r="D861" i="10"/>
  <c r="D2736" i="10"/>
  <c r="D7630" i="10"/>
  <c r="D6001" i="10"/>
  <c r="D4511" i="10"/>
  <c r="D860" i="10"/>
  <c r="D2735" i="10"/>
  <c r="D7629" i="10"/>
  <c r="D6000" i="10"/>
  <c r="D4510" i="10"/>
  <c r="D859" i="10"/>
  <c r="D2734" i="10"/>
  <c r="D2733" i="10"/>
  <c r="D2732" i="10"/>
  <c r="D7628" i="10"/>
  <c r="D5999" i="10"/>
  <c r="D4509" i="10"/>
  <c r="D858" i="10"/>
  <c r="D2731" i="10"/>
  <c r="D7627" i="10"/>
  <c r="D5998" i="10"/>
  <c r="D4508" i="10"/>
  <c r="D857" i="10"/>
  <c r="D2730" i="10"/>
  <c r="D7626" i="10"/>
  <c r="D5997" i="10"/>
  <c r="D4507" i="10"/>
  <c r="D856" i="10"/>
  <c r="D2729" i="10"/>
  <c r="D7625" i="10"/>
  <c r="D5996" i="10"/>
  <c r="D4506" i="10"/>
  <c r="D855" i="10"/>
  <c r="D2728" i="10"/>
  <c r="D2727" i="10"/>
  <c r="D2726" i="10"/>
  <c r="D2725" i="10"/>
  <c r="D7624" i="10"/>
  <c r="D5995" i="10"/>
  <c r="D4505" i="10"/>
  <c r="D854" i="10"/>
  <c r="D2724" i="10"/>
  <c r="D7623" i="10"/>
  <c r="D5994" i="10"/>
  <c r="D4504" i="10"/>
  <c r="D853" i="10"/>
  <c r="D2723" i="10"/>
  <c r="D7622" i="10"/>
  <c r="D5993" i="10"/>
  <c r="D4503" i="10"/>
  <c r="D852" i="10"/>
  <c r="D2722" i="10"/>
  <c r="D7621" i="10"/>
  <c r="D5992" i="10"/>
  <c r="D4502" i="10"/>
  <c r="D851" i="10"/>
  <c r="D2721" i="10"/>
  <c r="D7620" i="10"/>
  <c r="D5991" i="10"/>
  <c r="D4501" i="10"/>
  <c r="D850" i="10"/>
  <c r="D2720" i="10"/>
  <c r="D2719" i="10"/>
  <c r="D2718" i="10"/>
  <c r="D7619" i="10"/>
  <c r="D5990" i="10"/>
  <c r="D4500" i="10"/>
  <c r="D849" i="10"/>
  <c r="D2717" i="10"/>
  <c r="D7618" i="10"/>
  <c r="D5989" i="10"/>
  <c r="D4499" i="10"/>
  <c r="D848" i="10"/>
  <c r="D2716" i="10"/>
  <c r="D7617" i="10"/>
  <c r="D5988" i="10"/>
  <c r="D4498" i="10"/>
  <c r="D847" i="10"/>
  <c r="D2715" i="10"/>
  <c r="D7616" i="10"/>
  <c r="D5987" i="10"/>
  <c r="D4497" i="10"/>
  <c r="D846" i="10"/>
  <c r="D2714" i="10"/>
  <c r="D7615" i="10"/>
  <c r="D5986" i="10"/>
  <c r="D4496" i="10"/>
  <c r="D845" i="10"/>
  <c r="D2713" i="10"/>
  <c r="D2712" i="10"/>
  <c r="D2711" i="10"/>
  <c r="D7614" i="10"/>
  <c r="D5985" i="10"/>
  <c r="D4495" i="10"/>
  <c r="D844" i="10"/>
  <c r="D2710" i="10"/>
  <c r="D7613" i="10"/>
  <c r="D5984" i="10"/>
  <c r="D4494" i="10"/>
  <c r="D843" i="10"/>
  <c r="D2709" i="10"/>
  <c r="D7612" i="10"/>
  <c r="D5983" i="10"/>
  <c r="D4493" i="10"/>
  <c r="D842" i="10"/>
  <c r="D2708" i="10"/>
  <c r="D7611" i="10"/>
  <c r="D5982" i="10"/>
  <c r="D4492" i="10"/>
  <c r="D841" i="10"/>
  <c r="D2707" i="10"/>
  <c r="D2706" i="10"/>
  <c r="D2705" i="10"/>
  <c r="D2704" i="10"/>
  <c r="D7610" i="10"/>
  <c r="D5981" i="10"/>
  <c r="D4491" i="10"/>
  <c r="D840" i="10"/>
  <c r="D2703" i="10"/>
  <c r="D7609" i="10"/>
  <c r="D5980" i="10"/>
  <c r="D4490" i="10"/>
  <c r="D839" i="10"/>
  <c r="D2702" i="10"/>
  <c r="D7608" i="10"/>
  <c r="D5979" i="10"/>
  <c r="D4489" i="10"/>
  <c r="D838" i="10"/>
  <c r="D2701" i="10"/>
  <c r="D7607" i="10"/>
  <c r="D5978" i="10"/>
  <c r="D4488" i="10"/>
  <c r="D837" i="10"/>
  <c r="D2700" i="10"/>
  <c r="D7606" i="10"/>
  <c r="D5977" i="10"/>
  <c r="D4487" i="10"/>
  <c r="D836" i="10"/>
  <c r="D2699" i="10"/>
  <c r="D2698" i="10"/>
  <c r="D2697" i="10"/>
  <c r="D7605" i="10"/>
  <c r="D5976" i="10"/>
  <c r="D4486" i="10"/>
  <c r="D835" i="10"/>
  <c r="D2696" i="10"/>
  <c r="D7604" i="10"/>
  <c r="D5975" i="10"/>
  <c r="D4485" i="10"/>
  <c r="D834" i="10"/>
  <c r="D2695" i="10"/>
  <c r="D7603" i="10"/>
  <c r="D5974" i="10"/>
  <c r="D4484" i="10"/>
  <c r="D833" i="10"/>
  <c r="D2694" i="10"/>
  <c r="D7602" i="10"/>
  <c r="D5973" i="10"/>
  <c r="D4483" i="10"/>
  <c r="D832" i="10"/>
  <c r="D2693" i="10"/>
  <c r="D7601" i="10"/>
  <c r="D5972" i="10"/>
  <c r="D4482" i="10"/>
  <c r="D831" i="10"/>
  <c r="D2692" i="10"/>
  <c r="D2691" i="10"/>
  <c r="D2690" i="10"/>
  <c r="D7600" i="10"/>
  <c r="D5971" i="10"/>
  <c r="D4481" i="10"/>
  <c r="D830" i="10"/>
  <c r="D2689" i="10"/>
  <c r="D7599" i="10"/>
  <c r="D5970" i="10"/>
  <c r="D4480" i="10"/>
  <c r="D829" i="10"/>
  <c r="D2688" i="10"/>
  <c r="D7598" i="10"/>
  <c r="D5969" i="10"/>
  <c r="D4479" i="10"/>
  <c r="D828" i="10"/>
  <c r="D2687" i="10"/>
  <c r="D7597" i="10"/>
  <c r="D5968" i="10"/>
  <c r="D4478" i="10"/>
  <c r="D827" i="10"/>
  <c r="D2686" i="10"/>
  <c r="D7596" i="10"/>
  <c r="D5967" i="10"/>
  <c r="D4477" i="10"/>
  <c r="D826" i="10"/>
  <c r="D2685" i="10"/>
  <c r="D2684" i="10"/>
  <c r="D2683" i="10"/>
  <c r="D7595" i="10"/>
  <c r="D5966" i="10"/>
  <c r="D4476" i="10"/>
  <c r="D825" i="10"/>
  <c r="D2682" i="10"/>
  <c r="D7594" i="10"/>
  <c r="D5965" i="10"/>
  <c r="D4475" i="10"/>
  <c r="D824" i="10"/>
  <c r="D2681" i="10"/>
  <c r="D7593" i="10"/>
  <c r="D5964" i="10"/>
  <c r="D4474" i="10"/>
  <c r="D823" i="10"/>
  <c r="D2680" i="10"/>
  <c r="D7592" i="10"/>
  <c r="D5963" i="10"/>
  <c r="D4473" i="10"/>
  <c r="D822" i="10"/>
  <c r="D2679" i="10"/>
  <c r="D7591" i="10"/>
  <c r="D5962" i="10"/>
  <c r="D4472" i="10"/>
  <c r="D821" i="10"/>
  <c r="D2678" i="10"/>
  <c r="D2677" i="10"/>
  <c r="D2676" i="10"/>
  <c r="D7590" i="10"/>
  <c r="D5961" i="10"/>
  <c r="D4471" i="10"/>
  <c r="D820" i="10"/>
  <c r="D2675" i="10"/>
  <c r="D7589" i="10"/>
  <c r="D5960" i="10"/>
  <c r="D4470" i="10"/>
  <c r="D819" i="10"/>
  <c r="D2674" i="10"/>
  <c r="D7588" i="10"/>
  <c r="D5959" i="10"/>
  <c r="D4469" i="10"/>
  <c r="D818" i="10"/>
  <c r="D2673" i="10"/>
  <c r="D7587" i="10"/>
  <c r="D5958" i="10"/>
  <c r="D4468" i="10"/>
  <c r="D817" i="10"/>
  <c r="D2672" i="10"/>
  <c r="D7586" i="10"/>
  <c r="D5957" i="10"/>
  <c r="D4467" i="10"/>
  <c r="D816" i="10"/>
  <c r="D2671" i="10"/>
  <c r="D2670" i="10"/>
  <c r="D2669" i="10"/>
  <c r="D7585" i="10"/>
  <c r="D5956" i="10"/>
  <c r="D4466" i="10"/>
  <c r="D815" i="10"/>
  <c r="D2668" i="10"/>
  <c r="D7584" i="10"/>
  <c r="D5955" i="10"/>
  <c r="D4465" i="10"/>
  <c r="D814" i="10"/>
  <c r="D2667" i="10"/>
  <c r="D7583" i="10"/>
  <c r="D5954" i="10"/>
  <c r="D4464" i="10"/>
  <c r="D813" i="10"/>
  <c r="D2666" i="10"/>
  <c r="D7582" i="10"/>
  <c r="D5953" i="10"/>
  <c r="D4463" i="10"/>
  <c r="D812" i="10"/>
  <c r="D2665" i="10"/>
  <c r="D7581" i="10"/>
  <c r="D5952" i="10"/>
  <c r="D4462" i="10"/>
  <c r="D811" i="10"/>
  <c r="D2664" i="10"/>
  <c r="D2663" i="10"/>
  <c r="D2662" i="10"/>
  <c r="D2661" i="10"/>
  <c r="D7580" i="10"/>
  <c r="D5951" i="10"/>
  <c r="D4461" i="10"/>
  <c r="D810" i="10"/>
  <c r="D2660" i="10"/>
  <c r="D7579" i="10"/>
  <c r="D5950" i="10"/>
  <c r="D4460" i="10"/>
  <c r="D809" i="10"/>
  <c r="D2659" i="10"/>
  <c r="D7578" i="10"/>
  <c r="D5949" i="10"/>
  <c r="D4459" i="10"/>
  <c r="D808" i="10"/>
  <c r="D2658" i="10"/>
  <c r="D7577" i="10"/>
  <c r="D5948" i="10"/>
  <c r="D4458" i="10"/>
  <c r="D807" i="10"/>
  <c r="D2657" i="10"/>
  <c r="D2656" i="10"/>
  <c r="D2655" i="10"/>
  <c r="D7576" i="10"/>
  <c r="D5947" i="10"/>
  <c r="D4457" i="10"/>
  <c r="D806" i="10"/>
  <c r="D2654" i="10"/>
  <c r="D7575" i="10"/>
  <c r="D5946" i="10"/>
  <c r="D4456" i="10"/>
  <c r="D805" i="10"/>
  <c r="D2653" i="10"/>
  <c r="D7574" i="10"/>
  <c r="D5945" i="10"/>
  <c r="D4455" i="10"/>
  <c r="D804" i="10"/>
  <c r="D2652" i="10"/>
  <c r="D7573" i="10"/>
  <c r="D5944" i="10"/>
  <c r="D4454" i="10"/>
  <c r="D803" i="10"/>
  <c r="D2651" i="10"/>
  <c r="D7572" i="10"/>
  <c r="D5943" i="10"/>
  <c r="D4453" i="10"/>
  <c r="D802" i="10"/>
  <c r="D2650" i="10"/>
  <c r="D2649" i="10"/>
  <c r="D2648" i="10"/>
  <c r="D7571" i="10"/>
  <c r="D5942" i="10"/>
  <c r="D4452" i="10"/>
  <c r="D801" i="10"/>
  <c r="D2647" i="10"/>
  <c r="D7570" i="10"/>
  <c r="D5941" i="10"/>
  <c r="D4451" i="10"/>
  <c r="D800" i="10"/>
  <c r="D2646" i="10"/>
  <c r="D7569" i="10"/>
  <c r="D5940" i="10"/>
  <c r="D4450" i="10"/>
  <c r="D799" i="10"/>
  <c r="D2645" i="10"/>
  <c r="D7568" i="10"/>
  <c r="D5939" i="10"/>
  <c r="D4449" i="10"/>
  <c r="D798" i="10"/>
  <c r="D2644" i="10"/>
  <c r="D7567" i="10"/>
  <c r="D5938" i="10"/>
  <c r="D4448" i="10"/>
  <c r="D797" i="10"/>
  <c r="D2643" i="10"/>
  <c r="D2642" i="10"/>
  <c r="D2641" i="10"/>
  <c r="D7566" i="10"/>
  <c r="D5937" i="10"/>
  <c r="D4447" i="10"/>
  <c r="D796" i="10"/>
  <c r="D2640" i="10"/>
  <c r="D7565" i="10"/>
  <c r="D5936" i="10"/>
  <c r="D4446" i="10"/>
  <c r="D795" i="10"/>
  <c r="D2639" i="10"/>
  <c r="D7564" i="10"/>
  <c r="D5935" i="10"/>
  <c r="D4445" i="10"/>
  <c r="D794" i="10"/>
  <c r="D2638" i="10"/>
  <c r="D7563" i="10"/>
  <c r="D5934" i="10"/>
  <c r="D4444" i="10"/>
  <c r="D793" i="10"/>
  <c r="D2637" i="10"/>
  <c r="D7562" i="10"/>
  <c r="D5933" i="10"/>
  <c r="D4443" i="10"/>
  <c r="D792" i="10"/>
  <c r="D2636" i="10"/>
  <c r="D2635" i="10"/>
  <c r="D2634" i="10"/>
  <c r="D7561" i="10"/>
  <c r="D5932" i="10"/>
  <c r="D4442" i="10"/>
  <c r="D791" i="10"/>
  <c r="D2633" i="10"/>
  <c r="D7560" i="10"/>
  <c r="D5931" i="10"/>
  <c r="D4441" i="10"/>
  <c r="D790" i="10"/>
  <c r="D2632" i="10"/>
  <c r="D7559" i="10"/>
  <c r="D5930" i="10"/>
  <c r="D4440" i="10"/>
  <c r="D789" i="10"/>
  <c r="D2631" i="10"/>
  <c r="D7558" i="10"/>
  <c r="D5929" i="10"/>
  <c r="D4439" i="10"/>
  <c r="D788" i="10"/>
  <c r="D2630" i="10"/>
  <c r="D7557" i="10"/>
  <c r="D5928" i="10"/>
  <c r="D4438" i="10"/>
  <c r="D787" i="10"/>
  <c r="D2629" i="10"/>
  <c r="D2628" i="10"/>
  <c r="D2627" i="10"/>
  <c r="D7556" i="10"/>
  <c r="D5927" i="10"/>
  <c r="D4437" i="10"/>
  <c r="D786" i="10"/>
  <c r="D2626" i="10"/>
  <c r="D7555" i="10"/>
  <c r="D5926" i="10"/>
  <c r="D4436" i="10"/>
  <c r="D785" i="10"/>
  <c r="D2625" i="10"/>
  <c r="D7554" i="10"/>
  <c r="D5925" i="10"/>
  <c r="D4435" i="10"/>
  <c r="D784" i="10"/>
  <c r="D2624" i="10"/>
  <c r="D7553" i="10"/>
  <c r="D5924" i="10"/>
  <c r="D4434" i="10"/>
  <c r="D783" i="10"/>
  <c r="D2623" i="10"/>
  <c r="D7552" i="10"/>
  <c r="D5923" i="10"/>
  <c r="D4433" i="10"/>
  <c r="D782" i="10"/>
  <c r="D2622" i="10"/>
  <c r="D2621" i="10"/>
  <c r="D2620" i="10"/>
  <c r="D7551" i="10"/>
  <c r="D5922" i="10"/>
  <c r="D4432" i="10"/>
  <c r="D781" i="10"/>
  <c r="D2619" i="10"/>
  <c r="D7550" i="10"/>
  <c r="D5921" i="10"/>
  <c r="D4431" i="10"/>
  <c r="D780" i="10"/>
  <c r="D2618" i="10"/>
  <c r="D7549" i="10"/>
  <c r="D5920" i="10"/>
  <c r="D4430" i="10"/>
  <c r="D779" i="10"/>
  <c r="D2617" i="10"/>
  <c r="D7548" i="10"/>
  <c r="D5919" i="10"/>
  <c r="D4429" i="10"/>
  <c r="D778" i="10"/>
  <c r="D2616" i="10"/>
  <c r="D7547" i="10"/>
  <c r="D5918" i="10"/>
  <c r="D4428" i="10"/>
  <c r="D777" i="10"/>
  <c r="D2615" i="10"/>
  <c r="D2614" i="10"/>
  <c r="D2613" i="10"/>
  <c r="D7546" i="10"/>
  <c r="D5917" i="10"/>
  <c r="D4427" i="10"/>
  <c r="D776" i="10"/>
  <c r="D2612" i="10"/>
  <c r="D7545" i="10"/>
  <c r="D5916" i="10"/>
  <c r="D4426" i="10"/>
  <c r="D775" i="10"/>
  <c r="D2611" i="10"/>
  <c r="D7544" i="10"/>
  <c r="D5915" i="10"/>
  <c r="D4425" i="10"/>
  <c r="D774" i="10"/>
  <c r="D2610" i="10"/>
  <c r="D7543" i="10"/>
  <c r="D5914" i="10"/>
  <c r="D4424" i="10"/>
  <c r="D773" i="10"/>
  <c r="D2609" i="10"/>
  <c r="D2608" i="10"/>
  <c r="D2607" i="10"/>
  <c r="D2606" i="10"/>
  <c r="D7542" i="10"/>
  <c r="D5913" i="10"/>
  <c r="D4423" i="10"/>
  <c r="D772" i="10"/>
  <c r="D2605" i="10"/>
  <c r="D7541" i="10"/>
  <c r="D5912" i="10"/>
  <c r="D4422" i="10"/>
  <c r="D771" i="10"/>
  <c r="D2604" i="10"/>
  <c r="D7540" i="10"/>
  <c r="D5911" i="10"/>
  <c r="D4421" i="10"/>
  <c r="D770" i="10"/>
  <c r="D2603" i="10"/>
  <c r="D7539" i="10"/>
  <c r="D5910" i="10"/>
  <c r="D4420" i="10"/>
  <c r="D769" i="10"/>
  <c r="D2602" i="10"/>
  <c r="D7538" i="10"/>
  <c r="D5909" i="10"/>
  <c r="D4419" i="10"/>
  <c r="D768" i="10"/>
  <c r="D2601" i="10"/>
  <c r="D2600" i="10"/>
  <c r="D2599" i="10"/>
  <c r="D7537" i="10"/>
  <c r="D5908" i="10"/>
  <c r="D4418" i="10"/>
  <c r="D767" i="10"/>
  <c r="D2598" i="10"/>
  <c r="D7536" i="10"/>
  <c r="D5907" i="10"/>
  <c r="D4417" i="10"/>
  <c r="D766" i="10"/>
  <c r="D2597" i="10"/>
  <c r="D7535" i="10"/>
  <c r="D5906" i="10"/>
  <c r="D4416" i="10"/>
  <c r="D765" i="10"/>
  <c r="D2596" i="10"/>
  <c r="D7534" i="10"/>
  <c r="D5905" i="10"/>
  <c r="D4415" i="10"/>
  <c r="D764" i="10"/>
  <c r="D2595" i="10"/>
  <c r="D7533" i="10"/>
  <c r="D5904" i="10"/>
  <c r="D4414" i="10"/>
  <c r="D763" i="10"/>
  <c r="D2594" i="10"/>
  <c r="D2593" i="10"/>
  <c r="D2592" i="10"/>
  <c r="D7532" i="10"/>
  <c r="D5903" i="10"/>
  <c r="D4413" i="10"/>
  <c r="D762" i="10"/>
  <c r="D2591" i="10"/>
  <c r="D7531" i="10"/>
  <c r="D5902" i="10"/>
  <c r="D4412" i="10"/>
  <c r="D761" i="10"/>
  <c r="D2590" i="10"/>
  <c r="D7530" i="10"/>
  <c r="D5901" i="10"/>
  <c r="D4411" i="10"/>
  <c r="D760" i="10"/>
  <c r="D2589" i="10"/>
  <c r="D7529" i="10"/>
  <c r="D5900" i="10"/>
  <c r="D4410" i="10"/>
  <c r="D759" i="10"/>
  <c r="D2588" i="10"/>
  <c r="D7528" i="10"/>
  <c r="D5899" i="10"/>
  <c r="D4409" i="10"/>
  <c r="D758" i="10"/>
  <c r="D2587" i="10"/>
  <c r="D2586" i="10"/>
  <c r="D2585" i="10"/>
  <c r="D7527" i="10"/>
  <c r="D5898" i="10"/>
  <c r="D4408" i="10"/>
  <c r="D757" i="10"/>
  <c r="D2584" i="10"/>
  <c r="D7526" i="10"/>
  <c r="D5897" i="10"/>
  <c r="D4407" i="10"/>
  <c r="D756" i="10"/>
  <c r="D2583" i="10"/>
  <c r="D7525" i="10"/>
  <c r="D5896" i="10"/>
  <c r="D4406" i="10"/>
  <c r="D755" i="10"/>
  <c r="D2582" i="10"/>
  <c r="D7524" i="10"/>
  <c r="D5895" i="10"/>
  <c r="D4405" i="10"/>
  <c r="D754" i="10"/>
  <c r="D2581" i="10"/>
  <c r="D7523" i="10"/>
  <c r="D5894" i="10"/>
  <c r="D4404" i="10"/>
  <c r="D753" i="10"/>
  <c r="D2580" i="10"/>
  <c r="D2579" i="10"/>
  <c r="D2578" i="10"/>
  <c r="D7522" i="10"/>
  <c r="D5893" i="10"/>
  <c r="D4403" i="10"/>
  <c r="D752" i="10"/>
  <c r="D2577" i="10"/>
  <c r="D7521" i="10"/>
  <c r="D5892" i="10"/>
  <c r="D4402" i="10"/>
  <c r="D751" i="10"/>
  <c r="D2576" i="10"/>
  <c r="D7520" i="10"/>
  <c r="D5891" i="10"/>
  <c r="D4401" i="10"/>
  <c r="D750" i="10"/>
  <c r="D2575" i="10"/>
  <c r="D7519" i="10"/>
  <c r="D5890" i="10"/>
  <c r="D4400" i="10"/>
  <c r="D749" i="10"/>
  <c r="D2574" i="10"/>
  <c r="D2573" i="10"/>
  <c r="D2572" i="10"/>
  <c r="D2571" i="10"/>
  <c r="D7518" i="10"/>
  <c r="D5889" i="10"/>
  <c r="D4399" i="10"/>
  <c r="D748" i="10"/>
  <c r="D2570" i="10"/>
  <c r="D7517" i="10"/>
  <c r="D5888" i="10"/>
  <c r="D4398" i="10"/>
  <c r="D747" i="10"/>
  <c r="D2569" i="10"/>
  <c r="D7516" i="10"/>
  <c r="D5887" i="10"/>
  <c r="D4397" i="10"/>
  <c r="D746" i="10"/>
  <c r="D2568" i="10"/>
  <c r="D7515" i="10"/>
  <c r="D5886" i="10"/>
  <c r="D4396" i="10"/>
  <c r="D745" i="10"/>
  <c r="D2567" i="10"/>
  <c r="D7514" i="10"/>
  <c r="D5885" i="10"/>
  <c r="D4395" i="10"/>
  <c r="D744" i="10"/>
  <c r="D2566" i="10"/>
  <c r="D2565" i="10"/>
  <c r="D2564" i="10"/>
  <c r="D7513" i="10"/>
  <c r="D5884" i="10"/>
  <c r="D4394" i="10"/>
  <c r="D743" i="10"/>
  <c r="D2563" i="10"/>
  <c r="D7512" i="10"/>
  <c r="D5883" i="10"/>
  <c r="D4393" i="10"/>
  <c r="D742" i="10"/>
  <c r="D2562" i="10"/>
  <c r="D7511" i="10"/>
  <c r="D5882" i="10"/>
  <c r="D4392" i="10"/>
  <c r="D741" i="10"/>
  <c r="D2561" i="10"/>
  <c r="D7510" i="10"/>
  <c r="D5881" i="10"/>
  <c r="D4391" i="10"/>
  <c r="D740" i="10"/>
  <c r="D2560" i="10"/>
  <c r="D7509" i="10"/>
  <c r="D5880" i="10"/>
  <c r="D4390" i="10"/>
  <c r="D739" i="10"/>
  <c r="D2559" i="10"/>
  <c r="D2558" i="10"/>
  <c r="D2557" i="10"/>
  <c r="D7508" i="10"/>
  <c r="D5879" i="10"/>
  <c r="D4389" i="10"/>
  <c r="D738" i="10"/>
  <c r="D2556" i="10"/>
  <c r="D7507" i="10"/>
  <c r="D5878" i="10"/>
  <c r="D4388" i="10"/>
  <c r="D737" i="10"/>
  <c r="D2555" i="10"/>
  <c r="D7506" i="10"/>
  <c r="D5877" i="10"/>
  <c r="D4387" i="10"/>
  <c r="D736" i="10"/>
  <c r="D2554" i="10"/>
  <c r="D7505" i="10"/>
  <c r="D5876" i="10"/>
  <c r="D4386" i="10"/>
  <c r="D735" i="10"/>
  <c r="D2553" i="10"/>
  <c r="D7504" i="10"/>
  <c r="D5875" i="10"/>
  <c r="D4385" i="10"/>
  <c r="D734" i="10"/>
  <c r="D2552" i="10"/>
  <c r="D2551" i="10"/>
  <c r="D2550" i="10"/>
  <c r="D2549" i="10"/>
  <c r="D7503" i="10"/>
  <c r="D5874" i="10"/>
  <c r="D4384" i="10"/>
  <c r="D733" i="10"/>
  <c r="D2548" i="10"/>
  <c r="D7502" i="10"/>
  <c r="D5873" i="10"/>
  <c r="D4383" i="10"/>
  <c r="D732" i="10"/>
  <c r="D2547" i="10"/>
  <c r="D7501" i="10"/>
  <c r="D5872" i="10"/>
  <c r="D4382" i="10"/>
  <c r="D731" i="10"/>
  <c r="D2546" i="10"/>
  <c r="D7500" i="10"/>
  <c r="D5871" i="10"/>
  <c r="D4381" i="10"/>
  <c r="D730" i="10"/>
  <c r="D2545" i="10"/>
  <c r="D2544" i="10"/>
  <c r="D2543" i="10"/>
  <c r="D7499" i="10"/>
  <c r="D5870" i="10"/>
  <c r="D4380" i="10"/>
  <c r="D729" i="10"/>
  <c r="D2542" i="10"/>
  <c r="D7498" i="10"/>
  <c r="D5869" i="10"/>
  <c r="D4379" i="10"/>
  <c r="D728" i="10"/>
  <c r="D2541" i="10"/>
  <c r="D7497" i="10"/>
  <c r="D5868" i="10"/>
  <c r="D4378" i="10"/>
  <c r="D727" i="10"/>
  <c r="D2540" i="10"/>
  <c r="D7496" i="10"/>
  <c r="D5867" i="10"/>
  <c r="D4377" i="10"/>
  <c r="D726" i="10"/>
  <c r="D2539" i="10"/>
  <c r="D7495" i="10"/>
  <c r="D5866" i="10"/>
  <c r="D4376" i="10"/>
  <c r="D725" i="10"/>
  <c r="D2538" i="10"/>
  <c r="D2537" i="10"/>
  <c r="D2536" i="10"/>
  <c r="D7494" i="10"/>
  <c r="D5865" i="10"/>
  <c r="D4375" i="10"/>
  <c r="D724" i="10"/>
  <c r="D2535" i="10"/>
  <c r="D7493" i="10"/>
  <c r="D5864" i="10"/>
  <c r="D4374" i="10"/>
  <c r="D723" i="10"/>
  <c r="D2534" i="10"/>
  <c r="D7492" i="10"/>
  <c r="D5863" i="10"/>
  <c r="D4373" i="10"/>
  <c r="D722" i="10"/>
  <c r="D2533" i="10"/>
  <c r="D7491" i="10"/>
  <c r="D5862" i="10"/>
  <c r="D4372" i="10"/>
  <c r="D721" i="10"/>
  <c r="D2532" i="10"/>
  <c r="D7490" i="10"/>
  <c r="D5861" i="10"/>
  <c r="D4371" i="10"/>
  <c r="D720" i="10"/>
  <c r="D2531" i="10"/>
  <c r="D2530" i="10"/>
  <c r="D2529" i="10"/>
  <c r="D7489" i="10"/>
  <c r="D5860" i="10"/>
  <c r="D4370" i="10"/>
  <c r="D719" i="10"/>
  <c r="D2528" i="10"/>
  <c r="D7488" i="10"/>
  <c r="D5859" i="10"/>
  <c r="D4369" i="10"/>
  <c r="D718" i="10"/>
  <c r="D2527" i="10"/>
  <c r="D7487" i="10"/>
  <c r="D5858" i="10"/>
  <c r="D4368" i="10"/>
  <c r="D717" i="10"/>
  <c r="D2526" i="10"/>
  <c r="D7486" i="10"/>
  <c r="D5857" i="10"/>
  <c r="D4367" i="10"/>
  <c r="D716" i="10"/>
  <c r="D2525" i="10"/>
  <c r="D7485" i="10"/>
  <c r="D5856" i="10"/>
  <c r="D4366" i="10"/>
  <c r="D715" i="10"/>
  <c r="D2524" i="10"/>
  <c r="D2523" i="10"/>
  <c r="D2522" i="10"/>
  <c r="D7484" i="10"/>
  <c r="D5855" i="10"/>
  <c r="D4365" i="10"/>
  <c r="D714" i="10"/>
  <c r="D2521" i="10"/>
  <c r="D2520" i="10"/>
  <c r="D7483" i="10"/>
  <c r="D5854" i="10"/>
  <c r="D4364" i="10"/>
  <c r="D713" i="10"/>
  <c r="D2519" i="10"/>
  <c r="D7482" i="10"/>
  <c r="D5853" i="10"/>
  <c r="D4363" i="10"/>
  <c r="D712" i="10"/>
  <c r="D2518" i="10"/>
  <c r="D7481" i="10"/>
  <c r="D5852" i="10"/>
  <c r="D4362" i="10"/>
  <c r="D711" i="10"/>
  <c r="D2517" i="10"/>
  <c r="D2516" i="10"/>
  <c r="D2515" i="10"/>
  <c r="D7480" i="10"/>
  <c r="D5851" i="10"/>
  <c r="D4361" i="10"/>
  <c r="D710" i="10"/>
  <c r="D2514" i="10"/>
  <c r="D7479" i="10"/>
  <c r="D5850" i="10"/>
  <c r="D4360" i="10"/>
  <c r="D709" i="10"/>
  <c r="D2513" i="10"/>
  <c r="D7478" i="10"/>
  <c r="D5849" i="10"/>
  <c r="D4359" i="10"/>
  <c r="D708" i="10"/>
  <c r="D2512" i="10"/>
  <c r="D7477" i="10"/>
  <c r="D5848" i="10"/>
  <c r="D4358" i="10"/>
  <c r="D707" i="10"/>
  <c r="D2511" i="10"/>
  <c r="D7476" i="10"/>
  <c r="D5847" i="10"/>
  <c r="D4357" i="10"/>
  <c r="D706" i="10"/>
  <c r="D2510" i="10"/>
  <c r="D2509" i="10"/>
  <c r="D2508" i="10"/>
  <c r="D7475" i="10"/>
  <c r="D5846" i="10"/>
  <c r="D4356" i="10"/>
  <c r="D705" i="10"/>
  <c r="D2507" i="10"/>
  <c r="D7474" i="10"/>
  <c r="D5845" i="10"/>
  <c r="D4355" i="10"/>
  <c r="D704" i="10"/>
  <c r="D2506" i="10"/>
  <c r="D7473" i="10"/>
  <c r="D5844" i="10"/>
  <c r="D4354" i="10"/>
  <c r="D703" i="10"/>
  <c r="D2505" i="10"/>
  <c r="D7472" i="10"/>
  <c r="D5843" i="10"/>
  <c r="D4353" i="10"/>
  <c r="D702" i="10"/>
  <c r="D2504" i="10"/>
  <c r="D7471" i="10"/>
  <c r="D5842" i="10"/>
  <c r="D4352" i="10"/>
  <c r="D701" i="10"/>
  <c r="D2503" i="10"/>
  <c r="D2502" i="10"/>
  <c r="D2501" i="10"/>
  <c r="D7470" i="10"/>
  <c r="D5841" i="10"/>
  <c r="D4351" i="10"/>
  <c r="D700" i="10"/>
  <c r="D2500" i="10"/>
  <c r="D7469" i="10"/>
  <c r="D5840" i="10"/>
  <c r="D4350" i="10"/>
  <c r="D699" i="10"/>
  <c r="D2499" i="10"/>
  <c r="D7468" i="10"/>
  <c r="D5839" i="10"/>
  <c r="D4349" i="10"/>
  <c r="D698" i="10"/>
  <c r="D2498" i="10"/>
  <c r="D7467" i="10"/>
  <c r="D5838" i="10"/>
  <c r="D4348" i="10"/>
  <c r="D697" i="10"/>
  <c r="D2497" i="10"/>
  <c r="D7466" i="10"/>
  <c r="D5837" i="10"/>
  <c r="D4347" i="10"/>
  <c r="D696" i="10"/>
  <c r="D2496" i="10"/>
  <c r="D2495" i="10"/>
  <c r="D2494" i="10"/>
  <c r="D7465" i="10"/>
  <c r="D5836" i="10"/>
  <c r="D4346" i="10"/>
  <c r="D695" i="10"/>
  <c r="D2493" i="10"/>
  <c r="D7464" i="10"/>
  <c r="D5835" i="10"/>
  <c r="D4345" i="10"/>
  <c r="D694" i="10"/>
  <c r="D2492" i="10"/>
  <c r="D7463" i="10"/>
  <c r="D5834" i="10"/>
  <c r="D4344" i="10"/>
  <c r="D693" i="10"/>
  <c r="D2491" i="10"/>
  <c r="D7462" i="10"/>
  <c r="D5833" i="10"/>
  <c r="D4343" i="10"/>
  <c r="D692" i="10"/>
  <c r="D2490" i="10"/>
  <c r="D7461" i="10"/>
  <c r="D5832" i="10"/>
  <c r="D4342" i="10"/>
  <c r="D691" i="10"/>
  <c r="D2489" i="10"/>
  <c r="D2488" i="10"/>
  <c r="D2487" i="10"/>
  <c r="D7460" i="10"/>
  <c r="D5831" i="10"/>
  <c r="D4341" i="10"/>
  <c r="D690" i="10"/>
  <c r="D2486" i="10"/>
  <c r="D7459" i="10"/>
  <c r="D5830" i="10"/>
  <c r="D4340" i="10"/>
  <c r="D689" i="10"/>
  <c r="D2485" i="10"/>
  <c r="D7458" i="10"/>
  <c r="D5829" i="10"/>
  <c r="D4339" i="10"/>
  <c r="D688" i="10"/>
  <c r="D2484" i="10"/>
  <c r="D7457" i="10"/>
  <c r="D5828" i="10"/>
  <c r="D4338" i="10"/>
  <c r="D687" i="10"/>
  <c r="D2483" i="10"/>
  <c r="D7456" i="10"/>
  <c r="D5827" i="10"/>
  <c r="D4337" i="10"/>
  <c r="D686" i="10"/>
  <c r="D2482" i="10"/>
  <c r="D2481" i="10"/>
  <c r="D2480" i="10"/>
  <c r="D7455" i="10"/>
  <c r="D5826" i="10"/>
  <c r="D4336" i="10"/>
  <c r="D685" i="10"/>
  <c r="D2479" i="10"/>
  <c r="D7454" i="10"/>
  <c r="D5825" i="10"/>
  <c r="D4335" i="10"/>
  <c r="D684" i="10"/>
  <c r="D2478" i="10"/>
  <c r="D7453" i="10"/>
  <c r="D5824" i="10"/>
  <c r="D4334" i="10"/>
  <c r="D683" i="10"/>
  <c r="D2477" i="10"/>
  <c r="D7452" i="10"/>
  <c r="D5823" i="10"/>
  <c r="D4333" i="10"/>
  <c r="D682" i="10"/>
  <c r="D2476" i="10"/>
  <c r="D7451" i="10"/>
  <c r="D5822" i="10"/>
  <c r="D4332" i="10"/>
  <c r="D681" i="10"/>
  <c r="D2475" i="10"/>
  <c r="D2474" i="10"/>
  <c r="D2473" i="10"/>
  <c r="D7450" i="10"/>
  <c r="D5821" i="10"/>
  <c r="D4331" i="10"/>
  <c r="D680" i="10"/>
  <c r="D2472" i="10"/>
  <c r="D7449" i="10"/>
  <c r="D5820" i="10"/>
  <c r="D4330" i="10"/>
  <c r="D679" i="10"/>
  <c r="D2471" i="10"/>
  <c r="D7448" i="10"/>
  <c r="D5819" i="10"/>
  <c r="D4329" i="10"/>
  <c r="D678" i="10"/>
  <c r="D2470" i="10"/>
  <c r="D7447" i="10"/>
  <c r="D5818" i="10"/>
  <c r="D4328" i="10"/>
  <c r="D677" i="10"/>
  <c r="D2469" i="10"/>
  <c r="D7446" i="10"/>
  <c r="D5817" i="10"/>
  <c r="D4327" i="10"/>
  <c r="D676" i="10"/>
  <c r="D2468" i="10"/>
  <c r="D2467" i="10"/>
  <c r="D2466" i="10"/>
  <c r="D7445" i="10"/>
  <c r="D5816" i="10"/>
  <c r="D4326" i="10"/>
  <c r="D675" i="10"/>
  <c r="D2465" i="10"/>
  <c r="D7444" i="10"/>
  <c r="D5815" i="10"/>
  <c r="D4325" i="10"/>
  <c r="D674" i="10"/>
  <c r="D2464" i="10"/>
  <c r="D7443" i="10"/>
  <c r="D5814" i="10"/>
  <c r="D4324" i="10"/>
  <c r="D673" i="10"/>
  <c r="D2463" i="10"/>
  <c r="D7442" i="10"/>
  <c r="D5813" i="10"/>
  <c r="D4323" i="10"/>
  <c r="D672" i="10"/>
  <c r="D2462" i="10"/>
  <c r="D7441" i="10"/>
  <c r="D5812" i="10"/>
  <c r="D4322" i="10"/>
  <c r="D671" i="10"/>
  <c r="D2461" i="10"/>
  <c r="D2460" i="10"/>
  <c r="D2459" i="10"/>
  <c r="D7440" i="10"/>
  <c r="D5811" i="10"/>
  <c r="D4321" i="10"/>
  <c r="D670" i="10"/>
  <c r="D2458" i="10"/>
  <c r="D7439" i="10"/>
  <c r="D5810" i="10"/>
  <c r="D4320" i="10"/>
  <c r="D669" i="10"/>
  <c r="D2457" i="10"/>
  <c r="D7438" i="10"/>
  <c r="D5809" i="10"/>
  <c r="D4319" i="10"/>
  <c r="D668" i="10"/>
  <c r="D2456" i="10"/>
  <c r="D7437" i="10"/>
  <c r="D5808" i="10"/>
  <c r="D4318" i="10"/>
  <c r="D667" i="10"/>
  <c r="D2455" i="10"/>
  <c r="D7436" i="10"/>
  <c r="D5807" i="10"/>
  <c r="D4317" i="10"/>
  <c r="D666" i="10"/>
  <c r="D2454" i="10"/>
  <c r="D2453" i="10"/>
  <c r="D2452" i="10"/>
  <c r="D7435" i="10"/>
  <c r="D5806" i="10"/>
  <c r="D4316" i="10"/>
  <c r="D665" i="10"/>
  <c r="D2451" i="10"/>
  <c r="D7434" i="10"/>
  <c r="D5805" i="10"/>
  <c r="D4315" i="10"/>
  <c r="D664" i="10"/>
  <c r="D2450" i="10"/>
  <c r="D7433" i="10"/>
  <c r="D5804" i="10"/>
  <c r="D4314" i="10"/>
  <c r="D663" i="10"/>
  <c r="D2449" i="10"/>
  <c r="D7432" i="10"/>
  <c r="D5803" i="10"/>
  <c r="D4313" i="10"/>
  <c r="D662" i="10"/>
  <c r="D2448" i="10"/>
  <c r="D7431" i="10"/>
  <c r="D5802" i="10"/>
  <c r="D4312" i="10"/>
  <c r="D661" i="10"/>
  <c r="D2447" i="10"/>
  <c r="D2446" i="10"/>
  <c r="D2445" i="10"/>
  <c r="D7430" i="10"/>
  <c r="D5801" i="10"/>
  <c r="D4311" i="10"/>
  <c r="D660" i="10"/>
  <c r="D2444" i="10"/>
  <c r="D7429" i="10"/>
  <c r="D5800" i="10"/>
  <c r="D4310" i="10"/>
  <c r="D659" i="10"/>
  <c r="D2443" i="10"/>
  <c r="D7428" i="10"/>
  <c r="D5799" i="10"/>
  <c r="D4309" i="10"/>
  <c r="D658" i="10"/>
  <c r="D2442" i="10"/>
  <c r="D7427" i="10"/>
  <c r="D5798" i="10"/>
  <c r="D4308" i="10"/>
  <c r="D657" i="10"/>
  <c r="D2441" i="10"/>
  <c r="D2440" i="10"/>
  <c r="D2439" i="10"/>
  <c r="D2438" i="10"/>
  <c r="D7426" i="10"/>
  <c r="D5797" i="10"/>
  <c r="D4307" i="10"/>
  <c r="D656" i="10"/>
  <c r="D2437" i="10"/>
  <c r="D7425" i="10"/>
  <c r="D5796" i="10"/>
  <c r="D4306" i="10"/>
  <c r="D655" i="10"/>
  <c r="D2436" i="10"/>
  <c r="D7424" i="10"/>
  <c r="D5795" i="10"/>
  <c r="D4305" i="10"/>
  <c r="D654" i="10"/>
  <c r="D2435" i="10"/>
  <c r="D7423" i="10"/>
  <c r="D5794" i="10"/>
  <c r="D4304" i="10"/>
  <c r="D653" i="10"/>
  <c r="D2434" i="10"/>
  <c r="D7422" i="10"/>
  <c r="D5793" i="10"/>
  <c r="D4303" i="10"/>
  <c r="D652" i="10"/>
  <c r="D2433" i="10"/>
  <c r="D2432" i="10"/>
  <c r="D2431" i="10"/>
  <c r="D7421" i="10"/>
  <c r="D5792" i="10"/>
  <c r="D4302" i="10"/>
  <c r="D651" i="10"/>
  <c r="D2430" i="10"/>
  <c r="D7420" i="10"/>
  <c r="D5791" i="10"/>
  <c r="D4301" i="10"/>
  <c r="D650" i="10"/>
  <c r="D2429" i="10"/>
  <c r="D7419" i="10"/>
  <c r="D5790" i="10"/>
  <c r="D4300" i="10"/>
  <c r="D649" i="10"/>
  <c r="D2428" i="10"/>
  <c r="D7418" i="10"/>
  <c r="D5789" i="10"/>
  <c r="D4299" i="10"/>
  <c r="D648" i="10"/>
  <c r="D2427" i="10"/>
  <c r="D7417" i="10"/>
  <c r="D5788" i="10"/>
  <c r="D4298" i="10"/>
  <c r="D647" i="10"/>
  <c r="D2426" i="10"/>
  <c r="D2425" i="10"/>
  <c r="D2424" i="10"/>
  <c r="D7416" i="10"/>
  <c r="D5787" i="10"/>
  <c r="D4297" i="10"/>
  <c r="D646" i="10"/>
  <c r="D2423" i="10"/>
  <c r="D7415" i="10"/>
  <c r="D5786" i="10"/>
  <c r="D4296" i="10"/>
  <c r="D645" i="10"/>
  <c r="D2422" i="10"/>
  <c r="D7414" i="10"/>
  <c r="D5785" i="10"/>
  <c r="D4295" i="10"/>
  <c r="D644" i="10"/>
  <c r="D2421" i="10"/>
  <c r="D7413" i="10"/>
  <c r="D5784" i="10"/>
  <c r="D4294" i="10"/>
  <c r="D643" i="10"/>
  <c r="D2420" i="10"/>
  <c r="D7412" i="10"/>
  <c r="D5783" i="10"/>
  <c r="D4293" i="10"/>
  <c r="D642" i="10"/>
  <c r="D2419" i="10"/>
  <c r="D2418" i="10"/>
  <c r="D2417" i="10"/>
  <c r="D7411" i="10"/>
  <c r="D5782" i="10"/>
  <c r="D4292" i="10"/>
  <c r="D641" i="10"/>
  <c r="D2416" i="10"/>
  <c r="D7410" i="10"/>
  <c r="D5781" i="10"/>
  <c r="D4291" i="10"/>
  <c r="D640" i="10"/>
  <c r="D2415" i="10"/>
  <c r="D7409" i="10"/>
  <c r="D5780" i="10"/>
  <c r="D4290" i="10"/>
  <c r="D639" i="10"/>
  <c r="D2414" i="10"/>
  <c r="D7408" i="10"/>
  <c r="D5779" i="10"/>
  <c r="D4289" i="10"/>
  <c r="D638" i="10"/>
  <c r="D2413" i="10"/>
  <c r="D7407" i="10"/>
  <c r="D5778" i="10"/>
  <c r="D4288" i="10"/>
  <c r="D637" i="10"/>
  <c r="D2412" i="10"/>
  <c r="D2411" i="10"/>
  <c r="D2410" i="10"/>
  <c r="D7406" i="10"/>
  <c r="D5777" i="10"/>
  <c r="D4287" i="10"/>
  <c r="D636" i="10"/>
  <c r="D2409" i="10"/>
  <c r="D7405" i="10"/>
  <c r="D5776" i="10"/>
  <c r="D4286" i="10"/>
  <c r="D635" i="10"/>
  <c r="D2408" i="10"/>
  <c r="D7404" i="10"/>
  <c r="D5775" i="10"/>
  <c r="D4285" i="10"/>
  <c r="D634" i="10"/>
  <c r="D2407" i="10"/>
  <c r="D7403" i="10"/>
  <c r="D5774" i="10"/>
  <c r="D4284" i="10"/>
  <c r="D633" i="10"/>
  <c r="D2406" i="10"/>
  <c r="D7402" i="10"/>
  <c r="D5773" i="10"/>
  <c r="D4283" i="10"/>
  <c r="D632" i="10"/>
  <c r="D2405" i="10"/>
  <c r="D2404" i="10"/>
  <c r="D2403" i="10"/>
  <c r="D7401" i="10"/>
  <c r="D5772" i="10"/>
  <c r="D4282" i="10"/>
  <c r="D631" i="10"/>
  <c r="D2402" i="10"/>
  <c r="D7400" i="10"/>
  <c r="D5771" i="10"/>
  <c r="D4281" i="10"/>
  <c r="D630" i="10"/>
  <c r="D2401" i="10"/>
  <c r="D7399" i="10"/>
  <c r="D5770" i="10"/>
  <c r="D4280" i="10"/>
  <c r="D629" i="10"/>
  <c r="D2400" i="10"/>
  <c r="D7398" i="10"/>
  <c r="D5769" i="10"/>
  <c r="D4279" i="10"/>
  <c r="D628" i="10"/>
  <c r="D2399" i="10"/>
  <c r="D7397" i="10"/>
  <c r="D5768" i="10"/>
  <c r="D4278" i="10"/>
  <c r="D627" i="10"/>
  <c r="D2398" i="10"/>
  <c r="D2397" i="10"/>
  <c r="D2396" i="10"/>
  <c r="D7396" i="10"/>
  <c r="D5767" i="10"/>
  <c r="D4277" i="10"/>
  <c r="D626" i="10"/>
  <c r="D2395" i="10"/>
  <c r="D7395" i="10"/>
  <c r="D5766" i="10"/>
  <c r="D4276" i="10"/>
  <c r="D625" i="10"/>
  <c r="D2394" i="10"/>
  <c r="D7394" i="10"/>
  <c r="D5765" i="10"/>
  <c r="D4275" i="10"/>
  <c r="D624" i="10"/>
  <c r="D2393" i="10"/>
  <c r="D7393" i="10"/>
  <c r="D5764" i="10"/>
  <c r="D4274" i="10"/>
  <c r="D623" i="10"/>
  <c r="D2392" i="10"/>
  <c r="D7392" i="10"/>
  <c r="D5763" i="10"/>
  <c r="D4273" i="10"/>
  <c r="D622" i="10"/>
  <c r="D2391" i="10"/>
  <c r="D2390" i="10"/>
  <c r="D2389" i="10"/>
  <c r="D7391" i="10"/>
  <c r="D5762" i="10"/>
  <c r="D4272" i="10"/>
  <c r="D621" i="10"/>
  <c r="D2388" i="10"/>
  <c r="D7390" i="10"/>
  <c r="D5761" i="10"/>
  <c r="D4271" i="10"/>
  <c r="D620" i="10"/>
  <c r="D2387" i="10"/>
  <c r="D7389" i="10"/>
  <c r="D5760" i="10"/>
  <c r="D4270" i="10"/>
  <c r="D619" i="10"/>
  <c r="D2386" i="10"/>
  <c r="D7388" i="10"/>
  <c r="D5759" i="10"/>
  <c r="D4269" i="10"/>
  <c r="D618" i="10"/>
  <c r="D2385" i="10"/>
  <c r="D7387" i="10"/>
  <c r="D5758" i="10"/>
  <c r="D4268" i="10"/>
  <c r="D617" i="10"/>
  <c r="D2384" i="10"/>
  <c r="D2383" i="10"/>
  <c r="D2382" i="10"/>
  <c r="D7386" i="10"/>
  <c r="D5757" i="10"/>
  <c r="D4267" i="10"/>
  <c r="D616" i="10"/>
  <c r="D2381" i="10"/>
  <c r="D7385" i="10"/>
  <c r="D5756" i="10"/>
  <c r="D4266" i="10"/>
  <c r="D615" i="10"/>
  <c r="D2380" i="10"/>
  <c r="D7384" i="10"/>
  <c r="D5755" i="10"/>
  <c r="D4265" i="10"/>
  <c r="D614" i="10"/>
  <c r="D2379" i="10"/>
  <c r="D7383" i="10"/>
  <c r="D5754" i="10"/>
  <c r="D4264" i="10"/>
  <c r="D613" i="10"/>
  <c r="D2378" i="10"/>
  <c r="D2377" i="10"/>
  <c r="D2376" i="10"/>
  <c r="D2375" i="10"/>
  <c r="D7382" i="10"/>
  <c r="D5753" i="10"/>
  <c r="D4263" i="10"/>
  <c r="D612" i="10"/>
  <c r="D2374" i="10"/>
  <c r="D7381" i="10"/>
  <c r="D5752" i="10"/>
  <c r="D4262" i="10"/>
  <c r="D611" i="10"/>
  <c r="D2373" i="10"/>
  <c r="D7380" i="10"/>
  <c r="D5751" i="10"/>
  <c r="D4261" i="10"/>
  <c r="D610" i="10"/>
  <c r="D2372" i="10"/>
  <c r="D7379" i="10"/>
  <c r="D5750" i="10"/>
  <c r="D4260" i="10"/>
  <c r="D609" i="10"/>
  <c r="D2371" i="10"/>
  <c r="D7378" i="10"/>
  <c r="D5749" i="10"/>
  <c r="D4259" i="10"/>
  <c r="D608" i="10"/>
  <c r="D2370" i="10"/>
  <c r="D2369" i="10"/>
  <c r="D2368" i="10"/>
  <c r="D7377" i="10"/>
  <c r="D5748" i="10"/>
  <c r="D4258" i="10"/>
  <c r="D607" i="10"/>
  <c r="D2367" i="10"/>
  <c r="D7376" i="10"/>
  <c r="D5747" i="10"/>
  <c r="D4257" i="10"/>
  <c r="D606" i="10"/>
  <c r="D2366" i="10"/>
  <c r="D7375" i="10"/>
  <c r="D5746" i="10"/>
  <c r="D4256" i="10"/>
  <c r="D605" i="10"/>
  <c r="D2365" i="10"/>
  <c r="D7374" i="10"/>
  <c r="D5745" i="10"/>
  <c r="D4255" i="10"/>
  <c r="D604" i="10"/>
  <c r="D2364" i="10"/>
  <c r="D7373" i="10"/>
  <c r="D5744" i="10"/>
  <c r="D4254" i="10"/>
  <c r="D603" i="10"/>
  <c r="D2363" i="10"/>
  <c r="D2362" i="10"/>
  <c r="D2361" i="10"/>
  <c r="D7372" i="10"/>
  <c r="D5743" i="10"/>
  <c r="D4253" i="10"/>
  <c r="D602" i="10"/>
  <c r="D2360" i="10"/>
  <c r="D7371" i="10"/>
  <c r="D5742" i="10"/>
  <c r="D4252" i="10"/>
  <c r="D601" i="10"/>
  <c r="D2359" i="10"/>
  <c r="D7370" i="10"/>
  <c r="D5741" i="10"/>
  <c r="D4251" i="10"/>
  <c r="D600" i="10"/>
  <c r="D2358" i="10"/>
  <c r="D7369" i="10"/>
  <c r="D5740" i="10"/>
  <c r="D4250" i="10"/>
  <c r="D599" i="10"/>
  <c r="D2357" i="10"/>
  <c r="D7368" i="10"/>
  <c r="D5739" i="10"/>
  <c r="D4249" i="10"/>
  <c r="D598" i="10"/>
  <c r="D2356" i="10"/>
  <c r="D2355" i="10"/>
  <c r="D2354" i="10"/>
  <c r="D7367" i="10"/>
  <c r="D5738" i="10"/>
  <c r="D4248" i="10"/>
  <c r="D597" i="10"/>
  <c r="D2353" i="10"/>
  <c r="D7366" i="10"/>
  <c r="D5737" i="10"/>
  <c r="D4247" i="10"/>
  <c r="D596" i="10"/>
  <c r="D2352" i="10"/>
  <c r="D7365" i="10"/>
  <c r="D5736" i="10"/>
  <c r="D4246" i="10"/>
  <c r="D595" i="10"/>
  <c r="D2351" i="10"/>
  <c r="D7364" i="10"/>
  <c r="D5735" i="10"/>
  <c r="D4245" i="10"/>
  <c r="D594" i="10"/>
  <c r="D2350" i="10"/>
  <c r="D7363" i="10"/>
  <c r="D5734" i="10"/>
  <c r="D4244" i="10"/>
  <c r="D593" i="10"/>
  <c r="D2349" i="10"/>
  <c r="D2348" i="10"/>
  <c r="D2347" i="10"/>
  <c r="D7362" i="10"/>
  <c r="D5733" i="10"/>
  <c r="D4243" i="10"/>
  <c r="D592" i="10"/>
  <c r="D2346" i="10"/>
  <c r="D7361" i="10"/>
  <c r="D5732" i="10"/>
  <c r="D4242" i="10"/>
  <c r="D591" i="10"/>
  <c r="D2345" i="10"/>
  <c r="D7360" i="10"/>
  <c r="D5731" i="10"/>
  <c r="D4241" i="10"/>
  <c r="D590" i="10"/>
  <c r="D2344" i="10"/>
  <c r="D7359" i="10"/>
  <c r="D5730" i="10"/>
  <c r="D4240" i="10"/>
  <c r="D589" i="10"/>
  <c r="D2343" i="10"/>
  <c r="D2342" i="10"/>
  <c r="D2341" i="10"/>
  <c r="D2340" i="10"/>
  <c r="D7358" i="10"/>
  <c r="D5729" i="10"/>
  <c r="D4239" i="10"/>
  <c r="D588" i="10"/>
  <c r="D2339" i="10"/>
  <c r="D7357" i="10"/>
  <c r="D5728" i="10"/>
  <c r="D4238" i="10"/>
  <c r="D587" i="10"/>
  <c r="D2338" i="10"/>
  <c r="D7356" i="10"/>
  <c r="D5727" i="10"/>
  <c r="D4237" i="10"/>
  <c r="D586" i="10"/>
  <c r="D2337" i="10"/>
  <c r="D7355" i="10"/>
  <c r="D5726" i="10"/>
  <c r="D4236" i="10"/>
  <c r="D585" i="10"/>
  <c r="D2336" i="10"/>
  <c r="D7354" i="10"/>
  <c r="D5725" i="10"/>
  <c r="D4235" i="10"/>
  <c r="D584" i="10"/>
  <c r="D2335" i="10"/>
  <c r="D2334" i="10"/>
  <c r="D2333" i="10"/>
  <c r="D7353" i="10"/>
  <c r="D5724" i="10"/>
  <c r="D4234" i="10"/>
  <c r="D583" i="10"/>
  <c r="D2332" i="10"/>
  <c r="D7352" i="10"/>
  <c r="D5723" i="10"/>
  <c r="D4233" i="10"/>
  <c r="D582" i="10"/>
  <c r="D2331" i="10"/>
  <c r="D7351" i="10"/>
  <c r="D5722" i="10"/>
  <c r="D4232" i="10"/>
  <c r="D581" i="10"/>
  <c r="D2330" i="10"/>
  <c r="D7350" i="10"/>
  <c r="D5721" i="10"/>
  <c r="D4231" i="10"/>
  <c r="D580" i="10"/>
  <c r="D2329" i="10"/>
  <c r="D7349" i="10"/>
  <c r="D5720" i="10"/>
  <c r="D4230" i="10"/>
  <c r="D579" i="10"/>
  <c r="D2328" i="10"/>
  <c r="D2327" i="10"/>
  <c r="D2326" i="10"/>
  <c r="D7348" i="10"/>
  <c r="D5719" i="10"/>
  <c r="D4229" i="10"/>
  <c r="D578" i="10"/>
  <c r="D2325" i="10"/>
  <c r="D7347" i="10"/>
  <c r="D5718" i="10"/>
  <c r="D4228" i="10"/>
  <c r="D577" i="10"/>
  <c r="D2324" i="10"/>
  <c r="D7346" i="10"/>
  <c r="D5717" i="10"/>
  <c r="D4227" i="10"/>
  <c r="D576" i="10"/>
  <c r="D2323" i="10"/>
  <c r="D7345" i="10"/>
  <c r="D5716" i="10"/>
  <c r="D4226" i="10"/>
  <c r="D575" i="10"/>
  <c r="D2322" i="10"/>
  <c r="D7344" i="10"/>
  <c r="D5715" i="10"/>
  <c r="D4225" i="10"/>
  <c r="D574" i="10"/>
  <c r="D2321" i="10"/>
  <c r="D2320" i="10"/>
  <c r="D2319" i="10"/>
  <c r="D7343" i="10"/>
  <c r="D5714" i="10"/>
  <c r="D4224" i="10"/>
  <c r="D573" i="10"/>
  <c r="D2318" i="10"/>
  <c r="D7342" i="10"/>
  <c r="D5713" i="10"/>
  <c r="D4223" i="10"/>
  <c r="D572" i="10"/>
  <c r="D2317" i="10"/>
  <c r="D7341" i="10"/>
  <c r="D5712" i="10"/>
  <c r="D4222" i="10"/>
  <c r="D571" i="10"/>
  <c r="D2316" i="10"/>
  <c r="D7340" i="10"/>
  <c r="D5711" i="10"/>
  <c r="D4221" i="10"/>
  <c r="D570" i="10"/>
  <c r="D2315" i="10"/>
  <c r="D7339" i="10"/>
  <c r="D5710" i="10"/>
  <c r="D4220" i="10"/>
  <c r="D569" i="10"/>
  <c r="D2314" i="10"/>
  <c r="D2313" i="10"/>
  <c r="D2312" i="10"/>
  <c r="D7338" i="10"/>
  <c r="D5709" i="10"/>
  <c r="D4219" i="10"/>
  <c r="D568" i="10"/>
  <c r="D2311" i="10"/>
  <c r="D7337" i="10"/>
  <c r="D5708" i="10"/>
  <c r="D4218" i="10"/>
  <c r="D567" i="10"/>
  <c r="D2310" i="10"/>
  <c r="D7336" i="10"/>
  <c r="D5707" i="10"/>
  <c r="D4217" i="10"/>
  <c r="D566" i="10"/>
  <c r="D2309" i="10"/>
  <c r="D7335" i="10"/>
  <c r="D5706" i="10"/>
  <c r="D4216" i="10"/>
  <c r="D565" i="10"/>
  <c r="D2308" i="10"/>
  <c r="D7334" i="10"/>
  <c r="D5705" i="10"/>
  <c r="D4215" i="10"/>
  <c r="D564" i="10"/>
  <c r="D2307" i="10"/>
  <c r="D2306" i="10"/>
  <c r="D2305" i="10"/>
  <c r="D7333" i="10"/>
  <c r="D5704" i="10"/>
  <c r="D4214" i="10"/>
  <c r="D563" i="10"/>
  <c r="D2304" i="10"/>
  <c r="D7332" i="10"/>
  <c r="D5703" i="10"/>
  <c r="D4213" i="10"/>
  <c r="D562" i="10"/>
  <c r="D2303" i="10"/>
  <c r="D7331" i="10"/>
  <c r="D5702" i="10"/>
  <c r="D4212" i="10"/>
  <c r="D561" i="10"/>
  <c r="D2302" i="10"/>
  <c r="D7330" i="10"/>
  <c r="D5701" i="10"/>
  <c r="D4211" i="10"/>
  <c r="D560" i="10"/>
  <c r="D2301" i="10"/>
  <c r="D7329" i="10"/>
  <c r="D5700" i="10"/>
  <c r="D4210" i="10"/>
  <c r="D559" i="10"/>
  <c r="D2300" i="10"/>
  <c r="D2299" i="10"/>
  <c r="D2298" i="10"/>
  <c r="D7328" i="10"/>
  <c r="D5699" i="10"/>
  <c r="D4209" i="10"/>
  <c r="D558" i="10"/>
  <c r="D2297" i="10"/>
  <c r="D7327" i="10"/>
  <c r="D5698" i="10"/>
  <c r="D4208" i="10"/>
  <c r="D557" i="10"/>
  <c r="D2296" i="10"/>
  <c r="D7326" i="10"/>
  <c r="D5697" i="10"/>
  <c r="D4207" i="10"/>
  <c r="D556" i="10"/>
  <c r="D2295" i="10"/>
  <c r="D7325" i="10"/>
  <c r="D5696" i="10"/>
  <c r="D4206" i="10"/>
  <c r="D555" i="10"/>
  <c r="D2294" i="10"/>
  <c r="D7324" i="10"/>
  <c r="D5695" i="10"/>
  <c r="D4205" i="10"/>
  <c r="D554" i="10"/>
  <c r="D2293" i="10"/>
  <c r="D2292" i="10"/>
  <c r="D2291" i="10"/>
  <c r="D7323" i="10"/>
  <c r="D5694" i="10"/>
  <c r="D4204" i="10"/>
  <c r="D553" i="10"/>
  <c r="D2290" i="10"/>
  <c r="D7322" i="10"/>
  <c r="D5693" i="10"/>
  <c r="D4203" i="10"/>
  <c r="D552" i="10"/>
  <c r="D2289" i="10"/>
  <c r="D7321" i="10"/>
  <c r="D5692" i="10"/>
  <c r="D4202" i="10"/>
  <c r="D551" i="10"/>
  <c r="D2288" i="10"/>
  <c r="D7320" i="10"/>
  <c r="D5691" i="10"/>
  <c r="D4201" i="10"/>
  <c r="D550" i="10"/>
  <c r="D2287" i="10"/>
  <c r="D7319" i="10"/>
  <c r="D5690" i="10"/>
  <c r="D4200" i="10"/>
  <c r="D549" i="10"/>
  <c r="D2286" i="10"/>
  <c r="D2285" i="10"/>
  <c r="D2284" i="10"/>
  <c r="D2283" i="10"/>
  <c r="D7318" i="10"/>
  <c r="D5689" i="10"/>
  <c r="D4199" i="10"/>
  <c r="D548" i="10"/>
  <c r="D2282" i="10"/>
  <c r="D7317" i="10"/>
  <c r="D5688" i="10"/>
  <c r="D4198" i="10"/>
  <c r="D547" i="10"/>
  <c r="D2281" i="10"/>
  <c r="D7316" i="10"/>
  <c r="D5687" i="10"/>
  <c r="D4197" i="10"/>
  <c r="D546" i="10"/>
  <c r="D2280" i="10"/>
  <c r="D7315" i="10"/>
  <c r="D5686" i="10"/>
  <c r="D4196" i="10"/>
  <c r="D545" i="10"/>
  <c r="D2279" i="10"/>
  <c r="D2278" i="10"/>
  <c r="D2277" i="10"/>
  <c r="D7314" i="10"/>
  <c r="D5685" i="10"/>
  <c r="D4195" i="10"/>
  <c r="D544" i="10"/>
  <c r="D2276" i="10"/>
  <c r="D7313" i="10"/>
  <c r="D5684" i="10"/>
  <c r="D4194" i="10"/>
  <c r="D543" i="10"/>
  <c r="D2275" i="10"/>
  <c r="D7312" i="10"/>
  <c r="D5683" i="10"/>
  <c r="D4193" i="10"/>
  <c r="D542" i="10"/>
  <c r="D2274" i="10"/>
  <c r="D7311" i="10"/>
  <c r="D5682" i="10"/>
  <c r="D4192" i="10"/>
  <c r="D541" i="10"/>
  <c r="D2273" i="10"/>
  <c r="D7310" i="10"/>
  <c r="D5681" i="10"/>
  <c r="D4191" i="10"/>
  <c r="D540" i="10"/>
  <c r="D2272" i="10"/>
  <c r="D2271" i="10"/>
  <c r="D2270" i="10"/>
  <c r="D7309" i="10"/>
  <c r="D5680" i="10"/>
  <c r="D4190" i="10"/>
  <c r="D539" i="10"/>
  <c r="D2269" i="10"/>
  <c r="D7308" i="10"/>
  <c r="D5679" i="10"/>
  <c r="D4189" i="10"/>
  <c r="D538" i="10"/>
  <c r="D2268" i="10"/>
  <c r="D7307" i="10"/>
  <c r="D5678" i="10"/>
  <c r="D4188" i="10"/>
  <c r="D537" i="10"/>
  <c r="D2267" i="10"/>
  <c r="D7306" i="10"/>
  <c r="D5677" i="10"/>
  <c r="D4187" i="10"/>
  <c r="D536" i="10"/>
  <c r="D2266" i="10"/>
  <c r="D7305" i="10"/>
  <c r="D5676" i="10"/>
  <c r="D4186" i="10"/>
  <c r="D535" i="10"/>
  <c r="D2265" i="10"/>
  <c r="D2264" i="10"/>
  <c r="D2263" i="10"/>
  <c r="D7304" i="10"/>
  <c r="D5675" i="10"/>
  <c r="D4185" i="10"/>
  <c r="D534" i="10"/>
  <c r="D2262" i="10"/>
  <c r="D7303" i="10"/>
  <c r="D5674" i="10"/>
  <c r="D4184" i="10"/>
  <c r="D533" i="10"/>
  <c r="D2261" i="10"/>
  <c r="D7302" i="10"/>
  <c r="D5673" i="10"/>
  <c r="D4183" i="10"/>
  <c r="D532" i="10"/>
  <c r="D2260" i="10"/>
  <c r="D7301" i="10"/>
  <c r="D5672" i="10"/>
  <c r="D4182" i="10"/>
  <c r="D531" i="10"/>
  <c r="D2259" i="10"/>
  <c r="D7300" i="10"/>
  <c r="D5671" i="10"/>
  <c r="D4181" i="10"/>
  <c r="D530" i="10"/>
  <c r="D2258" i="10"/>
  <c r="D2257" i="10"/>
  <c r="D2256" i="10"/>
  <c r="D7299" i="10"/>
  <c r="D5670" i="10"/>
  <c r="D4180" i="10"/>
  <c r="D529" i="10"/>
  <c r="D2255" i="10"/>
  <c r="D7298" i="10"/>
  <c r="D5669" i="10"/>
  <c r="D4179" i="10"/>
  <c r="D528" i="10"/>
  <c r="D2254" i="10"/>
  <c r="D7297" i="10"/>
  <c r="D5668" i="10"/>
  <c r="D4178" i="10"/>
  <c r="D527" i="10"/>
  <c r="D2253" i="10"/>
  <c r="D7296" i="10"/>
  <c r="D5667" i="10"/>
  <c r="D4177" i="10"/>
  <c r="D526" i="10"/>
  <c r="D2252" i="10"/>
  <c r="D7295" i="10"/>
  <c r="D5666" i="10"/>
  <c r="D4176" i="10"/>
  <c r="D525" i="10"/>
  <c r="D2251" i="10"/>
  <c r="D2250" i="10"/>
  <c r="D2249" i="10"/>
  <c r="D7294" i="10"/>
  <c r="D5665" i="10"/>
  <c r="D4175" i="10"/>
  <c r="D524" i="10"/>
  <c r="D2248" i="10"/>
  <c r="D7293" i="10"/>
  <c r="D5664" i="10"/>
  <c r="D4174" i="10"/>
  <c r="D523" i="10"/>
  <c r="D2247" i="10"/>
  <c r="D7292" i="10"/>
  <c r="D5663" i="10"/>
  <c r="D4173" i="10"/>
  <c r="D522" i="10"/>
  <c r="D2246" i="10"/>
  <c r="D7291" i="10"/>
  <c r="D5662" i="10"/>
  <c r="D4172" i="10"/>
  <c r="D521" i="10"/>
  <c r="D2245" i="10"/>
  <c r="D7290" i="10"/>
  <c r="D5661" i="10"/>
  <c r="D4171" i="10"/>
  <c r="D520" i="10"/>
  <c r="D2244" i="10"/>
  <c r="D2243" i="10"/>
  <c r="D2242" i="10"/>
  <c r="D7289" i="10"/>
  <c r="D5660" i="10"/>
  <c r="D4170" i="10"/>
  <c r="D519" i="10"/>
  <c r="D2241" i="10"/>
  <c r="D7288" i="10"/>
  <c r="D5659" i="10"/>
  <c r="D4169" i="10"/>
  <c r="D518" i="10"/>
  <c r="D2240" i="10"/>
  <c r="D7287" i="10"/>
  <c r="D5658" i="10"/>
  <c r="D4168" i="10"/>
  <c r="D517" i="10"/>
  <c r="D2239" i="10"/>
  <c r="D7286" i="10"/>
  <c r="D5657" i="10"/>
  <c r="D4167" i="10"/>
  <c r="D516" i="10"/>
  <c r="D2238" i="10"/>
  <c r="D2237" i="10"/>
  <c r="D2236" i="10"/>
  <c r="D2235" i="10"/>
  <c r="D7285" i="10"/>
  <c r="D5656" i="10"/>
  <c r="D4166" i="10"/>
  <c r="D515" i="10"/>
  <c r="D2234" i="10"/>
  <c r="D7284" i="10"/>
  <c r="D5655" i="10"/>
  <c r="D4165" i="10"/>
  <c r="D514" i="10"/>
  <c r="D2233" i="10"/>
  <c r="D7283" i="10"/>
  <c r="D5654" i="10"/>
  <c r="D4164" i="10"/>
  <c r="D513" i="10"/>
  <c r="D2232" i="10"/>
  <c r="D7282" i="10"/>
  <c r="D5653" i="10"/>
  <c r="D4163" i="10"/>
  <c r="D512" i="10"/>
  <c r="D2231" i="10"/>
  <c r="D7281" i="10"/>
  <c r="D5652" i="10"/>
  <c r="D4162" i="10"/>
  <c r="D511" i="10"/>
  <c r="D2230" i="10"/>
  <c r="D2229" i="10"/>
  <c r="D2228" i="10"/>
  <c r="D7280" i="10"/>
  <c r="D5651" i="10"/>
  <c r="D4161" i="10"/>
  <c r="D510" i="10"/>
  <c r="D2227" i="10"/>
  <c r="D7279" i="10"/>
  <c r="D5650" i="10"/>
  <c r="D4160" i="10"/>
  <c r="D509" i="10"/>
  <c r="D2226" i="10"/>
  <c r="D7278" i="10"/>
  <c r="D5649" i="10"/>
  <c r="D4159" i="10"/>
  <c r="D508" i="10"/>
  <c r="D2225" i="10"/>
  <c r="D7277" i="10"/>
  <c r="D5648" i="10"/>
  <c r="D4158" i="10"/>
  <c r="D507" i="10"/>
  <c r="D2224" i="10"/>
  <c r="D7276" i="10"/>
  <c r="D5647" i="10"/>
  <c r="D4157" i="10"/>
  <c r="D506" i="10"/>
  <c r="D2223" i="10"/>
  <c r="D2222" i="10"/>
  <c r="D2221" i="10"/>
  <c r="D7275" i="10"/>
  <c r="D5646" i="10"/>
  <c r="D4156" i="10"/>
  <c r="D505" i="10"/>
  <c r="D2220" i="10"/>
  <c r="D7274" i="10"/>
  <c r="D5645" i="10"/>
  <c r="D4155" i="10"/>
  <c r="D504" i="10"/>
  <c r="D2219" i="10"/>
  <c r="D7273" i="10"/>
  <c r="D5644" i="10"/>
  <c r="D4154" i="10"/>
  <c r="D503" i="10"/>
  <c r="D2218" i="10"/>
  <c r="D7272" i="10"/>
  <c r="D5643" i="10"/>
  <c r="D4153" i="10"/>
  <c r="D502" i="10"/>
  <c r="D2217" i="10"/>
  <c r="D7271" i="10"/>
  <c r="D5642" i="10"/>
  <c r="D4152" i="10"/>
  <c r="D501" i="10"/>
  <c r="D2216" i="10"/>
  <c r="D2215" i="10"/>
  <c r="D2214" i="10"/>
  <c r="D7270" i="10"/>
  <c r="D5641" i="10"/>
  <c r="D4151" i="10"/>
  <c r="D500" i="10"/>
  <c r="D2213" i="10"/>
  <c r="D7269" i="10"/>
  <c r="D5640" i="10"/>
  <c r="D4150" i="10"/>
  <c r="D499" i="10"/>
  <c r="D2212" i="10"/>
  <c r="D7268" i="10"/>
  <c r="D5639" i="10"/>
  <c r="D4149" i="10"/>
  <c r="D498" i="10"/>
  <c r="D2211" i="10"/>
  <c r="D7267" i="10"/>
  <c r="D5638" i="10"/>
  <c r="D4148" i="10"/>
  <c r="D497" i="10"/>
  <c r="D2210" i="10"/>
  <c r="D2209" i="10"/>
  <c r="D2208" i="10"/>
  <c r="D2207" i="10"/>
  <c r="D7266" i="10"/>
  <c r="D5637" i="10"/>
  <c r="D4147" i="10"/>
  <c r="D496" i="10"/>
  <c r="D2206" i="10"/>
  <c r="D7265" i="10"/>
  <c r="D5636" i="10"/>
  <c r="D4146" i="10"/>
  <c r="D495" i="10"/>
  <c r="D2205" i="10"/>
  <c r="D7264" i="10"/>
  <c r="D5635" i="10"/>
  <c r="D4145" i="10"/>
  <c r="D494" i="10"/>
  <c r="D2204" i="10"/>
  <c r="D7263" i="10"/>
  <c r="D5634" i="10"/>
  <c r="D4144" i="10"/>
  <c r="D493" i="10"/>
  <c r="D2203" i="10"/>
  <c r="D7262" i="10"/>
  <c r="D5633" i="10"/>
  <c r="D4143" i="10"/>
  <c r="D492" i="10"/>
  <c r="D2202" i="10"/>
  <c r="D2201" i="10"/>
  <c r="D2200" i="10"/>
  <c r="D7261" i="10"/>
  <c r="D5632" i="10"/>
  <c r="D4142" i="10"/>
  <c r="D491" i="10"/>
  <c r="D2199" i="10"/>
  <c r="D7260" i="10"/>
  <c r="D5631" i="10"/>
  <c r="D4141" i="10"/>
  <c r="D490" i="10"/>
  <c r="D2198" i="10"/>
  <c r="D7259" i="10"/>
  <c r="D5630" i="10"/>
  <c r="D4140" i="10"/>
  <c r="D489" i="10"/>
  <c r="D2197" i="10"/>
  <c r="D7258" i="10"/>
  <c r="D5629" i="10"/>
  <c r="D4139" i="10"/>
  <c r="D488" i="10"/>
  <c r="D2196" i="10"/>
  <c r="D7257" i="10"/>
  <c r="D5628" i="10"/>
  <c r="D4138" i="10"/>
  <c r="D487" i="10"/>
  <c r="D2195" i="10"/>
  <c r="D2194" i="10"/>
  <c r="D2193" i="10"/>
  <c r="D2192" i="10"/>
  <c r="D7256" i="10"/>
  <c r="D5627" i="10"/>
  <c r="D4137" i="10"/>
  <c r="D486" i="10"/>
  <c r="D2191" i="10"/>
  <c r="D7255" i="10"/>
  <c r="D5626" i="10"/>
  <c r="D4136" i="10"/>
  <c r="D485" i="10"/>
  <c r="D2190" i="10"/>
  <c r="D7254" i="10"/>
  <c r="D5625" i="10"/>
  <c r="D4135" i="10"/>
  <c r="D484" i="10"/>
  <c r="D2189" i="10"/>
  <c r="D7253" i="10"/>
  <c r="D5624" i="10"/>
  <c r="D4134" i="10"/>
  <c r="D483" i="10"/>
  <c r="D2188" i="10"/>
  <c r="D2187" i="10"/>
  <c r="D2186" i="10"/>
  <c r="D2185" i="10"/>
  <c r="D7252" i="10"/>
  <c r="D5623" i="10"/>
  <c r="D4133" i="10"/>
  <c r="D482" i="10"/>
  <c r="D2184" i="10"/>
  <c r="D7251" i="10"/>
  <c r="D5622" i="10"/>
  <c r="D4132" i="10"/>
  <c r="D481" i="10"/>
  <c r="D2183" i="10"/>
  <c r="D7250" i="10"/>
  <c r="D5621" i="10"/>
  <c r="D4131" i="10"/>
  <c r="D480" i="10"/>
  <c r="D2182" i="10"/>
  <c r="D7249" i="10"/>
  <c r="D5620" i="10"/>
  <c r="D4130" i="10"/>
  <c r="D479" i="10"/>
  <c r="D2181" i="10"/>
  <c r="D2180" i="10"/>
  <c r="D2179" i="10"/>
  <c r="D7248" i="10"/>
  <c r="D5619" i="10"/>
  <c r="D4129" i="10"/>
  <c r="D478" i="10"/>
  <c r="D2178" i="10"/>
  <c r="D7247" i="10"/>
  <c r="D5618" i="10"/>
  <c r="D4128" i="10"/>
  <c r="D477" i="10"/>
  <c r="D2177" i="10"/>
  <c r="D7246" i="10"/>
  <c r="D5617" i="10"/>
  <c r="D4127" i="10"/>
  <c r="D476" i="10"/>
  <c r="D2176" i="10"/>
  <c r="D7245" i="10"/>
  <c r="D5616" i="10"/>
  <c r="D4126" i="10"/>
  <c r="D475" i="10"/>
  <c r="D2175" i="10"/>
  <c r="D7244" i="10"/>
  <c r="D5615" i="10"/>
  <c r="D4125" i="10"/>
  <c r="D474" i="10"/>
  <c r="D2174" i="10"/>
  <c r="D2173" i="10"/>
  <c r="D2172" i="10"/>
  <c r="D7243" i="10"/>
  <c r="D5614" i="10"/>
  <c r="D4124" i="10"/>
  <c r="D473" i="10"/>
  <c r="D2171" i="10"/>
  <c r="D7242" i="10"/>
  <c r="D5613" i="10"/>
  <c r="D4123" i="10"/>
  <c r="D472" i="10"/>
  <c r="D2170" i="10"/>
  <c r="D7241" i="10"/>
  <c r="D5612" i="10"/>
  <c r="D4122" i="10"/>
  <c r="D471" i="10"/>
  <c r="D2169" i="10"/>
  <c r="D7240" i="10"/>
  <c r="D5611" i="10"/>
  <c r="D4121" i="10"/>
  <c r="D470" i="10"/>
  <c r="D2168" i="10"/>
  <c r="D7239" i="10"/>
  <c r="D5610" i="10"/>
  <c r="D4120" i="10"/>
  <c r="D469" i="10"/>
  <c r="D2167" i="10"/>
  <c r="D2166" i="10"/>
  <c r="D2165" i="10"/>
  <c r="D7238" i="10"/>
  <c r="D5609" i="10"/>
  <c r="D4119" i="10"/>
  <c r="D468" i="10"/>
  <c r="D2164" i="10"/>
  <c r="D7237" i="10"/>
  <c r="D5608" i="10"/>
  <c r="D4118" i="10"/>
  <c r="D467" i="10"/>
  <c r="D2163" i="10"/>
  <c r="D7236" i="10"/>
  <c r="D5607" i="10"/>
  <c r="D4117" i="10"/>
  <c r="D466" i="10"/>
  <c r="D2162" i="10"/>
  <c r="D7235" i="10"/>
  <c r="D5606" i="10"/>
  <c r="D4116" i="10"/>
  <c r="D465" i="10"/>
  <c r="D2161" i="10"/>
  <c r="D7234" i="10"/>
  <c r="D5605" i="10"/>
  <c r="D4115" i="10"/>
  <c r="D464" i="10"/>
  <c r="D2160" i="10"/>
  <c r="D2159" i="10"/>
  <c r="D2158" i="10"/>
  <c r="D7233" i="10"/>
  <c r="D5604" i="10"/>
  <c r="D4114" i="10"/>
  <c r="D463" i="10"/>
  <c r="D2157" i="10"/>
  <c r="D2156" i="10"/>
  <c r="D7232" i="10"/>
  <c r="D5603" i="10"/>
  <c r="D4113" i="10"/>
  <c r="D462" i="10"/>
  <c r="D2155" i="10"/>
  <c r="D7231" i="10"/>
  <c r="D5602" i="10"/>
  <c r="D4112" i="10"/>
  <c r="D461" i="10"/>
  <c r="D2154" i="10"/>
  <c r="D7230" i="10"/>
  <c r="D5601" i="10"/>
  <c r="D4111" i="10"/>
  <c r="D460" i="10"/>
  <c r="D2153" i="10"/>
  <c r="D2152" i="10"/>
  <c r="D2151" i="10"/>
  <c r="D7229" i="10"/>
  <c r="D5600" i="10"/>
  <c r="D4110" i="10"/>
  <c r="D459" i="10"/>
  <c r="D2150" i="10"/>
  <c r="D7228" i="10"/>
  <c r="D5599" i="10"/>
  <c r="D4109" i="10"/>
  <c r="D458" i="10"/>
  <c r="D2149" i="10"/>
  <c r="D7227" i="10"/>
  <c r="D5598" i="10"/>
  <c r="D4108" i="10"/>
  <c r="D457" i="10"/>
  <c r="D2148" i="10"/>
  <c r="D7226" i="10"/>
  <c r="D5597" i="10"/>
  <c r="D4107" i="10"/>
  <c r="D456" i="10"/>
  <c r="D2147" i="10"/>
  <c r="D7225" i="10"/>
  <c r="D5596" i="10"/>
  <c r="D4106" i="10"/>
  <c r="D455" i="10"/>
  <c r="D2146" i="10"/>
  <c r="D2145" i="10"/>
  <c r="D2144" i="10"/>
  <c r="D7224" i="10"/>
  <c r="D5595" i="10"/>
  <c r="D4105" i="10"/>
  <c r="D454" i="10"/>
  <c r="D2143" i="10"/>
  <c r="D7223" i="10"/>
  <c r="D5594" i="10"/>
  <c r="D4104" i="10"/>
  <c r="D453" i="10"/>
  <c r="D2142" i="10"/>
  <c r="D7222" i="10"/>
  <c r="D5593" i="10"/>
  <c r="D4103" i="10"/>
  <c r="D452" i="10"/>
  <c r="D2141" i="10"/>
  <c r="D7221" i="10"/>
  <c r="D5592" i="10"/>
  <c r="D4102" i="10"/>
  <c r="D451" i="10"/>
  <c r="D2140" i="10"/>
  <c r="D7220" i="10"/>
  <c r="D5591" i="10"/>
  <c r="D4101" i="10"/>
  <c r="D450" i="10"/>
  <c r="D2139" i="10"/>
  <c r="D2138" i="10"/>
  <c r="D2137" i="10"/>
  <c r="D7219" i="10"/>
  <c r="D5590" i="10"/>
  <c r="D4100" i="10"/>
  <c r="D449" i="10"/>
  <c r="D2136" i="10"/>
  <c r="D7218" i="10"/>
  <c r="D5589" i="10"/>
  <c r="D4099" i="10"/>
  <c r="D448" i="10"/>
  <c r="D2135" i="10"/>
  <c r="D7217" i="10"/>
  <c r="D5588" i="10"/>
  <c r="D4098" i="10"/>
  <c r="D447" i="10"/>
  <c r="D2134" i="10"/>
  <c r="D7216" i="10"/>
  <c r="D5587" i="10"/>
  <c r="D4097" i="10"/>
  <c r="D446" i="10"/>
  <c r="D2133" i="10"/>
  <c r="D7215" i="10"/>
  <c r="D5586" i="10"/>
  <c r="D4096" i="10"/>
  <c r="D445" i="10"/>
  <c r="D2132" i="10"/>
  <c r="D2131" i="10"/>
  <c r="D2130" i="10"/>
  <c r="D7214" i="10"/>
  <c r="D5585" i="10"/>
  <c r="D4095" i="10"/>
  <c r="D444" i="10"/>
  <c r="D2129" i="10"/>
  <c r="D7213" i="10"/>
  <c r="D5584" i="10"/>
  <c r="D4094" i="10"/>
  <c r="D443" i="10"/>
  <c r="D2128" i="10"/>
  <c r="D7212" i="10"/>
  <c r="D5583" i="10"/>
  <c r="D4093" i="10"/>
  <c r="D442" i="10"/>
  <c r="D2127" i="10"/>
  <c r="D7211" i="10"/>
  <c r="D5582" i="10"/>
  <c r="D4092" i="10"/>
  <c r="D441" i="10"/>
  <c r="D2126" i="10"/>
  <c r="D7210" i="10"/>
  <c r="D5581" i="10"/>
  <c r="D4091" i="10"/>
  <c r="D440" i="10"/>
  <c r="D2125" i="10"/>
  <c r="D2124" i="10"/>
  <c r="D2123" i="10"/>
  <c r="D7209" i="10"/>
  <c r="D5580" i="10"/>
  <c r="D4090" i="10"/>
  <c r="D439" i="10"/>
  <c r="D2122" i="10"/>
  <c r="D7208" i="10"/>
  <c r="D5579" i="10"/>
  <c r="D4089" i="10"/>
  <c r="D438" i="10"/>
  <c r="D2121" i="10"/>
  <c r="D7207" i="10"/>
  <c r="D5578" i="10"/>
  <c r="D4088" i="10"/>
  <c r="D437" i="10"/>
  <c r="D2120" i="10"/>
  <c r="D7206" i="10"/>
  <c r="D5577" i="10"/>
  <c r="D4087" i="10"/>
  <c r="D436" i="10"/>
  <c r="D2119" i="10"/>
  <c r="D7205" i="10"/>
  <c r="D5576" i="10"/>
  <c r="D4086" i="10"/>
  <c r="D435" i="10"/>
  <c r="D2118" i="10"/>
  <c r="D2117" i="10"/>
  <c r="D2116" i="10"/>
  <c r="D7204" i="10"/>
  <c r="D5575" i="10"/>
  <c r="D4085" i="10"/>
  <c r="D434" i="10"/>
  <c r="D2115" i="10"/>
  <c r="D7203" i="10"/>
  <c r="D5574" i="10"/>
  <c r="D4084" i="10"/>
  <c r="D433" i="10"/>
  <c r="D2114" i="10"/>
  <c r="D7202" i="10"/>
  <c r="D5573" i="10"/>
  <c r="D4083" i="10"/>
  <c r="D432" i="10"/>
  <c r="D2113" i="10"/>
  <c r="D7201" i="10"/>
  <c r="D5572" i="10"/>
  <c r="D4082" i="10"/>
  <c r="D431" i="10"/>
  <c r="D2112" i="10"/>
  <c r="D7200" i="10"/>
  <c r="D5571" i="10"/>
  <c r="D4081" i="10"/>
  <c r="D430" i="10"/>
  <c r="D2111" i="10"/>
  <c r="D2110" i="10"/>
  <c r="D2109" i="10"/>
  <c r="D7199" i="10"/>
  <c r="D5570" i="10"/>
  <c r="D4080" i="10"/>
  <c r="D429" i="10"/>
  <c r="D2108" i="10"/>
  <c r="D7198" i="10"/>
  <c r="D5569" i="10"/>
  <c r="D4079" i="10"/>
  <c r="D428" i="10"/>
  <c r="D2107" i="10"/>
  <c r="D7197" i="10"/>
  <c r="D5568" i="10"/>
  <c r="D4078" i="10"/>
  <c r="D427" i="10"/>
  <c r="D2106" i="10"/>
  <c r="D7196" i="10"/>
  <c r="D5567" i="10"/>
  <c r="D4077" i="10"/>
  <c r="D426" i="10"/>
  <c r="D2105" i="10"/>
  <c r="D7195" i="10"/>
  <c r="D5566" i="10"/>
  <c r="D4076" i="10"/>
  <c r="D425" i="10"/>
  <c r="D2104" i="10"/>
  <c r="D2103" i="10"/>
  <c r="D2102" i="10"/>
  <c r="D7194" i="10"/>
  <c r="D5565" i="10"/>
  <c r="D4075" i="10"/>
  <c r="D424" i="10"/>
  <c r="D2101" i="10"/>
  <c r="D7193" i="10"/>
  <c r="D5564" i="10"/>
  <c r="D4074" i="10"/>
  <c r="D423" i="10"/>
  <c r="D2100" i="10"/>
  <c r="D7192" i="10"/>
  <c r="D5563" i="10"/>
  <c r="D4073" i="10"/>
  <c r="D422" i="10"/>
  <c r="D2099" i="10"/>
  <c r="D7191" i="10"/>
  <c r="D5562" i="10"/>
  <c r="D4072" i="10"/>
  <c r="D421" i="10"/>
  <c r="D2098" i="10"/>
  <c r="D7190" i="10"/>
  <c r="D5561" i="10"/>
  <c r="D4071" i="10"/>
  <c r="D420" i="10"/>
  <c r="D2097" i="10"/>
  <c r="D2096" i="10"/>
  <c r="D2095" i="10"/>
  <c r="D7189" i="10"/>
  <c r="D5560" i="10"/>
  <c r="D4070" i="10"/>
  <c r="D419" i="10"/>
  <c r="D2094" i="10"/>
  <c r="D7188" i="10"/>
  <c r="D5559" i="10"/>
  <c r="D4069" i="10"/>
  <c r="D418" i="10"/>
  <c r="D2093" i="10"/>
  <c r="D7187" i="10"/>
  <c r="D5558" i="10"/>
  <c r="D4068" i="10"/>
  <c r="D417" i="10"/>
  <c r="D2092" i="10"/>
  <c r="D7186" i="10"/>
  <c r="D5557" i="10"/>
  <c r="D4067" i="10"/>
  <c r="D416" i="10"/>
  <c r="D2091" i="10"/>
  <c r="D7185" i="10"/>
  <c r="D5556" i="10"/>
  <c r="D4066" i="10"/>
  <c r="D415" i="10"/>
  <c r="D2090" i="10"/>
  <c r="D2089" i="10"/>
  <c r="D2088" i="10"/>
  <c r="D7184" i="10"/>
  <c r="D5555" i="10"/>
  <c r="D4065" i="10"/>
  <c r="D414" i="10"/>
  <c r="D2087" i="10"/>
  <c r="D7183" i="10"/>
  <c r="D5554" i="10"/>
  <c r="D4064" i="10"/>
  <c r="D413" i="10"/>
  <c r="D2086" i="10"/>
  <c r="D7182" i="10"/>
  <c r="D5553" i="10"/>
  <c r="D4063" i="10"/>
  <c r="D412" i="10"/>
  <c r="D2085" i="10"/>
  <c r="D7181" i="10"/>
  <c r="D5552" i="10"/>
  <c r="D4062" i="10"/>
  <c r="D411" i="10"/>
  <c r="D2084" i="10"/>
  <c r="D7180" i="10"/>
  <c r="D5551" i="10"/>
  <c r="D4061" i="10"/>
  <c r="D410" i="10"/>
  <c r="D2083" i="10"/>
  <c r="D2082" i="10"/>
  <c r="D2081" i="10"/>
  <c r="D7179" i="10"/>
  <c r="D5550" i="10"/>
  <c r="D4060" i="10"/>
  <c r="D409" i="10"/>
  <c r="D2080" i="10"/>
  <c r="D7178" i="10"/>
  <c r="D5549" i="10"/>
  <c r="D4059" i="10"/>
  <c r="D408" i="10"/>
  <c r="D2079" i="10"/>
  <c r="D7177" i="10"/>
  <c r="D5548" i="10"/>
  <c r="D4058" i="10"/>
  <c r="D407" i="10"/>
  <c r="D2078" i="10"/>
  <c r="D7176" i="10"/>
  <c r="D5547" i="10"/>
  <c r="D4057" i="10"/>
  <c r="D406" i="10"/>
  <c r="D2077" i="10"/>
  <c r="D2076" i="10"/>
  <c r="D2075" i="10"/>
  <c r="D2074" i="10"/>
  <c r="D7175" i="10"/>
  <c r="D5546" i="10"/>
  <c r="D4056" i="10"/>
  <c r="D405" i="10"/>
  <c r="D2073" i="10"/>
  <c r="D7174" i="10"/>
  <c r="D5545" i="10"/>
  <c r="D4055" i="10"/>
  <c r="D404" i="10"/>
  <c r="D2072" i="10"/>
  <c r="D7173" i="10"/>
  <c r="D5544" i="10"/>
  <c r="D4054" i="10"/>
  <c r="D403" i="10"/>
  <c r="D2071" i="10"/>
  <c r="D7172" i="10"/>
  <c r="D5543" i="10"/>
  <c r="D4053" i="10"/>
  <c r="D402" i="10"/>
  <c r="D2070" i="10"/>
  <c r="D7171" i="10"/>
  <c r="D5542" i="10"/>
  <c r="D4052" i="10"/>
  <c r="D401" i="10"/>
  <c r="D2069" i="10"/>
  <c r="D2068" i="10"/>
  <c r="D2067" i="10"/>
  <c r="D7170" i="10"/>
  <c r="D5541" i="10"/>
  <c r="D4051" i="10"/>
  <c r="D400" i="10"/>
  <c r="D2066" i="10"/>
  <c r="D7169" i="10"/>
  <c r="D5540" i="10"/>
  <c r="D4050" i="10"/>
  <c r="D399" i="10"/>
  <c r="D2065" i="10"/>
  <c r="D7168" i="10"/>
  <c r="D5539" i="10"/>
  <c r="D4049" i="10"/>
  <c r="D398" i="10"/>
  <c r="D2064" i="10"/>
  <c r="D7167" i="10"/>
  <c r="D5538" i="10"/>
  <c r="D4048" i="10"/>
  <c r="D397" i="10"/>
  <c r="D2063" i="10"/>
  <c r="D7166" i="10"/>
  <c r="D5537" i="10"/>
  <c r="D4047" i="10"/>
  <c r="D396" i="10"/>
  <c r="D2062" i="10"/>
  <c r="D2061" i="10"/>
  <c r="D2060" i="10"/>
  <c r="D7165" i="10"/>
  <c r="D5536" i="10"/>
  <c r="D4046" i="10"/>
  <c r="D395" i="10"/>
  <c r="D2059" i="10"/>
  <c r="D7164" i="10"/>
  <c r="D5535" i="10"/>
  <c r="D4045" i="10"/>
  <c r="D394" i="10"/>
  <c r="D2058" i="10"/>
  <c r="D7163" i="10"/>
  <c r="D5534" i="10"/>
  <c r="D4044" i="10"/>
  <c r="D393" i="10"/>
  <c r="D2057" i="10"/>
  <c r="D7162" i="10"/>
  <c r="D5533" i="10"/>
  <c r="D4043" i="10"/>
  <c r="D392" i="10"/>
  <c r="D2056" i="10"/>
  <c r="D7161" i="10"/>
  <c r="D5532" i="10"/>
  <c r="D4042" i="10"/>
  <c r="D391" i="10"/>
  <c r="D2055" i="10"/>
  <c r="D2054" i="10"/>
  <c r="D2053" i="10"/>
  <c r="D7160" i="10"/>
  <c r="D5531" i="10"/>
  <c r="D4041" i="10"/>
  <c r="D390" i="10"/>
  <c r="D2052" i="10"/>
  <c r="D7159" i="10"/>
  <c r="D5530" i="10"/>
  <c r="D4040" i="10"/>
  <c r="D389" i="10"/>
  <c r="D2051" i="10"/>
  <c r="D7158" i="10"/>
  <c r="D5529" i="10"/>
  <c r="D4039" i="10"/>
  <c r="D388" i="10"/>
  <c r="D2050" i="10"/>
  <c r="D7157" i="10"/>
  <c r="D5528" i="10"/>
  <c r="D4038" i="10"/>
  <c r="D387" i="10"/>
  <c r="D2049" i="10"/>
  <c r="D7156" i="10"/>
  <c r="D5527" i="10"/>
  <c r="D4037" i="10"/>
  <c r="D386" i="10"/>
  <c r="D2048" i="10"/>
  <c r="D2047" i="10"/>
  <c r="D2046" i="10"/>
  <c r="D7155" i="10"/>
  <c r="D5526" i="10"/>
  <c r="D4036" i="10"/>
  <c r="D385" i="10"/>
  <c r="D2045" i="10"/>
  <c r="D7154" i="10"/>
  <c r="D5525" i="10"/>
  <c r="D4035" i="10"/>
  <c r="D384" i="10"/>
  <c r="D2044" i="10"/>
  <c r="D7153" i="10"/>
  <c r="D5524" i="10"/>
  <c r="D4034" i="10"/>
  <c r="D383" i="10"/>
  <c r="D2043" i="10"/>
  <c r="D7152" i="10"/>
  <c r="D5523" i="10"/>
  <c r="D4033" i="10"/>
  <c r="D382" i="10"/>
  <c r="D2042" i="10"/>
  <c r="D7151" i="10"/>
  <c r="D5522" i="10"/>
  <c r="D4032" i="10"/>
  <c r="D381" i="10"/>
  <c r="D2041" i="10"/>
  <c r="D2040" i="10"/>
  <c r="D2039" i="10"/>
  <c r="D7150" i="10"/>
  <c r="D5521" i="10"/>
  <c r="D4031" i="10"/>
  <c r="D380" i="10"/>
  <c r="D2038" i="10"/>
  <c r="D7149" i="10"/>
  <c r="D5520" i="10"/>
  <c r="D4030" i="10"/>
  <c r="D379" i="10"/>
  <c r="D2037" i="10"/>
  <c r="D7148" i="10"/>
  <c r="D5519" i="10"/>
  <c r="D4029" i="10"/>
  <c r="D378" i="10"/>
  <c r="D2036" i="10"/>
  <c r="D7147" i="10"/>
  <c r="D5518" i="10"/>
  <c r="D4028" i="10"/>
  <c r="D377" i="10"/>
  <c r="D2035" i="10"/>
  <c r="D7146" i="10"/>
  <c r="D5517" i="10"/>
  <c r="D4027" i="10"/>
  <c r="D376" i="10"/>
  <c r="D2034" i="10"/>
  <c r="D2033" i="10"/>
  <c r="D2032" i="10"/>
  <c r="D7145" i="10"/>
  <c r="D5516" i="10"/>
  <c r="D4026" i="10"/>
  <c r="D375" i="10"/>
  <c r="D2031" i="10"/>
  <c r="D7144" i="10"/>
  <c r="D5515" i="10"/>
  <c r="D4025" i="10"/>
  <c r="D374" i="10"/>
  <c r="D2030" i="10"/>
  <c r="D7143" i="10"/>
  <c r="D5514" i="10"/>
  <c r="D4024" i="10"/>
  <c r="D373" i="10"/>
  <c r="D2029" i="10"/>
  <c r="D7142" i="10"/>
  <c r="D5513" i="10"/>
  <c r="D4023" i="10"/>
  <c r="D372" i="10"/>
  <c r="D2028" i="10"/>
  <c r="D7141" i="10"/>
  <c r="D5512" i="10"/>
  <c r="D4022" i="10"/>
  <c r="D371" i="10"/>
  <c r="D2027" i="10"/>
  <c r="D2026" i="10"/>
  <c r="D2025" i="10"/>
  <c r="D7140" i="10"/>
  <c r="D5511" i="10"/>
  <c r="D4021" i="10"/>
  <c r="D370" i="10"/>
  <c r="D2024" i="10"/>
  <c r="D7139" i="10"/>
  <c r="D5510" i="10"/>
  <c r="D4020" i="10"/>
  <c r="D369" i="10"/>
  <c r="D2023" i="10"/>
  <c r="D7138" i="10"/>
  <c r="D5509" i="10"/>
  <c r="D4019" i="10"/>
  <c r="D368" i="10"/>
  <c r="D2022" i="10"/>
  <c r="D7137" i="10"/>
  <c r="D5508" i="10"/>
  <c r="D4018" i="10"/>
  <c r="D367" i="10"/>
  <c r="D2021" i="10"/>
  <c r="D7136" i="10"/>
  <c r="D5507" i="10"/>
  <c r="D4017" i="10"/>
  <c r="D366" i="10"/>
  <c r="D2020" i="10"/>
  <c r="D2019" i="10"/>
  <c r="D2018" i="10"/>
  <c r="D7135" i="10"/>
  <c r="D5506" i="10"/>
  <c r="D4016" i="10"/>
  <c r="D365" i="10"/>
  <c r="D2017" i="10"/>
  <c r="D7134" i="10"/>
  <c r="D5505" i="10"/>
  <c r="D4015" i="10"/>
  <c r="D364" i="10"/>
  <c r="D2016" i="10"/>
  <c r="D7133" i="10"/>
  <c r="D5504" i="10"/>
  <c r="D4014" i="10"/>
  <c r="D363" i="10"/>
  <c r="D2015" i="10"/>
  <c r="D7132" i="10"/>
  <c r="D5503" i="10"/>
  <c r="D4013" i="10"/>
  <c r="D362" i="10"/>
  <c r="D2014" i="10"/>
  <c r="D7131" i="10"/>
  <c r="D5502" i="10"/>
  <c r="D4012" i="10"/>
  <c r="D361" i="10"/>
  <c r="D2013" i="10"/>
  <c r="D2012" i="10"/>
  <c r="D2011" i="10"/>
  <c r="D2010" i="10"/>
  <c r="D7130" i="10"/>
  <c r="D5501" i="10"/>
  <c r="D4011" i="10"/>
  <c r="D360" i="10"/>
  <c r="D2009" i="10"/>
  <c r="D7129" i="10"/>
  <c r="D5500" i="10"/>
  <c r="D4010" i="10"/>
  <c r="D359" i="10"/>
  <c r="D2008" i="10"/>
  <c r="D7128" i="10"/>
  <c r="D5499" i="10"/>
  <c r="D4009" i="10"/>
  <c r="D358" i="10"/>
  <c r="D2007" i="10"/>
  <c r="D7127" i="10"/>
  <c r="D5498" i="10"/>
  <c r="D4008" i="10"/>
  <c r="D357" i="10"/>
  <c r="D2006" i="10"/>
  <c r="D2005" i="10"/>
  <c r="D2004" i="10"/>
  <c r="D7126" i="10"/>
  <c r="D5497" i="10"/>
  <c r="D4007" i="10"/>
  <c r="D356" i="10"/>
  <c r="D2003" i="10"/>
  <c r="D7125" i="10"/>
  <c r="D5496" i="10"/>
  <c r="D4006" i="10"/>
  <c r="D355" i="10"/>
  <c r="D2002" i="10"/>
  <c r="D7124" i="10"/>
  <c r="D5495" i="10"/>
  <c r="D4005" i="10"/>
  <c r="D354" i="10"/>
  <c r="D2001" i="10"/>
  <c r="D7123" i="10"/>
  <c r="D5494" i="10"/>
  <c r="D4004" i="10"/>
  <c r="D353" i="10"/>
  <c r="D2000" i="10"/>
  <c r="D7122" i="10"/>
  <c r="D5493" i="10"/>
  <c r="D4003" i="10"/>
  <c r="D352" i="10"/>
  <c r="D1999" i="10"/>
  <c r="D1998" i="10"/>
  <c r="D1997" i="10"/>
  <c r="D7121" i="10"/>
  <c r="D5492" i="10"/>
  <c r="D4002" i="10"/>
  <c r="D351" i="10"/>
  <c r="D1996" i="10"/>
  <c r="D7120" i="10"/>
  <c r="D5491" i="10"/>
  <c r="D4001" i="10"/>
  <c r="D350" i="10"/>
  <c r="D1995" i="10"/>
  <c r="D7119" i="10"/>
  <c r="D5490" i="10"/>
  <c r="D4000" i="10"/>
  <c r="D349" i="10"/>
  <c r="D1994" i="10"/>
  <c r="D7118" i="10"/>
  <c r="D5489" i="10"/>
  <c r="D3999" i="10"/>
  <c r="D348" i="10"/>
  <c r="D1993" i="10"/>
  <c r="D7117" i="10"/>
  <c r="D5488" i="10"/>
  <c r="D3998" i="10"/>
  <c r="D347" i="10"/>
  <c r="D1992" i="10"/>
  <c r="D1991" i="10"/>
  <c r="D1990" i="10"/>
  <c r="D7116" i="10"/>
  <c r="D5487" i="10"/>
  <c r="D3997" i="10"/>
  <c r="D346" i="10"/>
  <c r="D1989" i="10"/>
  <c r="D7115" i="10"/>
  <c r="D5486" i="10"/>
  <c r="D3996" i="10"/>
  <c r="D345" i="10"/>
  <c r="D1988" i="10"/>
  <c r="D7114" i="10"/>
  <c r="D5485" i="10"/>
  <c r="D3995" i="10"/>
  <c r="D344" i="10"/>
  <c r="D1987" i="10"/>
  <c r="D7113" i="10"/>
  <c r="D5484" i="10"/>
  <c r="D3994" i="10"/>
  <c r="D343" i="10"/>
  <c r="D1986" i="10"/>
  <c r="D7112" i="10"/>
  <c r="D5483" i="10"/>
  <c r="D3993" i="10"/>
  <c r="D342" i="10"/>
  <c r="D1985" i="10"/>
  <c r="D1984" i="10"/>
  <c r="D1983" i="10"/>
  <c r="D7111" i="10"/>
  <c r="D5482" i="10"/>
  <c r="D3992" i="10"/>
  <c r="D341" i="10"/>
  <c r="D1982" i="10"/>
  <c r="D7110" i="10"/>
  <c r="D5481" i="10"/>
  <c r="D3991" i="10"/>
  <c r="D340" i="10"/>
  <c r="D1981" i="10"/>
  <c r="D7109" i="10"/>
  <c r="D5480" i="10"/>
  <c r="D3990" i="10"/>
  <c r="D339" i="10"/>
  <c r="D1980" i="10"/>
  <c r="D7108" i="10"/>
  <c r="D5479" i="10"/>
  <c r="D3989" i="10"/>
  <c r="D338" i="10"/>
  <c r="D1979" i="10"/>
  <c r="D7107" i="10"/>
  <c r="D5478" i="10"/>
  <c r="D3988" i="10"/>
  <c r="D337" i="10"/>
  <c r="D1978" i="10"/>
  <c r="D1977" i="10"/>
  <c r="D1976" i="10"/>
  <c r="D7106" i="10"/>
  <c r="D5477" i="10"/>
  <c r="D3987" i="10"/>
  <c r="D336" i="10"/>
  <c r="D1975" i="10"/>
  <c r="D7105" i="10"/>
  <c r="D5476" i="10"/>
  <c r="D3986" i="10"/>
  <c r="D335" i="10"/>
  <c r="D1974" i="10"/>
  <c r="D7104" i="10"/>
  <c r="D5475" i="10"/>
  <c r="D3985" i="10"/>
  <c r="D334" i="10"/>
  <c r="D1973" i="10"/>
  <c r="D7103" i="10"/>
  <c r="D5474" i="10"/>
  <c r="D3984" i="10"/>
  <c r="D333" i="10"/>
  <c r="D1972" i="10"/>
  <c r="D1971" i="10"/>
  <c r="D1970" i="10"/>
  <c r="D1969" i="10"/>
  <c r="D7102" i="10"/>
  <c r="D5473" i="10"/>
  <c r="D3983" i="10"/>
  <c r="D332" i="10"/>
  <c r="D1968" i="10"/>
  <c r="D7101" i="10"/>
  <c r="D5472" i="10"/>
  <c r="D3982" i="10"/>
  <c r="D331" i="10"/>
  <c r="D1967" i="10"/>
  <c r="D7100" i="10"/>
  <c r="D5471" i="10"/>
  <c r="D3981" i="10"/>
  <c r="D330" i="10"/>
  <c r="D1966" i="10"/>
  <c r="D7099" i="10"/>
  <c r="D5470" i="10"/>
  <c r="D3980" i="10"/>
  <c r="D329" i="10"/>
  <c r="D1965" i="10"/>
  <c r="D7098" i="10"/>
  <c r="D5469" i="10"/>
  <c r="D3979" i="10"/>
  <c r="D328" i="10"/>
  <c r="D1964" i="10"/>
  <c r="D1963" i="10"/>
  <c r="D1962" i="10"/>
  <c r="D7097" i="10"/>
  <c r="D5468" i="10"/>
  <c r="D3978" i="10"/>
  <c r="D327" i="10"/>
  <c r="D1961" i="10"/>
  <c r="D7096" i="10"/>
  <c r="D5467" i="10"/>
  <c r="D3977" i="10"/>
  <c r="D326" i="10"/>
  <c r="D1960" i="10"/>
  <c r="D7095" i="10"/>
  <c r="D5466" i="10"/>
  <c r="D3976" i="10"/>
  <c r="D325" i="10"/>
  <c r="D1959" i="10"/>
  <c r="D7094" i="10"/>
  <c r="D5465" i="10"/>
  <c r="D3975" i="10"/>
  <c r="D324" i="10"/>
  <c r="D1958" i="10"/>
  <c r="D7093" i="10"/>
  <c r="D5464" i="10"/>
  <c r="D3974" i="10"/>
  <c r="D323" i="10"/>
  <c r="D1957" i="10"/>
  <c r="D1956" i="10"/>
  <c r="D1955" i="10"/>
  <c r="D7092" i="10"/>
  <c r="D5463" i="10"/>
  <c r="D3973" i="10"/>
  <c r="D322" i="10"/>
  <c r="D1954" i="10"/>
  <c r="D7091" i="10"/>
  <c r="D5462" i="10"/>
  <c r="D3972" i="10"/>
  <c r="D321" i="10"/>
  <c r="D1953" i="10"/>
  <c r="D7090" i="10"/>
  <c r="D5461" i="10"/>
  <c r="D3971" i="10"/>
  <c r="D320" i="10"/>
  <c r="D1952" i="10"/>
  <c r="D7089" i="10"/>
  <c r="D5460" i="10"/>
  <c r="D3970" i="10"/>
  <c r="D319" i="10"/>
  <c r="D1951" i="10"/>
  <c r="D7088" i="10"/>
  <c r="D5459" i="10"/>
  <c r="D3969" i="10"/>
  <c r="D318" i="10"/>
  <c r="D1950" i="10"/>
  <c r="D1949" i="10"/>
  <c r="D1948" i="10"/>
  <c r="D7087" i="10"/>
  <c r="D5458" i="10"/>
  <c r="D3968" i="10"/>
  <c r="D317" i="10"/>
  <c r="D1947" i="10"/>
  <c r="D7086" i="10"/>
  <c r="D5457" i="10"/>
  <c r="D3967" i="10"/>
  <c r="D316" i="10"/>
  <c r="D1946" i="10"/>
  <c r="D7085" i="10"/>
  <c r="D5456" i="10"/>
  <c r="D3966" i="10"/>
  <c r="D315" i="10"/>
  <c r="D1945" i="10"/>
  <c r="D7084" i="10"/>
  <c r="D5455" i="10"/>
  <c r="D3965" i="10"/>
  <c r="D314" i="10"/>
  <c r="D1944" i="10"/>
  <c r="D7083" i="10"/>
  <c r="D5454" i="10"/>
  <c r="D3964" i="10"/>
  <c r="D313" i="10"/>
  <c r="D1943" i="10"/>
  <c r="D1942" i="10"/>
  <c r="D1941" i="10"/>
  <c r="D7082" i="10"/>
  <c r="D5453" i="10"/>
  <c r="D3963" i="10"/>
  <c r="D312" i="10"/>
  <c r="D1940" i="10"/>
  <c r="D7081" i="10"/>
  <c r="D5452" i="10"/>
  <c r="D3962" i="10"/>
  <c r="D311" i="10"/>
  <c r="D1939" i="10"/>
  <c r="D7080" i="10"/>
  <c r="D5451" i="10"/>
  <c r="D3961" i="10"/>
  <c r="D310" i="10"/>
  <c r="D1938" i="10"/>
  <c r="D7079" i="10"/>
  <c r="D5450" i="10"/>
  <c r="D3960" i="10"/>
  <c r="D309" i="10"/>
  <c r="D1937" i="10"/>
  <c r="D7078" i="10"/>
  <c r="D5449" i="10"/>
  <c r="D3959" i="10"/>
  <c r="D308" i="10"/>
  <c r="D1936" i="10"/>
  <c r="D1935" i="10"/>
  <c r="D1934" i="10"/>
  <c r="D7077" i="10"/>
  <c r="D5448" i="10"/>
  <c r="D3958" i="10"/>
  <c r="D307" i="10"/>
  <c r="D1933" i="10"/>
  <c r="D7076" i="10"/>
  <c r="D5447" i="10"/>
  <c r="D3957" i="10"/>
  <c r="D306" i="10"/>
  <c r="D1932" i="10"/>
  <c r="D7075" i="10"/>
  <c r="D5446" i="10"/>
  <c r="D3956" i="10"/>
  <c r="D305" i="10"/>
  <c r="D1931" i="10"/>
  <c r="D7074" i="10"/>
  <c r="D5445" i="10"/>
  <c r="D3955" i="10"/>
  <c r="D304" i="10"/>
  <c r="D1930" i="10"/>
  <c r="D7073" i="10"/>
  <c r="D5444" i="10"/>
  <c r="D3954" i="10"/>
  <c r="D303" i="10"/>
  <c r="D1929" i="10"/>
  <c r="D1928" i="10"/>
  <c r="D1927" i="10"/>
  <c r="D1926" i="10"/>
  <c r="D7072" i="10"/>
  <c r="D5443" i="10"/>
  <c r="D3953" i="10"/>
  <c r="D302" i="10"/>
  <c r="D1925" i="10"/>
  <c r="D7071" i="10"/>
  <c r="D5442" i="10"/>
  <c r="D3952" i="10"/>
  <c r="D301" i="10"/>
  <c r="D1924" i="10"/>
  <c r="D7070" i="10"/>
  <c r="D5441" i="10"/>
  <c r="D3951" i="10"/>
  <c r="D300" i="10"/>
  <c r="D1923" i="10"/>
  <c r="D7069" i="10"/>
  <c r="D5440" i="10"/>
  <c r="D3950" i="10"/>
  <c r="D299" i="10"/>
  <c r="D1922" i="10"/>
  <c r="D1921" i="10"/>
  <c r="D1920" i="10"/>
  <c r="D7068" i="10"/>
  <c r="D5439" i="10"/>
  <c r="D3949" i="10"/>
  <c r="D298" i="10"/>
  <c r="D1919" i="10"/>
  <c r="D7067" i="10"/>
  <c r="D5438" i="10"/>
  <c r="D3948" i="10"/>
  <c r="D297" i="10"/>
  <c r="D1918" i="10"/>
  <c r="D7066" i="10"/>
  <c r="D5437" i="10"/>
  <c r="D3947" i="10"/>
  <c r="D296" i="10"/>
  <c r="D1917" i="10"/>
  <c r="D7065" i="10"/>
  <c r="D5436" i="10"/>
  <c r="D3946" i="10"/>
  <c r="D295" i="10"/>
  <c r="D1916" i="10"/>
  <c r="D7064" i="10"/>
  <c r="D5435" i="10"/>
  <c r="D3945" i="10"/>
  <c r="D294" i="10"/>
  <c r="D1915" i="10"/>
  <c r="D1914" i="10"/>
  <c r="D1913" i="10"/>
  <c r="D7063" i="10"/>
  <c r="D5434" i="10"/>
  <c r="D3944" i="10"/>
  <c r="D293" i="10"/>
  <c r="D1912" i="10"/>
  <c r="D7062" i="10"/>
  <c r="D5433" i="10"/>
  <c r="D3943" i="10"/>
  <c r="D292" i="10"/>
  <c r="D1911" i="10"/>
  <c r="D7061" i="10"/>
  <c r="D5432" i="10"/>
  <c r="D3942" i="10"/>
  <c r="D291" i="10"/>
  <c r="D1910" i="10"/>
  <c r="D7060" i="10"/>
  <c r="D5431" i="10"/>
  <c r="D3941" i="10"/>
  <c r="D290" i="10"/>
  <c r="D1909" i="10"/>
  <c r="D7059" i="10"/>
  <c r="D5430" i="10"/>
  <c r="D3940" i="10"/>
  <c r="D289" i="10"/>
  <c r="D1908" i="10"/>
  <c r="D1907" i="10"/>
  <c r="D1906" i="10"/>
  <c r="D7058" i="10"/>
  <c r="D5429" i="10"/>
  <c r="D3939" i="10"/>
  <c r="D288" i="10"/>
  <c r="D1905" i="10"/>
  <c r="D7057" i="10"/>
  <c r="D5428" i="10"/>
  <c r="D3938" i="10"/>
  <c r="D287" i="10"/>
  <c r="D1904" i="10"/>
  <c r="D7056" i="10"/>
  <c r="D5427" i="10"/>
  <c r="D3937" i="10"/>
  <c r="D286" i="10"/>
  <c r="D1903" i="10"/>
  <c r="D7055" i="10"/>
  <c r="D5426" i="10"/>
  <c r="D3936" i="10"/>
  <c r="D285" i="10"/>
  <c r="D1902" i="10"/>
  <c r="D7054" i="10"/>
  <c r="D5425" i="10"/>
  <c r="D3935" i="10"/>
  <c r="D284" i="10"/>
  <c r="D1901" i="10"/>
  <c r="D1900" i="10"/>
  <c r="D1899" i="10"/>
  <c r="D7053" i="10"/>
  <c r="D5424" i="10"/>
  <c r="D3934" i="10"/>
  <c r="D283" i="10"/>
  <c r="D1898" i="10"/>
  <c r="D7052" i="10"/>
  <c r="D5423" i="10"/>
  <c r="D3933" i="10"/>
  <c r="D282" i="10"/>
  <c r="D1897" i="10"/>
  <c r="D7051" i="10"/>
  <c r="D5422" i="10"/>
  <c r="D3932" i="10"/>
  <c r="D281" i="10"/>
  <c r="D1896" i="10"/>
  <c r="D7050" i="10"/>
  <c r="D5421" i="10"/>
  <c r="D3931" i="10"/>
  <c r="D280" i="10"/>
  <c r="D1895" i="10"/>
  <c r="D7049" i="10"/>
  <c r="D5420" i="10"/>
  <c r="D3930" i="10"/>
  <c r="D279" i="10"/>
  <c r="D1894" i="10"/>
  <c r="D1893" i="10"/>
  <c r="D1892" i="10"/>
  <c r="D7048" i="10"/>
  <c r="D5419" i="10"/>
  <c r="D3929" i="10"/>
  <c r="D278" i="10"/>
  <c r="D1891" i="10"/>
  <c r="D7047" i="10"/>
  <c r="D5418" i="10"/>
  <c r="D3928" i="10"/>
  <c r="D277" i="10"/>
  <c r="D1890" i="10"/>
  <c r="D7046" i="10"/>
  <c r="D5417" i="10"/>
  <c r="D3927" i="10"/>
  <c r="D276" i="10"/>
  <c r="D1889" i="10"/>
  <c r="D7045" i="10"/>
  <c r="D5416" i="10"/>
  <c r="D3926" i="10"/>
  <c r="D275" i="10"/>
  <c r="D1888" i="10"/>
  <c r="D7044" i="10"/>
  <c r="D5415" i="10"/>
  <c r="D3925" i="10"/>
  <c r="D274" i="10"/>
  <c r="D1887" i="10"/>
  <c r="D1886" i="10"/>
  <c r="D1885" i="10"/>
  <c r="D7043" i="10"/>
  <c r="D5414" i="10"/>
  <c r="D3924" i="10"/>
  <c r="D273" i="10"/>
  <c r="D1884" i="10"/>
  <c r="D7042" i="10"/>
  <c r="D5413" i="10"/>
  <c r="D3923" i="10"/>
  <c r="D272" i="10"/>
  <c r="D1883" i="10"/>
  <c r="D7041" i="10"/>
  <c r="D5412" i="10"/>
  <c r="D3922" i="10"/>
  <c r="D271" i="10"/>
  <c r="D1882" i="10"/>
  <c r="D7040" i="10"/>
  <c r="D5411" i="10"/>
  <c r="D3921" i="10"/>
  <c r="D270" i="10"/>
  <c r="D1881" i="10"/>
  <c r="D7039" i="10"/>
  <c r="D5410" i="10"/>
  <c r="D3920" i="10"/>
  <c r="D269" i="10"/>
  <c r="D1880" i="10"/>
  <c r="D1879" i="10"/>
  <c r="D1878" i="10"/>
  <c r="D7038" i="10"/>
  <c r="D5409" i="10"/>
  <c r="D3919" i="10"/>
  <c r="D268" i="10"/>
  <c r="D1877" i="10"/>
  <c r="D7037" i="10"/>
  <c r="D5408" i="10"/>
  <c r="D3918" i="10"/>
  <c r="D267" i="10"/>
  <c r="D1876" i="10"/>
  <c r="D7036" i="10"/>
  <c r="D5407" i="10"/>
  <c r="D3917" i="10"/>
  <c r="D266" i="10"/>
  <c r="D1875" i="10"/>
  <c r="D7035" i="10"/>
  <c r="D5406" i="10"/>
  <c r="D3916" i="10"/>
  <c r="D265" i="10"/>
  <c r="D1874" i="10"/>
  <c r="D1873" i="10"/>
  <c r="D1872" i="10"/>
  <c r="D1871" i="10"/>
  <c r="D7034" i="10"/>
  <c r="D5405" i="10"/>
  <c r="D3915" i="10"/>
  <c r="D264" i="10"/>
  <c r="D1870" i="10"/>
  <c r="D7033" i="10"/>
  <c r="D5404" i="10"/>
  <c r="D3914" i="10"/>
  <c r="D263" i="10"/>
  <c r="D1869" i="10"/>
  <c r="D7032" i="10"/>
  <c r="D5403" i="10"/>
  <c r="D3913" i="10"/>
  <c r="D262" i="10"/>
  <c r="D1868" i="10"/>
  <c r="D7031" i="10"/>
  <c r="D5402" i="10"/>
  <c r="D3912" i="10"/>
  <c r="D261" i="10"/>
  <c r="D1867" i="10"/>
  <c r="D7030" i="10"/>
  <c r="D5401" i="10"/>
  <c r="D3911" i="10"/>
  <c r="D260" i="10"/>
  <c r="D1866" i="10"/>
  <c r="D1865" i="10"/>
  <c r="D1864" i="10"/>
  <c r="D7029" i="10"/>
  <c r="D5400" i="10"/>
  <c r="D3910" i="10"/>
  <c r="D259" i="10"/>
  <c r="D1863" i="10"/>
  <c r="D7028" i="10"/>
  <c r="D5399" i="10"/>
  <c r="D3909" i="10"/>
  <c r="D258" i="10"/>
  <c r="D1862" i="10"/>
  <c r="D7027" i="10"/>
  <c r="D5398" i="10"/>
  <c r="D3908" i="10"/>
  <c r="D257" i="10"/>
  <c r="D1861" i="10"/>
  <c r="D7026" i="10"/>
  <c r="D5397" i="10"/>
  <c r="D3907" i="10"/>
  <c r="D256" i="10"/>
  <c r="D1860" i="10"/>
  <c r="D7025" i="10"/>
  <c r="D5396" i="10"/>
  <c r="D3906" i="10"/>
  <c r="D255" i="10"/>
  <c r="D1859" i="10"/>
  <c r="D1858" i="10"/>
  <c r="D1857" i="10"/>
  <c r="D7024" i="10"/>
  <c r="D5395" i="10"/>
  <c r="D3905" i="10"/>
  <c r="D254" i="10"/>
  <c r="D1856" i="10"/>
  <c r="D7023" i="10"/>
  <c r="D5394" i="10"/>
  <c r="D3904" i="10"/>
  <c r="D253" i="10"/>
  <c r="D1855" i="10"/>
  <c r="D7022" i="10"/>
  <c r="D5393" i="10"/>
  <c r="D3903" i="10"/>
  <c r="D252" i="10"/>
  <c r="D1854" i="10"/>
  <c r="D7021" i="10"/>
  <c r="D5392" i="10"/>
  <c r="D3902" i="10"/>
  <c r="D251" i="10"/>
  <c r="D1853" i="10"/>
  <c r="D7020" i="10"/>
  <c r="D5391" i="10"/>
  <c r="D3901" i="10"/>
  <c r="D250" i="10"/>
  <c r="D1852" i="10"/>
  <c r="D1851" i="10"/>
  <c r="D1850" i="10"/>
  <c r="D7019" i="10"/>
  <c r="D5390" i="10"/>
  <c r="D3900" i="10"/>
  <c r="D249" i="10"/>
  <c r="D1849" i="10"/>
  <c r="D7018" i="10"/>
  <c r="D5389" i="10"/>
  <c r="D3899" i="10"/>
  <c r="D248" i="10"/>
  <c r="D1848" i="10"/>
  <c r="D7017" i="10"/>
  <c r="D5388" i="10"/>
  <c r="D3898" i="10"/>
  <c r="D247" i="10"/>
  <c r="D1847" i="10"/>
  <c r="D7016" i="10"/>
  <c r="D5387" i="10"/>
  <c r="D3897" i="10"/>
  <c r="D246" i="10"/>
  <c r="D1846" i="10"/>
  <c r="D1845" i="10"/>
  <c r="D1844" i="10"/>
  <c r="D1843" i="10"/>
  <c r="D7015" i="10"/>
  <c r="D5386" i="10"/>
  <c r="D3896" i="10"/>
  <c r="D245" i="10"/>
  <c r="D1842" i="10"/>
  <c r="D7014" i="10"/>
  <c r="D5385" i="10"/>
  <c r="D3895" i="10"/>
  <c r="D244" i="10"/>
  <c r="D1841" i="10"/>
  <c r="D7013" i="10"/>
  <c r="D5384" i="10"/>
  <c r="D3894" i="10"/>
  <c r="D243" i="10"/>
  <c r="D1840" i="10"/>
  <c r="D7012" i="10"/>
  <c r="D5383" i="10"/>
  <c r="D3893" i="10"/>
  <c r="D242" i="10"/>
  <c r="D1839" i="10"/>
  <c r="D7011" i="10"/>
  <c r="D5382" i="10"/>
  <c r="D3892" i="10"/>
  <c r="D241" i="10"/>
  <c r="D1838" i="10"/>
  <c r="D1837" i="10"/>
  <c r="D1836" i="10"/>
  <c r="D7010" i="10"/>
  <c r="D5381" i="10"/>
  <c r="D3891" i="10"/>
  <c r="D240" i="10"/>
  <c r="D1835" i="10"/>
  <c r="D7009" i="10"/>
  <c r="D5380" i="10"/>
  <c r="D3890" i="10"/>
  <c r="D239" i="10"/>
  <c r="D1834" i="10"/>
  <c r="D7008" i="10"/>
  <c r="D5379" i="10"/>
  <c r="D3889" i="10"/>
  <c r="D238" i="10"/>
  <c r="D1833" i="10"/>
  <c r="D7007" i="10"/>
  <c r="D5378" i="10"/>
  <c r="D3888" i="10"/>
  <c r="D237" i="10"/>
  <c r="D1832" i="10"/>
  <c r="D7006" i="10"/>
  <c r="D5377" i="10"/>
  <c r="D3887" i="10"/>
  <c r="D236" i="10"/>
  <c r="D1831" i="10"/>
  <c r="D1830" i="10"/>
  <c r="D1829" i="10"/>
  <c r="D7005" i="10"/>
  <c r="D5376" i="10"/>
  <c r="D3886" i="10"/>
  <c r="D235" i="10"/>
  <c r="D1828" i="10"/>
  <c r="D7004" i="10"/>
  <c r="D5375" i="10"/>
  <c r="D3885" i="10"/>
  <c r="D234" i="10"/>
  <c r="D1827" i="10"/>
  <c r="D1826" i="10"/>
  <c r="D7003" i="10"/>
  <c r="D5374" i="10"/>
  <c r="D3884" i="10"/>
  <c r="D233" i="10"/>
  <c r="D1825" i="10"/>
  <c r="D7002" i="10"/>
  <c r="D5373" i="10"/>
  <c r="D3883" i="10"/>
  <c r="D232" i="10"/>
  <c r="D1824" i="10"/>
  <c r="D1823" i="10"/>
  <c r="D1822" i="10"/>
  <c r="D7001" i="10"/>
  <c r="D5372" i="10"/>
  <c r="D3882" i="10"/>
  <c r="D231" i="10"/>
  <c r="D1821" i="10"/>
  <c r="D7000" i="10"/>
  <c r="D5371" i="10"/>
  <c r="D3881" i="10"/>
  <c r="D230" i="10"/>
  <c r="D1820" i="10"/>
  <c r="D1819" i="10"/>
  <c r="D6999" i="10"/>
  <c r="D5370" i="10"/>
  <c r="D3880" i="10"/>
  <c r="D229" i="10"/>
  <c r="D1818" i="10"/>
  <c r="D6998" i="10"/>
  <c r="D5369" i="10"/>
  <c r="D3879" i="10"/>
  <c r="D228" i="10"/>
  <c r="D1817" i="10"/>
  <c r="D1816" i="10"/>
  <c r="D1815" i="10"/>
  <c r="D6997" i="10"/>
  <c r="D5368" i="10"/>
  <c r="D3878" i="10"/>
  <c r="D227" i="10"/>
  <c r="D1814" i="10"/>
  <c r="D6996" i="10"/>
  <c r="D5367" i="10"/>
  <c r="D3877" i="10"/>
  <c r="D226" i="10"/>
  <c r="D1813" i="10"/>
  <c r="D6995" i="10"/>
  <c r="D5366" i="10"/>
  <c r="D3876" i="10"/>
  <c r="D225" i="10"/>
  <c r="D1812" i="10"/>
  <c r="D6994" i="10"/>
  <c r="D5365" i="10"/>
  <c r="D3875" i="10"/>
  <c r="D224" i="10"/>
  <c r="D1811" i="10"/>
  <c r="D6993" i="10"/>
  <c r="D5364" i="10"/>
  <c r="D3874" i="10"/>
  <c r="D223" i="10"/>
  <c r="D1810" i="10"/>
  <c r="D1809" i="10"/>
  <c r="D1808" i="10"/>
  <c r="D6992" i="10"/>
  <c r="D5363" i="10"/>
  <c r="D3873" i="10"/>
  <c r="D222" i="10"/>
  <c r="D1807" i="10"/>
  <c r="D6991" i="10"/>
  <c r="D5362" i="10"/>
  <c r="D3872" i="10"/>
  <c r="D221" i="10"/>
  <c r="D1806" i="10"/>
  <c r="D6990" i="10"/>
  <c r="D5361" i="10"/>
  <c r="D3871" i="10"/>
  <c r="D220" i="10"/>
  <c r="D1805" i="10"/>
  <c r="D6989" i="10"/>
  <c r="D5360" i="10"/>
  <c r="D3870" i="10"/>
  <c r="D219" i="10"/>
  <c r="D1804" i="10"/>
  <c r="D6988" i="10"/>
  <c r="D5359" i="10"/>
  <c r="D3869" i="10"/>
  <c r="D218" i="10"/>
  <c r="D1803" i="10"/>
  <c r="D1802" i="10"/>
  <c r="D1801" i="10"/>
  <c r="D6987" i="10"/>
  <c r="D5358" i="10"/>
  <c r="D3868" i="10"/>
  <c r="D217" i="10"/>
  <c r="D1800" i="10"/>
  <c r="D6986" i="10"/>
  <c r="D5357" i="10"/>
  <c r="D3867" i="10"/>
  <c r="D216" i="10"/>
  <c r="D1799" i="10"/>
  <c r="D6985" i="10"/>
  <c r="D5356" i="10"/>
  <c r="D3866" i="10"/>
  <c r="D215" i="10"/>
  <c r="D1798" i="10"/>
  <c r="D6984" i="10"/>
  <c r="D5355" i="10"/>
  <c r="D3865" i="10"/>
  <c r="D214" i="10"/>
  <c r="D1797" i="10"/>
  <c r="D6983" i="10"/>
  <c r="D5354" i="10"/>
  <c r="D3864" i="10"/>
  <c r="D213" i="10"/>
  <c r="D1796" i="10"/>
  <c r="D1795" i="10"/>
  <c r="D1794" i="10"/>
  <c r="D6982" i="10"/>
  <c r="D5353" i="10"/>
  <c r="D3863" i="10"/>
  <c r="D212" i="10"/>
  <c r="D1793" i="10"/>
  <c r="D1792" i="10"/>
  <c r="D6981" i="10"/>
  <c r="D5352" i="10"/>
  <c r="D3862" i="10"/>
  <c r="D211" i="10"/>
  <c r="D1791" i="10"/>
  <c r="D6980" i="10"/>
  <c r="D5351" i="10"/>
  <c r="D3861" i="10"/>
  <c r="D210" i="10"/>
  <c r="D1790" i="10"/>
  <c r="D6979" i="10"/>
  <c r="D5350" i="10"/>
  <c r="D3860" i="10"/>
  <c r="D209" i="10"/>
  <c r="D1789" i="10"/>
  <c r="D1788" i="10"/>
  <c r="D1787" i="10"/>
  <c r="D6978" i="10"/>
  <c r="D5349" i="10"/>
  <c r="D3859" i="10"/>
  <c r="D208" i="10"/>
  <c r="D1786" i="10"/>
  <c r="D6977" i="10"/>
  <c r="D5348" i="10"/>
  <c r="D3858" i="10"/>
  <c r="D207" i="10"/>
  <c r="D1785" i="10"/>
  <c r="D6976" i="10"/>
  <c r="D5347" i="10"/>
  <c r="D3857" i="10"/>
  <c r="D206" i="10"/>
  <c r="D1784" i="10"/>
  <c r="D6975" i="10"/>
  <c r="D5346" i="10"/>
  <c r="D3856" i="10"/>
  <c r="D205" i="10"/>
  <c r="D1783" i="10"/>
  <c r="D6974" i="10"/>
  <c r="D5345" i="10"/>
  <c r="D3855" i="10"/>
  <c r="D204" i="10"/>
  <c r="D1782" i="10"/>
  <c r="D1781" i="10"/>
  <c r="D1780" i="10"/>
  <c r="D6973" i="10"/>
  <c r="D5344" i="10"/>
  <c r="D3854" i="10"/>
  <c r="D203" i="10"/>
  <c r="D1779" i="10"/>
  <c r="D6972" i="10"/>
  <c r="D5343" i="10"/>
  <c r="D3853" i="10"/>
  <c r="D202" i="10"/>
  <c r="D1778" i="10"/>
  <c r="D6971" i="10"/>
  <c r="D5342" i="10"/>
  <c r="D3852" i="10"/>
  <c r="D201" i="10"/>
  <c r="D1777" i="10"/>
  <c r="D6970" i="10"/>
  <c r="D5341" i="10"/>
  <c r="D3851" i="10"/>
  <c r="D200" i="10"/>
  <c r="D1776" i="10"/>
  <c r="D6969" i="10"/>
  <c r="D5340" i="10"/>
  <c r="D3850" i="10"/>
  <c r="D199" i="10"/>
  <c r="D1775" i="10"/>
  <c r="D1774" i="10"/>
  <c r="D1773" i="10"/>
  <c r="D6968" i="10"/>
  <c r="D5339" i="10"/>
  <c r="D3849" i="10"/>
  <c r="D198" i="10"/>
  <c r="D1772" i="10"/>
  <c r="D6967" i="10"/>
  <c r="D5338" i="10"/>
  <c r="D3848" i="10"/>
  <c r="D197" i="10"/>
  <c r="D1771" i="10"/>
  <c r="D6966" i="10"/>
  <c r="D5337" i="10"/>
  <c r="D3847" i="10"/>
  <c r="D196" i="10"/>
  <c r="D1770" i="10"/>
  <c r="D6965" i="10"/>
  <c r="D5336" i="10"/>
  <c r="D3846" i="10"/>
  <c r="D195" i="10"/>
  <c r="D1769" i="10"/>
  <c r="D6964" i="10"/>
  <c r="D5335" i="10"/>
  <c r="D3845" i="10"/>
  <c r="D194" i="10"/>
  <c r="D1768" i="10"/>
  <c r="D1767" i="10"/>
  <c r="D1766" i="10"/>
  <c r="D6963" i="10"/>
  <c r="D5334" i="10"/>
  <c r="D3844" i="10"/>
  <c r="D193" i="10"/>
  <c r="D1765" i="10"/>
  <c r="D6962" i="10"/>
  <c r="D5333" i="10"/>
  <c r="D3843" i="10"/>
  <c r="D192" i="10"/>
  <c r="D1764" i="10"/>
  <c r="D6961" i="10"/>
  <c r="D5332" i="10"/>
  <c r="D3842" i="10"/>
  <c r="D191" i="10"/>
  <c r="D1763" i="10"/>
  <c r="D6960" i="10"/>
  <c r="D5331" i="10"/>
  <c r="D3841" i="10"/>
  <c r="D190" i="10"/>
  <c r="D1762" i="10"/>
  <c r="D6959" i="10"/>
  <c r="D5330" i="10"/>
  <c r="D3840" i="10"/>
  <c r="D189" i="10"/>
  <c r="D1761" i="10"/>
  <c r="D1760" i="10"/>
  <c r="D1759" i="10"/>
  <c r="D6958" i="10"/>
  <c r="D5329" i="10"/>
  <c r="D3839" i="10"/>
  <c r="D188" i="10"/>
  <c r="D1758" i="10"/>
  <c r="D6957" i="10"/>
  <c r="D5328" i="10"/>
  <c r="D3838" i="10"/>
  <c r="D187" i="10"/>
  <c r="D1757" i="10"/>
  <c r="D6956" i="10"/>
  <c r="D5327" i="10"/>
  <c r="D3837" i="10"/>
  <c r="D186" i="10"/>
  <c r="D1756" i="10"/>
  <c r="D6955" i="10"/>
  <c r="D5326" i="10"/>
  <c r="D3836" i="10"/>
  <c r="D185" i="10"/>
  <c r="D1755" i="10"/>
  <c r="D6954" i="10"/>
  <c r="D5325" i="10"/>
  <c r="D3835" i="10"/>
  <c r="D184" i="10"/>
  <c r="D1754" i="10"/>
  <c r="D1753" i="10"/>
  <c r="D1752" i="10"/>
  <c r="D6953" i="10"/>
  <c r="D5324" i="10"/>
  <c r="D3834" i="10"/>
  <c r="D183" i="10"/>
  <c r="D1751" i="10"/>
  <c r="D6952" i="10"/>
  <c r="D5323" i="10"/>
  <c r="D3833" i="10"/>
  <c r="D182" i="10"/>
  <c r="D1750" i="10"/>
  <c r="D6951" i="10"/>
  <c r="D5322" i="10"/>
  <c r="D3832" i="10"/>
  <c r="D181" i="10"/>
  <c r="D1749" i="10"/>
  <c r="D6950" i="10"/>
  <c r="D5321" i="10"/>
  <c r="D3831" i="10"/>
  <c r="D180" i="10"/>
  <c r="D1748" i="10"/>
  <c r="D6949" i="10"/>
  <c r="D5320" i="10"/>
  <c r="D3830" i="10"/>
  <c r="D179" i="10"/>
  <c r="D1747" i="10"/>
  <c r="D1746" i="10"/>
  <c r="D1745" i="10"/>
  <c r="D6948" i="10"/>
  <c r="D5319" i="10"/>
  <c r="D3829" i="10"/>
  <c r="D178" i="10"/>
  <c r="D1744" i="10"/>
  <c r="D6947" i="10"/>
  <c r="D5318" i="10"/>
  <c r="D3828" i="10"/>
  <c r="D177" i="10"/>
  <c r="D1743" i="10"/>
  <c r="D6946" i="10"/>
  <c r="D5317" i="10"/>
  <c r="D3827" i="10"/>
  <c r="D176" i="10"/>
  <c r="D1742" i="10"/>
  <c r="D6945" i="10"/>
  <c r="D5316" i="10"/>
  <c r="D3826" i="10"/>
  <c r="D175" i="10"/>
  <c r="D1741" i="10"/>
  <c r="D6944" i="10"/>
  <c r="D5315" i="10"/>
  <c r="D3825" i="10"/>
  <c r="D174" i="10"/>
  <c r="D1740" i="10"/>
  <c r="D1739" i="10"/>
  <c r="D1738" i="10"/>
  <c r="D6943" i="10"/>
  <c r="D5314" i="10"/>
  <c r="D3824" i="10"/>
  <c r="D173" i="10"/>
  <c r="D1737" i="10"/>
  <c r="D6942" i="10"/>
  <c r="D5313" i="10"/>
  <c r="D3823" i="10"/>
  <c r="D172" i="10"/>
  <c r="D1736" i="10"/>
  <c r="D6941" i="10"/>
  <c r="D5312" i="10"/>
  <c r="D3822" i="10"/>
  <c r="D171" i="10"/>
  <c r="D1735" i="10"/>
  <c r="D6940" i="10"/>
  <c r="D5311" i="10"/>
  <c r="D3821" i="10"/>
  <c r="D170" i="10"/>
  <c r="D1734" i="10"/>
  <c r="D6939" i="10"/>
  <c r="D5310" i="10"/>
  <c r="D3820" i="10"/>
  <c r="D169" i="10"/>
  <c r="D1733" i="10"/>
  <c r="D1732" i="10"/>
  <c r="D1731" i="10"/>
  <c r="D6938" i="10"/>
  <c r="D5309" i="10"/>
  <c r="D3819" i="10"/>
  <c r="D168" i="10"/>
  <c r="D1730" i="10"/>
  <c r="D6937" i="10"/>
  <c r="D5308" i="10"/>
  <c r="D3818" i="10"/>
  <c r="D167" i="10"/>
  <c r="D1729" i="10"/>
  <c r="D6936" i="10"/>
  <c r="D5307" i="10"/>
  <c r="D3817" i="10"/>
  <c r="D166" i="10"/>
  <c r="D1728" i="10"/>
  <c r="D6935" i="10"/>
  <c r="D5306" i="10"/>
  <c r="D3816" i="10"/>
  <c r="D165" i="10"/>
  <c r="D1727" i="10"/>
  <c r="D6934" i="10"/>
  <c r="D5305" i="10"/>
  <c r="D3815" i="10"/>
  <c r="D164" i="10"/>
  <c r="D1726" i="10"/>
  <c r="D1725" i="10"/>
  <c r="D1724" i="10"/>
  <c r="D6933" i="10"/>
  <c r="D5304" i="10"/>
  <c r="D3814" i="10"/>
  <c r="D163" i="10"/>
  <c r="D1723" i="10"/>
  <c r="D6932" i="10"/>
  <c r="D5303" i="10"/>
  <c r="D3813" i="10"/>
  <c r="D162" i="10"/>
  <c r="D1722" i="10"/>
  <c r="D6931" i="10"/>
  <c r="D5302" i="10"/>
  <c r="D3812" i="10"/>
  <c r="D161" i="10"/>
  <c r="D1721" i="10"/>
  <c r="D6930" i="10"/>
  <c r="D5301" i="10"/>
  <c r="D3811" i="10"/>
  <c r="D160" i="10"/>
  <c r="D1720" i="10"/>
  <c r="D6929" i="10"/>
  <c r="D5300" i="10"/>
  <c r="D3810" i="10"/>
  <c r="D159" i="10"/>
  <c r="D1719" i="10"/>
  <c r="D1718" i="10"/>
  <c r="D1717" i="10"/>
  <c r="D6928" i="10"/>
  <c r="D5299" i="10"/>
  <c r="D3809" i="10"/>
  <c r="D158" i="10"/>
  <c r="D1716" i="10"/>
  <c r="D6927" i="10"/>
  <c r="D5298" i="10"/>
  <c r="D3808" i="10"/>
  <c r="D157" i="10"/>
  <c r="D1715" i="10"/>
  <c r="D6926" i="10"/>
  <c r="D5297" i="10"/>
  <c r="D3807" i="10"/>
  <c r="D156" i="10"/>
  <c r="D1714" i="10"/>
  <c r="D6925" i="10"/>
  <c r="D5296" i="10"/>
  <c r="D3806" i="10"/>
  <c r="D155" i="10"/>
  <c r="D1713" i="10"/>
  <c r="D6924" i="10"/>
  <c r="D5295" i="10"/>
  <c r="D3805" i="10"/>
  <c r="D154" i="10"/>
  <c r="D1712" i="10"/>
  <c r="D1711" i="10"/>
  <c r="D1710" i="10"/>
  <c r="D6923" i="10"/>
  <c r="D5294" i="10"/>
  <c r="D3804" i="10"/>
  <c r="D153" i="10"/>
  <c r="D1709" i="10"/>
  <c r="D6922" i="10"/>
  <c r="D5293" i="10"/>
  <c r="D3803" i="10"/>
  <c r="D152" i="10"/>
  <c r="D1708" i="10"/>
  <c r="D6921" i="10"/>
  <c r="D5292" i="10"/>
  <c r="D3802" i="10"/>
  <c r="D151" i="10"/>
  <c r="D1707" i="10"/>
  <c r="D6920" i="10"/>
  <c r="D5291" i="10"/>
  <c r="D3801" i="10"/>
  <c r="D150" i="10"/>
  <c r="D1706" i="10"/>
  <c r="D1705" i="10"/>
  <c r="D1704" i="10"/>
  <c r="D1703" i="10"/>
  <c r="D6919" i="10"/>
  <c r="D5290" i="10"/>
  <c r="D3800" i="10"/>
  <c r="D149" i="10"/>
  <c r="D1702" i="10"/>
  <c r="D6918" i="10"/>
  <c r="D5289" i="10"/>
  <c r="D3799" i="10"/>
  <c r="D148" i="10"/>
  <c r="D1701" i="10"/>
  <c r="D6917" i="10"/>
  <c r="D5288" i="10"/>
  <c r="D3798" i="10"/>
  <c r="D147" i="10"/>
  <c r="D1700" i="10"/>
  <c r="D6916" i="10"/>
  <c r="D5287" i="10"/>
  <c r="D3797" i="10"/>
  <c r="D146" i="10"/>
  <c r="D1699" i="10"/>
  <c r="D6915" i="10"/>
  <c r="D5286" i="10"/>
  <c r="D3796" i="10"/>
  <c r="D145" i="10"/>
  <c r="D1698" i="10"/>
  <c r="D1697" i="10"/>
  <c r="D1696" i="10"/>
  <c r="D6914" i="10"/>
  <c r="D5285" i="10"/>
  <c r="D3795" i="10"/>
  <c r="D144" i="10"/>
  <c r="D1695" i="10"/>
  <c r="D6913" i="10"/>
  <c r="D5284" i="10"/>
  <c r="D3794" i="10"/>
  <c r="D143" i="10"/>
  <c r="D1694" i="10"/>
  <c r="D6912" i="10"/>
  <c r="D5283" i="10"/>
  <c r="D3793" i="10"/>
  <c r="D142" i="10"/>
  <c r="D1693" i="10"/>
  <c r="D6911" i="10"/>
  <c r="D5282" i="10"/>
  <c r="D3792" i="10"/>
  <c r="D141" i="10"/>
  <c r="D1692" i="10"/>
  <c r="D6910" i="10"/>
  <c r="D5281" i="10"/>
  <c r="D3791" i="10"/>
  <c r="D140" i="10"/>
  <c r="D1691" i="10"/>
  <c r="D1690" i="10"/>
  <c r="D1689" i="10"/>
  <c r="D6909" i="10"/>
  <c r="D5280" i="10"/>
  <c r="D3790" i="10"/>
  <c r="D139" i="10"/>
  <c r="D1688" i="10"/>
  <c r="D6908" i="10"/>
  <c r="D5279" i="10"/>
  <c r="D3789" i="10"/>
  <c r="D138" i="10"/>
  <c r="D1687" i="10"/>
  <c r="D6907" i="10"/>
  <c r="D5278" i="10"/>
  <c r="D3788" i="10"/>
  <c r="D137" i="10"/>
  <c r="D1686" i="10"/>
  <c r="D6906" i="10"/>
  <c r="D5277" i="10"/>
  <c r="D3787" i="10"/>
  <c r="D136" i="10"/>
  <c r="D1685" i="10"/>
  <c r="D6905" i="10"/>
  <c r="D5276" i="10"/>
  <c r="D3786" i="10"/>
  <c r="D135" i="10"/>
  <c r="D1684" i="10"/>
  <c r="D1683" i="10"/>
  <c r="D1682" i="10"/>
  <c r="D6904" i="10"/>
  <c r="D5275" i="10"/>
  <c r="D3785" i="10"/>
  <c r="D134" i="10"/>
  <c r="D1681" i="10"/>
  <c r="D6903" i="10"/>
  <c r="D5274" i="10"/>
  <c r="D3784" i="10"/>
  <c r="D133" i="10"/>
  <c r="D1680" i="10"/>
  <c r="D6902" i="10"/>
  <c r="D5273" i="10"/>
  <c r="D3783" i="10"/>
  <c r="D132" i="10"/>
  <c r="D1679" i="10"/>
  <c r="D6901" i="10"/>
  <c r="D5272" i="10"/>
  <c r="D3782" i="10"/>
  <c r="D131" i="10"/>
  <c r="D1678" i="10"/>
  <c r="D6900" i="10"/>
  <c r="D5271" i="10"/>
  <c r="D3781" i="10"/>
  <c r="D130" i="10"/>
  <c r="D1677" i="10"/>
  <c r="D1676" i="10"/>
  <c r="D1675" i="10"/>
  <c r="D6899" i="10"/>
  <c r="D5270" i="10"/>
  <c r="D3780" i="10"/>
  <c r="D129" i="10"/>
  <c r="D1674" i="10"/>
  <c r="D6898" i="10"/>
  <c r="D5269" i="10"/>
  <c r="D3779" i="10"/>
  <c r="D128" i="10"/>
  <c r="D1673" i="10"/>
  <c r="D6897" i="10"/>
  <c r="D5268" i="10"/>
  <c r="D3778" i="10"/>
  <c r="D127" i="10"/>
  <c r="D1672" i="10"/>
  <c r="D6896" i="10"/>
  <c r="D5267" i="10"/>
  <c r="D3777" i="10"/>
  <c r="D126" i="10"/>
  <c r="D1671" i="10"/>
  <c r="D6895" i="10"/>
  <c r="D5266" i="10"/>
  <c r="D3776" i="10"/>
  <c r="D125" i="10"/>
  <c r="D1670" i="10"/>
  <c r="D1669" i="10"/>
  <c r="D1668" i="10"/>
  <c r="D6894" i="10"/>
  <c r="D5265" i="10"/>
  <c r="D3775" i="10"/>
  <c r="D124" i="10"/>
  <c r="D1667" i="10"/>
  <c r="D6893" i="10"/>
  <c r="D5264" i="10"/>
  <c r="D3774" i="10"/>
  <c r="D123" i="10"/>
  <c r="D1666" i="10"/>
  <c r="D6892" i="10"/>
  <c r="D5263" i="10"/>
  <c r="D3773" i="10"/>
  <c r="D122" i="10"/>
  <c r="D1665" i="10"/>
  <c r="D6891" i="10"/>
  <c r="D5262" i="10"/>
  <c r="D3772" i="10"/>
  <c r="D121" i="10"/>
  <c r="D1664" i="10"/>
  <c r="D6890" i="10"/>
  <c r="D5261" i="10"/>
  <c r="D3771" i="10"/>
  <c r="D120" i="10"/>
  <c r="D1663" i="10"/>
  <c r="D1662" i="10"/>
  <c r="D1661" i="10"/>
  <c r="D6889" i="10"/>
  <c r="D5260" i="10"/>
  <c r="D3770" i="10"/>
  <c r="D119" i="10"/>
  <c r="D1660" i="10"/>
  <c r="D6888" i="10"/>
  <c r="D5259" i="10"/>
  <c r="D3769" i="10"/>
  <c r="D118" i="10"/>
  <c r="D1659" i="10"/>
  <c r="D6887" i="10"/>
  <c r="D5258" i="10"/>
  <c r="D3768" i="10"/>
  <c r="D117" i="10"/>
  <c r="D1658" i="10"/>
  <c r="D6886" i="10"/>
  <c r="D5257" i="10"/>
  <c r="D3767" i="10"/>
  <c r="D116" i="10"/>
  <c r="D1657" i="10"/>
  <c r="D6885" i="10"/>
  <c r="D5256" i="10"/>
  <c r="D3766" i="10"/>
  <c r="D115" i="10"/>
  <c r="D1656" i="10"/>
  <c r="D1655" i="10"/>
  <c r="D1654" i="10"/>
  <c r="D6884" i="10"/>
  <c r="D5255" i="10"/>
  <c r="D3765" i="10"/>
  <c r="D114" i="10"/>
  <c r="D1653" i="10"/>
  <c r="D6883" i="10"/>
  <c r="D5254" i="10"/>
  <c r="D3764" i="10"/>
  <c r="D113" i="10"/>
  <c r="D1652" i="10"/>
  <c r="D6882" i="10"/>
  <c r="D5253" i="10"/>
  <c r="D3763" i="10"/>
  <c r="D112" i="10"/>
  <c r="D1651" i="10"/>
  <c r="D6881" i="10"/>
  <c r="D5252" i="10"/>
  <c r="D3762" i="10"/>
  <c r="D111" i="10"/>
  <c r="D1650" i="10"/>
  <c r="D6880" i="10"/>
  <c r="D5251" i="10"/>
  <c r="D3761" i="10"/>
  <c r="D110" i="10"/>
  <c r="D1649" i="10"/>
  <c r="D1648" i="10"/>
  <c r="D1647" i="10"/>
  <c r="D6879" i="10"/>
  <c r="D5250" i="10"/>
  <c r="D3760" i="10"/>
  <c r="D109" i="10"/>
  <c r="D1646" i="10"/>
  <c r="D1645" i="10"/>
  <c r="D6878" i="10"/>
  <c r="D5249" i="10"/>
  <c r="D3759" i="10"/>
  <c r="D108" i="10"/>
  <c r="D1644" i="10"/>
  <c r="D6877" i="10"/>
  <c r="D5248" i="10"/>
  <c r="D3758" i="10"/>
  <c r="D107" i="10"/>
  <c r="D1643" i="10"/>
  <c r="D6876" i="10"/>
  <c r="D5247" i="10"/>
  <c r="D3757" i="10"/>
  <c r="D106" i="10"/>
  <c r="D1642" i="10"/>
  <c r="D1641" i="10"/>
  <c r="D1640" i="10"/>
  <c r="D6875" i="10"/>
  <c r="D5246" i="10"/>
  <c r="D3756" i="10"/>
  <c r="D105" i="10"/>
  <c r="D1639" i="10"/>
  <c r="D6874" i="10"/>
  <c r="D5245" i="10"/>
  <c r="D3755" i="10"/>
  <c r="D104" i="10"/>
  <c r="D1638" i="10"/>
  <c r="D6873" i="10"/>
  <c r="D5244" i="10"/>
  <c r="D3754" i="10"/>
  <c r="D103" i="10"/>
  <c r="D1637" i="10"/>
  <c r="D6872" i="10"/>
  <c r="D5243" i="10"/>
  <c r="D3753" i="10"/>
  <c r="D102" i="10"/>
  <c r="D1636" i="10"/>
  <c r="D6871" i="10"/>
  <c r="D5242" i="10"/>
  <c r="D3752" i="10"/>
  <c r="D101" i="10"/>
  <c r="D1635" i="10"/>
  <c r="D1634" i="10"/>
  <c r="D1633" i="10"/>
  <c r="D6870" i="10"/>
  <c r="D5241" i="10"/>
  <c r="D3751" i="10"/>
  <c r="D100" i="10"/>
  <c r="D1632" i="10"/>
  <c r="D6869" i="10"/>
  <c r="D5240" i="10"/>
  <c r="D3750" i="10"/>
  <c r="D99" i="10"/>
  <c r="D1631" i="10"/>
  <c r="D6868" i="10"/>
  <c r="D5239" i="10"/>
  <c r="D3749" i="10"/>
  <c r="D98" i="10"/>
  <c r="D1630" i="10"/>
  <c r="D6867" i="10"/>
  <c r="D5238" i="10"/>
  <c r="D3748" i="10"/>
  <c r="D97" i="10"/>
  <c r="D1629" i="10"/>
  <c r="D6866" i="10"/>
  <c r="D5237" i="10"/>
  <c r="D3747" i="10"/>
  <c r="D96" i="10"/>
  <c r="D1628" i="10"/>
  <c r="D1627" i="10"/>
  <c r="D1626" i="10"/>
  <c r="D6865" i="10"/>
  <c r="D5236" i="10"/>
  <c r="D3746" i="10"/>
  <c r="D95" i="10"/>
  <c r="D1625" i="10"/>
  <c r="D6864" i="10"/>
  <c r="D5235" i="10"/>
  <c r="D3745" i="10"/>
  <c r="D94" i="10"/>
  <c r="D1624" i="10"/>
  <c r="D6863" i="10"/>
  <c r="D5234" i="10"/>
  <c r="D3744" i="10"/>
  <c r="D93" i="10"/>
  <c r="D1623" i="10"/>
  <c r="D6862" i="10"/>
  <c r="D5233" i="10"/>
  <c r="D3743" i="10"/>
  <c r="D92" i="10"/>
  <c r="D1622" i="10"/>
  <c r="D6861" i="10"/>
  <c r="D5232" i="10"/>
  <c r="D3742" i="10"/>
  <c r="D91" i="10"/>
  <c r="D1621" i="10"/>
  <c r="D1620" i="10"/>
  <c r="D1619" i="10"/>
  <c r="D6860" i="10"/>
  <c r="D5231" i="10"/>
  <c r="D3741" i="10"/>
  <c r="D90" i="10"/>
  <c r="D1618" i="10"/>
  <c r="D6859" i="10"/>
  <c r="D5230" i="10"/>
  <c r="D3740" i="10"/>
  <c r="D89" i="10"/>
  <c r="D1617" i="10"/>
  <c r="D6858" i="10"/>
  <c r="D5229" i="10"/>
  <c r="D3739" i="10"/>
  <c r="D88" i="10"/>
  <c r="D1616" i="10"/>
  <c r="D6857" i="10"/>
  <c r="D5228" i="10"/>
  <c r="D3738" i="10"/>
  <c r="D87" i="10"/>
  <c r="D1615" i="10"/>
  <c r="D6856" i="10"/>
  <c r="D5227" i="10"/>
  <c r="D3737" i="10"/>
  <c r="D86" i="10"/>
  <c r="D1614" i="10"/>
  <c r="D1613" i="10"/>
  <c r="D1612" i="10"/>
  <c r="D6855" i="10"/>
  <c r="D5226" i="10"/>
  <c r="D3736" i="10"/>
  <c r="D85" i="10"/>
  <c r="D1611" i="10"/>
  <c r="D6854" i="10"/>
  <c r="D5225" i="10"/>
  <c r="D3735" i="10"/>
  <c r="D84" i="10"/>
  <c r="D1610" i="10"/>
  <c r="D6853" i="10"/>
  <c r="D5224" i="10"/>
  <c r="D3734" i="10"/>
  <c r="D83" i="10"/>
  <c r="D1609" i="10"/>
  <c r="D6852" i="10"/>
  <c r="D5223" i="10"/>
  <c r="D3733" i="10"/>
  <c r="D82" i="10"/>
  <c r="D1608" i="10"/>
  <c r="D1607" i="10"/>
  <c r="D1606" i="10"/>
  <c r="D1605" i="10"/>
  <c r="D6851" i="10"/>
  <c r="D5222" i="10"/>
  <c r="D3732" i="10"/>
  <c r="D81" i="10"/>
  <c r="D1604" i="10"/>
  <c r="D6850" i="10"/>
  <c r="D5221" i="10"/>
  <c r="D3731" i="10"/>
  <c r="D80" i="10"/>
  <c r="D1603" i="10"/>
  <c r="D6849" i="10"/>
  <c r="D5220" i="10"/>
  <c r="D3730" i="10"/>
  <c r="D79" i="10"/>
  <c r="D1602" i="10"/>
  <c r="D6848" i="10"/>
  <c r="D5219" i="10"/>
  <c r="D3729" i="10"/>
  <c r="D78" i="10"/>
  <c r="D1601" i="10"/>
  <c r="D6847" i="10"/>
  <c r="D5218" i="10"/>
  <c r="D3728" i="10"/>
  <c r="D77" i="10"/>
  <c r="D1600" i="10"/>
  <c r="D1599" i="10"/>
  <c r="D1598" i="10"/>
  <c r="D6846" i="10"/>
  <c r="D5217" i="10"/>
  <c r="D3727" i="10"/>
  <c r="D76" i="10"/>
  <c r="D1597" i="10"/>
  <c r="D6845" i="10"/>
  <c r="D5216" i="10"/>
  <c r="D3726" i="10"/>
  <c r="D75" i="10"/>
  <c r="D1596" i="10"/>
  <c r="D6844" i="10"/>
  <c r="D5215" i="10"/>
  <c r="D3725" i="10"/>
  <c r="D74" i="10"/>
  <c r="D1595" i="10"/>
  <c r="D6843" i="10"/>
  <c r="D5214" i="10"/>
  <c r="D3724" i="10"/>
  <c r="D73" i="10"/>
  <c r="D1594" i="10"/>
  <c r="D6842" i="10"/>
  <c r="D5213" i="10"/>
  <c r="D3723" i="10"/>
  <c r="D72" i="10"/>
  <c r="D1593" i="10"/>
  <c r="D1592" i="10"/>
  <c r="D1591" i="10"/>
  <c r="D6841" i="10"/>
  <c r="D5212" i="10"/>
  <c r="D3722" i="10"/>
  <c r="D71" i="10"/>
  <c r="D1590" i="10"/>
  <c r="D6840" i="10"/>
  <c r="D5211" i="10"/>
  <c r="D3721" i="10"/>
  <c r="D70" i="10"/>
  <c r="D1589" i="10"/>
  <c r="D6839" i="10"/>
  <c r="D5210" i="10"/>
  <c r="D3720" i="10"/>
  <c r="D69" i="10"/>
  <c r="D1588" i="10"/>
  <c r="D6838" i="10"/>
  <c r="D5209" i="10"/>
  <c r="D3719" i="10"/>
  <c r="D68" i="10"/>
  <c r="D1587" i="10"/>
  <c r="D6837" i="10"/>
  <c r="D5208" i="10"/>
  <c r="D3718" i="10"/>
  <c r="D67" i="10"/>
  <c r="D1586" i="10"/>
  <c r="D1585" i="10"/>
  <c r="D1584" i="10"/>
  <c r="D6836" i="10"/>
  <c r="D5207" i="10"/>
  <c r="D3717" i="10"/>
  <c r="D66" i="10"/>
  <c r="D1583" i="10"/>
  <c r="D6835" i="10"/>
  <c r="D5206" i="10"/>
  <c r="D3716" i="10"/>
  <c r="D65" i="10"/>
  <c r="D1582" i="10"/>
  <c r="D6834" i="10"/>
  <c r="D5205" i="10"/>
  <c r="D3715" i="10"/>
  <c r="D64" i="10"/>
  <c r="D1581" i="10"/>
  <c r="D6833" i="10"/>
  <c r="D5204" i="10"/>
  <c r="D3714" i="10"/>
  <c r="D63" i="10"/>
  <c r="D1580" i="10"/>
  <c r="D6832" i="10"/>
  <c r="D5203" i="10"/>
  <c r="D3713" i="10"/>
  <c r="D62" i="10"/>
  <c r="D1579" i="10"/>
  <c r="D1578" i="10"/>
  <c r="D1577" i="10"/>
  <c r="D6831" i="10"/>
  <c r="D5202" i="10"/>
  <c r="D3712" i="10"/>
  <c r="D61" i="10"/>
  <c r="D1576" i="10"/>
  <c r="D6830" i="10"/>
  <c r="D5201" i="10"/>
  <c r="D3711" i="10"/>
  <c r="D60" i="10"/>
  <c r="D1575" i="10"/>
  <c r="D6829" i="10"/>
  <c r="D5200" i="10"/>
  <c r="D3710" i="10"/>
  <c r="D59" i="10"/>
  <c r="D1574" i="10"/>
  <c r="D6828" i="10"/>
  <c r="D5199" i="10"/>
  <c r="D3709" i="10"/>
  <c r="D58" i="10"/>
  <c r="D1573" i="10"/>
  <c r="D6827" i="10"/>
  <c r="D5198" i="10"/>
  <c r="D3708" i="10"/>
  <c r="D57" i="10"/>
  <c r="D1572" i="10"/>
  <c r="D1571" i="10"/>
  <c r="D1570" i="10"/>
  <c r="D1569" i="10"/>
  <c r="D6826" i="10"/>
  <c r="D5197" i="10"/>
  <c r="D3707" i="10"/>
  <c r="D56" i="10"/>
  <c r="D1568" i="10"/>
  <c r="D6825" i="10"/>
  <c r="D5196" i="10"/>
  <c r="D3706" i="10"/>
  <c r="D55" i="10"/>
  <c r="D1567" i="10"/>
  <c r="D6824" i="10"/>
  <c r="D5195" i="10"/>
  <c r="D3705" i="10"/>
  <c r="D54" i="10"/>
  <c r="D1566" i="10"/>
  <c r="D6823" i="10"/>
  <c r="D5194" i="10"/>
  <c r="D3704" i="10"/>
  <c r="D53" i="10"/>
  <c r="D1565" i="10"/>
  <c r="D1564" i="10"/>
  <c r="D1563" i="10"/>
  <c r="D6822" i="10"/>
  <c r="D5193" i="10"/>
  <c r="D3703" i="10"/>
  <c r="D52" i="10"/>
  <c r="D1562" i="10"/>
  <c r="D6821" i="10"/>
  <c r="D5192" i="10"/>
  <c r="D3702" i="10"/>
  <c r="D51" i="10"/>
  <c r="D1561" i="10"/>
  <c r="D6820" i="10"/>
  <c r="D5191" i="10"/>
  <c r="D3701" i="10"/>
  <c r="D50" i="10"/>
  <c r="D1560" i="10"/>
  <c r="D6819" i="10"/>
  <c r="D5190" i="10"/>
  <c r="D3700" i="10"/>
  <c r="D49" i="10"/>
  <c r="D1559" i="10"/>
  <c r="D6818" i="10"/>
  <c r="D5189" i="10"/>
  <c r="D3699" i="10"/>
  <c r="D48" i="10"/>
  <c r="D1558" i="10"/>
  <c r="D1557" i="10"/>
  <c r="D1556" i="10"/>
  <c r="D6817" i="10"/>
  <c r="D5188" i="10"/>
  <c r="D3698" i="10"/>
  <c r="D47" i="10"/>
  <c r="D1555" i="10"/>
  <c r="D6816" i="10"/>
  <c r="D5187" i="10"/>
  <c r="D3697" i="10"/>
  <c r="D46" i="10"/>
  <c r="D1554" i="10"/>
  <c r="D6815" i="10"/>
  <c r="D5186" i="10"/>
  <c r="D3696" i="10"/>
  <c r="D45" i="10"/>
  <c r="D1553" i="10"/>
  <c r="D6814" i="10"/>
  <c r="D5185" i="10"/>
  <c r="D3695" i="10"/>
  <c r="D44" i="10"/>
  <c r="D1552" i="10"/>
  <c r="D6813" i="10"/>
  <c r="D5184" i="10"/>
  <c r="D3694" i="10"/>
  <c r="D43" i="10"/>
  <c r="D1551" i="10"/>
  <c r="D1550" i="10"/>
  <c r="D1549" i="10"/>
  <c r="D6812" i="10"/>
  <c r="D5183" i="10"/>
  <c r="D3693" i="10"/>
  <c r="D42" i="10"/>
  <c r="D1548" i="10"/>
  <c r="D6811" i="10"/>
  <c r="D5182" i="10"/>
  <c r="D3692" i="10"/>
  <c r="D41" i="10"/>
  <c r="D1547" i="10"/>
  <c r="D6810" i="10"/>
  <c r="D5181" i="10"/>
  <c r="D3691" i="10"/>
  <c r="D40" i="10"/>
  <c r="D1546" i="10"/>
  <c r="D6809" i="10"/>
  <c r="D5180" i="10"/>
  <c r="D3690" i="10"/>
  <c r="D39" i="10"/>
  <c r="D1545" i="10"/>
  <c r="D6808" i="10"/>
  <c r="D5179" i="10"/>
  <c r="D3689" i="10"/>
  <c r="D38" i="10"/>
  <c r="D1544" i="10"/>
  <c r="D1543" i="10"/>
  <c r="D1542" i="10"/>
  <c r="D6807" i="10"/>
  <c r="D5178" i="10"/>
  <c r="D3688" i="10"/>
  <c r="D37" i="10"/>
  <c r="D1541" i="10"/>
  <c r="D6806" i="10"/>
  <c r="D5177" i="10"/>
  <c r="D3687" i="10"/>
  <c r="D36" i="10"/>
  <c r="D1540" i="10"/>
  <c r="D6805" i="10"/>
  <c r="D5176" i="10"/>
  <c r="D3686" i="10"/>
  <c r="D35" i="10"/>
  <c r="D1539" i="10"/>
  <c r="D6804" i="10"/>
  <c r="D5175" i="10"/>
  <c r="D3685" i="10"/>
  <c r="D34" i="10"/>
  <c r="D1538" i="10"/>
  <c r="D6803" i="10"/>
  <c r="D5174" i="10"/>
  <c r="D3684" i="10"/>
  <c r="D33" i="10"/>
  <c r="D1537" i="10"/>
  <c r="D1536" i="10"/>
  <c r="D1535" i="10"/>
  <c r="D6802" i="10"/>
  <c r="D5173" i="10"/>
  <c r="D3683" i="10"/>
  <c r="D32" i="10"/>
  <c r="D1534" i="10"/>
  <c r="D6801" i="10"/>
  <c r="D5172" i="10"/>
  <c r="D3682" i="10"/>
  <c r="D31" i="10"/>
  <c r="D1533" i="10"/>
  <c r="D6800" i="10"/>
  <c r="D5171" i="10"/>
  <c r="D3681" i="10"/>
  <c r="D30" i="10"/>
  <c r="D1532" i="10"/>
  <c r="D6799" i="10"/>
  <c r="D5170" i="10"/>
  <c r="D3680" i="10"/>
  <c r="D29" i="10"/>
  <c r="D1531" i="10"/>
  <c r="D6798" i="10"/>
  <c r="D5169" i="10"/>
  <c r="D3679" i="10"/>
  <c r="D28" i="10"/>
  <c r="D1530" i="10"/>
  <c r="D1529" i="10"/>
  <c r="D1528" i="10"/>
  <c r="D6797" i="10"/>
  <c r="D5168" i="10"/>
  <c r="D3678" i="10"/>
  <c r="D27" i="10"/>
  <c r="D1527" i="10"/>
  <c r="D6796" i="10"/>
  <c r="D5167" i="10"/>
  <c r="D3677" i="10"/>
  <c r="D26" i="10"/>
  <c r="D1526" i="10"/>
  <c r="D6795" i="10"/>
  <c r="D5166" i="10"/>
  <c r="D3676" i="10"/>
  <c r="D25" i="10"/>
  <c r="D1525" i="10"/>
  <c r="D6794" i="10"/>
  <c r="D5165" i="10"/>
  <c r="D3675" i="10"/>
  <c r="D24" i="10"/>
  <c r="D1524" i="10"/>
  <c r="D6793" i="10"/>
  <c r="D5164" i="10"/>
  <c r="D3674" i="10"/>
  <c r="D23" i="10"/>
  <c r="D1523" i="10"/>
  <c r="D1522" i="10"/>
  <c r="D1521" i="10"/>
  <c r="D6792" i="10"/>
  <c r="D5163" i="10"/>
  <c r="D3673" i="10"/>
  <c r="D22" i="10"/>
  <c r="D1520" i="10"/>
  <c r="D6791" i="10"/>
  <c r="D5162" i="10"/>
  <c r="D3672" i="10"/>
  <c r="D21" i="10"/>
  <c r="D1519" i="10"/>
  <c r="D6790" i="10"/>
  <c r="D5161" i="10"/>
  <c r="D3671" i="10"/>
  <c r="D20" i="10"/>
  <c r="D1518" i="10"/>
  <c r="D6789" i="10"/>
  <c r="D5160" i="10"/>
  <c r="D3670" i="10"/>
  <c r="D19" i="10"/>
  <c r="D1517" i="10"/>
  <c r="D6788" i="10"/>
  <c r="D5159" i="10"/>
  <c r="D3669" i="10"/>
  <c r="D18" i="10"/>
  <c r="D1516" i="10"/>
  <c r="D1515" i="10"/>
  <c r="D1514" i="10"/>
  <c r="D6787" i="10"/>
  <c r="D5158" i="10"/>
  <c r="D3668" i="10"/>
  <c r="D17" i="10"/>
  <c r="D1513" i="10"/>
  <c r="D6786" i="10"/>
  <c r="D5157" i="10"/>
  <c r="D3667" i="10"/>
  <c r="D16" i="10"/>
  <c r="D1512" i="10"/>
  <c r="D6785" i="10"/>
  <c r="D5156" i="10"/>
  <c r="D3666" i="10"/>
  <c r="D15" i="10"/>
  <c r="D1511" i="10"/>
  <c r="D6784" i="10"/>
  <c r="D5155" i="10"/>
  <c r="D3665" i="10"/>
  <c r="D14" i="10"/>
  <c r="D1510" i="10"/>
  <c r="D1509" i="10"/>
  <c r="D1508" i="10"/>
  <c r="D6783" i="10"/>
  <c r="D5154" i="10"/>
  <c r="D3664" i="10"/>
  <c r="D13" i="10"/>
  <c r="D1507" i="10"/>
  <c r="D6782" i="10"/>
  <c r="D5153" i="10"/>
  <c r="D3663" i="10"/>
  <c r="D12" i="10"/>
  <c r="D1506" i="10"/>
  <c r="D6781" i="10"/>
  <c r="D5152" i="10"/>
  <c r="D3662" i="10"/>
  <c r="D11" i="10"/>
  <c r="D1505" i="10"/>
  <c r="D6780" i="10"/>
  <c r="D5151" i="10"/>
  <c r="D3661" i="10"/>
  <c r="D10" i="10"/>
  <c r="D1504" i="10"/>
  <c r="D6779" i="10"/>
  <c r="D5150" i="10"/>
  <c r="D3660" i="10"/>
  <c r="D9" i="10"/>
  <c r="D1503" i="10"/>
  <c r="D1502" i="10"/>
  <c r="D1501" i="10"/>
  <c r="D6778" i="10"/>
  <c r="D5149" i="10"/>
  <c r="D3659" i="10"/>
  <c r="D8" i="10"/>
  <c r="D1500" i="10"/>
  <c r="D6777" i="10"/>
  <c r="D5148" i="10"/>
  <c r="D3658" i="10"/>
  <c r="D7" i="10"/>
  <c r="D1499" i="10"/>
  <c r="D6776" i="10"/>
  <c r="D5147" i="10"/>
  <c r="D3657" i="10"/>
  <c r="D6" i="10"/>
  <c r="D1498" i="10"/>
  <c r="D6775" i="10"/>
  <c r="D5146" i="10"/>
  <c r="D3656" i="10"/>
  <c r="D5" i="10"/>
  <c r="D1497" i="10"/>
  <c r="D6774" i="10"/>
  <c r="D5145" i="10"/>
  <c r="D3655" i="10"/>
  <c r="D4" i="10"/>
  <c r="D1496" i="10"/>
  <c r="D1495" i="10"/>
  <c r="D1494" i="10"/>
  <c r="D6773" i="10"/>
  <c r="D5144" i="10"/>
  <c r="D3654" i="10"/>
  <c r="D3" i="10"/>
  <c r="D6772" i="10"/>
  <c r="D5143" i="10"/>
  <c r="D3653" i="10"/>
  <c r="D1493" i="10"/>
  <c r="D2" i="10"/>
  <c r="E6" i="3"/>
  <c r="E7" i="3"/>
  <c r="E8" i="3"/>
  <c r="E15" i="3"/>
  <c r="E16" i="3"/>
  <c r="E17" i="3"/>
  <c r="E24" i="3"/>
  <c r="E25" i="3"/>
  <c r="E26" i="3"/>
  <c r="E33" i="3"/>
  <c r="E34" i="3"/>
  <c r="E35" i="3"/>
  <c r="E42" i="3"/>
  <c r="E43" i="3"/>
  <c r="E44" i="3"/>
  <c r="E51" i="3"/>
  <c r="E52" i="3"/>
  <c r="E53" i="3"/>
  <c r="E60" i="3"/>
  <c r="E61" i="3"/>
  <c r="E62" i="3"/>
  <c r="E69" i="3"/>
  <c r="E70" i="3"/>
  <c r="E71" i="3"/>
  <c r="E78" i="3"/>
  <c r="E79" i="3"/>
  <c r="E80" i="3"/>
  <c r="E87" i="3"/>
  <c r="E88" i="3"/>
  <c r="E89" i="3"/>
  <c r="E96" i="3"/>
  <c r="E97" i="3"/>
  <c r="E98" i="3"/>
  <c r="E105" i="3"/>
  <c r="E106" i="3"/>
  <c r="E107" i="3"/>
  <c r="E114" i="3"/>
  <c r="E115" i="3"/>
  <c r="E116" i="3"/>
  <c r="E123" i="3"/>
  <c r="E124" i="3"/>
  <c r="E125" i="3"/>
  <c r="E132" i="3"/>
  <c r="E133" i="3"/>
  <c r="E134" i="3"/>
  <c r="E141" i="3"/>
  <c r="E142" i="3"/>
  <c r="E143" i="3"/>
  <c r="E150" i="3"/>
  <c r="E151" i="3"/>
  <c r="E152" i="3"/>
  <c r="E159" i="3"/>
  <c r="E160" i="3"/>
  <c r="E161" i="3"/>
  <c r="E168" i="3"/>
  <c r="E169" i="3"/>
  <c r="E170" i="3"/>
  <c r="E177" i="3"/>
  <c r="E178" i="3"/>
  <c r="E179" i="3"/>
  <c r="E186" i="3"/>
  <c r="E187" i="3"/>
  <c r="E188" i="3"/>
  <c r="E195" i="3"/>
  <c r="E196" i="3"/>
  <c r="E197" i="3"/>
  <c r="E204" i="3"/>
  <c r="E205" i="3"/>
  <c r="E206" i="3"/>
  <c r="E213" i="3"/>
  <c r="E214" i="3"/>
  <c r="E215" i="3"/>
  <c r="E222" i="3"/>
  <c r="E223" i="3"/>
  <c r="E224" i="3"/>
  <c r="E231" i="3"/>
  <c r="E232" i="3"/>
  <c r="E233" i="3"/>
  <c r="E240" i="3"/>
  <c r="E241" i="3"/>
  <c r="E242" i="3"/>
  <c r="E249" i="3"/>
  <c r="E250" i="3"/>
  <c r="E251" i="3"/>
  <c r="E258" i="3"/>
  <c r="E259" i="3"/>
  <c r="E260" i="3"/>
  <c r="E267" i="3"/>
  <c r="E268" i="3"/>
  <c r="E269" i="3"/>
  <c r="E276" i="3"/>
  <c r="E277" i="3"/>
  <c r="E278" i="3"/>
  <c r="E285" i="3"/>
  <c r="E286" i="3"/>
  <c r="E287" i="3"/>
  <c r="E294" i="3"/>
  <c r="E295" i="3"/>
  <c r="E296" i="3"/>
  <c r="E303" i="3"/>
  <c r="E304" i="3"/>
  <c r="E305" i="3"/>
  <c r="E312" i="3"/>
  <c r="E313" i="3"/>
  <c r="E314" i="3"/>
  <c r="E321" i="3"/>
  <c r="E322" i="3"/>
  <c r="E323" i="3"/>
  <c r="E330" i="3"/>
  <c r="E331" i="3"/>
  <c r="E332" i="3"/>
  <c r="E339" i="3"/>
  <c r="E340" i="3"/>
  <c r="E341" i="3"/>
  <c r="E348" i="3"/>
  <c r="E349" i="3"/>
  <c r="E350" i="3"/>
  <c r="E357" i="3"/>
  <c r="E358" i="3"/>
  <c r="E359" i="3"/>
  <c r="E366" i="3"/>
  <c r="E367" i="3"/>
  <c r="E368" i="3"/>
  <c r="E375" i="3"/>
  <c r="E376" i="3"/>
  <c r="E377" i="3"/>
  <c r="E384" i="3"/>
  <c r="E385" i="3"/>
  <c r="E386" i="3"/>
  <c r="E393" i="3"/>
  <c r="E394" i="3"/>
  <c r="E395" i="3"/>
  <c r="E402" i="3"/>
  <c r="E403" i="3"/>
  <c r="E404" i="3"/>
  <c r="E411" i="3"/>
  <c r="E412" i="3"/>
  <c r="E413" i="3"/>
  <c r="E420" i="3"/>
  <c r="E421" i="3"/>
  <c r="E422" i="3"/>
  <c r="E429" i="3"/>
  <c r="E430" i="3"/>
  <c r="E431" i="3"/>
  <c r="E438" i="3"/>
  <c r="E439" i="3"/>
  <c r="E440" i="3"/>
  <c r="E447" i="3"/>
  <c r="E448" i="3"/>
  <c r="E449" i="3"/>
  <c r="E456" i="3"/>
  <c r="E457" i="3"/>
  <c r="E458" i="3"/>
  <c r="E465" i="3"/>
  <c r="E466" i="3"/>
  <c r="E467" i="3"/>
  <c r="E474" i="3"/>
  <c r="E475" i="3"/>
  <c r="E476" i="3"/>
  <c r="E483" i="3"/>
  <c r="E484" i="3"/>
  <c r="E485" i="3"/>
  <c r="E492" i="3"/>
  <c r="E493" i="3"/>
  <c r="E494" i="3"/>
  <c r="E501" i="3"/>
  <c r="E502" i="3"/>
  <c r="E503" i="3"/>
  <c r="E510" i="3"/>
  <c r="E511" i="3"/>
  <c r="E512" i="3"/>
  <c r="E519" i="3"/>
  <c r="E520" i="3"/>
  <c r="E521" i="3"/>
  <c r="E528" i="3"/>
  <c r="E529" i="3"/>
  <c r="E530" i="3"/>
  <c r="E537" i="3"/>
  <c r="E538" i="3"/>
  <c r="E539" i="3"/>
  <c r="E546" i="3"/>
  <c r="E547" i="3"/>
  <c r="E548" i="3"/>
  <c r="E555" i="3"/>
  <c r="E556" i="3"/>
  <c r="E557" i="3"/>
  <c r="E564" i="3"/>
  <c r="E565" i="3"/>
  <c r="E566" i="3"/>
  <c r="E573" i="3"/>
  <c r="E574" i="3"/>
  <c r="E575" i="3"/>
  <c r="E582" i="3"/>
  <c r="E583" i="3"/>
  <c r="E584" i="3"/>
  <c r="E591" i="3"/>
  <c r="E592" i="3"/>
  <c r="E593" i="3"/>
  <c r="E600" i="3"/>
  <c r="E601" i="3"/>
  <c r="E602" i="3"/>
  <c r="E609" i="3"/>
  <c r="E610" i="3"/>
  <c r="E611" i="3"/>
  <c r="E618" i="3"/>
  <c r="E619" i="3"/>
  <c r="E620" i="3"/>
  <c r="E627" i="3"/>
  <c r="E628" i="3"/>
  <c r="E629" i="3"/>
  <c r="E636" i="3"/>
  <c r="E637" i="3"/>
  <c r="E638" i="3"/>
  <c r="E645" i="3"/>
  <c r="E646" i="3"/>
  <c r="E647" i="3"/>
  <c r="H37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50" i="3"/>
  <c r="K2" i="6" a="1"/>
  <c r="K2" i="6" s="1"/>
  <c r="L2" i="6" s="1" a="1"/>
  <c r="L2" i="6" s="1"/>
  <c r="S2" i="6" s="1"/>
  <c r="V2" i="6"/>
  <c r="K3" i="6" a="1"/>
  <c r="K3" i="6" s="1"/>
  <c r="L3" i="6" s="1" a="1"/>
  <c r="L3" i="6" s="1"/>
  <c r="S3" i="6" s="1"/>
  <c r="V3" i="6"/>
  <c r="K4" i="6" a="1"/>
  <c r="K4" i="6" s="1"/>
  <c r="L4" i="6" s="1" a="1"/>
  <c r="L4" i="6" s="1"/>
  <c r="S4" i="6" s="1"/>
  <c r="V4" i="6"/>
  <c r="K29" i="6" a="1"/>
  <c r="K29" i="6" s="1"/>
  <c r="L29" i="6" s="1" a="1"/>
  <c r="L29" i="6" s="1"/>
  <c r="S29" i="6" s="1"/>
  <c r="K27" i="6" a="1"/>
  <c r="K27" i="6" s="1"/>
  <c r="L27" i="6" s="1" a="1"/>
  <c r="L27" i="6" s="1"/>
  <c r="S27" i="6" s="1"/>
  <c r="K26" i="6" a="1"/>
  <c r="K26" i="6" s="1"/>
  <c r="L26" i="6" s="1" a="1"/>
  <c r="L26" i="6" s="1"/>
  <c r="S26" i="6" s="1"/>
  <c r="K25" i="6" a="1"/>
  <c r="K25" i="6" s="1"/>
  <c r="L25" i="6" s="1" a="1"/>
  <c r="L25" i="6" s="1"/>
  <c r="S25" i="6" s="1"/>
  <c r="K28" i="6" a="1"/>
  <c r="K28" i="6" s="1"/>
  <c r="L28" i="6" s="1" a="1"/>
  <c r="L28" i="6" s="1"/>
  <c r="S28" i="6" s="1"/>
  <c r="K24" i="6" a="1"/>
  <c r="K24" i="6" s="1"/>
  <c r="L24" i="6" s="1" a="1"/>
  <c r="L24" i="6" s="1"/>
  <c r="S24" i="6" s="1"/>
  <c r="K22" i="6" a="1"/>
  <c r="K22" i="6" s="1"/>
  <c r="L22" i="6" s="1" a="1"/>
  <c r="L22" i="6" s="1"/>
  <c r="K14" i="6" a="1"/>
  <c r="K14" i="6" s="1"/>
  <c r="L14" i="6" s="1" a="1"/>
  <c r="L14" i="6" s="1"/>
  <c r="S14" i="6" s="1"/>
  <c r="K23" i="6" a="1"/>
  <c r="K23" i="6" s="1"/>
  <c r="L23" i="6" s="1" a="1"/>
  <c r="L23" i="6" s="1"/>
  <c r="S23" i="6" s="1"/>
  <c r="K21" i="6" a="1"/>
  <c r="K21" i="6" s="1"/>
  <c r="L21" i="6" s="1" a="1"/>
  <c r="L21" i="6" s="1"/>
  <c r="S21" i="6" s="1"/>
  <c r="K20" i="6" a="1"/>
  <c r="K20" i="6" s="1"/>
  <c r="L20" i="6" s="1" a="1"/>
  <c r="L20" i="6" s="1"/>
  <c r="S20" i="6" s="1"/>
  <c r="K17" i="6" a="1"/>
  <c r="K17" i="6" s="1"/>
  <c r="L17" i="6" s="1" a="1"/>
  <c r="L17" i="6" s="1"/>
  <c r="S17" i="6" s="1"/>
  <c r="K18" i="6" a="1"/>
  <c r="K18" i="6" s="1"/>
  <c r="L18" i="6" s="1" a="1"/>
  <c r="L18" i="6" s="1"/>
  <c r="S18" i="6" s="1"/>
  <c r="K16" i="6" a="1"/>
  <c r="K16" i="6" s="1"/>
  <c r="L16" i="6" s="1" a="1"/>
  <c r="L16" i="6" s="1"/>
  <c r="S16" i="6" s="1"/>
  <c r="K13" i="6" a="1"/>
  <c r="K13" i="6" s="1"/>
  <c r="L13" i="6" s="1" a="1"/>
  <c r="L13" i="6" s="1"/>
  <c r="S13" i="6" s="1"/>
  <c r="K11" i="6" a="1"/>
  <c r="K11" i="6" s="1"/>
  <c r="L11" i="6" s="1" a="1"/>
  <c r="L11" i="6" s="1"/>
  <c r="S11" i="6" s="1"/>
  <c r="K7" i="6" a="1"/>
  <c r="K7" i="6" s="1"/>
  <c r="L7" i="6" s="1" a="1"/>
  <c r="L7" i="6" s="1"/>
  <c r="S7" i="6" s="1"/>
  <c r="K6" i="6" a="1"/>
  <c r="K6" i="6" s="1"/>
  <c r="L6" i="6" s="1" a="1"/>
  <c r="L6" i="6" s="1"/>
  <c r="S6" i="6" s="1"/>
  <c r="K5" i="6" a="1"/>
  <c r="K5" i="6" s="1"/>
  <c r="L5" i="6" s="1" a="1"/>
  <c r="L5" i="6" s="1"/>
  <c r="S5" i="6" s="1"/>
  <c r="V5" i="6"/>
  <c r="V6" i="6"/>
  <c r="V7" i="6"/>
  <c r="V11" i="6"/>
  <c r="V13" i="6"/>
  <c r="V16" i="6"/>
  <c r="V18" i="6"/>
  <c r="V17" i="6"/>
  <c r="V20" i="6"/>
  <c r="V21" i="6"/>
  <c r="V23" i="6"/>
  <c r="V14" i="6"/>
  <c r="V22" i="6"/>
  <c r="V24" i="6"/>
  <c r="V28" i="6"/>
  <c r="V25" i="6"/>
  <c r="V26" i="6"/>
  <c r="V27" i="6"/>
  <c r="V29" i="6"/>
  <c r="C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J3" i="3"/>
  <c r="J9" i="3"/>
  <c r="J5" i="3"/>
  <c r="J4" i="3"/>
  <c r="J6" i="3"/>
  <c r="J7" i="3"/>
  <c r="J8" i="3"/>
  <c r="J11" i="3"/>
  <c r="J10" i="3"/>
  <c r="J12" i="3"/>
  <c r="J18" i="3"/>
  <c r="J14" i="3"/>
  <c r="J13" i="3"/>
  <c r="J15" i="3"/>
  <c r="J16" i="3"/>
  <c r="J17" i="3"/>
  <c r="J20" i="3"/>
  <c r="J19" i="3"/>
  <c r="J21" i="3"/>
  <c r="J27" i="3"/>
  <c r="J23" i="3"/>
  <c r="J22" i="3"/>
  <c r="J24" i="3"/>
  <c r="J25" i="3"/>
  <c r="J26" i="3"/>
  <c r="J29" i="3"/>
  <c r="J28" i="3"/>
  <c r="J30" i="3"/>
  <c r="J36" i="3"/>
  <c r="J32" i="3"/>
  <c r="J31" i="3"/>
  <c r="J33" i="3"/>
  <c r="J34" i="3"/>
  <c r="J35" i="3"/>
  <c r="J38" i="3"/>
  <c r="J37" i="3"/>
  <c r="J39" i="3"/>
  <c r="J45" i="3"/>
  <c r="J41" i="3"/>
  <c r="J40" i="3"/>
  <c r="J42" i="3"/>
  <c r="J43" i="3"/>
  <c r="J44" i="3"/>
  <c r="J47" i="3"/>
  <c r="J46" i="3"/>
  <c r="J48" i="3"/>
  <c r="J54" i="3"/>
  <c r="J50" i="3"/>
  <c r="J49" i="3"/>
  <c r="J51" i="3"/>
  <c r="J52" i="3"/>
  <c r="J53" i="3"/>
  <c r="J56" i="3"/>
  <c r="J55" i="3"/>
  <c r="J57" i="3"/>
  <c r="J63" i="3"/>
  <c r="J59" i="3"/>
  <c r="J58" i="3"/>
  <c r="J60" i="3"/>
  <c r="J61" i="3"/>
  <c r="J62" i="3"/>
  <c r="J65" i="3"/>
  <c r="J64" i="3"/>
  <c r="J66" i="3"/>
  <c r="J72" i="3"/>
  <c r="J68" i="3"/>
  <c r="J67" i="3"/>
  <c r="J69" i="3"/>
  <c r="J70" i="3"/>
  <c r="J71" i="3"/>
  <c r="J74" i="3"/>
  <c r="J73" i="3"/>
  <c r="J75" i="3"/>
  <c r="J81" i="3"/>
  <c r="J77" i="3"/>
  <c r="J76" i="3"/>
  <c r="J78" i="3"/>
  <c r="J79" i="3"/>
  <c r="J80" i="3"/>
  <c r="J83" i="3"/>
  <c r="J82" i="3"/>
  <c r="J84" i="3"/>
  <c r="J90" i="3"/>
  <c r="J86" i="3"/>
  <c r="J85" i="3"/>
  <c r="J87" i="3"/>
  <c r="J88" i="3"/>
  <c r="J89" i="3"/>
  <c r="J92" i="3"/>
  <c r="J91" i="3"/>
  <c r="J93" i="3"/>
  <c r="J99" i="3"/>
  <c r="J95" i="3"/>
  <c r="J94" i="3"/>
  <c r="J96" i="3"/>
  <c r="J97" i="3"/>
  <c r="J98" i="3"/>
  <c r="J101" i="3"/>
  <c r="J100" i="3"/>
  <c r="J102" i="3"/>
  <c r="E102" i="3" s="1"/>
  <c r="J108" i="3"/>
  <c r="J104" i="3"/>
  <c r="J103" i="3"/>
  <c r="J105" i="3"/>
  <c r="J106" i="3"/>
  <c r="J107" i="3"/>
  <c r="J110" i="3"/>
  <c r="J109" i="3"/>
  <c r="J111" i="3"/>
  <c r="J117" i="3"/>
  <c r="J113" i="3"/>
  <c r="J112" i="3"/>
  <c r="J114" i="3"/>
  <c r="J115" i="3"/>
  <c r="J116" i="3"/>
  <c r="J119" i="3"/>
  <c r="J118" i="3"/>
  <c r="E118" i="3" s="1"/>
  <c r="J120" i="3"/>
  <c r="J126" i="3"/>
  <c r="J122" i="3"/>
  <c r="J121" i="3"/>
  <c r="J123" i="3"/>
  <c r="J124" i="3"/>
  <c r="J125" i="3"/>
  <c r="J128" i="3"/>
  <c r="J127" i="3"/>
  <c r="J129" i="3"/>
  <c r="J135" i="3"/>
  <c r="J131" i="3"/>
  <c r="J130" i="3"/>
  <c r="J132" i="3"/>
  <c r="J133" i="3"/>
  <c r="J134" i="3"/>
  <c r="J137" i="3"/>
  <c r="J136" i="3"/>
  <c r="J138" i="3"/>
  <c r="J144" i="3"/>
  <c r="J140" i="3"/>
  <c r="J139" i="3"/>
  <c r="J141" i="3"/>
  <c r="J142" i="3"/>
  <c r="J143" i="3"/>
  <c r="J146" i="3"/>
  <c r="J145" i="3"/>
  <c r="J147" i="3"/>
  <c r="J153" i="3"/>
  <c r="J149" i="3"/>
  <c r="J148" i="3"/>
  <c r="J150" i="3"/>
  <c r="J151" i="3"/>
  <c r="J152" i="3"/>
  <c r="J155" i="3"/>
  <c r="J154" i="3"/>
  <c r="J156" i="3"/>
  <c r="J162" i="3"/>
  <c r="J158" i="3"/>
  <c r="J157" i="3"/>
  <c r="J159" i="3"/>
  <c r="J160" i="3"/>
  <c r="J161" i="3"/>
  <c r="J164" i="3"/>
  <c r="J163" i="3"/>
  <c r="J165" i="3"/>
  <c r="J171" i="3"/>
  <c r="J167" i="3"/>
  <c r="E167" i="3" s="1"/>
  <c r="J166" i="3"/>
  <c r="J168" i="3"/>
  <c r="J169" i="3"/>
  <c r="J170" i="3"/>
  <c r="J173" i="3"/>
  <c r="J172" i="3"/>
  <c r="J174" i="3"/>
  <c r="J180" i="3"/>
  <c r="J176" i="3"/>
  <c r="J175" i="3"/>
  <c r="J177" i="3"/>
  <c r="J178" i="3"/>
  <c r="J179" i="3"/>
  <c r="J182" i="3"/>
  <c r="J181" i="3"/>
  <c r="E181" i="3" s="1"/>
  <c r="J183" i="3"/>
  <c r="E183" i="3" s="1"/>
  <c r="J189" i="3"/>
  <c r="J185" i="3"/>
  <c r="J184" i="3"/>
  <c r="J186" i="3"/>
  <c r="J187" i="3"/>
  <c r="J188" i="3"/>
  <c r="J191" i="3"/>
  <c r="J190" i="3"/>
  <c r="J192" i="3"/>
  <c r="J198" i="3"/>
  <c r="J194" i="3"/>
  <c r="J193" i="3"/>
  <c r="J195" i="3"/>
  <c r="J196" i="3"/>
  <c r="J197" i="3"/>
  <c r="J200" i="3"/>
  <c r="E200" i="3" s="1"/>
  <c r="J199" i="3"/>
  <c r="J201" i="3"/>
  <c r="J207" i="3"/>
  <c r="J203" i="3"/>
  <c r="J202" i="3"/>
  <c r="J204" i="3"/>
  <c r="J205" i="3"/>
  <c r="J206" i="3"/>
  <c r="J209" i="3"/>
  <c r="J208" i="3"/>
  <c r="J210" i="3"/>
  <c r="J216" i="3"/>
  <c r="J212" i="3"/>
  <c r="J211" i="3"/>
  <c r="J213" i="3"/>
  <c r="J214" i="3"/>
  <c r="J215" i="3"/>
  <c r="J218" i="3"/>
  <c r="J217" i="3"/>
  <c r="J219" i="3"/>
  <c r="J225" i="3"/>
  <c r="J221" i="3"/>
  <c r="J220" i="3"/>
  <c r="J222" i="3"/>
  <c r="J223" i="3"/>
  <c r="J224" i="3"/>
  <c r="J227" i="3"/>
  <c r="J226" i="3"/>
  <c r="J228" i="3"/>
  <c r="J234" i="3"/>
  <c r="J230" i="3"/>
  <c r="E230" i="3" s="1"/>
  <c r="J229" i="3"/>
  <c r="J231" i="3"/>
  <c r="J232" i="3"/>
  <c r="J233" i="3"/>
  <c r="J236" i="3"/>
  <c r="J235" i="3"/>
  <c r="J237" i="3"/>
  <c r="J243" i="3"/>
  <c r="J239" i="3"/>
  <c r="J238" i="3"/>
  <c r="J240" i="3"/>
  <c r="J241" i="3"/>
  <c r="J242" i="3"/>
  <c r="J245" i="3"/>
  <c r="J244" i="3"/>
  <c r="J246" i="3"/>
  <c r="E246" i="3" s="1"/>
  <c r="J252" i="3"/>
  <c r="E252" i="3" s="1"/>
  <c r="J248" i="3"/>
  <c r="E248" i="3" s="1"/>
  <c r="J247" i="3"/>
  <c r="J249" i="3"/>
  <c r="J250" i="3"/>
  <c r="J251" i="3"/>
  <c r="J254" i="3"/>
  <c r="J253" i="3"/>
  <c r="J255" i="3"/>
  <c r="J261" i="3"/>
  <c r="J257" i="3"/>
  <c r="J256" i="3"/>
  <c r="J258" i="3"/>
  <c r="J259" i="3"/>
  <c r="J260" i="3"/>
  <c r="J263" i="3"/>
  <c r="E263" i="3" s="1"/>
  <c r="J262" i="3"/>
  <c r="E262" i="3" s="1"/>
  <c r="J264" i="3"/>
  <c r="E264" i="3" s="1"/>
  <c r="J270" i="3"/>
  <c r="J266" i="3"/>
  <c r="J265" i="3"/>
  <c r="J267" i="3"/>
  <c r="J268" i="3"/>
  <c r="J269" i="3"/>
  <c r="J272" i="3"/>
  <c r="J271" i="3"/>
  <c r="J273" i="3"/>
  <c r="J279" i="3"/>
  <c r="J275" i="3"/>
  <c r="J274" i="3"/>
  <c r="J276" i="3"/>
  <c r="J277" i="3"/>
  <c r="J278" i="3"/>
  <c r="J281" i="3"/>
  <c r="E281" i="3" s="1"/>
  <c r="J280" i="3"/>
  <c r="J282" i="3"/>
  <c r="J288" i="3"/>
  <c r="J284" i="3"/>
  <c r="J283" i="3"/>
  <c r="J285" i="3"/>
  <c r="J286" i="3"/>
  <c r="J287" i="3"/>
  <c r="J290" i="3"/>
  <c r="J289" i="3"/>
  <c r="J291" i="3"/>
  <c r="J297" i="3"/>
  <c r="J293" i="3"/>
  <c r="J292" i="3"/>
  <c r="J294" i="3"/>
  <c r="J295" i="3"/>
  <c r="J296" i="3"/>
  <c r="J299" i="3"/>
  <c r="J298" i="3"/>
  <c r="J300" i="3"/>
  <c r="J306" i="3"/>
  <c r="J302" i="3"/>
  <c r="J301" i="3"/>
  <c r="J303" i="3"/>
  <c r="J304" i="3"/>
  <c r="J305" i="3"/>
  <c r="J308" i="3"/>
  <c r="J307" i="3"/>
  <c r="J309" i="3"/>
  <c r="J315" i="3"/>
  <c r="E315" i="3" s="1"/>
  <c r="J311" i="3"/>
  <c r="E311" i="3" s="1"/>
  <c r="J310" i="3"/>
  <c r="J312" i="3"/>
  <c r="J313" i="3"/>
  <c r="J314" i="3"/>
  <c r="J317" i="3"/>
  <c r="J316" i="3"/>
  <c r="J318" i="3"/>
  <c r="J324" i="3"/>
  <c r="J320" i="3"/>
  <c r="J319" i="3"/>
  <c r="J321" i="3"/>
  <c r="J322" i="3"/>
  <c r="J323" i="3"/>
  <c r="J326" i="3"/>
  <c r="J325" i="3"/>
  <c r="E325" i="3" s="1"/>
  <c r="J327" i="3"/>
  <c r="E327" i="3" s="1"/>
  <c r="J333" i="3"/>
  <c r="E333" i="3" s="1"/>
  <c r="J329" i="3"/>
  <c r="J328" i="3"/>
  <c r="J330" i="3"/>
  <c r="J331" i="3"/>
  <c r="J332" i="3"/>
  <c r="J335" i="3"/>
  <c r="J334" i="3"/>
  <c r="J336" i="3"/>
  <c r="J342" i="3"/>
  <c r="J338" i="3"/>
  <c r="J337" i="3"/>
  <c r="J339" i="3"/>
  <c r="J340" i="3"/>
  <c r="J341" i="3"/>
  <c r="J344" i="3"/>
  <c r="E344" i="3" s="1"/>
  <c r="J343" i="3"/>
  <c r="E343" i="3" s="1"/>
  <c r="J345" i="3"/>
  <c r="J351" i="3"/>
  <c r="J347" i="3"/>
  <c r="J346" i="3"/>
  <c r="J348" i="3"/>
  <c r="J349" i="3"/>
  <c r="J350" i="3"/>
  <c r="J353" i="3"/>
  <c r="J352" i="3"/>
  <c r="J354" i="3"/>
  <c r="J360" i="3"/>
  <c r="J356" i="3"/>
  <c r="J355" i="3"/>
  <c r="J357" i="3"/>
  <c r="J358" i="3"/>
  <c r="J359" i="3"/>
  <c r="J362" i="3"/>
  <c r="J361" i="3"/>
  <c r="J363" i="3"/>
  <c r="J369" i="3"/>
  <c r="J365" i="3"/>
  <c r="J364" i="3"/>
  <c r="J366" i="3"/>
  <c r="J367" i="3"/>
  <c r="J368" i="3"/>
  <c r="J371" i="3"/>
  <c r="J370" i="3"/>
  <c r="J372" i="3"/>
  <c r="J378" i="3"/>
  <c r="J374" i="3"/>
  <c r="E374" i="3" s="1"/>
  <c r="J373" i="3"/>
  <c r="J375" i="3"/>
  <c r="J376" i="3"/>
  <c r="J377" i="3"/>
  <c r="J380" i="3"/>
  <c r="J379" i="3"/>
  <c r="J381" i="3"/>
  <c r="J387" i="3"/>
  <c r="J383" i="3"/>
  <c r="J382" i="3"/>
  <c r="J384" i="3"/>
  <c r="J385" i="3"/>
  <c r="J386" i="3"/>
  <c r="J389" i="3"/>
  <c r="J388" i="3"/>
  <c r="J390" i="3"/>
  <c r="E390" i="3" s="1"/>
  <c r="J396" i="3"/>
  <c r="E396" i="3" s="1"/>
  <c r="J392" i="3"/>
  <c r="E392" i="3" s="1"/>
  <c r="J391" i="3"/>
  <c r="J393" i="3"/>
  <c r="J394" i="3"/>
  <c r="J395" i="3"/>
  <c r="J398" i="3"/>
  <c r="J397" i="3"/>
  <c r="J399" i="3"/>
  <c r="J405" i="3"/>
  <c r="J401" i="3"/>
  <c r="J400" i="3"/>
  <c r="J402" i="3"/>
  <c r="J403" i="3"/>
  <c r="J404" i="3"/>
  <c r="J407" i="3"/>
  <c r="E407" i="3" s="1"/>
  <c r="J406" i="3"/>
  <c r="E406" i="3" s="1"/>
  <c r="J408" i="3"/>
  <c r="E408" i="3" s="1"/>
  <c r="J414" i="3"/>
  <c r="J410" i="3"/>
  <c r="J409" i="3"/>
  <c r="J411" i="3"/>
  <c r="J412" i="3"/>
  <c r="J413" i="3"/>
  <c r="J416" i="3"/>
  <c r="J415" i="3"/>
  <c r="J417" i="3"/>
  <c r="J423" i="3"/>
  <c r="J419" i="3"/>
  <c r="J418" i="3"/>
  <c r="J420" i="3"/>
  <c r="J421" i="3"/>
  <c r="J422" i="3"/>
  <c r="J425" i="3"/>
  <c r="E425" i="3" s="1"/>
  <c r="J424" i="3"/>
  <c r="J426" i="3"/>
  <c r="J432" i="3"/>
  <c r="J428" i="3"/>
  <c r="J427" i="3"/>
  <c r="J429" i="3"/>
  <c r="J430" i="3"/>
  <c r="J431" i="3"/>
  <c r="J434" i="3"/>
  <c r="J433" i="3"/>
  <c r="J435" i="3"/>
  <c r="J441" i="3"/>
  <c r="J437" i="3"/>
  <c r="J436" i="3"/>
  <c r="J438" i="3"/>
  <c r="J439" i="3"/>
  <c r="J440" i="3"/>
  <c r="J443" i="3"/>
  <c r="J442" i="3"/>
  <c r="J444" i="3"/>
  <c r="J450" i="3"/>
  <c r="J446" i="3"/>
  <c r="J445" i="3"/>
  <c r="J447" i="3"/>
  <c r="J448" i="3"/>
  <c r="J449" i="3"/>
  <c r="J452" i="3"/>
  <c r="J451" i="3"/>
  <c r="J453" i="3"/>
  <c r="J459" i="3"/>
  <c r="E459" i="3" s="1"/>
  <c r="J455" i="3"/>
  <c r="E455" i="3" s="1"/>
  <c r="J454" i="3"/>
  <c r="J456" i="3"/>
  <c r="J457" i="3"/>
  <c r="J458" i="3"/>
  <c r="J461" i="3"/>
  <c r="J460" i="3"/>
  <c r="J462" i="3"/>
  <c r="J468" i="3"/>
  <c r="J464" i="3"/>
  <c r="J463" i="3"/>
  <c r="J465" i="3"/>
  <c r="J466" i="3"/>
  <c r="J467" i="3"/>
  <c r="J470" i="3"/>
  <c r="J469" i="3"/>
  <c r="E469" i="3" s="1"/>
  <c r="J471" i="3"/>
  <c r="E471" i="3" s="1"/>
  <c r="J477" i="3"/>
  <c r="E477" i="3" s="1"/>
  <c r="J473" i="3"/>
  <c r="J472" i="3"/>
  <c r="J474" i="3"/>
  <c r="J475" i="3"/>
  <c r="J476" i="3"/>
  <c r="J479" i="3"/>
  <c r="J478" i="3"/>
  <c r="J480" i="3"/>
  <c r="J486" i="3"/>
  <c r="J482" i="3"/>
  <c r="J481" i="3"/>
  <c r="J483" i="3"/>
  <c r="J484" i="3"/>
  <c r="J485" i="3"/>
  <c r="J488" i="3"/>
  <c r="E488" i="3" s="1"/>
  <c r="J487" i="3"/>
  <c r="E487" i="3" s="1"/>
  <c r="J489" i="3"/>
  <c r="J495" i="3"/>
  <c r="J491" i="3"/>
  <c r="J490" i="3"/>
  <c r="J492" i="3"/>
  <c r="J493" i="3"/>
  <c r="J494" i="3"/>
  <c r="J497" i="3"/>
  <c r="J496" i="3"/>
  <c r="J498" i="3"/>
  <c r="J504" i="3"/>
  <c r="J500" i="3"/>
  <c r="J499" i="3"/>
  <c r="J501" i="3"/>
  <c r="J502" i="3"/>
  <c r="J503" i="3"/>
  <c r="J506" i="3"/>
  <c r="J505" i="3"/>
  <c r="J507" i="3"/>
  <c r="J513" i="3"/>
  <c r="J509" i="3"/>
  <c r="J508" i="3"/>
  <c r="J510" i="3"/>
  <c r="J511" i="3"/>
  <c r="J512" i="3"/>
  <c r="J515" i="3"/>
  <c r="J514" i="3"/>
  <c r="J516" i="3"/>
  <c r="J522" i="3"/>
  <c r="J518" i="3"/>
  <c r="E518" i="3" s="1"/>
  <c r="J517" i="3"/>
  <c r="J519" i="3"/>
  <c r="J520" i="3"/>
  <c r="J521" i="3"/>
  <c r="J524" i="3"/>
  <c r="J523" i="3"/>
  <c r="J525" i="3"/>
  <c r="J531" i="3"/>
  <c r="J527" i="3"/>
  <c r="J526" i="3"/>
  <c r="J528" i="3"/>
  <c r="J529" i="3"/>
  <c r="J530" i="3"/>
  <c r="J533" i="3"/>
  <c r="J532" i="3"/>
  <c r="J534" i="3"/>
  <c r="E534" i="3" s="1"/>
  <c r="J540" i="3"/>
  <c r="E540" i="3" s="1"/>
  <c r="J536" i="3"/>
  <c r="E536" i="3" s="1"/>
  <c r="J535" i="3"/>
  <c r="J537" i="3"/>
  <c r="J538" i="3"/>
  <c r="J539" i="3"/>
  <c r="J542" i="3"/>
  <c r="J541" i="3"/>
  <c r="J543" i="3"/>
  <c r="J549" i="3"/>
  <c r="J545" i="3"/>
  <c r="J544" i="3"/>
  <c r="J546" i="3"/>
  <c r="J547" i="3"/>
  <c r="J548" i="3"/>
  <c r="J551" i="3"/>
  <c r="E551" i="3" s="1"/>
  <c r="J550" i="3"/>
  <c r="E550" i="3" s="1"/>
  <c r="J552" i="3"/>
  <c r="E552" i="3" s="1"/>
  <c r="J558" i="3"/>
  <c r="J554" i="3"/>
  <c r="J553" i="3"/>
  <c r="J555" i="3"/>
  <c r="J556" i="3"/>
  <c r="J557" i="3"/>
  <c r="J560" i="3"/>
  <c r="J559" i="3"/>
  <c r="J561" i="3"/>
  <c r="J567" i="3"/>
  <c r="J563" i="3"/>
  <c r="J562" i="3"/>
  <c r="J564" i="3"/>
  <c r="J565" i="3"/>
  <c r="J566" i="3"/>
  <c r="J569" i="3"/>
  <c r="E569" i="3" s="1"/>
  <c r="J568" i="3"/>
  <c r="J570" i="3"/>
  <c r="J576" i="3"/>
  <c r="J572" i="3"/>
  <c r="J571" i="3"/>
  <c r="J573" i="3"/>
  <c r="J574" i="3"/>
  <c r="J575" i="3"/>
  <c r="J578" i="3"/>
  <c r="J577" i="3"/>
  <c r="J579" i="3"/>
  <c r="J585" i="3"/>
  <c r="J581" i="3"/>
  <c r="J580" i="3"/>
  <c r="J582" i="3"/>
  <c r="J583" i="3"/>
  <c r="J584" i="3"/>
  <c r="J587" i="3"/>
  <c r="J586" i="3"/>
  <c r="J588" i="3"/>
  <c r="J594" i="3"/>
  <c r="J590" i="3"/>
  <c r="J589" i="3"/>
  <c r="J591" i="3"/>
  <c r="J592" i="3"/>
  <c r="J593" i="3"/>
  <c r="J596" i="3"/>
  <c r="J595" i="3"/>
  <c r="J597" i="3"/>
  <c r="J603" i="3"/>
  <c r="E603" i="3" s="1"/>
  <c r="J599" i="3"/>
  <c r="E599" i="3" s="1"/>
  <c r="J598" i="3"/>
  <c r="J600" i="3"/>
  <c r="J601" i="3"/>
  <c r="J602" i="3"/>
  <c r="J605" i="3"/>
  <c r="J604" i="3"/>
  <c r="J606" i="3"/>
  <c r="J612" i="3"/>
  <c r="J608" i="3"/>
  <c r="J607" i="3"/>
  <c r="J609" i="3"/>
  <c r="J610" i="3"/>
  <c r="J611" i="3"/>
  <c r="J614" i="3"/>
  <c r="J613" i="3"/>
  <c r="E613" i="3" s="1"/>
  <c r="J615" i="3"/>
  <c r="E615" i="3" s="1"/>
  <c r="J621" i="3"/>
  <c r="E621" i="3" s="1"/>
  <c r="J617" i="3"/>
  <c r="J616" i="3"/>
  <c r="J618" i="3"/>
  <c r="J619" i="3"/>
  <c r="J620" i="3"/>
  <c r="J623" i="3"/>
  <c r="J622" i="3"/>
  <c r="J624" i="3"/>
  <c r="J630" i="3"/>
  <c r="J626" i="3"/>
  <c r="J625" i="3"/>
  <c r="J627" i="3"/>
  <c r="J628" i="3"/>
  <c r="J629" i="3"/>
  <c r="J632" i="3"/>
  <c r="E632" i="3" s="1"/>
  <c r="J631" i="3"/>
  <c r="E631" i="3" s="1"/>
  <c r="J633" i="3"/>
  <c r="J639" i="3"/>
  <c r="J635" i="3"/>
  <c r="J634" i="3"/>
  <c r="J636" i="3"/>
  <c r="J637" i="3"/>
  <c r="J638" i="3"/>
  <c r="J641" i="3"/>
  <c r="J640" i="3"/>
  <c r="J642" i="3"/>
  <c r="J648" i="3"/>
  <c r="J644" i="3"/>
  <c r="J643" i="3"/>
  <c r="J645" i="3"/>
  <c r="J646" i="3"/>
  <c r="J647" i="3"/>
  <c r="J650" i="3"/>
  <c r="N31" i="6" l="1"/>
  <c r="M31" i="6" s="1"/>
  <c r="I31" i="6"/>
  <c r="N30" i="6"/>
  <c r="M30" i="6" s="1"/>
  <c r="I30" i="6"/>
  <c r="N12" i="6"/>
  <c r="M12" i="6" s="1"/>
  <c r="I12" i="6"/>
  <c r="E199" i="3"/>
  <c r="E189" i="3"/>
  <c r="E171" i="3"/>
  <c r="E119" i="3"/>
  <c r="E86" i="3"/>
  <c r="E137" i="3"/>
  <c r="E120" i="3"/>
  <c r="E649" i="3"/>
  <c r="D649" i="3" s="1"/>
  <c r="C649" i="3" s="1"/>
  <c r="E104" i="3"/>
  <c r="E108" i="3"/>
  <c r="E56" i="3"/>
  <c r="J9" i="6" a="1"/>
  <c r="J9" i="6" s="1"/>
  <c r="I9" i="6" s="1"/>
  <c r="J10" i="6" a="1"/>
  <c r="J10" i="6" s="1"/>
  <c r="I10" i="6" s="1"/>
  <c r="E641" i="3"/>
  <c r="E415" i="3"/>
  <c r="E117" i="3"/>
  <c r="E470" i="3"/>
  <c r="E309" i="3"/>
  <c r="E182" i="3"/>
  <c r="E38" i="3"/>
  <c r="E532" i="3"/>
  <c r="E100" i="3"/>
  <c r="E643" i="3"/>
  <c r="E607" i="3"/>
  <c r="E571" i="3"/>
  <c r="E616" i="3"/>
  <c r="E580" i="3"/>
  <c r="E544" i="3"/>
  <c r="E597" i="3"/>
  <c r="E522" i="3"/>
  <c r="E437" i="3"/>
  <c r="E378" i="3"/>
  <c r="E326" i="3"/>
  <c r="E244" i="3"/>
  <c r="E234" i="3"/>
  <c r="E149" i="3"/>
  <c r="E90" i="3"/>
  <c r="E581" i="3"/>
  <c r="E453" i="3"/>
  <c r="E388" i="3"/>
  <c r="E293" i="3"/>
  <c r="E165" i="3"/>
  <c r="E614" i="3"/>
  <c r="E480" i="3"/>
  <c r="E320" i="3"/>
  <c r="E271" i="3"/>
  <c r="E261" i="3"/>
  <c r="E32" i="3"/>
  <c r="E48" i="3"/>
  <c r="E608" i="3"/>
  <c r="E405" i="3"/>
  <c r="E65" i="3"/>
  <c r="E549" i="3"/>
  <c r="E353" i="3"/>
  <c r="E192" i="3"/>
  <c r="E497" i="3"/>
  <c r="E336" i="3"/>
  <c r="E127" i="3"/>
  <c r="E559" i="3"/>
  <c r="E209" i="3"/>
  <c r="E624" i="3"/>
  <c r="E464" i="3"/>
  <c r="E176" i="3"/>
  <c r="E72" i="3"/>
  <c r="E20" i="3"/>
  <c r="E50" i="3"/>
  <c r="E644" i="3"/>
  <c r="E595" i="3"/>
  <c r="E585" i="3"/>
  <c r="E533" i="3"/>
  <c r="E516" i="3"/>
  <c r="E500" i="3"/>
  <c r="E451" i="3"/>
  <c r="E441" i="3"/>
  <c r="E389" i="3"/>
  <c r="E372" i="3"/>
  <c r="E356" i="3"/>
  <c r="E307" i="3"/>
  <c r="E297" i="3"/>
  <c r="E245" i="3"/>
  <c r="E228" i="3"/>
  <c r="E212" i="3"/>
  <c r="E163" i="3"/>
  <c r="E153" i="3"/>
  <c r="E101" i="3"/>
  <c r="E84" i="3"/>
  <c r="E68" i="3"/>
  <c r="E648" i="3"/>
  <c r="E596" i="3"/>
  <c r="E579" i="3"/>
  <c r="E563" i="3"/>
  <c r="E514" i="3"/>
  <c r="E504" i="3"/>
  <c r="E452" i="3"/>
  <c r="E435" i="3"/>
  <c r="E419" i="3"/>
  <c r="E370" i="3"/>
  <c r="E360" i="3"/>
  <c r="E308" i="3"/>
  <c r="E291" i="3"/>
  <c r="E275" i="3"/>
  <c r="E226" i="3"/>
  <c r="E216" i="3"/>
  <c r="E164" i="3"/>
  <c r="E147" i="3"/>
  <c r="E131" i="3"/>
  <c r="E82" i="3"/>
  <c r="E642" i="3"/>
  <c r="E626" i="3"/>
  <c r="E577" i="3"/>
  <c r="E567" i="3"/>
  <c r="E515" i="3"/>
  <c r="E498" i="3"/>
  <c r="E482" i="3"/>
  <c r="E433" i="3"/>
  <c r="E423" i="3"/>
  <c r="E371" i="3"/>
  <c r="E354" i="3"/>
  <c r="E338" i="3"/>
  <c r="E289" i="3"/>
  <c r="E279" i="3"/>
  <c r="E227" i="3"/>
  <c r="E210" i="3"/>
  <c r="E194" i="3"/>
  <c r="E145" i="3"/>
  <c r="E135" i="3"/>
  <c r="E83" i="3"/>
  <c r="E66" i="3"/>
  <c r="E640" i="3"/>
  <c r="E630" i="3"/>
  <c r="E578" i="3"/>
  <c r="E561" i="3"/>
  <c r="E545" i="3"/>
  <c r="E496" i="3"/>
  <c r="E486" i="3"/>
  <c r="E434" i="3"/>
  <c r="E417" i="3"/>
  <c r="E401" i="3"/>
  <c r="E352" i="3"/>
  <c r="E342" i="3"/>
  <c r="E290" i="3"/>
  <c r="E273" i="3"/>
  <c r="E257" i="3"/>
  <c r="E208" i="3"/>
  <c r="E198" i="3"/>
  <c r="E146" i="3"/>
  <c r="E129" i="3"/>
  <c r="E113" i="3"/>
  <c r="E64" i="3"/>
  <c r="E54" i="3"/>
  <c r="E46" i="3"/>
  <c r="E36" i="3"/>
  <c r="E30" i="3"/>
  <c r="E14" i="3"/>
  <c r="E28" i="3"/>
  <c r="E18" i="3"/>
  <c r="E612" i="3"/>
  <c r="E527" i="3"/>
  <c r="E468" i="3"/>
  <c r="E399" i="3"/>
  <c r="E334" i="3"/>
  <c r="E324" i="3"/>
  <c r="E255" i="3"/>
  <c r="E190" i="3"/>
  <c r="E128" i="3"/>
  <c r="E95" i="3"/>
  <c r="E606" i="3"/>
  <c r="E531" i="3"/>
  <c r="E462" i="3"/>
  <c r="E397" i="3"/>
  <c r="E335" i="3"/>
  <c r="E302" i="3"/>
  <c r="E253" i="3"/>
  <c r="E243" i="3"/>
  <c r="E191" i="3"/>
  <c r="E174" i="3"/>
  <c r="E158" i="3"/>
  <c r="E109" i="3"/>
  <c r="E99" i="3"/>
  <c r="E47" i="3"/>
  <c r="E604" i="3"/>
  <c r="E594" i="3"/>
  <c r="E542" i="3"/>
  <c r="E525" i="3"/>
  <c r="E509" i="3"/>
  <c r="E460" i="3"/>
  <c r="E450" i="3"/>
  <c r="E398" i="3"/>
  <c r="E381" i="3"/>
  <c r="E365" i="3"/>
  <c r="E316" i="3"/>
  <c r="E306" i="3"/>
  <c r="E254" i="3"/>
  <c r="E237" i="3"/>
  <c r="E221" i="3"/>
  <c r="E172" i="3"/>
  <c r="E162" i="3"/>
  <c r="E110" i="3"/>
  <c r="E93" i="3"/>
  <c r="E77" i="3"/>
  <c r="E605" i="3"/>
  <c r="E588" i="3"/>
  <c r="E572" i="3"/>
  <c r="E523" i="3"/>
  <c r="E513" i="3"/>
  <c r="E461" i="3"/>
  <c r="E444" i="3"/>
  <c r="E428" i="3"/>
  <c r="E379" i="3"/>
  <c r="E369" i="3"/>
  <c r="E317" i="3"/>
  <c r="E300" i="3"/>
  <c r="E284" i="3"/>
  <c r="E235" i="3"/>
  <c r="E225" i="3"/>
  <c r="E173" i="3"/>
  <c r="E156" i="3"/>
  <c r="E140" i="3"/>
  <c r="E91" i="3"/>
  <c r="E81" i="3"/>
  <c r="E29" i="3"/>
  <c r="E12" i="3"/>
  <c r="E92" i="3"/>
  <c r="E75" i="3"/>
  <c r="E59" i="3"/>
  <c r="E63" i="3"/>
  <c r="E11" i="3"/>
  <c r="E622" i="3"/>
  <c r="E560" i="3"/>
  <c r="E543" i="3"/>
  <c r="E478" i="3"/>
  <c r="E416" i="3"/>
  <c r="E383" i="3"/>
  <c r="E272" i="3"/>
  <c r="E239" i="3"/>
  <c r="E180" i="3"/>
  <c r="E111" i="3"/>
  <c r="E623" i="3"/>
  <c r="E590" i="3"/>
  <c r="E541" i="3"/>
  <c r="E479" i="3"/>
  <c r="E446" i="3"/>
  <c r="E387" i="3"/>
  <c r="E318" i="3"/>
  <c r="E635" i="3"/>
  <c r="E586" i="3"/>
  <c r="E576" i="3"/>
  <c r="E524" i="3"/>
  <c r="E507" i="3"/>
  <c r="E491" i="3"/>
  <c r="E442" i="3"/>
  <c r="E432" i="3"/>
  <c r="E380" i="3"/>
  <c r="E363" i="3"/>
  <c r="E347" i="3"/>
  <c r="E298" i="3"/>
  <c r="E288" i="3"/>
  <c r="E236" i="3"/>
  <c r="E219" i="3"/>
  <c r="E203" i="3"/>
  <c r="E154" i="3"/>
  <c r="E144" i="3"/>
  <c r="E639" i="3"/>
  <c r="E587" i="3"/>
  <c r="E570" i="3"/>
  <c r="E554" i="3"/>
  <c r="E505" i="3"/>
  <c r="E495" i="3"/>
  <c r="E443" i="3"/>
  <c r="E426" i="3"/>
  <c r="E410" i="3"/>
  <c r="E361" i="3"/>
  <c r="E351" i="3"/>
  <c r="E299" i="3"/>
  <c r="E282" i="3"/>
  <c r="E266" i="3"/>
  <c r="E217" i="3"/>
  <c r="E207" i="3"/>
  <c r="E155" i="3"/>
  <c r="E138" i="3"/>
  <c r="E122" i="3"/>
  <c r="E73" i="3"/>
  <c r="E650" i="3"/>
  <c r="E633" i="3"/>
  <c r="E617" i="3"/>
  <c r="E568" i="3"/>
  <c r="E558" i="3"/>
  <c r="E506" i="3"/>
  <c r="E489" i="3"/>
  <c r="E473" i="3"/>
  <c r="E424" i="3"/>
  <c r="E414" i="3"/>
  <c r="E362" i="3"/>
  <c r="E345" i="3"/>
  <c r="E329" i="3"/>
  <c r="E280" i="3"/>
  <c r="E270" i="3"/>
  <c r="E218" i="3"/>
  <c r="E201" i="3"/>
  <c r="E185" i="3"/>
  <c r="E136" i="3"/>
  <c r="E126" i="3"/>
  <c r="E74" i="3"/>
  <c r="E57" i="3"/>
  <c r="E41" i="3"/>
  <c r="E55" i="3"/>
  <c r="E45" i="3"/>
  <c r="E39" i="3"/>
  <c r="E23" i="3"/>
  <c r="E37" i="3"/>
  <c r="E27" i="3"/>
  <c r="E21" i="3"/>
  <c r="E5" i="3"/>
  <c r="E19" i="3"/>
  <c r="E9" i="3"/>
  <c r="E13" i="3"/>
  <c r="E4" i="3"/>
  <c r="J19" i="6" a="1"/>
  <c r="J19" i="6" s="1"/>
  <c r="I19" i="6" s="1"/>
  <c r="E256" i="3"/>
  <c r="E535" i="3"/>
  <c r="E499" i="3"/>
  <c r="E463" i="3"/>
  <c r="E427" i="3"/>
  <c r="E391" i="3"/>
  <c r="E355" i="3"/>
  <c r="E319" i="3"/>
  <c r="E283" i="3"/>
  <c r="E247" i="3"/>
  <c r="E211" i="3"/>
  <c r="E175" i="3"/>
  <c r="E139" i="3"/>
  <c r="E103" i="3"/>
  <c r="E67" i="3"/>
  <c r="E31" i="3"/>
  <c r="E3" i="3"/>
  <c r="E634" i="3"/>
  <c r="E598" i="3"/>
  <c r="E562" i="3"/>
  <c r="E526" i="3"/>
  <c r="E490" i="3"/>
  <c r="E454" i="3"/>
  <c r="E418" i="3"/>
  <c r="E382" i="3"/>
  <c r="E346" i="3"/>
  <c r="E310" i="3"/>
  <c r="E274" i="3"/>
  <c r="E238" i="3"/>
  <c r="E202" i="3"/>
  <c r="E166" i="3"/>
  <c r="E130" i="3"/>
  <c r="E94" i="3"/>
  <c r="E58" i="3"/>
  <c r="E22" i="3"/>
  <c r="E625" i="3"/>
  <c r="E589" i="3"/>
  <c r="E553" i="3"/>
  <c r="E517" i="3"/>
  <c r="E481" i="3"/>
  <c r="E445" i="3"/>
  <c r="E409" i="3"/>
  <c r="E373" i="3"/>
  <c r="E337" i="3"/>
  <c r="E301" i="3"/>
  <c r="E265" i="3"/>
  <c r="E229" i="3"/>
  <c r="E193" i="3"/>
  <c r="E157" i="3"/>
  <c r="E121" i="3"/>
  <c r="E85" i="3"/>
  <c r="E49" i="3"/>
  <c r="E508" i="3"/>
  <c r="E472" i="3"/>
  <c r="E436" i="3"/>
  <c r="E400" i="3"/>
  <c r="E364" i="3"/>
  <c r="E328" i="3"/>
  <c r="E292" i="3"/>
  <c r="E220" i="3"/>
  <c r="E184" i="3"/>
  <c r="E148" i="3"/>
  <c r="E112" i="3"/>
  <c r="E76" i="3"/>
  <c r="E40" i="3"/>
  <c r="J8" i="6" a="1"/>
  <c r="J8" i="6" s="1"/>
  <c r="I8" i="6" s="1"/>
  <c r="J15" i="6" a="1"/>
  <c r="J15" i="6" s="1"/>
  <c r="I15" i="6" s="1"/>
  <c r="D2" i="3"/>
  <c r="C2" i="3" s="1"/>
  <c r="E10" i="3"/>
  <c r="J25" i="6" a="1"/>
  <c r="J25" i="6" s="1"/>
  <c r="I25" i="6" s="1"/>
  <c r="J5" i="6" a="1"/>
  <c r="J5" i="6" s="1"/>
  <c r="I5" i="6" s="1"/>
  <c r="J28" i="6" a="1"/>
  <c r="J28" i="6" s="1"/>
  <c r="N28" i="6" s="1"/>
  <c r="M28" i="6" s="1"/>
  <c r="J24" i="6" a="1"/>
  <c r="J24" i="6" s="1"/>
  <c r="N24" i="6" s="1"/>
  <c r="M24" i="6" s="1"/>
  <c r="J22" i="6" a="1"/>
  <c r="J22" i="6" s="1"/>
  <c r="N22" i="6" s="1"/>
  <c r="M22" i="6" s="1"/>
  <c r="J14" i="6" a="1"/>
  <c r="J14" i="6" s="1"/>
  <c r="N14" i="6" s="1"/>
  <c r="M14" i="6" s="1"/>
  <c r="J23" i="6" a="1"/>
  <c r="J23" i="6" s="1"/>
  <c r="N23" i="6" s="1"/>
  <c r="M23" i="6" s="1"/>
  <c r="J21" i="6" a="1"/>
  <c r="J21" i="6" s="1"/>
  <c r="N21" i="6" s="1"/>
  <c r="M21" i="6" s="1"/>
  <c r="J20" i="6" a="1"/>
  <c r="J20" i="6" s="1"/>
  <c r="N20" i="6" s="1"/>
  <c r="M20" i="6" s="1"/>
  <c r="J17" i="6" a="1"/>
  <c r="J17" i="6" s="1"/>
  <c r="I17" i="6" s="1"/>
  <c r="J18" i="6" a="1"/>
  <c r="J18" i="6" s="1"/>
  <c r="N18" i="6" s="1"/>
  <c r="M18" i="6" s="1"/>
  <c r="J16" i="6" a="1"/>
  <c r="J16" i="6" s="1"/>
  <c r="N16" i="6" s="1"/>
  <c r="M16" i="6" s="1"/>
  <c r="J13" i="6" a="1"/>
  <c r="J13" i="6" s="1"/>
  <c r="I13" i="6" s="1"/>
  <c r="J29" i="6" a="1"/>
  <c r="J29" i="6" s="1"/>
  <c r="N29" i="6" s="1"/>
  <c r="M29" i="6" s="1"/>
  <c r="J11" i="6" a="1"/>
  <c r="J11" i="6" s="1"/>
  <c r="I11" i="6" s="1"/>
  <c r="J27" i="6" a="1"/>
  <c r="J27" i="6" s="1"/>
  <c r="N27" i="6" s="1"/>
  <c r="M27" i="6" s="1"/>
  <c r="J7" i="6" a="1"/>
  <c r="J7" i="6" s="1"/>
  <c r="N7" i="6" s="1"/>
  <c r="M7" i="6" s="1"/>
  <c r="J26" i="6" a="1"/>
  <c r="J26" i="6" s="1"/>
  <c r="N26" i="6" s="1"/>
  <c r="M26" i="6" s="1"/>
  <c r="J6" i="6" a="1"/>
  <c r="J6" i="6" s="1"/>
  <c r="N6" i="6" s="1"/>
  <c r="M6" i="6" s="1"/>
  <c r="I2" i="6"/>
  <c r="N2" i="6"/>
  <c r="M2" i="6" s="1"/>
  <c r="I3" i="6"/>
  <c r="N3" i="6"/>
  <c r="M3" i="6" s="1"/>
  <c r="I4" i="6"/>
  <c r="N4" i="6"/>
  <c r="M4" i="6" s="1"/>
  <c r="O22" i="6"/>
  <c r="S22" i="6"/>
  <c r="G650" i="3" a="1"/>
  <c r="G650" i="3" s="1"/>
  <c r="F650" i="3" s="1" a="1"/>
  <c r="F650" i="3" s="1"/>
  <c r="G647" i="3" a="1"/>
  <c r="G647" i="3" s="1"/>
  <c r="G646" i="3" a="1"/>
  <c r="G646" i="3" s="1"/>
  <c r="G645" i="3" a="1"/>
  <c r="G645" i="3" s="1"/>
  <c r="F645" i="3" s="1" a="1"/>
  <c r="F645" i="3" s="1"/>
  <c r="G643" i="3" a="1"/>
  <c r="G643" i="3" s="1"/>
  <c r="F643" i="3" s="1" a="1"/>
  <c r="F643" i="3" s="1"/>
  <c r="G644" i="3" a="1"/>
  <c r="G644" i="3" s="1"/>
  <c r="F644" i="3" s="1" a="1"/>
  <c r="F644" i="3" s="1"/>
  <c r="G648" i="3" a="1"/>
  <c r="G648" i="3" s="1"/>
  <c r="F648" i="3" s="1" a="1"/>
  <c r="F648" i="3" s="1"/>
  <c r="G642" i="3" a="1"/>
  <c r="G642" i="3" s="1"/>
  <c r="F642" i="3" s="1" a="1"/>
  <c r="F642" i="3" s="1"/>
  <c r="G640" i="3" a="1"/>
  <c r="G640" i="3" s="1"/>
  <c r="F640" i="3" s="1" a="1"/>
  <c r="F640" i="3" s="1"/>
  <c r="G641" i="3" a="1"/>
  <c r="G641" i="3" s="1"/>
  <c r="F641" i="3" s="1" a="1"/>
  <c r="F641" i="3" s="1"/>
  <c r="G638" i="3" a="1"/>
  <c r="G638" i="3" s="1"/>
  <c r="F638" i="3" s="1" a="1"/>
  <c r="F638" i="3" s="1"/>
  <c r="G637" i="3" a="1"/>
  <c r="G637" i="3" s="1"/>
  <c r="F637" i="3" s="1" a="1"/>
  <c r="F637" i="3" s="1"/>
  <c r="G636" i="3" a="1"/>
  <c r="G636" i="3" s="1"/>
  <c r="G634" i="3" a="1"/>
  <c r="G634" i="3" s="1"/>
  <c r="F634" i="3" s="1" a="1"/>
  <c r="F634" i="3" s="1"/>
  <c r="G635" i="3" a="1"/>
  <c r="G635" i="3" s="1"/>
  <c r="G639" i="3" a="1"/>
  <c r="G639" i="3" s="1"/>
  <c r="G633" i="3" a="1"/>
  <c r="G633" i="3" s="1"/>
  <c r="G631" i="3" a="1"/>
  <c r="G631" i="3" s="1"/>
  <c r="F631" i="3" s="1" a="1"/>
  <c r="F631" i="3" s="1"/>
  <c r="G632" i="3" a="1"/>
  <c r="G632" i="3" s="1"/>
  <c r="G629" i="3" a="1"/>
  <c r="G629" i="3" s="1"/>
  <c r="F629" i="3" s="1" a="1"/>
  <c r="F629" i="3" s="1"/>
  <c r="G628" i="3" a="1"/>
  <c r="G628" i="3" s="1"/>
  <c r="G627" i="3" a="1"/>
  <c r="G627" i="3" s="1"/>
  <c r="F627" i="3" s="1" a="1"/>
  <c r="F627" i="3" s="1"/>
  <c r="G625" i="3" a="1"/>
  <c r="G625" i="3" s="1"/>
  <c r="F625" i="3" s="1" a="1"/>
  <c r="F625" i="3" s="1"/>
  <c r="G626" i="3" a="1"/>
  <c r="G626" i="3" s="1"/>
  <c r="F626" i="3" s="1" a="1"/>
  <c r="F626" i="3" s="1"/>
  <c r="G630" i="3" a="1"/>
  <c r="G630" i="3" s="1"/>
  <c r="F630" i="3" s="1" a="1"/>
  <c r="F630" i="3" s="1"/>
  <c r="G624" i="3" a="1"/>
  <c r="G624" i="3" s="1"/>
  <c r="G622" i="3" a="1"/>
  <c r="G622" i="3" s="1"/>
  <c r="G623" i="3" a="1"/>
  <c r="G623" i="3" s="1"/>
  <c r="F623" i="3" s="1" a="1"/>
  <c r="F623" i="3" s="1"/>
  <c r="G620" i="3" a="1"/>
  <c r="G620" i="3" s="1"/>
  <c r="G619" i="3" a="1"/>
  <c r="G619" i="3" s="1"/>
  <c r="G618" i="3" a="1"/>
  <c r="G618" i="3" s="1"/>
  <c r="F618" i="3" s="1" a="1"/>
  <c r="F618" i="3" s="1"/>
  <c r="G616" i="3" a="1"/>
  <c r="G616" i="3" s="1"/>
  <c r="G617" i="3" a="1"/>
  <c r="G617" i="3" s="1"/>
  <c r="F617" i="3" s="1" a="1"/>
  <c r="F617" i="3" s="1"/>
  <c r="G621" i="3" a="1"/>
  <c r="G621" i="3" s="1"/>
  <c r="G615" i="3" a="1"/>
  <c r="G615" i="3" s="1"/>
  <c r="F615" i="3" s="1" a="1"/>
  <c r="F615" i="3" s="1"/>
  <c r="G613" i="3" a="1"/>
  <c r="G613" i="3" s="1"/>
  <c r="G614" i="3" a="1"/>
  <c r="G614" i="3" s="1"/>
  <c r="G611" i="3" a="1"/>
  <c r="G611" i="3" s="1"/>
  <c r="G610" i="3" a="1"/>
  <c r="G610" i="3" s="1"/>
  <c r="G609" i="3" a="1"/>
  <c r="G609" i="3" s="1"/>
  <c r="F609" i="3" s="1" a="1"/>
  <c r="F609" i="3" s="1"/>
  <c r="G607" i="3" a="1"/>
  <c r="G607" i="3" s="1"/>
  <c r="F607" i="3" s="1" a="1"/>
  <c r="F607" i="3" s="1"/>
  <c r="G608" i="3" a="1"/>
  <c r="G608" i="3" s="1"/>
  <c r="F608" i="3" s="1" a="1"/>
  <c r="F608" i="3" s="1"/>
  <c r="G612" i="3" a="1"/>
  <c r="G612" i="3" s="1"/>
  <c r="G606" i="3" a="1"/>
  <c r="G606" i="3" s="1"/>
  <c r="F606" i="3" s="1" a="1"/>
  <c r="F606" i="3" s="1"/>
  <c r="G604" i="3" a="1"/>
  <c r="G604" i="3" s="1"/>
  <c r="F604" i="3" s="1" a="1"/>
  <c r="F604" i="3" s="1"/>
  <c r="G605" i="3" a="1"/>
  <c r="G605" i="3" s="1"/>
  <c r="F605" i="3" s="1" a="1"/>
  <c r="F605" i="3" s="1"/>
  <c r="G602" i="3" a="1"/>
  <c r="G602" i="3" s="1"/>
  <c r="F602" i="3" s="1" a="1"/>
  <c r="F602" i="3" s="1"/>
  <c r="G601" i="3" a="1"/>
  <c r="G601" i="3" s="1"/>
  <c r="F601" i="3" s="1" a="1"/>
  <c r="F601" i="3" s="1"/>
  <c r="G600" i="3" a="1"/>
  <c r="G600" i="3" s="1"/>
  <c r="F600" i="3" s="1" a="1"/>
  <c r="F600" i="3" s="1"/>
  <c r="G598" i="3" a="1"/>
  <c r="G598" i="3" s="1"/>
  <c r="G599" i="3" a="1"/>
  <c r="G599" i="3" s="1"/>
  <c r="G603" i="3" a="1"/>
  <c r="G603" i="3" s="1"/>
  <c r="G597" i="3" a="1"/>
  <c r="G597" i="3" s="1"/>
  <c r="F597" i="3" s="1" a="1"/>
  <c r="F597" i="3" s="1"/>
  <c r="G595" i="3" a="1"/>
  <c r="G595" i="3" s="1"/>
  <c r="F595" i="3" s="1" a="1"/>
  <c r="F595" i="3" s="1"/>
  <c r="G596" i="3" a="1"/>
  <c r="G596" i="3" s="1"/>
  <c r="G593" i="3" a="1"/>
  <c r="G593" i="3" s="1"/>
  <c r="F593" i="3" s="1" a="1"/>
  <c r="F593" i="3" s="1"/>
  <c r="G592" i="3" a="1"/>
  <c r="G592" i="3" s="1"/>
  <c r="G591" i="3" a="1"/>
  <c r="G591" i="3" s="1"/>
  <c r="G589" i="3" a="1"/>
  <c r="G589" i="3" s="1"/>
  <c r="F589" i="3" s="1" a="1"/>
  <c r="F589" i="3" s="1"/>
  <c r="G590" i="3" a="1"/>
  <c r="G590" i="3" s="1"/>
  <c r="F590" i="3" s="1" a="1"/>
  <c r="F590" i="3" s="1"/>
  <c r="G594" i="3" a="1"/>
  <c r="G594" i="3" s="1"/>
  <c r="F594" i="3" s="1" a="1"/>
  <c r="F594" i="3" s="1"/>
  <c r="G588" i="3" a="1"/>
  <c r="G588" i="3" s="1"/>
  <c r="G586" i="3" a="1"/>
  <c r="G586" i="3" s="1"/>
  <c r="G587" i="3" a="1"/>
  <c r="G587" i="3" s="1"/>
  <c r="F587" i="3" s="1" a="1"/>
  <c r="F587" i="3" s="1"/>
  <c r="G584" i="3" a="1"/>
  <c r="G584" i="3" s="1"/>
  <c r="F584" i="3" s="1" a="1"/>
  <c r="F584" i="3" s="1"/>
  <c r="G583" i="3" a="1"/>
  <c r="G583" i="3" s="1"/>
  <c r="F583" i="3" s="1" a="1"/>
  <c r="F583" i="3" s="1"/>
  <c r="G582" i="3" a="1"/>
  <c r="G582" i="3" s="1"/>
  <c r="F582" i="3" s="1" a="1"/>
  <c r="F582" i="3" s="1"/>
  <c r="G580" i="3" a="1"/>
  <c r="G580" i="3" s="1"/>
  <c r="G581" i="3" a="1"/>
  <c r="G581" i="3" s="1"/>
  <c r="F581" i="3" s="1" a="1"/>
  <c r="F581" i="3" s="1"/>
  <c r="G585" i="3" a="1"/>
  <c r="G585" i="3" s="1"/>
  <c r="G579" i="3" a="1"/>
  <c r="G579" i="3" s="1"/>
  <c r="F579" i="3" s="1" a="1"/>
  <c r="F579" i="3" s="1"/>
  <c r="G577" i="3" a="1"/>
  <c r="G577" i="3" s="1"/>
  <c r="G578" i="3" a="1"/>
  <c r="G578" i="3" s="1"/>
  <c r="G575" i="3" a="1"/>
  <c r="G575" i="3" s="1"/>
  <c r="G574" i="3" a="1"/>
  <c r="G574" i="3" s="1"/>
  <c r="G573" i="3" a="1"/>
  <c r="G573" i="3" s="1"/>
  <c r="G571" i="3" a="1"/>
  <c r="G571" i="3" s="1"/>
  <c r="F571" i="3" s="1" a="1"/>
  <c r="F571" i="3" s="1"/>
  <c r="G572" i="3" a="1"/>
  <c r="G572" i="3" s="1"/>
  <c r="F572" i="3" s="1" a="1"/>
  <c r="F572" i="3" s="1"/>
  <c r="G576" i="3" a="1"/>
  <c r="G576" i="3" s="1"/>
  <c r="F576" i="3" s="1" a="1"/>
  <c r="F576" i="3" s="1"/>
  <c r="G570" i="3" a="1"/>
  <c r="G570" i="3" s="1"/>
  <c r="G568" i="3" a="1"/>
  <c r="G568" i="3" s="1"/>
  <c r="F568" i="3" s="1" a="1"/>
  <c r="F568" i="3" s="1"/>
  <c r="G569" i="3" a="1"/>
  <c r="G569" i="3" s="1"/>
  <c r="F569" i="3" s="1" a="1"/>
  <c r="F569" i="3" s="1"/>
  <c r="G566" i="3" a="1"/>
  <c r="G566" i="3" s="1"/>
  <c r="F566" i="3" s="1" a="1"/>
  <c r="F566" i="3" s="1"/>
  <c r="G565" i="3" a="1"/>
  <c r="G565" i="3" s="1"/>
  <c r="F565" i="3" s="1" a="1"/>
  <c r="F565" i="3" s="1"/>
  <c r="G564" i="3" a="1"/>
  <c r="G564" i="3" s="1"/>
  <c r="G562" i="3" a="1"/>
  <c r="G562" i="3" s="1"/>
  <c r="F562" i="3" s="1" a="1"/>
  <c r="F562" i="3" s="1"/>
  <c r="G563" i="3" a="1"/>
  <c r="G563" i="3" s="1"/>
  <c r="G567" i="3" a="1"/>
  <c r="G567" i="3" s="1"/>
  <c r="G561" i="3" a="1"/>
  <c r="G561" i="3" s="1"/>
  <c r="G559" i="3" a="1"/>
  <c r="G559" i="3" s="1"/>
  <c r="G560" i="3" a="1"/>
  <c r="G560" i="3" s="1"/>
  <c r="G557" i="3" a="1"/>
  <c r="G557" i="3" s="1"/>
  <c r="G556" i="3" a="1"/>
  <c r="G556" i="3" s="1"/>
  <c r="G555" i="3" a="1"/>
  <c r="G555" i="3" s="1"/>
  <c r="F555" i="3" s="1" a="1"/>
  <c r="F555" i="3" s="1"/>
  <c r="G553" i="3" a="1"/>
  <c r="G553" i="3" s="1"/>
  <c r="F553" i="3" s="1" a="1"/>
  <c r="F553" i="3" s="1"/>
  <c r="G554" i="3" a="1"/>
  <c r="G554" i="3" s="1"/>
  <c r="F554" i="3" s="1" a="1"/>
  <c r="F554" i="3" s="1"/>
  <c r="G558" i="3" a="1"/>
  <c r="G558" i="3" s="1"/>
  <c r="F558" i="3" s="1" a="1"/>
  <c r="F558" i="3" s="1"/>
  <c r="G552" i="3" a="1"/>
  <c r="G552" i="3" s="1"/>
  <c r="G550" i="3" a="1"/>
  <c r="G550" i="3" s="1"/>
  <c r="F550" i="3" s="1" a="1"/>
  <c r="F550" i="3" s="1"/>
  <c r="G551" i="3" a="1"/>
  <c r="G551" i="3" s="1"/>
  <c r="G548" i="3" a="1"/>
  <c r="G548" i="3" s="1"/>
  <c r="F548" i="3" s="1" a="1"/>
  <c r="F548" i="3" s="1"/>
  <c r="G547" i="3" a="1"/>
  <c r="G547" i="3" s="1"/>
  <c r="F547" i="3" s="1" a="1"/>
  <c r="F547" i="3" s="1"/>
  <c r="G546" i="3" a="1"/>
  <c r="G546" i="3" s="1"/>
  <c r="F546" i="3" s="1" a="1"/>
  <c r="F546" i="3" s="1"/>
  <c r="G544" i="3" a="1"/>
  <c r="G544" i="3" s="1"/>
  <c r="F544" i="3" s="1" a="1"/>
  <c r="F544" i="3" s="1"/>
  <c r="G545" i="3" a="1"/>
  <c r="G545" i="3" s="1"/>
  <c r="F545" i="3" s="1" a="1"/>
  <c r="F545" i="3" s="1"/>
  <c r="G549" i="3" a="1"/>
  <c r="G549" i="3" s="1"/>
  <c r="G543" i="3" a="1"/>
  <c r="G543" i="3" s="1"/>
  <c r="F543" i="3" s="1" a="1"/>
  <c r="F543" i="3" s="1"/>
  <c r="G541" i="3" a="1"/>
  <c r="G541" i="3" s="1"/>
  <c r="G542" i="3" a="1"/>
  <c r="G542" i="3" s="1"/>
  <c r="F542" i="3" s="1" a="1"/>
  <c r="F542" i="3" s="1"/>
  <c r="G539" i="3" a="1"/>
  <c r="G539" i="3" s="1"/>
  <c r="G538" i="3" a="1"/>
  <c r="G538" i="3" s="1"/>
  <c r="G537" i="3" a="1"/>
  <c r="G537" i="3" s="1"/>
  <c r="F537" i="3" s="1" a="1"/>
  <c r="F537" i="3" s="1"/>
  <c r="G535" i="3" a="1"/>
  <c r="G535" i="3" s="1"/>
  <c r="F535" i="3" s="1" a="1"/>
  <c r="F535" i="3" s="1"/>
  <c r="G536" i="3" a="1"/>
  <c r="G536" i="3" s="1"/>
  <c r="G540" i="3" a="1"/>
  <c r="G540" i="3" s="1"/>
  <c r="F540" i="3" s="1" a="1"/>
  <c r="F540" i="3" s="1"/>
  <c r="G534" i="3" a="1"/>
  <c r="G534" i="3" s="1"/>
  <c r="F534" i="3" s="1" a="1"/>
  <c r="F534" i="3" s="1"/>
  <c r="G532" i="3" a="1"/>
  <c r="G532" i="3" s="1"/>
  <c r="F532" i="3" s="1" a="1"/>
  <c r="F532" i="3" s="1"/>
  <c r="G533" i="3" a="1"/>
  <c r="G533" i="3" s="1"/>
  <c r="F533" i="3" s="1" a="1"/>
  <c r="F533" i="3" s="1"/>
  <c r="G530" i="3" a="1"/>
  <c r="G530" i="3" s="1"/>
  <c r="F530" i="3" s="1" a="1"/>
  <c r="F530" i="3" s="1"/>
  <c r="G529" i="3" a="1"/>
  <c r="G529" i="3" s="1"/>
  <c r="F529" i="3" s="1" a="1"/>
  <c r="F529" i="3" s="1"/>
  <c r="G528" i="3" a="1"/>
  <c r="G528" i="3" s="1"/>
  <c r="G526" i="3" a="1"/>
  <c r="G526" i="3" s="1"/>
  <c r="G527" i="3" a="1"/>
  <c r="G527" i="3" s="1"/>
  <c r="G531" i="3" a="1"/>
  <c r="G531" i="3" s="1"/>
  <c r="G525" i="3" a="1"/>
  <c r="G525" i="3" s="1"/>
  <c r="G523" i="3" a="1"/>
  <c r="G523" i="3" s="1"/>
  <c r="F523" i="3" s="1" a="1"/>
  <c r="F523" i="3" s="1"/>
  <c r="G524" i="3" a="1"/>
  <c r="G524" i="3" s="1"/>
  <c r="F524" i="3" s="1" a="1"/>
  <c r="F524" i="3" s="1"/>
  <c r="G521" i="3" a="1"/>
  <c r="G521" i="3" s="1"/>
  <c r="F521" i="3" s="1" a="1"/>
  <c r="F521" i="3" s="1"/>
  <c r="G520" i="3" a="1"/>
  <c r="G520" i="3" s="1"/>
  <c r="F520" i="3" s="1" a="1"/>
  <c r="F520" i="3" s="1"/>
  <c r="G519" i="3" a="1"/>
  <c r="G519" i="3" s="1"/>
  <c r="F519" i="3" s="1" a="1"/>
  <c r="F519" i="3" s="1"/>
  <c r="G517" i="3" a="1"/>
  <c r="G517" i="3" s="1"/>
  <c r="F517" i="3" s="1" a="1"/>
  <c r="F517" i="3" s="1"/>
  <c r="G518" i="3" a="1"/>
  <c r="G518" i="3" s="1"/>
  <c r="F518" i="3" s="1" a="1"/>
  <c r="F518" i="3" s="1"/>
  <c r="G522" i="3" a="1"/>
  <c r="G522" i="3" s="1"/>
  <c r="F522" i="3" s="1" a="1"/>
  <c r="F522" i="3" s="1"/>
  <c r="G516" i="3" a="1"/>
  <c r="G516" i="3" s="1"/>
  <c r="F516" i="3" s="1" a="1"/>
  <c r="F516" i="3" s="1"/>
  <c r="G514" i="3" a="1"/>
  <c r="G514" i="3" s="1"/>
  <c r="G515" i="3" a="1"/>
  <c r="G515" i="3" s="1"/>
  <c r="F515" i="3" s="1" a="1"/>
  <c r="F515" i="3" s="1"/>
  <c r="G512" i="3" a="1"/>
  <c r="G512" i="3" s="1"/>
  <c r="G511" i="3" a="1"/>
  <c r="G511" i="3" s="1"/>
  <c r="F511" i="3" s="1" a="1"/>
  <c r="F511" i="3" s="1"/>
  <c r="G510" i="3" a="1"/>
  <c r="G510" i="3" s="1"/>
  <c r="G508" i="3" a="1"/>
  <c r="G508" i="3" s="1"/>
  <c r="F508" i="3" s="1" a="1"/>
  <c r="F508" i="3" s="1"/>
  <c r="G509" i="3" a="1"/>
  <c r="G509" i="3" s="1"/>
  <c r="G513" i="3" a="1"/>
  <c r="G513" i="3" s="1"/>
  <c r="F513" i="3" s="1" a="1"/>
  <c r="F513" i="3" s="1"/>
  <c r="G507" i="3" a="1"/>
  <c r="G507" i="3" s="1"/>
  <c r="F507" i="3" s="1" a="1"/>
  <c r="F507" i="3" s="1"/>
  <c r="G505" i="3" a="1"/>
  <c r="G505" i="3" s="1"/>
  <c r="G506" i="3" a="1"/>
  <c r="G506" i="3" s="1"/>
  <c r="G503" i="3" a="1"/>
  <c r="G503" i="3" s="1"/>
  <c r="F503" i="3" s="1" a="1"/>
  <c r="F503" i="3" s="1"/>
  <c r="G502" i="3" a="1"/>
  <c r="G502" i="3" s="1"/>
  <c r="G501" i="3" a="1"/>
  <c r="G501" i="3" s="1"/>
  <c r="F501" i="3" s="1" a="1"/>
  <c r="F501" i="3" s="1"/>
  <c r="G499" i="3" a="1"/>
  <c r="G499" i="3" s="1"/>
  <c r="F499" i="3" s="1" a="1"/>
  <c r="F499" i="3" s="1"/>
  <c r="G500" i="3" a="1"/>
  <c r="G500" i="3" s="1"/>
  <c r="F500" i="3" s="1" a="1"/>
  <c r="F500" i="3" s="1"/>
  <c r="G504" i="3" a="1"/>
  <c r="G504" i="3" s="1"/>
  <c r="F504" i="3" s="1" a="1"/>
  <c r="F504" i="3" s="1"/>
  <c r="G498" i="3" a="1"/>
  <c r="G498" i="3" s="1"/>
  <c r="F498" i="3" s="1" a="1"/>
  <c r="F498" i="3" s="1"/>
  <c r="G496" i="3" a="1"/>
  <c r="G496" i="3" s="1"/>
  <c r="F496" i="3" s="1" a="1"/>
  <c r="F496" i="3" s="1"/>
  <c r="G497" i="3" a="1"/>
  <c r="G497" i="3" s="1"/>
  <c r="F497" i="3" s="1" a="1"/>
  <c r="F497" i="3" s="1"/>
  <c r="G494" i="3" a="1"/>
  <c r="G494" i="3" s="1"/>
  <c r="F494" i="3" s="1" a="1"/>
  <c r="F494" i="3" s="1"/>
  <c r="G493" i="3" a="1"/>
  <c r="G493" i="3" s="1"/>
  <c r="F493" i="3" s="1" a="1"/>
  <c r="F493" i="3" s="1"/>
  <c r="G492" i="3" a="1"/>
  <c r="G492" i="3" s="1"/>
  <c r="G490" i="3" a="1"/>
  <c r="G490" i="3" s="1"/>
  <c r="G491" i="3" a="1"/>
  <c r="G491" i="3" s="1"/>
  <c r="G495" i="3" a="1"/>
  <c r="G495" i="3" s="1"/>
  <c r="G489" i="3" a="1"/>
  <c r="G489" i="3" s="1"/>
  <c r="F489" i="3" s="1" a="1"/>
  <c r="F489" i="3" s="1"/>
  <c r="G487" i="3" a="1"/>
  <c r="G487" i="3" s="1"/>
  <c r="G488" i="3" a="1"/>
  <c r="G488" i="3" s="1"/>
  <c r="G485" i="3" a="1"/>
  <c r="G485" i="3" s="1"/>
  <c r="F485" i="3" s="1" a="1"/>
  <c r="F485" i="3" s="1"/>
  <c r="G484" i="3" a="1"/>
  <c r="G484" i="3" s="1"/>
  <c r="F484" i="3" s="1" a="1"/>
  <c r="F484" i="3" s="1"/>
  <c r="G483" i="3" a="1"/>
  <c r="G483" i="3" s="1"/>
  <c r="F483" i="3" s="1" a="1"/>
  <c r="F483" i="3" s="1"/>
  <c r="G481" i="3" a="1"/>
  <c r="G481" i="3" s="1"/>
  <c r="F481" i="3" s="1" a="1"/>
  <c r="F481" i="3" s="1"/>
  <c r="G482" i="3" a="1"/>
  <c r="G482" i="3" s="1"/>
  <c r="F482" i="3" s="1" a="1"/>
  <c r="F482" i="3" s="1"/>
  <c r="G486" i="3" a="1"/>
  <c r="G486" i="3" s="1"/>
  <c r="F486" i="3" s="1" a="1"/>
  <c r="F486" i="3" s="1"/>
  <c r="G480" i="3" a="1"/>
  <c r="G480" i="3" s="1"/>
  <c r="G478" i="3" a="1"/>
  <c r="G478" i="3" s="1"/>
  <c r="G479" i="3" a="1"/>
  <c r="G479" i="3" s="1"/>
  <c r="F479" i="3" s="1" a="1"/>
  <c r="F479" i="3" s="1"/>
  <c r="G476" i="3" a="1"/>
  <c r="G476" i="3" s="1"/>
  <c r="F476" i="3" s="1" a="1"/>
  <c r="F476" i="3" s="1"/>
  <c r="G475" i="3" a="1"/>
  <c r="G475" i="3" s="1"/>
  <c r="G474" i="3" a="1"/>
  <c r="G474" i="3" s="1"/>
  <c r="G472" i="3" a="1"/>
  <c r="G472" i="3" s="1"/>
  <c r="F472" i="3" s="1" a="1"/>
  <c r="F472" i="3" s="1"/>
  <c r="G473" i="3" a="1"/>
  <c r="G473" i="3" s="1"/>
  <c r="F473" i="3" s="1" a="1"/>
  <c r="F473" i="3" s="1"/>
  <c r="G477" i="3" a="1"/>
  <c r="G477" i="3" s="1"/>
  <c r="F477" i="3" s="1" a="1"/>
  <c r="F477" i="3" s="1"/>
  <c r="G471" i="3" a="1"/>
  <c r="G471" i="3" s="1"/>
  <c r="F471" i="3" s="1" a="1"/>
  <c r="F471" i="3" s="1"/>
  <c r="G469" i="3" a="1"/>
  <c r="G469" i="3" s="1"/>
  <c r="G470" i="3" a="1"/>
  <c r="G470" i="3" s="1"/>
  <c r="F470" i="3" s="1" a="1"/>
  <c r="F470" i="3" s="1"/>
  <c r="G467" i="3" a="1"/>
  <c r="G467" i="3" s="1"/>
  <c r="G466" i="3" a="1"/>
  <c r="G466" i="3" s="1"/>
  <c r="F466" i="3" s="1" a="1"/>
  <c r="F466" i="3" s="1"/>
  <c r="G465" i="3" a="1"/>
  <c r="G465" i="3" s="1"/>
  <c r="F465" i="3" s="1" a="1"/>
  <c r="F465" i="3" s="1"/>
  <c r="G463" i="3" a="1"/>
  <c r="G463" i="3" s="1"/>
  <c r="F463" i="3" s="1" a="1"/>
  <c r="F463" i="3" s="1"/>
  <c r="G464" i="3" a="1"/>
  <c r="G464" i="3" s="1"/>
  <c r="F464" i="3" s="1" a="1"/>
  <c r="F464" i="3" s="1"/>
  <c r="G468" i="3" a="1"/>
  <c r="G468" i="3" s="1"/>
  <c r="F468" i="3" s="1" a="1"/>
  <c r="F468" i="3" s="1"/>
  <c r="G462" i="3" a="1"/>
  <c r="G462" i="3" s="1"/>
  <c r="F462" i="3" s="1" a="1"/>
  <c r="F462" i="3" s="1"/>
  <c r="G460" i="3" a="1"/>
  <c r="G460" i="3" s="1"/>
  <c r="F460" i="3" s="1" a="1"/>
  <c r="F460" i="3" s="1"/>
  <c r="G461" i="3" a="1"/>
  <c r="G461" i="3" s="1"/>
  <c r="F461" i="3" s="1" a="1"/>
  <c r="F461" i="3" s="1"/>
  <c r="G458" i="3" a="1"/>
  <c r="G458" i="3" s="1"/>
  <c r="G457" i="3" a="1"/>
  <c r="G457" i="3" s="1"/>
  <c r="G456" i="3" a="1"/>
  <c r="G456" i="3" s="1"/>
  <c r="G454" i="3" a="1"/>
  <c r="G454" i="3" s="1"/>
  <c r="F454" i="3" s="1" a="1"/>
  <c r="F454" i="3" s="1"/>
  <c r="G455" i="3" a="1"/>
  <c r="G455" i="3" s="1"/>
  <c r="G459" i="3" a="1"/>
  <c r="G459" i="3" s="1"/>
  <c r="G453" i="3" a="1"/>
  <c r="G453" i="3" s="1"/>
  <c r="G451" i="3" a="1"/>
  <c r="G451" i="3" s="1"/>
  <c r="F451" i="3" s="1" a="1"/>
  <c r="F451" i="3" s="1"/>
  <c r="G452" i="3" a="1"/>
  <c r="G452" i="3" s="1"/>
  <c r="F452" i="3" s="1" a="1"/>
  <c r="F452" i="3" s="1"/>
  <c r="G449" i="3" a="1"/>
  <c r="G449" i="3" s="1"/>
  <c r="G448" i="3" a="1"/>
  <c r="G448" i="3" s="1"/>
  <c r="F448" i="3" s="1" a="1"/>
  <c r="F448" i="3" s="1"/>
  <c r="G447" i="3" a="1"/>
  <c r="G447" i="3" s="1"/>
  <c r="F447" i="3" s="1" a="1"/>
  <c r="F447" i="3" s="1"/>
  <c r="G445" i="3" a="1"/>
  <c r="G445" i="3" s="1"/>
  <c r="F445" i="3" s="1" a="1"/>
  <c r="F445" i="3" s="1"/>
  <c r="G446" i="3" a="1"/>
  <c r="G446" i="3" s="1"/>
  <c r="F446" i="3" s="1" a="1"/>
  <c r="F446" i="3" s="1"/>
  <c r="G450" i="3" a="1"/>
  <c r="G450" i="3" s="1"/>
  <c r="G444" i="3" a="1"/>
  <c r="G444" i="3" s="1"/>
  <c r="F444" i="3" s="1" a="1"/>
  <c r="F444" i="3" s="1"/>
  <c r="G442" i="3" a="1"/>
  <c r="G442" i="3" s="1"/>
  <c r="G443" i="3" a="1"/>
  <c r="G443" i="3" s="1"/>
  <c r="F443" i="3" s="1" a="1"/>
  <c r="F443" i="3" s="1"/>
  <c r="G440" i="3" a="1"/>
  <c r="G440" i="3" s="1"/>
  <c r="F440" i="3" s="1" a="1"/>
  <c r="F440" i="3" s="1"/>
  <c r="G439" i="3" a="1"/>
  <c r="G439" i="3" s="1"/>
  <c r="F439" i="3" s="1" a="1"/>
  <c r="F439" i="3" s="1"/>
  <c r="G438" i="3" a="1"/>
  <c r="G438" i="3" s="1"/>
  <c r="F438" i="3" s="1" a="1"/>
  <c r="F438" i="3" s="1"/>
  <c r="G436" i="3" a="1"/>
  <c r="G436" i="3" s="1"/>
  <c r="G437" i="3" a="1"/>
  <c r="G437" i="3" s="1"/>
  <c r="F437" i="3" s="1" a="1"/>
  <c r="F437" i="3" s="1"/>
  <c r="G441" i="3" a="1"/>
  <c r="G441" i="3" s="1"/>
  <c r="F441" i="3" s="1" a="1"/>
  <c r="F441" i="3" s="1"/>
  <c r="G435" i="3" a="1"/>
  <c r="G435" i="3" s="1"/>
  <c r="F435" i="3" s="1" a="1"/>
  <c r="F435" i="3" s="1"/>
  <c r="G433" i="3" a="1"/>
  <c r="G433" i="3" s="1"/>
  <c r="G434" i="3" a="1"/>
  <c r="G434" i="3" s="1"/>
  <c r="G431" i="3" a="1"/>
  <c r="G431" i="3" s="1"/>
  <c r="G430" i="3" a="1"/>
  <c r="G430" i="3" s="1"/>
  <c r="G429" i="3" a="1"/>
  <c r="G429" i="3" s="1"/>
  <c r="F429" i="3" s="1" a="1"/>
  <c r="F429" i="3" s="1"/>
  <c r="G427" i="3" a="1"/>
  <c r="G427" i="3" s="1"/>
  <c r="F427" i="3" s="1" a="1"/>
  <c r="F427" i="3" s="1"/>
  <c r="G428" i="3" a="1"/>
  <c r="G428" i="3" s="1"/>
  <c r="F428" i="3" s="1" a="1"/>
  <c r="F428" i="3" s="1"/>
  <c r="G432" i="3" a="1"/>
  <c r="G432" i="3" s="1"/>
  <c r="G426" i="3" a="1"/>
  <c r="G426" i="3" s="1"/>
  <c r="F426" i="3" s="1" a="1"/>
  <c r="F426" i="3" s="1"/>
  <c r="G424" i="3" a="1"/>
  <c r="G424" i="3" s="1"/>
  <c r="F424" i="3" s="1" a="1"/>
  <c r="F424" i="3" s="1"/>
  <c r="G425" i="3" a="1"/>
  <c r="G425" i="3" s="1"/>
  <c r="F425" i="3" s="1" a="1"/>
  <c r="F425" i="3" s="1"/>
  <c r="G422" i="3" a="1"/>
  <c r="G422" i="3" s="1"/>
  <c r="F422" i="3" s="1" a="1"/>
  <c r="F422" i="3" s="1"/>
  <c r="G421" i="3" a="1"/>
  <c r="G421" i="3" s="1"/>
  <c r="G420" i="3" a="1"/>
  <c r="G420" i="3" s="1"/>
  <c r="G418" i="3" a="1"/>
  <c r="G418" i="3" s="1"/>
  <c r="G419" i="3" a="1"/>
  <c r="G419" i="3" s="1"/>
  <c r="G423" i="3" a="1"/>
  <c r="G423" i="3" s="1"/>
  <c r="G417" i="3" a="1"/>
  <c r="G417" i="3" s="1"/>
  <c r="F417" i="3" s="1" a="1"/>
  <c r="F417" i="3" s="1"/>
  <c r="G415" i="3" a="1"/>
  <c r="G415" i="3" s="1"/>
  <c r="F415" i="3" s="1" a="1"/>
  <c r="F415" i="3" s="1"/>
  <c r="G416" i="3" a="1"/>
  <c r="G416" i="3" s="1"/>
  <c r="G413" i="3" a="1"/>
  <c r="G413" i="3" s="1"/>
  <c r="F413" i="3" s="1" a="1"/>
  <c r="F413" i="3" s="1"/>
  <c r="G412" i="3" a="1"/>
  <c r="G412" i="3" s="1"/>
  <c r="F412" i="3" s="1" a="1"/>
  <c r="F412" i="3" s="1"/>
  <c r="G411" i="3" a="1"/>
  <c r="G411" i="3" s="1"/>
  <c r="F411" i="3" s="1" a="1"/>
  <c r="F411" i="3" s="1"/>
  <c r="G409" i="3" a="1"/>
  <c r="G409" i="3" s="1"/>
  <c r="F409" i="3" s="1" a="1"/>
  <c r="F409" i="3" s="1"/>
  <c r="G410" i="3" a="1"/>
  <c r="G410" i="3" s="1"/>
  <c r="G414" i="3" a="1"/>
  <c r="G414" i="3" s="1"/>
  <c r="G408" i="3" a="1"/>
  <c r="G408" i="3" s="1"/>
  <c r="G406" i="3" a="1"/>
  <c r="G406" i="3" s="1"/>
  <c r="F406" i="3" s="1" a="1"/>
  <c r="F406" i="3" s="1"/>
  <c r="G407" i="3" a="1"/>
  <c r="G407" i="3" s="1"/>
  <c r="F407" i="3" s="1" a="1"/>
  <c r="F407" i="3" s="1"/>
  <c r="G404" i="3" a="1"/>
  <c r="G404" i="3" s="1"/>
  <c r="F404" i="3" s="1" a="1"/>
  <c r="F404" i="3" s="1"/>
  <c r="G403" i="3" a="1"/>
  <c r="G403" i="3" s="1"/>
  <c r="G402" i="3" a="1"/>
  <c r="G402" i="3" s="1"/>
  <c r="F402" i="3" s="1" a="1"/>
  <c r="F402" i="3" s="1"/>
  <c r="G400" i="3" a="1"/>
  <c r="G400" i="3" s="1"/>
  <c r="G401" i="3" a="1"/>
  <c r="G401" i="3" s="1"/>
  <c r="F401" i="3" s="1" a="1"/>
  <c r="F401" i="3" s="1"/>
  <c r="G405" i="3" a="1"/>
  <c r="G405" i="3" s="1"/>
  <c r="F405" i="3" s="1" a="1"/>
  <c r="F405" i="3" s="1"/>
  <c r="G399" i="3" a="1"/>
  <c r="G399" i="3" s="1"/>
  <c r="G397" i="3" a="1"/>
  <c r="G397" i="3" s="1"/>
  <c r="G398" i="3" a="1"/>
  <c r="G398" i="3" s="1"/>
  <c r="F398" i="3" s="1" a="1"/>
  <c r="F398" i="3" s="1"/>
  <c r="G395" i="3" a="1"/>
  <c r="G395" i="3" s="1"/>
  <c r="G394" i="3" a="1"/>
  <c r="G394" i="3" s="1"/>
  <c r="G393" i="3" a="1"/>
  <c r="G393" i="3" s="1"/>
  <c r="F393" i="3" s="1" a="1"/>
  <c r="F393" i="3" s="1"/>
  <c r="G391" i="3" a="1"/>
  <c r="G391" i="3" s="1"/>
  <c r="F391" i="3" s="1" a="1"/>
  <c r="F391" i="3" s="1"/>
  <c r="G392" i="3" a="1"/>
  <c r="G392" i="3" s="1"/>
  <c r="F392" i="3" s="1" a="1"/>
  <c r="F392" i="3" s="1"/>
  <c r="G396" i="3" a="1"/>
  <c r="G396" i="3" s="1"/>
  <c r="F396" i="3" s="1" a="1"/>
  <c r="F396" i="3" s="1"/>
  <c r="G390" i="3" a="1"/>
  <c r="G390" i="3" s="1"/>
  <c r="F390" i="3" s="1" a="1"/>
  <c r="F390" i="3" s="1"/>
  <c r="G388" i="3" a="1"/>
  <c r="G388" i="3" s="1"/>
  <c r="F388" i="3" s="1" a="1"/>
  <c r="F388" i="3" s="1"/>
  <c r="G389" i="3" a="1"/>
  <c r="G389" i="3" s="1"/>
  <c r="F389" i="3" s="1" a="1"/>
  <c r="F389" i="3" s="1"/>
  <c r="G386" i="3" a="1"/>
  <c r="G386" i="3" s="1"/>
  <c r="F386" i="3" s="1" a="1"/>
  <c r="F386" i="3" s="1"/>
  <c r="G385" i="3" a="1"/>
  <c r="G385" i="3" s="1"/>
  <c r="F385" i="3" s="1" a="1"/>
  <c r="F385" i="3" s="1"/>
  <c r="G384" i="3" a="1"/>
  <c r="G384" i="3" s="1"/>
  <c r="G382" i="3" a="1"/>
  <c r="G382" i="3" s="1"/>
  <c r="F382" i="3" s="1" a="1"/>
  <c r="F382" i="3" s="1"/>
  <c r="G383" i="3" a="1"/>
  <c r="G383" i="3" s="1"/>
  <c r="G387" i="3" a="1"/>
  <c r="G387" i="3" s="1"/>
  <c r="G381" i="3" a="1"/>
  <c r="G381" i="3" s="1"/>
  <c r="F381" i="3" s="1" a="1"/>
  <c r="F381" i="3" s="1"/>
  <c r="G379" i="3" a="1"/>
  <c r="G379" i="3" s="1"/>
  <c r="G380" i="3" a="1"/>
  <c r="G380" i="3" s="1"/>
  <c r="F380" i="3" s="1" a="1"/>
  <c r="F380" i="3" s="1"/>
  <c r="G377" i="3" a="1"/>
  <c r="G377" i="3" s="1"/>
  <c r="G376" i="3" a="1"/>
  <c r="G376" i="3" s="1"/>
  <c r="F376" i="3" s="1" a="1"/>
  <c r="F376" i="3" s="1"/>
  <c r="G375" i="3" a="1"/>
  <c r="G375" i="3" s="1"/>
  <c r="F375" i="3" s="1" a="1"/>
  <c r="F375" i="3" s="1"/>
  <c r="G373" i="3" a="1"/>
  <c r="G373" i="3" s="1"/>
  <c r="F373" i="3" s="1" a="1"/>
  <c r="F373" i="3" s="1"/>
  <c r="G374" i="3" a="1"/>
  <c r="G374" i="3" s="1"/>
  <c r="F374" i="3" s="1" a="1"/>
  <c r="F374" i="3" s="1"/>
  <c r="G378" i="3" a="1"/>
  <c r="G378" i="3" s="1"/>
  <c r="G372" i="3" a="1"/>
  <c r="G372" i="3" s="1"/>
  <c r="G370" i="3" a="1"/>
  <c r="G370" i="3" s="1"/>
  <c r="F370" i="3" s="1" a="1"/>
  <c r="F370" i="3" s="1"/>
  <c r="G371" i="3" a="1"/>
  <c r="G371" i="3" s="1"/>
  <c r="F371" i="3" s="1" a="1"/>
  <c r="F371" i="3" s="1"/>
  <c r="G368" i="3" a="1"/>
  <c r="G368" i="3" s="1"/>
  <c r="F368" i="3" s="1" a="1"/>
  <c r="F368" i="3" s="1"/>
  <c r="G367" i="3" a="1"/>
  <c r="G367" i="3" s="1"/>
  <c r="F367" i="3" s="1" a="1"/>
  <c r="F367" i="3" s="1"/>
  <c r="G366" i="3" a="1"/>
  <c r="G366" i="3" s="1"/>
  <c r="G364" i="3" a="1"/>
  <c r="G364" i="3" s="1"/>
  <c r="F364" i="3" s="1" a="1"/>
  <c r="F364" i="3" s="1"/>
  <c r="G365" i="3" a="1"/>
  <c r="G365" i="3" s="1"/>
  <c r="G369" i="3" a="1"/>
  <c r="G369" i="3" s="1"/>
  <c r="F369" i="3" s="1" a="1"/>
  <c r="F369" i="3" s="1"/>
  <c r="G363" i="3" a="1"/>
  <c r="G363" i="3" s="1"/>
  <c r="F363" i="3" s="1" a="1"/>
  <c r="F363" i="3" s="1"/>
  <c r="G361" i="3" a="1"/>
  <c r="G361" i="3" s="1"/>
  <c r="F361" i="3" s="1" a="1"/>
  <c r="F361" i="3" s="1"/>
  <c r="G362" i="3" a="1"/>
  <c r="G362" i="3" s="1"/>
  <c r="G359" i="3" a="1"/>
  <c r="G359" i="3" s="1"/>
  <c r="G358" i="3" a="1"/>
  <c r="G358" i="3" s="1"/>
  <c r="G357" i="3" a="1"/>
  <c r="G357" i="3" s="1"/>
  <c r="F357" i="3" s="1" a="1"/>
  <c r="F357" i="3" s="1"/>
  <c r="G355" i="3" a="1"/>
  <c r="G355" i="3" s="1"/>
  <c r="F355" i="3" s="1" a="1"/>
  <c r="F355" i="3" s="1"/>
  <c r="G356" i="3" a="1"/>
  <c r="G356" i="3" s="1"/>
  <c r="F356" i="3" s="1" a="1"/>
  <c r="F356" i="3" s="1"/>
  <c r="G360" i="3" a="1"/>
  <c r="G360" i="3" s="1"/>
  <c r="F360" i="3" s="1" a="1"/>
  <c r="F360" i="3" s="1"/>
  <c r="G354" i="3" a="1"/>
  <c r="G354" i="3" s="1"/>
  <c r="F354" i="3" s="1" a="1"/>
  <c r="F354" i="3" s="1"/>
  <c r="G352" i="3" a="1"/>
  <c r="G352" i="3" s="1"/>
  <c r="F352" i="3" s="1" a="1"/>
  <c r="F352" i="3" s="1"/>
  <c r="G353" i="3" a="1"/>
  <c r="G353" i="3" s="1"/>
  <c r="G350" i="3" a="1"/>
  <c r="G350" i="3" s="1"/>
  <c r="F350" i="3" s="1" a="1"/>
  <c r="F350" i="3" s="1"/>
  <c r="G349" i="3" a="1"/>
  <c r="G349" i="3" s="1"/>
  <c r="G348" i="3" a="1"/>
  <c r="G348" i="3" s="1"/>
  <c r="G346" i="3" a="1"/>
  <c r="G346" i="3" s="1"/>
  <c r="G347" i="3" a="1"/>
  <c r="G347" i="3" s="1"/>
  <c r="G351" i="3" a="1"/>
  <c r="G351" i="3" s="1"/>
  <c r="G345" i="3" a="1"/>
  <c r="G345" i="3" s="1"/>
  <c r="G343" i="3" a="1"/>
  <c r="G343" i="3" s="1"/>
  <c r="F343" i="3" s="1" a="1"/>
  <c r="F343" i="3" s="1"/>
  <c r="G344" i="3" a="1"/>
  <c r="G344" i="3" s="1"/>
  <c r="G341" i="3" a="1"/>
  <c r="G341" i="3" s="1"/>
  <c r="G340" i="3" a="1"/>
  <c r="G340" i="3" s="1"/>
  <c r="F340" i="3" s="1" a="1"/>
  <c r="F340" i="3" s="1"/>
  <c r="G339" i="3" a="1"/>
  <c r="G339" i="3" s="1"/>
  <c r="F339" i="3" s="1" a="1"/>
  <c r="F339" i="3" s="1"/>
  <c r="G337" i="3" a="1"/>
  <c r="G337" i="3" s="1"/>
  <c r="F337" i="3" s="1" a="1"/>
  <c r="F337" i="3" s="1"/>
  <c r="G338" i="3" a="1"/>
  <c r="G338" i="3" s="1"/>
  <c r="F338" i="3" s="1" a="1"/>
  <c r="F338" i="3" s="1"/>
  <c r="G342" i="3" a="1"/>
  <c r="G342" i="3" s="1"/>
  <c r="F342" i="3" s="1" a="1"/>
  <c r="F342" i="3" s="1"/>
  <c r="G336" i="3" a="1"/>
  <c r="G336" i="3" s="1"/>
  <c r="F336" i="3" s="1" a="1"/>
  <c r="F336" i="3" s="1"/>
  <c r="G334" i="3" a="1"/>
  <c r="G334" i="3" s="1"/>
  <c r="F334" i="3" s="1" a="1"/>
  <c r="F334" i="3" s="1"/>
  <c r="G335" i="3" a="1"/>
  <c r="G335" i="3" s="1"/>
  <c r="F335" i="3" s="1" a="1"/>
  <c r="F335" i="3" s="1"/>
  <c r="G332" i="3" a="1"/>
  <c r="G332" i="3" s="1"/>
  <c r="F332" i="3" s="1" a="1"/>
  <c r="F332" i="3" s="1"/>
  <c r="G331" i="3" a="1"/>
  <c r="G331" i="3" s="1"/>
  <c r="F331" i="3" s="1" a="1"/>
  <c r="F331" i="3" s="1"/>
  <c r="G330" i="3" a="1"/>
  <c r="G330" i="3" s="1"/>
  <c r="F330" i="3" s="1" a="1"/>
  <c r="F330" i="3" s="1"/>
  <c r="G328" i="3" a="1"/>
  <c r="G328" i="3" s="1"/>
  <c r="F328" i="3" s="1" a="1"/>
  <c r="F328" i="3" s="1"/>
  <c r="G329" i="3" a="1"/>
  <c r="G329" i="3" s="1"/>
  <c r="F329" i="3" s="1" a="1"/>
  <c r="F329" i="3" s="1"/>
  <c r="G333" i="3" a="1"/>
  <c r="G333" i="3" s="1"/>
  <c r="F333" i="3" s="1" a="1"/>
  <c r="F333" i="3" s="1"/>
  <c r="G327" i="3" a="1"/>
  <c r="G327" i="3" s="1"/>
  <c r="F327" i="3" s="1" a="1"/>
  <c r="F327" i="3" s="1"/>
  <c r="G325" i="3" a="1"/>
  <c r="G325" i="3" s="1"/>
  <c r="G326" i="3" a="1"/>
  <c r="G326" i="3" s="1"/>
  <c r="G323" i="3" a="1"/>
  <c r="G323" i="3" s="1"/>
  <c r="G322" i="3" a="1"/>
  <c r="G322" i="3" s="1"/>
  <c r="G321" i="3" a="1"/>
  <c r="G321" i="3" s="1"/>
  <c r="F321" i="3" s="1" a="1"/>
  <c r="F321" i="3" s="1"/>
  <c r="G319" i="3" a="1"/>
  <c r="G319" i="3" s="1"/>
  <c r="F319" i="3" s="1" a="1"/>
  <c r="F319" i="3" s="1"/>
  <c r="G320" i="3" a="1"/>
  <c r="G320" i="3" s="1"/>
  <c r="F320" i="3" s="1" a="1"/>
  <c r="F320" i="3" s="1"/>
  <c r="G324" i="3" a="1"/>
  <c r="G324" i="3" s="1"/>
  <c r="F324" i="3" s="1" a="1"/>
  <c r="F324" i="3" s="1"/>
  <c r="G318" i="3" a="1"/>
  <c r="G318" i="3" s="1"/>
  <c r="G316" i="3" a="1"/>
  <c r="G316" i="3" s="1"/>
  <c r="F316" i="3" s="1" a="1"/>
  <c r="F316" i="3" s="1"/>
  <c r="G317" i="3" a="1"/>
  <c r="G317" i="3" s="1"/>
  <c r="F317" i="3" s="1" a="1"/>
  <c r="F317" i="3" s="1"/>
  <c r="G314" i="3" a="1"/>
  <c r="G314" i="3" s="1"/>
  <c r="F314" i="3" s="1" a="1"/>
  <c r="F314" i="3" s="1"/>
  <c r="G313" i="3" a="1"/>
  <c r="G313" i="3" s="1"/>
  <c r="F313" i="3" s="1" a="1"/>
  <c r="F313" i="3" s="1"/>
  <c r="G312" i="3" a="1"/>
  <c r="G312" i="3" s="1"/>
  <c r="G310" i="3" a="1"/>
  <c r="G310" i="3" s="1"/>
  <c r="F310" i="3" s="1" a="1"/>
  <c r="F310" i="3" s="1"/>
  <c r="G311" i="3" a="1"/>
  <c r="G311" i="3" s="1"/>
  <c r="G315" i="3" a="1"/>
  <c r="G315" i="3" s="1"/>
  <c r="G309" i="3" a="1"/>
  <c r="G309" i="3" s="1"/>
  <c r="F309" i="3" s="1" a="1"/>
  <c r="F309" i="3" s="1"/>
  <c r="G307" i="3" a="1"/>
  <c r="G307" i="3" s="1"/>
  <c r="G308" i="3" a="1"/>
  <c r="G308" i="3" s="1"/>
  <c r="F308" i="3" s="1" a="1"/>
  <c r="F308" i="3" s="1"/>
  <c r="G305" i="3" a="1"/>
  <c r="G305" i="3" s="1"/>
  <c r="G304" i="3" a="1"/>
  <c r="G304" i="3" s="1"/>
  <c r="F304" i="3" s="1" a="1"/>
  <c r="F304" i="3" s="1"/>
  <c r="G303" i="3" a="1"/>
  <c r="G303" i="3" s="1"/>
  <c r="F303" i="3" s="1" a="1"/>
  <c r="F303" i="3" s="1"/>
  <c r="G301" i="3" a="1"/>
  <c r="G301" i="3" s="1"/>
  <c r="G302" i="3" a="1"/>
  <c r="G302" i="3" s="1"/>
  <c r="F302" i="3" s="1" a="1"/>
  <c r="F302" i="3" s="1"/>
  <c r="G306" i="3" a="1"/>
  <c r="G306" i="3" s="1"/>
  <c r="F306" i="3" s="1" a="1"/>
  <c r="F306" i="3" s="1"/>
  <c r="G300" i="3" a="1"/>
  <c r="G300" i="3" s="1"/>
  <c r="F300" i="3" s="1" a="1"/>
  <c r="F300" i="3" s="1"/>
  <c r="G298" i="3" a="1"/>
  <c r="G298" i="3" s="1"/>
  <c r="F298" i="3" s="1" a="1"/>
  <c r="F298" i="3" s="1"/>
  <c r="G299" i="3" a="1"/>
  <c r="G299" i="3" s="1"/>
  <c r="F299" i="3" s="1" a="1"/>
  <c r="F299" i="3" s="1"/>
  <c r="G296" i="3" a="1"/>
  <c r="G296" i="3" s="1"/>
  <c r="F296" i="3" s="1" a="1"/>
  <c r="F296" i="3" s="1"/>
  <c r="G295" i="3" a="1"/>
  <c r="G295" i="3" s="1"/>
  <c r="G294" i="3" a="1"/>
  <c r="G294" i="3" s="1"/>
  <c r="G292" i="3" a="1"/>
  <c r="G292" i="3" s="1"/>
  <c r="F292" i="3" s="1" a="1"/>
  <c r="F292" i="3" s="1"/>
  <c r="G293" i="3" a="1"/>
  <c r="G293" i="3" s="1"/>
  <c r="F293" i="3" s="1" a="1"/>
  <c r="F293" i="3" s="1"/>
  <c r="G297" i="3" a="1"/>
  <c r="G297" i="3" s="1"/>
  <c r="F297" i="3" s="1" a="1"/>
  <c r="F297" i="3" s="1"/>
  <c r="G291" i="3" a="1"/>
  <c r="G291" i="3" s="1"/>
  <c r="F291" i="3" s="1" a="1"/>
  <c r="F291" i="3" s="1"/>
  <c r="G289" i="3" a="1"/>
  <c r="G289" i="3" s="1"/>
  <c r="G290" i="3" a="1"/>
  <c r="G290" i="3" s="1"/>
  <c r="G287" i="3" a="1"/>
  <c r="G287" i="3" s="1"/>
  <c r="G286" i="3" a="1"/>
  <c r="G286" i="3" s="1"/>
  <c r="G285" i="3" a="1"/>
  <c r="G285" i="3" s="1"/>
  <c r="F285" i="3" s="1" a="1"/>
  <c r="F285" i="3" s="1"/>
  <c r="G283" i="3" a="1"/>
  <c r="G283" i="3" s="1"/>
  <c r="F283" i="3" s="1" a="1"/>
  <c r="F283" i="3" s="1"/>
  <c r="G284" i="3" a="1"/>
  <c r="G284" i="3" s="1"/>
  <c r="F284" i="3" s="1" a="1"/>
  <c r="F284" i="3" s="1"/>
  <c r="G288" i="3" a="1"/>
  <c r="G288" i="3" s="1"/>
  <c r="G282" i="3" a="1"/>
  <c r="G282" i="3" s="1"/>
  <c r="G280" i="3" a="1"/>
  <c r="G280" i="3" s="1"/>
  <c r="F280" i="3" s="1" a="1"/>
  <c r="F280" i="3" s="1"/>
  <c r="G281" i="3" a="1"/>
  <c r="G281" i="3" s="1"/>
  <c r="F281" i="3" s="1" a="1"/>
  <c r="F281" i="3" s="1"/>
  <c r="G278" i="3" a="1"/>
  <c r="G278" i="3" s="1"/>
  <c r="F278" i="3" s="1" a="1"/>
  <c r="F278" i="3" s="1"/>
  <c r="G277" i="3" a="1"/>
  <c r="G277" i="3" s="1"/>
  <c r="G276" i="3" a="1"/>
  <c r="G276" i="3" s="1"/>
  <c r="G274" i="3" a="1"/>
  <c r="G274" i="3" s="1"/>
  <c r="G275" i="3" a="1"/>
  <c r="G275" i="3" s="1"/>
  <c r="G279" i="3" a="1"/>
  <c r="G279" i="3" s="1"/>
  <c r="F279" i="3" s="1" a="1"/>
  <c r="F279" i="3" s="1"/>
  <c r="G273" i="3" a="1"/>
  <c r="G273" i="3" s="1"/>
  <c r="F273" i="3" s="1" a="1"/>
  <c r="F273" i="3" s="1"/>
  <c r="G271" i="3" a="1"/>
  <c r="G271" i="3" s="1"/>
  <c r="F271" i="3" s="1" a="1"/>
  <c r="F271" i="3" s="1"/>
  <c r="G272" i="3" a="1"/>
  <c r="G272" i="3" s="1"/>
  <c r="F272" i="3" s="1" a="1"/>
  <c r="F272" i="3" s="1"/>
  <c r="G269" i="3" a="1"/>
  <c r="G269" i="3" s="1"/>
  <c r="F269" i="3" s="1" a="1"/>
  <c r="F269" i="3" s="1"/>
  <c r="G268" i="3" a="1"/>
  <c r="G268" i="3" s="1"/>
  <c r="F268" i="3" s="1" a="1"/>
  <c r="F268" i="3" s="1"/>
  <c r="G267" i="3" a="1"/>
  <c r="G267" i="3" s="1"/>
  <c r="F267" i="3" s="1" a="1"/>
  <c r="F267" i="3" s="1"/>
  <c r="G265" i="3" a="1"/>
  <c r="G265" i="3" s="1"/>
  <c r="F265" i="3" s="1" a="1"/>
  <c r="F265" i="3" s="1"/>
  <c r="G266" i="3" a="1"/>
  <c r="G266" i="3" s="1"/>
  <c r="F266" i="3" s="1" a="1"/>
  <c r="F266" i="3" s="1"/>
  <c r="G270" i="3" a="1"/>
  <c r="G270" i="3" s="1"/>
  <c r="G264" i="3" a="1"/>
  <c r="G264" i="3" s="1"/>
  <c r="G262" i="3" a="1"/>
  <c r="G262" i="3" s="1"/>
  <c r="F262" i="3" s="1" a="1"/>
  <c r="F262" i="3" s="1"/>
  <c r="G263" i="3" a="1"/>
  <c r="G263" i="3" s="1"/>
  <c r="F263" i="3" s="1" a="1"/>
  <c r="F263" i="3" s="1"/>
  <c r="G260" i="3" a="1"/>
  <c r="G260" i="3" s="1"/>
  <c r="F260" i="3" s="1" a="1"/>
  <c r="F260" i="3" s="1"/>
  <c r="G259" i="3" a="1"/>
  <c r="G259" i="3" s="1"/>
  <c r="F259" i="3" s="1" a="1"/>
  <c r="F259" i="3" s="1"/>
  <c r="G258" i="3" a="1"/>
  <c r="G258" i="3" s="1"/>
  <c r="F258" i="3" s="1" a="1"/>
  <c r="F258" i="3" s="1"/>
  <c r="G256" i="3" a="1"/>
  <c r="G256" i="3" s="1"/>
  <c r="G257" i="3" a="1"/>
  <c r="G257" i="3" s="1"/>
  <c r="G261" i="3" a="1"/>
  <c r="G261" i="3" s="1"/>
  <c r="F261" i="3" s="1" a="1"/>
  <c r="F261" i="3" s="1"/>
  <c r="G255" i="3" a="1"/>
  <c r="G255" i="3" s="1"/>
  <c r="F255" i="3" s="1" a="1"/>
  <c r="F255" i="3" s="1"/>
  <c r="G253" i="3" a="1"/>
  <c r="G253" i="3" s="1"/>
  <c r="G254" i="3" a="1"/>
  <c r="G254" i="3" s="1"/>
  <c r="G251" i="3" a="1"/>
  <c r="G251" i="3" s="1"/>
  <c r="G250" i="3" a="1"/>
  <c r="G250" i="3" s="1"/>
  <c r="F250" i="3" s="1" a="1"/>
  <c r="F250" i="3" s="1"/>
  <c r="G249" i="3" a="1"/>
  <c r="G249" i="3" s="1"/>
  <c r="F249" i="3" s="1" a="1"/>
  <c r="F249" i="3" s="1"/>
  <c r="G247" i="3" a="1"/>
  <c r="G247" i="3" s="1"/>
  <c r="F247" i="3" s="1" a="1"/>
  <c r="F247" i="3" s="1"/>
  <c r="G248" i="3" a="1"/>
  <c r="G248" i="3" s="1"/>
  <c r="F248" i="3" s="1" a="1"/>
  <c r="F248" i="3" s="1"/>
  <c r="G252" i="3" a="1"/>
  <c r="G252" i="3" s="1"/>
  <c r="F252" i="3" s="1" a="1"/>
  <c r="F252" i="3" s="1"/>
  <c r="G246" i="3" a="1"/>
  <c r="G246" i="3" s="1"/>
  <c r="F246" i="3" s="1" a="1"/>
  <c r="F246" i="3" s="1"/>
  <c r="G244" i="3" a="1"/>
  <c r="G244" i="3" s="1"/>
  <c r="F244" i="3" s="1" a="1"/>
  <c r="F244" i="3" s="1"/>
  <c r="G245" i="3" a="1"/>
  <c r="G245" i="3" s="1"/>
  <c r="F245" i="3" s="1" a="1"/>
  <c r="F245" i="3" s="1"/>
  <c r="G242" i="3" a="1"/>
  <c r="G242" i="3" s="1"/>
  <c r="F242" i="3" s="1" a="1"/>
  <c r="F242" i="3" s="1"/>
  <c r="G241" i="3" a="1"/>
  <c r="G241" i="3" s="1"/>
  <c r="F241" i="3" s="1" a="1"/>
  <c r="F241" i="3" s="1"/>
  <c r="G240" i="3" a="1"/>
  <c r="G240" i="3" s="1"/>
  <c r="F240" i="3" s="1" a="1"/>
  <c r="F240" i="3" s="1"/>
  <c r="G238" i="3" a="1"/>
  <c r="G238" i="3" s="1"/>
  <c r="F238" i="3" s="1" a="1"/>
  <c r="F238" i="3" s="1"/>
  <c r="G239" i="3" a="1"/>
  <c r="G239" i="3" s="1"/>
  <c r="G243" i="3" a="1"/>
  <c r="G243" i="3" s="1"/>
  <c r="G237" i="3" a="1"/>
  <c r="G237" i="3" s="1"/>
  <c r="G235" i="3" a="1"/>
  <c r="G235" i="3" s="1"/>
  <c r="F235" i="3" s="1" a="1"/>
  <c r="F235" i="3" s="1"/>
  <c r="G236" i="3" a="1"/>
  <c r="G236" i="3" s="1"/>
  <c r="F236" i="3" s="1" a="1"/>
  <c r="F236" i="3" s="1"/>
  <c r="G233" i="3" a="1"/>
  <c r="G233" i="3" s="1"/>
  <c r="F233" i="3" s="1" a="1"/>
  <c r="F233" i="3" s="1"/>
  <c r="G232" i="3" a="1"/>
  <c r="G232" i="3" s="1"/>
  <c r="F232" i="3" s="1" a="1"/>
  <c r="F232" i="3" s="1"/>
  <c r="G231" i="3" a="1"/>
  <c r="G231" i="3" s="1"/>
  <c r="F231" i="3" s="1" a="1"/>
  <c r="F231" i="3" s="1"/>
  <c r="G229" i="3" a="1"/>
  <c r="G229" i="3" s="1"/>
  <c r="F229" i="3" s="1" a="1"/>
  <c r="F229" i="3" s="1"/>
  <c r="G230" i="3" a="1"/>
  <c r="G230" i="3" s="1"/>
  <c r="G234" i="3" a="1"/>
  <c r="G234" i="3" s="1"/>
  <c r="F234" i="3" s="1" a="1"/>
  <c r="F234" i="3" s="1"/>
  <c r="G228" i="3" a="1"/>
  <c r="G228" i="3" s="1"/>
  <c r="G226" i="3" a="1"/>
  <c r="G226" i="3" s="1"/>
  <c r="F226" i="3" s="1" a="1"/>
  <c r="F226" i="3" s="1"/>
  <c r="G227" i="3" a="1"/>
  <c r="G227" i="3" s="1"/>
  <c r="F227" i="3" s="1" a="1"/>
  <c r="F227" i="3" s="1"/>
  <c r="G224" i="3" a="1"/>
  <c r="G224" i="3" s="1"/>
  <c r="G223" i="3" a="1"/>
  <c r="G223" i="3" s="1"/>
  <c r="G222" i="3" a="1"/>
  <c r="G222" i="3" s="1"/>
  <c r="F222" i="3" s="1" a="1"/>
  <c r="F222" i="3" s="1"/>
  <c r="G220" i="3" a="1"/>
  <c r="G220" i="3" s="1"/>
  <c r="G221" i="3" a="1"/>
  <c r="G221" i="3" s="1"/>
  <c r="F221" i="3" s="1" a="1"/>
  <c r="F221" i="3" s="1"/>
  <c r="G225" i="3" a="1"/>
  <c r="G225" i="3" s="1"/>
  <c r="F225" i="3" s="1" a="1"/>
  <c r="F225" i="3" s="1"/>
  <c r="G219" i="3" a="1"/>
  <c r="G219" i="3" s="1"/>
  <c r="F219" i="3" s="1" a="1"/>
  <c r="F219" i="3" s="1"/>
  <c r="G217" i="3" a="1"/>
  <c r="G217" i="3" s="1"/>
  <c r="G218" i="3" a="1"/>
  <c r="G218" i="3" s="1"/>
  <c r="G215" i="3" a="1"/>
  <c r="G215" i="3" s="1"/>
  <c r="G214" i="3" a="1"/>
  <c r="G214" i="3" s="1"/>
  <c r="G213" i="3" a="1"/>
  <c r="G213" i="3" s="1"/>
  <c r="G211" i="3" a="1"/>
  <c r="G211" i="3" s="1"/>
  <c r="F211" i="3" s="1" a="1"/>
  <c r="F211" i="3" s="1"/>
  <c r="G212" i="3" a="1"/>
  <c r="G212" i="3" s="1"/>
  <c r="G216" i="3" a="1"/>
  <c r="G216" i="3" s="1"/>
  <c r="G210" i="3" a="1"/>
  <c r="G210" i="3" s="1"/>
  <c r="F210" i="3" s="1" a="1"/>
  <c r="F210" i="3" s="1"/>
  <c r="G208" i="3" a="1"/>
  <c r="G208" i="3" s="1"/>
  <c r="G209" i="3" a="1"/>
  <c r="G209" i="3" s="1"/>
  <c r="F209" i="3" s="1" a="1"/>
  <c r="F209" i="3" s="1"/>
  <c r="G206" i="3" a="1"/>
  <c r="G206" i="3" s="1"/>
  <c r="F206" i="3" s="1" a="1"/>
  <c r="F206" i="3" s="1"/>
  <c r="G205" i="3" a="1"/>
  <c r="G205" i="3" s="1"/>
  <c r="F205" i="3" s="1" a="1"/>
  <c r="F205" i="3" s="1"/>
  <c r="G204" i="3" a="1"/>
  <c r="G204" i="3" s="1"/>
  <c r="F204" i="3" s="1" a="1"/>
  <c r="F204" i="3" s="1"/>
  <c r="G202" i="3" a="1"/>
  <c r="G202" i="3" s="1"/>
  <c r="G203" i="3" a="1"/>
  <c r="G203" i="3" s="1"/>
  <c r="G207" i="3" a="1"/>
  <c r="G207" i="3" s="1"/>
  <c r="G201" i="3" a="1"/>
  <c r="G201" i="3" s="1"/>
  <c r="F201" i="3" s="1" a="1"/>
  <c r="F201" i="3" s="1"/>
  <c r="G199" i="3" a="1"/>
  <c r="G199" i="3" s="1"/>
  <c r="F199" i="3" s="1" a="1"/>
  <c r="F199" i="3" s="1"/>
  <c r="G200" i="3" a="1"/>
  <c r="G200" i="3" s="1"/>
  <c r="G197" i="3" a="1"/>
  <c r="G197" i="3" s="1"/>
  <c r="F197" i="3" s="1" a="1"/>
  <c r="F197" i="3" s="1"/>
  <c r="G196" i="3" a="1"/>
  <c r="G196" i="3" s="1"/>
  <c r="F196" i="3" s="1" a="1"/>
  <c r="F196" i="3" s="1"/>
  <c r="G195" i="3" a="1"/>
  <c r="G195" i="3" s="1"/>
  <c r="F195" i="3" s="1" a="1"/>
  <c r="F195" i="3" s="1"/>
  <c r="G193" i="3" a="1"/>
  <c r="G193" i="3" s="1"/>
  <c r="F193" i="3" s="1" a="1"/>
  <c r="F193" i="3" s="1"/>
  <c r="G194" i="3" a="1"/>
  <c r="G194" i="3" s="1"/>
  <c r="F194" i="3" s="1" a="1"/>
  <c r="F194" i="3" s="1"/>
  <c r="G198" i="3" a="1"/>
  <c r="G198" i="3" s="1"/>
  <c r="F198" i="3" s="1" a="1"/>
  <c r="F198" i="3" s="1"/>
  <c r="G192" i="3" a="1"/>
  <c r="G192" i="3" s="1"/>
  <c r="F192" i="3" s="1" a="1"/>
  <c r="F192" i="3" s="1"/>
  <c r="G190" i="3" a="1"/>
  <c r="G190" i="3" s="1"/>
  <c r="G191" i="3" a="1"/>
  <c r="G191" i="3" s="1"/>
  <c r="G188" i="3" a="1"/>
  <c r="G188" i="3" s="1"/>
  <c r="F188" i="3" s="1" a="1"/>
  <c r="F188" i="3" s="1"/>
  <c r="G187" i="3" a="1"/>
  <c r="G187" i="3" s="1"/>
  <c r="F187" i="3" s="1" a="1"/>
  <c r="F187" i="3" s="1"/>
  <c r="G186" i="3" a="1"/>
  <c r="G186" i="3" s="1"/>
  <c r="G184" i="3" a="1"/>
  <c r="G184" i="3" s="1"/>
  <c r="F184" i="3" s="1" a="1"/>
  <c r="F184" i="3" s="1"/>
  <c r="G185" i="3" a="1"/>
  <c r="G185" i="3" s="1"/>
  <c r="G189" i="3" a="1"/>
  <c r="G189" i="3" s="1"/>
  <c r="F189" i="3" s="1" a="1"/>
  <c r="F189" i="3" s="1"/>
  <c r="G183" i="3" a="1"/>
  <c r="G183" i="3" s="1"/>
  <c r="F183" i="3" s="1" a="1"/>
  <c r="F183" i="3" s="1"/>
  <c r="G181" i="3" a="1"/>
  <c r="G181" i="3" s="1"/>
  <c r="F181" i="3" s="1" a="1"/>
  <c r="F181" i="3" s="1"/>
  <c r="G182" i="3" a="1"/>
  <c r="G182" i="3" s="1"/>
  <c r="G179" i="3" a="1"/>
  <c r="G179" i="3" s="1"/>
  <c r="G178" i="3" a="1"/>
  <c r="G178" i="3" s="1"/>
  <c r="G177" i="3" a="1"/>
  <c r="G177" i="3" s="1"/>
  <c r="F177" i="3" s="1" a="1"/>
  <c r="F177" i="3" s="1"/>
  <c r="G175" i="3" a="1"/>
  <c r="G175" i="3" s="1"/>
  <c r="G176" i="3" a="1"/>
  <c r="G176" i="3" s="1"/>
  <c r="F176" i="3" s="1" a="1"/>
  <c r="F176" i="3" s="1"/>
  <c r="G180" i="3" a="1"/>
  <c r="G180" i="3" s="1"/>
  <c r="F180" i="3" s="1" a="1"/>
  <c r="F180" i="3" s="1"/>
  <c r="G174" i="3" a="1"/>
  <c r="G174" i="3" s="1"/>
  <c r="G172" i="3" a="1"/>
  <c r="G172" i="3" s="1"/>
  <c r="F172" i="3" s="1" a="1"/>
  <c r="F172" i="3" s="1"/>
  <c r="G173" i="3" a="1"/>
  <c r="G173" i="3" s="1"/>
  <c r="F173" i="3" s="1" a="1"/>
  <c r="F173" i="3" s="1"/>
  <c r="G170" i="3" a="1"/>
  <c r="G170" i="3" s="1"/>
  <c r="F170" i="3" s="1" a="1"/>
  <c r="F170" i="3" s="1"/>
  <c r="G169" i="3" a="1"/>
  <c r="G169" i="3" s="1"/>
  <c r="F169" i="3" s="1" a="1"/>
  <c r="F169" i="3" s="1"/>
  <c r="G168" i="3" a="1"/>
  <c r="G168" i="3" s="1"/>
  <c r="G166" i="3" a="1"/>
  <c r="G166" i="3" s="1"/>
  <c r="G167" i="3" a="1"/>
  <c r="G167" i="3" s="1"/>
  <c r="G171" i="3" a="1"/>
  <c r="G171" i="3" s="1"/>
  <c r="G165" i="3" a="1"/>
  <c r="G165" i="3" s="1"/>
  <c r="F165" i="3" s="1" a="1"/>
  <c r="F165" i="3" s="1"/>
  <c r="G163" i="3" a="1"/>
  <c r="G163" i="3" s="1"/>
  <c r="F163" i="3" s="1" a="1"/>
  <c r="F163" i="3" s="1"/>
  <c r="G164" i="3" a="1"/>
  <c r="G164" i="3" s="1"/>
  <c r="F164" i="3" s="1" a="1"/>
  <c r="F164" i="3" s="1"/>
  <c r="G161" i="3" a="1"/>
  <c r="G161" i="3" s="1"/>
  <c r="F161" i="3" s="1" a="1"/>
  <c r="F161" i="3" s="1"/>
  <c r="G160" i="3" a="1"/>
  <c r="G160" i="3" s="1"/>
  <c r="F160" i="3" s="1" a="1"/>
  <c r="F160" i="3" s="1"/>
  <c r="G159" i="3" a="1"/>
  <c r="G159" i="3" s="1"/>
  <c r="F159" i="3" s="1" a="1"/>
  <c r="F159" i="3" s="1"/>
  <c r="G157" i="3" a="1"/>
  <c r="G157" i="3" s="1"/>
  <c r="F157" i="3" s="1" a="1"/>
  <c r="F157" i="3" s="1"/>
  <c r="G158" i="3" a="1"/>
  <c r="G158" i="3" s="1"/>
  <c r="F158" i="3" s="1" a="1"/>
  <c r="F158" i="3" s="1"/>
  <c r="G162" i="3" a="1"/>
  <c r="G162" i="3" s="1"/>
  <c r="F162" i="3" s="1" a="1"/>
  <c r="F162" i="3" s="1"/>
  <c r="G156" i="3" a="1"/>
  <c r="G156" i="3" s="1"/>
  <c r="G154" i="3" a="1"/>
  <c r="G154" i="3" s="1"/>
  <c r="G155" i="3" a="1"/>
  <c r="G155" i="3" s="1"/>
  <c r="F155" i="3" s="1" a="1"/>
  <c r="F155" i="3" s="1"/>
  <c r="G152" i="3" a="1"/>
  <c r="G152" i="3" s="1"/>
  <c r="F152" i="3" s="1" a="1"/>
  <c r="F152" i="3" s="1"/>
  <c r="G151" i="3" a="1"/>
  <c r="G151" i="3" s="1"/>
  <c r="F151" i="3" s="1" a="1"/>
  <c r="F151" i="3" s="1"/>
  <c r="G150" i="3" a="1"/>
  <c r="G150" i="3" s="1"/>
  <c r="F150" i="3" s="1" a="1"/>
  <c r="F150" i="3" s="1"/>
  <c r="G148" i="3" a="1"/>
  <c r="G148" i="3" s="1"/>
  <c r="F148" i="3" s="1" a="1"/>
  <c r="F148" i="3" s="1"/>
  <c r="G149" i="3" a="1"/>
  <c r="G149" i="3" s="1"/>
  <c r="G153" i="3" a="1"/>
  <c r="G153" i="3" s="1"/>
  <c r="F153" i="3" s="1" a="1"/>
  <c r="F153" i="3" s="1"/>
  <c r="G147" i="3" a="1"/>
  <c r="G147" i="3" s="1"/>
  <c r="F147" i="3" s="1" a="1"/>
  <c r="F147" i="3" s="1"/>
  <c r="G145" i="3" a="1"/>
  <c r="G145" i="3" s="1"/>
  <c r="F145" i="3" s="1" a="1"/>
  <c r="F145" i="3" s="1"/>
  <c r="G146" i="3" a="1"/>
  <c r="G146" i="3" s="1"/>
  <c r="F146" i="3" s="1" a="1"/>
  <c r="F146" i="3" s="1"/>
  <c r="G143" i="3" a="1"/>
  <c r="G143" i="3" s="1"/>
  <c r="G142" i="3" a="1"/>
  <c r="G142" i="3" s="1"/>
  <c r="G141" i="3" a="1"/>
  <c r="G141" i="3" s="1"/>
  <c r="F141" i="3" s="1" a="1"/>
  <c r="F141" i="3" s="1"/>
  <c r="G139" i="3" a="1"/>
  <c r="G139" i="3" s="1"/>
  <c r="F139" i="3" s="1" a="1"/>
  <c r="F139" i="3" s="1"/>
  <c r="G140" i="3" a="1"/>
  <c r="G140" i="3" s="1"/>
  <c r="F140" i="3" s="1" a="1"/>
  <c r="F140" i="3" s="1"/>
  <c r="G144" i="3" a="1"/>
  <c r="G144" i="3" s="1"/>
  <c r="F144" i="3" s="1" a="1"/>
  <c r="F144" i="3" s="1"/>
  <c r="G138" i="3" a="1"/>
  <c r="G138" i="3" s="1"/>
  <c r="F138" i="3" s="1" a="1"/>
  <c r="F138" i="3" s="1"/>
  <c r="G136" i="3" a="1"/>
  <c r="G136" i="3" s="1"/>
  <c r="F136" i="3" s="1" a="1"/>
  <c r="F136" i="3" s="1"/>
  <c r="G137" i="3" a="1"/>
  <c r="G137" i="3" s="1"/>
  <c r="G134" i="3" a="1"/>
  <c r="G134" i="3" s="1"/>
  <c r="F134" i="3" s="1" a="1"/>
  <c r="F134" i="3" s="1"/>
  <c r="G133" i="3" a="1"/>
  <c r="G133" i="3" s="1"/>
  <c r="F133" i="3" s="1" a="1"/>
  <c r="F133" i="3" s="1"/>
  <c r="G132" i="3" a="1"/>
  <c r="G132" i="3" s="1"/>
  <c r="F132" i="3" s="1" a="1"/>
  <c r="F132" i="3" s="1"/>
  <c r="G130" i="3" a="1"/>
  <c r="G130" i="3" s="1"/>
  <c r="F130" i="3" s="1" a="1"/>
  <c r="F130" i="3" s="1"/>
  <c r="G131" i="3" a="1"/>
  <c r="G131" i="3" s="1"/>
  <c r="G135" i="3" a="1"/>
  <c r="G135" i="3" s="1"/>
  <c r="G129" i="3" a="1"/>
  <c r="G129" i="3" s="1"/>
  <c r="G127" i="3" a="1"/>
  <c r="G127" i="3" s="1"/>
  <c r="G128" i="3" a="1"/>
  <c r="G128" i="3" s="1"/>
  <c r="F128" i="3" s="1" a="1"/>
  <c r="F128" i="3" s="1"/>
  <c r="G125" i="3" a="1"/>
  <c r="G125" i="3" s="1"/>
  <c r="G124" i="3" a="1"/>
  <c r="G124" i="3" s="1"/>
  <c r="F124" i="3" s="1" a="1"/>
  <c r="F124" i="3" s="1"/>
  <c r="G123" i="3" a="1"/>
  <c r="G123" i="3" s="1"/>
  <c r="F123" i="3" s="1" a="1"/>
  <c r="F123" i="3" s="1"/>
  <c r="G121" i="3" a="1"/>
  <c r="G121" i="3" s="1"/>
  <c r="F121" i="3" s="1" a="1"/>
  <c r="F121" i="3" s="1"/>
  <c r="G122" i="3" a="1"/>
  <c r="G122" i="3" s="1"/>
  <c r="F122" i="3" s="1" a="1"/>
  <c r="F122" i="3" s="1"/>
  <c r="G126" i="3" a="1"/>
  <c r="G126" i="3" s="1"/>
  <c r="F126" i="3" s="1" a="1"/>
  <c r="F126" i="3" s="1"/>
  <c r="G120" i="3" a="1"/>
  <c r="G120" i="3" s="1"/>
  <c r="F120" i="3" s="1" a="1"/>
  <c r="F120" i="3" s="1"/>
  <c r="G118" i="3" a="1"/>
  <c r="G118" i="3" s="1"/>
  <c r="F118" i="3" s="1" a="1"/>
  <c r="F118" i="3" s="1"/>
  <c r="G119" i="3" a="1"/>
  <c r="G119" i="3" s="1"/>
  <c r="F119" i="3" s="1" a="1"/>
  <c r="F119" i="3" s="1"/>
  <c r="G116" i="3" a="1"/>
  <c r="G116" i="3" s="1"/>
  <c r="F116" i="3" s="1" a="1"/>
  <c r="F116" i="3" s="1"/>
  <c r="G115" i="3" a="1"/>
  <c r="G115" i="3" s="1"/>
  <c r="F115" i="3" s="1" a="1"/>
  <c r="F115" i="3" s="1"/>
  <c r="G114" i="3" a="1"/>
  <c r="G114" i="3" s="1"/>
  <c r="G112" i="3" a="1"/>
  <c r="G112" i="3" s="1"/>
  <c r="G113" i="3" a="1"/>
  <c r="G113" i="3" s="1"/>
  <c r="G117" i="3" a="1"/>
  <c r="G117" i="3" s="1"/>
  <c r="F117" i="3" s="1" a="1"/>
  <c r="F117" i="3" s="1"/>
  <c r="G111" i="3" a="1"/>
  <c r="G111" i="3" s="1"/>
  <c r="F111" i="3" s="1" a="1"/>
  <c r="F111" i="3" s="1"/>
  <c r="G109" i="3" a="1"/>
  <c r="G109" i="3" s="1"/>
  <c r="F109" i="3" s="1" a="1"/>
  <c r="F109" i="3" s="1"/>
  <c r="G110" i="3" a="1"/>
  <c r="G110" i="3" s="1"/>
  <c r="F110" i="3" s="1" a="1"/>
  <c r="F110" i="3" s="1"/>
  <c r="G107" i="3" a="1"/>
  <c r="G107" i="3" s="1"/>
  <c r="G106" i="3" a="1"/>
  <c r="G106" i="3" s="1"/>
  <c r="G105" i="3" a="1"/>
  <c r="G105" i="3" s="1"/>
  <c r="G103" i="3" a="1"/>
  <c r="G103" i="3" s="1"/>
  <c r="F103" i="3" s="1" a="1"/>
  <c r="F103" i="3" s="1"/>
  <c r="G104" i="3" a="1"/>
  <c r="G104" i="3" s="1"/>
  <c r="F104" i="3" s="1" a="1"/>
  <c r="F104" i="3" s="1"/>
  <c r="G108" i="3" a="1"/>
  <c r="G108" i="3" s="1"/>
  <c r="G102" i="3" a="1"/>
  <c r="G102" i="3" s="1"/>
  <c r="G100" i="3" a="1"/>
  <c r="G100" i="3" s="1"/>
  <c r="F100" i="3" s="1" a="1"/>
  <c r="F100" i="3" s="1"/>
  <c r="G101" i="3" a="1"/>
  <c r="G101" i="3" s="1"/>
  <c r="F101" i="3" s="1" a="1"/>
  <c r="F101" i="3" s="1"/>
  <c r="G98" i="3" a="1"/>
  <c r="G98" i="3" s="1"/>
  <c r="F98" i="3" s="1" a="1"/>
  <c r="F98" i="3" s="1"/>
  <c r="G97" i="3" a="1"/>
  <c r="G97" i="3" s="1"/>
  <c r="F97" i="3" s="1" a="1"/>
  <c r="F97" i="3" s="1"/>
  <c r="G96" i="3" a="1"/>
  <c r="G96" i="3" s="1"/>
  <c r="G94" i="3" a="1"/>
  <c r="G94" i="3" s="1"/>
  <c r="G95" i="3" a="1"/>
  <c r="G95" i="3" s="1"/>
  <c r="G99" i="3" a="1"/>
  <c r="G99" i="3" s="1"/>
  <c r="G93" i="3" a="1"/>
  <c r="G93" i="3" s="1"/>
  <c r="F93" i="3" s="1" a="1"/>
  <c r="F93" i="3" s="1"/>
  <c r="G91" i="3" a="1"/>
  <c r="G91" i="3" s="1"/>
  <c r="G92" i="3" a="1"/>
  <c r="G92" i="3" s="1"/>
  <c r="F92" i="3" s="1" a="1"/>
  <c r="F92" i="3" s="1"/>
  <c r="G89" i="3" a="1"/>
  <c r="G89" i="3" s="1"/>
  <c r="F89" i="3" s="1" a="1"/>
  <c r="F89" i="3" s="1"/>
  <c r="G88" i="3" a="1"/>
  <c r="G88" i="3" s="1"/>
  <c r="F88" i="3" s="1" a="1"/>
  <c r="F88" i="3" s="1"/>
  <c r="G87" i="3" a="1"/>
  <c r="G87" i="3" s="1"/>
  <c r="F87" i="3" s="1" a="1"/>
  <c r="F87" i="3" s="1"/>
  <c r="G85" i="3" a="1"/>
  <c r="G85" i="3" s="1"/>
  <c r="F85" i="3" s="1" a="1"/>
  <c r="F85" i="3" s="1"/>
  <c r="G86" i="3" a="1"/>
  <c r="G86" i="3" s="1"/>
  <c r="F86" i="3" s="1" a="1"/>
  <c r="F86" i="3" s="1"/>
  <c r="G90" i="3" a="1"/>
  <c r="G90" i="3" s="1"/>
  <c r="F90" i="3" s="1" a="1"/>
  <c r="F90" i="3" s="1"/>
  <c r="G84" i="3" a="1"/>
  <c r="G84" i="3" s="1"/>
  <c r="G82" i="3" a="1"/>
  <c r="G82" i="3" s="1"/>
  <c r="F82" i="3" s="1" a="1"/>
  <c r="F82" i="3" s="1"/>
  <c r="G83" i="3" a="1"/>
  <c r="G83" i="3" s="1"/>
  <c r="F83" i="3" s="1" a="1"/>
  <c r="F83" i="3" s="1"/>
  <c r="G80" i="3" a="1"/>
  <c r="G80" i="3" s="1"/>
  <c r="F80" i="3" s="1" a="1"/>
  <c r="F80" i="3" s="1"/>
  <c r="G79" i="3" a="1"/>
  <c r="G79" i="3" s="1"/>
  <c r="F79" i="3" s="1" a="1"/>
  <c r="F79" i="3" s="1"/>
  <c r="G78" i="3" a="1"/>
  <c r="G78" i="3" s="1"/>
  <c r="F78" i="3" s="1" a="1"/>
  <c r="F78" i="3" s="1"/>
  <c r="G76" i="3" a="1"/>
  <c r="G76" i="3" s="1"/>
  <c r="F76" i="3" s="1" a="1"/>
  <c r="F76" i="3" s="1"/>
  <c r="G77" i="3" a="1"/>
  <c r="G77" i="3" s="1"/>
  <c r="G81" i="3" a="1"/>
  <c r="G81" i="3" s="1"/>
  <c r="F81" i="3" s="1" a="1"/>
  <c r="F81" i="3" s="1"/>
  <c r="G75" i="3" a="1"/>
  <c r="G75" i="3" s="1"/>
  <c r="F75" i="3" s="1" a="1"/>
  <c r="F75" i="3" s="1"/>
  <c r="G73" i="3" a="1"/>
  <c r="G73" i="3" s="1"/>
  <c r="G74" i="3" a="1"/>
  <c r="G74" i="3" s="1"/>
  <c r="G71" i="3" a="1"/>
  <c r="G71" i="3" s="1"/>
  <c r="G70" i="3" a="1"/>
  <c r="G70" i="3" s="1"/>
  <c r="F70" i="3" s="1" a="1"/>
  <c r="F70" i="3" s="1"/>
  <c r="G69" i="3" a="1"/>
  <c r="G69" i="3" s="1"/>
  <c r="G67" i="3" a="1"/>
  <c r="G67" i="3" s="1"/>
  <c r="F67" i="3" s="1" a="1"/>
  <c r="F67" i="3" s="1"/>
  <c r="G68" i="3" a="1"/>
  <c r="G68" i="3" s="1"/>
  <c r="F68" i="3" s="1" a="1"/>
  <c r="F68" i="3" s="1"/>
  <c r="G72" i="3" a="1"/>
  <c r="G72" i="3" s="1"/>
  <c r="F72" i="3" s="1" a="1"/>
  <c r="F72" i="3" s="1"/>
  <c r="G66" i="3" a="1"/>
  <c r="G66" i="3" s="1"/>
  <c r="F66" i="3" s="1" a="1"/>
  <c r="F66" i="3" s="1"/>
  <c r="G64" i="3" a="1"/>
  <c r="G64" i="3" s="1"/>
  <c r="F64" i="3" s="1" a="1"/>
  <c r="F64" i="3" s="1"/>
  <c r="G65" i="3" a="1"/>
  <c r="G65" i="3" s="1"/>
  <c r="F65" i="3" s="1" a="1"/>
  <c r="F65" i="3" s="1"/>
  <c r="G62" i="3" a="1"/>
  <c r="G62" i="3" s="1"/>
  <c r="G61" i="3" a="1"/>
  <c r="G61" i="3" s="1"/>
  <c r="F61" i="3" s="1" a="1"/>
  <c r="F61" i="3" s="1"/>
  <c r="G60" i="3" a="1"/>
  <c r="G60" i="3" s="1"/>
  <c r="F60" i="3" s="1" a="1"/>
  <c r="F60" i="3" s="1"/>
  <c r="G58" i="3" a="1"/>
  <c r="G58" i="3" s="1"/>
  <c r="G59" i="3" a="1"/>
  <c r="G59" i="3" s="1"/>
  <c r="G63" i="3" a="1"/>
  <c r="G63" i="3" s="1"/>
  <c r="G57" i="3" a="1"/>
  <c r="G57" i="3" s="1"/>
  <c r="F57" i="3" s="1" a="1"/>
  <c r="F57" i="3" s="1"/>
  <c r="G55" i="3" a="1"/>
  <c r="G55" i="3" s="1"/>
  <c r="F55" i="3" s="1" a="1"/>
  <c r="F55" i="3" s="1"/>
  <c r="G56" i="3" a="1"/>
  <c r="G56" i="3" s="1"/>
  <c r="F56" i="3" s="1" a="1"/>
  <c r="F56" i="3" s="1"/>
  <c r="G53" i="3" a="1"/>
  <c r="G53" i="3" s="1"/>
  <c r="F53" i="3" s="1" a="1"/>
  <c r="F53" i="3" s="1"/>
  <c r="G52" i="3" a="1"/>
  <c r="G52" i="3" s="1"/>
  <c r="F52" i="3" s="1" a="1"/>
  <c r="F52" i="3" s="1"/>
  <c r="G51" i="3" a="1"/>
  <c r="G51" i="3" s="1"/>
  <c r="F51" i="3" s="1" a="1"/>
  <c r="F51" i="3" s="1"/>
  <c r="G49" i="3" a="1"/>
  <c r="G49" i="3" s="1"/>
  <c r="G50" i="3" a="1"/>
  <c r="G50" i="3" s="1"/>
  <c r="F50" i="3" s="1" a="1"/>
  <c r="F50" i="3" s="1"/>
  <c r="G54" i="3" a="1"/>
  <c r="G54" i="3" s="1"/>
  <c r="F54" i="3" s="1" a="1"/>
  <c r="F54" i="3" s="1"/>
  <c r="G48" i="3" a="1"/>
  <c r="G48" i="3" s="1"/>
  <c r="F48" i="3" s="1" a="1"/>
  <c r="F48" i="3" s="1"/>
  <c r="G46" i="3" a="1"/>
  <c r="G46" i="3" s="1"/>
  <c r="F46" i="3" s="1" a="1"/>
  <c r="F46" i="3" s="1"/>
  <c r="G47" i="3" a="1"/>
  <c r="G47" i="3" s="1"/>
  <c r="G44" i="3" a="1"/>
  <c r="G44" i="3" s="1"/>
  <c r="F44" i="3" s="1" a="1"/>
  <c r="F44" i="3" s="1"/>
  <c r="G43" i="3" a="1"/>
  <c r="G43" i="3" s="1"/>
  <c r="G42" i="3" a="1"/>
  <c r="G42" i="3" s="1"/>
  <c r="F42" i="3" s="1" a="1"/>
  <c r="F42" i="3" s="1"/>
  <c r="G40" i="3" a="1"/>
  <c r="G40" i="3" s="1"/>
  <c r="F40" i="3" s="1" a="1"/>
  <c r="F40" i="3" s="1"/>
  <c r="G41" i="3" a="1"/>
  <c r="G41" i="3" s="1"/>
  <c r="F41" i="3" s="1" a="1"/>
  <c r="F41" i="3" s="1"/>
  <c r="G45" i="3" a="1"/>
  <c r="G45" i="3" s="1"/>
  <c r="F45" i="3" s="1" a="1"/>
  <c r="F45" i="3" s="1"/>
  <c r="G39" i="3" a="1"/>
  <c r="G39" i="3" s="1"/>
  <c r="F39" i="3" s="1" a="1"/>
  <c r="F39" i="3" s="1"/>
  <c r="G37" i="3" a="1"/>
  <c r="G37" i="3" s="1"/>
  <c r="G38" i="3" a="1"/>
  <c r="G38" i="3" s="1"/>
  <c r="G35" i="3" a="1"/>
  <c r="G35" i="3" s="1"/>
  <c r="G34" i="3" a="1"/>
  <c r="G34" i="3" s="1"/>
  <c r="G33" i="3" a="1"/>
  <c r="G33" i="3" s="1"/>
  <c r="G31" i="3" a="1"/>
  <c r="G31" i="3" s="1"/>
  <c r="F31" i="3" s="1" a="1"/>
  <c r="F31" i="3" s="1"/>
  <c r="G32" i="3" a="1"/>
  <c r="G32" i="3" s="1"/>
  <c r="G36" i="3" a="1"/>
  <c r="G36" i="3" s="1"/>
  <c r="G30" i="3" a="1"/>
  <c r="G30" i="3" s="1"/>
  <c r="F30" i="3" s="1" a="1"/>
  <c r="F30" i="3" s="1"/>
  <c r="G28" i="3" a="1"/>
  <c r="G28" i="3" s="1"/>
  <c r="F28" i="3" s="1" a="1"/>
  <c r="F28" i="3" s="1"/>
  <c r="G29" i="3" a="1"/>
  <c r="G29" i="3" s="1"/>
  <c r="G26" i="3" a="1"/>
  <c r="G26" i="3" s="1"/>
  <c r="F26" i="3" s="1" a="1"/>
  <c r="F26" i="3" s="1"/>
  <c r="G25" i="3" a="1"/>
  <c r="G25" i="3" s="1"/>
  <c r="F25" i="3" s="1" a="1"/>
  <c r="F25" i="3" s="1"/>
  <c r="G24" i="3" a="1"/>
  <c r="G24" i="3" s="1"/>
  <c r="G22" i="3" a="1"/>
  <c r="G22" i="3" s="1"/>
  <c r="F22" i="3" s="1" a="1"/>
  <c r="F22" i="3" s="1"/>
  <c r="G23" i="3" a="1"/>
  <c r="G23" i="3" s="1"/>
  <c r="G27" i="3" a="1"/>
  <c r="G27" i="3" s="1"/>
  <c r="G21" i="3" a="1"/>
  <c r="G21" i="3" s="1"/>
  <c r="G19" i="3" a="1"/>
  <c r="G19" i="3" s="1"/>
  <c r="F19" i="3" s="1" a="1"/>
  <c r="F19" i="3" s="1"/>
  <c r="G20" i="3" a="1"/>
  <c r="G20" i="3" s="1"/>
  <c r="F20" i="3" s="1" a="1"/>
  <c r="F20" i="3" s="1"/>
  <c r="G17" i="3" a="1"/>
  <c r="G17" i="3" s="1"/>
  <c r="F17" i="3" s="1" a="1"/>
  <c r="F17" i="3" s="1"/>
  <c r="G16" i="3" a="1"/>
  <c r="G16" i="3" s="1"/>
  <c r="F16" i="3" s="1" a="1"/>
  <c r="F16" i="3" s="1"/>
  <c r="G15" i="3" a="1"/>
  <c r="G15" i="3" s="1"/>
  <c r="G13" i="3" a="1"/>
  <c r="G13" i="3" s="1"/>
  <c r="G14" i="3" a="1"/>
  <c r="G14" i="3" s="1"/>
  <c r="G18" i="3" a="1"/>
  <c r="G18" i="3" s="1"/>
  <c r="F18" i="3" s="1" a="1"/>
  <c r="F18" i="3" s="1"/>
  <c r="G12" i="3" a="1"/>
  <c r="G12" i="3" s="1"/>
  <c r="G10" i="3" a="1"/>
  <c r="G10" i="3" s="1"/>
  <c r="G11" i="3" a="1"/>
  <c r="G11" i="3" s="1"/>
  <c r="F11" i="3" s="1" a="1"/>
  <c r="F11" i="3" s="1"/>
  <c r="G8" i="3" a="1"/>
  <c r="G8" i="3" s="1"/>
  <c r="F8" i="3" s="1" a="1"/>
  <c r="F8" i="3" s="1"/>
  <c r="G7" i="3" a="1"/>
  <c r="G7" i="3" s="1"/>
  <c r="F7" i="3" s="1" a="1"/>
  <c r="F7" i="3" s="1"/>
  <c r="G6" i="3" a="1"/>
  <c r="G6" i="3" s="1"/>
  <c r="F6" i="3" s="1" a="1"/>
  <c r="F6" i="3" s="1"/>
  <c r="G4" i="3" a="1"/>
  <c r="G4" i="3" s="1"/>
  <c r="F4" i="3" s="1" a="1"/>
  <c r="F4" i="3" s="1"/>
  <c r="G5" i="3" a="1"/>
  <c r="G5" i="3" s="1"/>
  <c r="F5" i="3" s="1" a="1"/>
  <c r="F5" i="3" s="1"/>
  <c r="G9" i="3" a="1"/>
  <c r="G9" i="3" s="1"/>
  <c r="F9" i="3" s="1" a="1"/>
  <c r="F9" i="3" s="1"/>
  <c r="G3" i="3" a="1"/>
  <c r="G3" i="3" s="1"/>
  <c r="F3" i="3" s="1" a="1"/>
  <c r="F3" i="3" s="1"/>
  <c r="N10" i="6" l="1"/>
  <c r="M10" i="6" s="1"/>
  <c r="N9" i="6"/>
  <c r="M9" i="6" s="1"/>
  <c r="N5" i="6"/>
  <c r="M5" i="6" s="1"/>
  <c r="N25" i="6"/>
  <c r="M25" i="6" s="1"/>
  <c r="N19" i="6"/>
  <c r="M19" i="6" s="1"/>
  <c r="N8" i="6"/>
  <c r="M8" i="6" s="1"/>
  <c r="N15" i="6"/>
  <c r="M15" i="6" s="1"/>
  <c r="I22" i="6"/>
  <c r="I27" i="6"/>
  <c r="I23" i="6"/>
  <c r="I20" i="6"/>
  <c r="I14" i="6"/>
  <c r="I7" i="6"/>
  <c r="N17" i="6"/>
  <c r="M17" i="6" s="1"/>
  <c r="N13" i="6"/>
  <c r="M13" i="6" s="1"/>
  <c r="I28" i="6"/>
  <c r="I29" i="6"/>
  <c r="I21" i="6"/>
  <c r="I18" i="6"/>
  <c r="I26" i="6"/>
  <c r="I24" i="6"/>
  <c r="I6" i="6"/>
  <c r="I16" i="6"/>
  <c r="N11" i="6"/>
  <c r="M11" i="6" s="1"/>
  <c r="F113" i="3" a="1"/>
  <c r="F113" i="3" s="1"/>
  <c r="D113" i="3" s="1"/>
  <c r="C113" i="3" s="1"/>
  <c r="F185" i="3" a="1"/>
  <c r="F185" i="3" s="1"/>
  <c r="D185" i="3" s="1"/>
  <c r="C185" i="3" s="1"/>
  <c r="F200" i="3" a="1"/>
  <c r="F200" i="3" s="1"/>
  <c r="D200" i="3" s="1"/>
  <c r="C200" i="3" s="1"/>
  <c r="F560" i="3" a="1"/>
  <c r="F560" i="3" s="1"/>
  <c r="D560" i="3" s="1"/>
  <c r="C560" i="3" s="1"/>
  <c r="F632" i="3" a="1"/>
  <c r="F632" i="3" s="1"/>
  <c r="D632" i="3" s="1"/>
  <c r="C632" i="3" s="1"/>
  <c r="F318" i="3" a="1"/>
  <c r="F318" i="3" s="1"/>
  <c r="D318" i="3" s="1"/>
  <c r="C318" i="3" s="1"/>
  <c r="F379" i="3" a="1"/>
  <c r="F379" i="3" s="1"/>
  <c r="D379" i="3" s="1"/>
  <c r="C379" i="3" s="1"/>
  <c r="F403" i="3" a="1"/>
  <c r="F403" i="3" s="1"/>
  <c r="D403" i="3" s="1"/>
  <c r="C403" i="3" s="1"/>
  <c r="F32" i="3" a="1"/>
  <c r="F32" i="3" s="1"/>
  <c r="D32" i="3" s="1"/>
  <c r="C32" i="3" s="1"/>
  <c r="F536" i="3" a="1"/>
  <c r="F536" i="3" s="1"/>
  <c r="D536" i="3" s="1"/>
  <c r="C536" i="3" s="1"/>
  <c r="F47" i="3" a="1"/>
  <c r="F47" i="3" s="1"/>
  <c r="D47" i="3" s="1"/>
  <c r="C47" i="3" s="1"/>
  <c r="F191" i="3" a="1"/>
  <c r="F191" i="3" s="1"/>
  <c r="D191" i="3" s="1"/>
  <c r="C191" i="3" s="1"/>
  <c r="F69" i="3" a="1"/>
  <c r="F69" i="3" s="1"/>
  <c r="D69" i="3" s="1"/>
  <c r="C69" i="3" s="1"/>
  <c r="F129" i="3" a="1"/>
  <c r="F129" i="3" s="1"/>
  <c r="D129" i="3" s="1"/>
  <c r="C129" i="3" s="1"/>
  <c r="F154" i="3" a="1"/>
  <c r="F154" i="3" s="1"/>
  <c r="D154" i="3" s="1"/>
  <c r="C154" i="3" s="1"/>
  <c r="F213" i="3" a="1"/>
  <c r="F213" i="3" s="1"/>
  <c r="D213" i="3" s="1"/>
  <c r="C213" i="3" s="1"/>
  <c r="F442" i="3" a="1"/>
  <c r="F442" i="3" s="1"/>
  <c r="D442" i="3" s="1"/>
  <c r="C442" i="3" s="1"/>
  <c r="F525" i="3" a="1"/>
  <c r="F525" i="3" s="1"/>
  <c r="D525" i="3" s="1"/>
  <c r="C525" i="3" s="1"/>
  <c r="F633" i="3" a="1"/>
  <c r="F633" i="3" s="1"/>
  <c r="D633" i="3" s="1"/>
  <c r="C633" i="3" s="1"/>
  <c r="F34" i="3" a="1"/>
  <c r="F34" i="3" s="1"/>
  <c r="D34" i="3" s="1"/>
  <c r="C34" i="3" s="1"/>
  <c r="F315" i="3" a="1"/>
  <c r="F315" i="3" s="1"/>
  <c r="D315" i="3" s="1"/>
  <c r="C315" i="3" s="1"/>
  <c r="F351" i="3" a="1"/>
  <c r="F351" i="3" s="1"/>
  <c r="D351" i="3" s="1"/>
  <c r="C351" i="3" s="1"/>
  <c r="F394" i="3" a="1"/>
  <c r="F394" i="3" s="1"/>
  <c r="D394" i="3" s="1"/>
  <c r="C394" i="3" s="1"/>
  <c r="F567" i="3" a="1"/>
  <c r="F567" i="3" s="1"/>
  <c r="D567" i="3" s="1"/>
  <c r="C567" i="3" s="1"/>
  <c r="F639" i="3" a="1"/>
  <c r="F639" i="3" s="1"/>
  <c r="D639" i="3" s="1"/>
  <c r="C639" i="3" s="1"/>
  <c r="F549" i="3" a="1"/>
  <c r="F549" i="3" s="1"/>
  <c r="D549" i="3" s="1"/>
  <c r="C549" i="3" s="1"/>
  <c r="F628" i="3" a="1"/>
  <c r="F628" i="3" s="1"/>
  <c r="D628" i="3" s="1"/>
  <c r="C628" i="3" s="1"/>
  <c r="F305" i="3" a="1"/>
  <c r="F305" i="3" s="1"/>
  <c r="D305" i="3" s="1"/>
  <c r="C305" i="3" s="1"/>
  <c r="F377" i="3" a="1"/>
  <c r="F377" i="3" s="1"/>
  <c r="D377" i="3" s="1"/>
  <c r="C377" i="3" s="1"/>
  <c r="F449" i="3" a="1"/>
  <c r="F449" i="3" s="1"/>
  <c r="D449" i="3" s="1"/>
  <c r="C449" i="3" s="1"/>
  <c r="F400" i="3" a="1"/>
  <c r="F400" i="3" s="1"/>
  <c r="D400" i="3" s="1"/>
  <c r="C400" i="3" s="1"/>
  <c r="F580" i="3" a="1"/>
  <c r="F580" i="3" s="1"/>
  <c r="D580" i="3" s="1"/>
  <c r="C580" i="3" s="1"/>
  <c r="F366" i="3" a="1"/>
  <c r="F366" i="3" s="1"/>
  <c r="D366" i="3" s="1"/>
  <c r="C366" i="3" s="1"/>
  <c r="F223" i="3" a="1"/>
  <c r="F223" i="3" s="1"/>
  <c r="D223" i="3" s="1"/>
  <c r="C223" i="3" s="1"/>
  <c r="F288" i="3" a="1"/>
  <c r="F288" i="3" s="1"/>
  <c r="D288" i="3" s="1"/>
  <c r="C288" i="3" s="1"/>
  <c r="F620" i="3" a="1"/>
  <c r="F620" i="3" s="1"/>
  <c r="D620" i="3" s="1"/>
  <c r="C620" i="3" s="1"/>
  <c r="F175" i="3" a="1"/>
  <c r="F175" i="3" s="1"/>
  <c r="D175" i="3" s="1"/>
  <c r="C175" i="3" s="1"/>
  <c r="F10" i="3" a="1"/>
  <c r="F10" i="3" s="1"/>
  <c r="D10" i="3" s="1"/>
  <c r="C10" i="3" s="1"/>
  <c r="F237" i="3" a="1"/>
  <c r="F237" i="3" s="1"/>
  <c r="D237" i="3" s="1"/>
  <c r="C237" i="3" s="1"/>
  <c r="F514" i="3" a="1"/>
  <c r="F514" i="3" s="1"/>
  <c r="D514" i="3" s="1"/>
  <c r="C514" i="3" s="1"/>
  <c r="F561" i="3" a="1"/>
  <c r="F561" i="3" s="1"/>
  <c r="D561" i="3" s="1"/>
  <c r="C561" i="3" s="1"/>
  <c r="F586" i="3" a="1"/>
  <c r="F586" i="3" s="1"/>
  <c r="D586" i="3" s="1"/>
  <c r="C586" i="3" s="1"/>
  <c r="F622" i="3" a="1"/>
  <c r="F622" i="3" s="1"/>
  <c r="D622" i="3" s="1"/>
  <c r="C622" i="3" s="1"/>
  <c r="F106" i="3" a="1"/>
  <c r="F106" i="3" s="1"/>
  <c r="D106" i="3" s="1"/>
  <c r="C106" i="3" s="1"/>
  <c r="F135" i="3" a="1"/>
  <c r="F135" i="3" s="1"/>
  <c r="D135" i="3" s="1"/>
  <c r="C135" i="3" s="1"/>
  <c r="F171" i="3" a="1"/>
  <c r="F171" i="3" s="1"/>
  <c r="D171" i="3" s="1"/>
  <c r="C171" i="3" s="1"/>
  <c r="F214" i="3" a="1"/>
  <c r="F214" i="3" s="1"/>
  <c r="D214" i="3" s="1"/>
  <c r="C214" i="3" s="1"/>
  <c r="F243" i="3" a="1"/>
  <c r="F243" i="3" s="1"/>
  <c r="D243" i="3" s="1"/>
  <c r="C243" i="3" s="1"/>
  <c r="F286" i="3" a="1"/>
  <c r="F286" i="3" s="1"/>
  <c r="D286" i="3" s="1"/>
  <c r="C286" i="3" s="1"/>
  <c r="F322" i="3" a="1"/>
  <c r="F322" i="3" s="1"/>
  <c r="D322" i="3" s="1"/>
  <c r="C322" i="3" s="1"/>
  <c r="F358" i="3" a="1"/>
  <c r="F358" i="3" s="1"/>
  <c r="D358" i="3" s="1"/>
  <c r="C358" i="3" s="1"/>
  <c r="F387" i="3" a="1"/>
  <c r="F387" i="3" s="1"/>
  <c r="D387" i="3" s="1"/>
  <c r="C387" i="3" s="1"/>
  <c r="F423" i="3" a="1"/>
  <c r="F423" i="3" s="1"/>
  <c r="D423" i="3" s="1"/>
  <c r="C423" i="3" s="1"/>
  <c r="F502" i="3" a="1"/>
  <c r="F502" i="3" s="1"/>
  <c r="D502" i="3" s="1"/>
  <c r="C502" i="3" s="1"/>
  <c r="F538" i="3" a="1"/>
  <c r="F538" i="3" s="1"/>
  <c r="D538" i="3" s="1"/>
  <c r="C538" i="3" s="1"/>
  <c r="F574" i="3" a="1"/>
  <c r="F574" i="3" s="1"/>
  <c r="D574" i="3" s="1"/>
  <c r="C574" i="3" s="1"/>
  <c r="F603" i="3" a="1"/>
  <c r="F603" i="3" s="1"/>
  <c r="D603" i="3" s="1"/>
  <c r="C603" i="3" s="1"/>
  <c r="F23" i="3" a="1"/>
  <c r="F23" i="3" s="1"/>
  <c r="D23" i="3" s="1"/>
  <c r="C23" i="3" s="1"/>
  <c r="F35" i="3" a="1"/>
  <c r="F35" i="3" s="1"/>
  <c r="D35" i="3" s="1"/>
  <c r="C35" i="3" s="1"/>
  <c r="F59" i="3" a="1"/>
  <c r="F59" i="3" s="1"/>
  <c r="D59" i="3" s="1"/>
  <c r="C59" i="3" s="1"/>
  <c r="F71" i="3" a="1"/>
  <c r="F71" i="3" s="1"/>
  <c r="D71" i="3" s="1"/>
  <c r="C71" i="3" s="1"/>
  <c r="F95" i="3" a="1"/>
  <c r="F95" i="3" s="1"/>
  <c r="D95" i="3" s="1"/>
  <c r="C95" i="3" s="1"/>
  <c r="F107" i="3" a="1"/>
  <c r="F107" i="3" s="1"/>
  <c r="D107" i="3" s="1"/>
  <c r="C107" i="3" s="1"/>
  <c r="F131" i="3" a="1"/>
  <c r="F131" i="3" s="1"/>
  <c r="D131" i="3" s="1"/>
  <c r="C131" i="3" s="1"/>
  <c r="F143" i="3" a="1"/>
  <c r="F143" i="3" s="1"/>
  <c r="D143" i="3" s="1"/>
  <c r="C143" i="3" s="1"/>
  <c r="F167" i="3" a="1"/>
  <c r="F167" i="3" s="1"/>
  <c r="D167" i="3" s="1"/>
  <c r="C167" i="3" s="1"/>
  <c r="F179" i="3" a="1"/>
  <c r="F179" i="3" s="1"/>
  <c r="D179" i="3" s="1"/>
  <c r="C179" i="3" s="1"/>
  <c r="F203" i="3" a="1"/>
  <c r="F203" i="3" s="1"/>
  <c r="D203" i="3" s="1"/>
  <c r="C203" i="3" s="1"/>
  <c r="F215" i="3" a="1"/>
  <c r="F215" i="3" s="1"/>
  <c r="D215" i="3" s="1"/>
  <c r="C215" i="3" s="1"/>
  <c r="F239" i="3" a="1"/>
  <c r="F239" i="3" s="1"/>
  <c r="D239" i="3" s="1"/>
  <c r="C239" i="3" s="1"/>
  <c r="F251" i="3" a="1"/>
  <c r="F251" i="3" s="1"/>
  <c r="D251" i="3" s="1"/>
  <c r="C251" i="3" s="1"/>
  <c r="F275" i="3" a="1"/>
  <c r="F275" i="3" s="1"/>
  <c r="D275" i="3" s="1"/>
  <c r="C275" i="3" s="1"/>
  <c r="F287" i="3" a="1"/>
  <c r="F287" i="3" s="1"/>
  <c r="D287" i="3" s="1"/>
  <c r="C287" i="3" s="1"/>
  <c r="F311" i="3" a="1"/>
  <c r="F311" i="3" s="1"/>
  <c r="D311" i="3" s="1"/>
  <c r="C311" i="3" s="1"/>
  <c r="F323" i="3" a="1"/>
  <c r="F323" i="3" s="1"/>
  <c r="D323" i="3" s="1"/>
  <c r="C323" i="3" s="1"/>
  <c r="F347" i="3" a="1"/>
  <c r="F347" i="3" s="1"/>
  <c r="D347" i="3" s="1"/>
  <c r="C347" i="3" s="1"/>
  <c r="F359" i="3" a="1"/>
  <c r="F359" i="3" s="1"/>
  <c r="D359" i="3" s="1"/>
  <c r="C359" i="3" s="1"/>
  <c r="F383" i="3" a="1"/>
  <c r="F383" i="3" s="1"/>
  <c r="D383" i="3" s="1"/>
  <c r="C383" i="3" s="1"/>
  <c r="F395" i="3" a="1"/>
  <c r="F395" i="3" s="1"/>
  <c r="D395" i="3" s="1"/>
  <c r="C395" i="3" s="1"/>
  <c r="F419" i="3" a="1"/>
  <c r="F419" i="3" s="1"/>
  <c r="D419" i="3" s="1"/>
  <c r="C419" i="3" s="1"/>
  <c r="F431" i="3" a="1"/>
  <c r="F431" i="3" s="1"/>
  <c r="D431" i="3" s="1"/>
  <c r="C431" i="3" s="1"/>
  <c r="F455" i="3" a="1"/>
  <c r="F455" i="3" s="1"/>
  <c r="D455" i="3" s="1"/>
  <c r="C455" i="3" s="1"/>
  <c r="F467" i="3" a="1"/>
  <c r="F467" i="3" s="1"/>
  <c r="D467" i="3" s="1"/>
  <c r="C467" i="3" s="1"/>
  <c r="F491" i="3" a="1"/>
  <c r="F491" i="3" s="1"/>
  <c r="D491" i="3" s="1"/>
  <c r="C491" i="3" s="1"/>
  <c r="F527" i="3" a="1"/>
  <c r="F527" i="3" s="1"/>
  <c r="D527" i="3" s="1"/>
  <c r="C527" i="3" s="1"/>
  <c r="F539" i="3" a="1"/>
  <c r="F539" i="3" s="1"/>
  <c r="D539" i="3" s="1"/>
  <c r="C539" i="3" s="1"/>
  <c r="F563" i="3" a="1"/>
  <c r="F563" i="3" s="1"/>
  <c r="D563" i="3" s="1"/>
  <c r="C563" i="3" s="1"/>
  <c r="F575" i="3" a="1"/>
  <c r="F575" i="3" s="1"/>
  <c r="D575" i="3" s="1"/>
  <c r="C575" i="3" s="1"/>
  <c r="F599" i="3" a="1"/>
  <c r="F599" i="3" s="1"/>
  <c r="D599" i="3" s="1"/>
  <c r="C599" i="3" s="1"/>
  <c r="F611" i="3" a="1"/>
  <c r="F611" i="3" s="1"/>
  <c r="D611" i="3" s="1"/>
  <c r="C611" i="3" s="1"/>
  <c r="F635" i="3" a="1"/>
  <c r="F635" i="3" s="1"/>
  <c r="D635" i="3" s="1"/>
  <c r="C635" i="3" s="1"/>
  <c r="F647" i="3" a="1"/>
  <c r="F647" i="3" s="1"/>
  <c r="D647" i="3" s="1"/>
  <c r="C647" i="3" s="1"/>
  <c r="F208" i="3" a="1"/>
  <c r="F208" i="3" s="1"/>
  <c r="D208" i="3" s="1"/>
  <c r="C208" i="3" s="1"/>
  <c r="F621" i="3" a="1"/>
  <c r="F621" i="3" s="1"/>
  <c r="D621" i="3" s="1"/>
  <c r="C621" i="3" s="1"/>
  <c r="F341" i="3" a="1"/>
  <c r="F341" i="3" s="1"/>
  <c r="D341" i="3" s="1"/>
  <c r="C341" i="3" s="1"/>
  <c r="F557" i="3" a="1"/>
  <c r="F557" i="3" s="1"/>
  <c r="D557" i="3" s="1"/>
  <c r="C557" i="3" s="1"/>
  <c r="F436" i="3" a="1"/>
  <c r="F436" i="3" s="1"/>
  <c r="D436" i="3" s="1"/>
  <c r="C436" i="3" s="1"/>
  <c r="F596" i="3" a="1"/>
  <c r="F596" i="3" s="1"/>
  <c r="D596" i="3" s="1"/>
  <c r="C596" i="3" s="1"/>
  <c r="F102" i="3" a="1"/>
  <c r="F102" i="3" s="1"/>
  <c r="D102" i="3" s="1"/>
  <c r="C102" i="3" s="1"/>
  <c r="F186" i="3" a="1"/>
  <c r="F186" i="3" s="1"/>
  <c r="D186" i="3" s="1"/>
  <c r="C186" i="3" s="1"/>
  <c r="F307" i="3" a="1"/>
  <c r="F307" i="3" s="1"/>
  <c r="D307" i="3" s="1"/>
  <c r="C307" i="3" s="1"/>
  <c r="F487" i="3" a="1"/>
  <c r="F487" i="3" s="1"/>
  <c r="D487" i="3" s="1"/>
  <c r="C487" i="3" s="1"/>
  <c r="F295" i="3" a="1"/>
  <c r="F295" i="3" s="1"/>
  <c r="D295" i="3" s="1"/>
  <c r="C295" i="3" s="1"/>
  <c r="F612" i="3" a="1"/>
  <c r="F612" i="3" s="1"/>
  <c r="D612" i="3" s="1"/>
  <c r="C612" i="3" s="1"/>
  <c r="F212" i="3" a="1"/>
  <c r="F212" i="3" s="1"/>
  <c r="D212" i="3" s="1"/>
  <c r="C212" i="3" s="1"/>
  <c r="F512" i="3" a="1"/>
  <c r="F512" i="3" s="1"/>
  <c r="D512" i="3" s="1"/>
  <c r="C512" i="3" s="1"/>
  <c r="F551" i="3" a="1"/>
  <c r="F551" i="3" s="1"/>
  <c r="D551" i="3" s="1"/>
  <c r="C551" i="3" s="1"/>
  <c r="F21" i="3" a="1"/>
  <c r="F21" i="3" s="1"/>
  <c r="D21" i="3" s="1"/>
  <c r="C21" i="3" s="1"/>
  <c r="F33" i="3" a="1"/>
  <c r="F33" i="3" s="1"/>
  <c r="D33" i="3" s="1"/>
  <c r="C33" i="3" s="1"/>
  <c r="F105" i="3" a="1"/>
  <c r="F105" i="3" s="1"/>
  <c r="D105" i="3" s="1"/>
  <c r="C105" i="3" s="1"/>
  <c r="F190" i="3" a="1"/>
  <c r="F190" i="3" s="1"/>
  <c r="D190" i="3" s="1"/>
  <c r="C190" i="3" s="1"/>
  <c r="F345" i="3" a="1"/>
  <c r="F345" i="3" s="1"/>
  <c r="D345" i="3" s="1"/>
  <c r="C345" i="3" s="1"/>
  <c r="F453" i="3" a="1"/>
  <c r="F453" i="3" s="1"/>
  <c r="D453" i="3" s="1"/>
  <c r="C453" i="3" s="1"/>
  <c r="F478" i="3" a="1"/>
  <c r="F478" i="3" s="1"/>
  <c r="D478" i="3" s="1"/>
  <c r="C478" i="3" s="1"/>
  <c r="F573" i="3" a="1"/>
  <c r="F573" i="3" s="1"/>
  <c r="D573" i="3" s="1"/>
  <c r="C573" i="3" s="1"/>
  <c r="F27" i="3" a="1"/>
  <c r="F27" i="3" s="1"/>
  <c r="D27" i="3" s="1"/>
  <c r="C27" i="3" s="1"/>
  <c r="F63" i="3" a="1"/>
  <c r="F63" i="3" s="1"/>
  <c r="D63" i="3" s="1"/>
  <c r="C63" i="3" s="1"/>
  <c r="F99" i="3" a="1"/>
  <c r="F99" i="3" s="1"/>
  <c r="D99" i="3" s="1"/>
  <c r="C99" i="3" s="1"/>
  <c r="F142" i="3" a="1"/>
  <c r="F142" i="3" s="1"/>
  <c r="D142" i="3" s="1"/>
  <c r="C142" i="3" s="1"/>
  <c r="F178" i="3" a="1"/>
  <c r="F178" i="3" s="1"/>
  <c r="D178" i="3" s="1"/>
  <c r="C178" i="3" s="1"/>
  <c r="F207" i="3" a="1"/>
  <c r="F207" i="3" s="1"/>
  <c r="D207" i="3" s="1"/>
  <c r="C207" i="3" s="1"/>
  <c r="F430" i="3" a="1"/>
  <c r="F430" i="3" s="1"/>
  <c r="D430" i="3" s="1"/>
  <c r="C430" i="3" s="1"/>
  <c r="F459" i="3" a="1"/>
  <c r="F459" i="3" s="1"/>
  <c r="D459" i="3" s="1"/>
  <c r="C459" i="3" s="1"/>
  <c r="F495" i="3" a="1"/>
  <c r="F495" i="3" s="1"/>
  <c r="D495" i="3" s="1"/>
  <c r="C495" i="3" s="1"/>
  <c r="F531" i="3" a="1"/>
  <c r="F531" i="3" s="1"/>
  <c r="D531" i="3" s="1"/>
  <c r="C531" i="3" s="1"/>
  <c r="F610" i="3" a="1"/>
  <c r="F610" i="3" s="1"/>
  <c r="D610" i="3" s="1"/>
  <c r="C610" i="3" s="1"/>
  <c r="F646" i="3" a="1"/>
  <c r="F646" i="3" s="1"/>
  <c r="D646" i="3" s="1"/>
  <c r="C646" i="3" s="1"/>
  <c r="F38" i="3" a="1"/>
  <c r="F38" i="3" s="1"/>
  <c r="D38" i="3" s="1"/>
  <c r="C38" i="3" s="1"/>
  <c r="F58" i="3" a="1"/>
  <c r="F58" i="3" s="1"/>
  <c r="D58" i="3" s="1"/>
  <c r="C58" i="3" s="1"/>
  <c r="F74" i="3" a="1"/>
  <c r="F74" i="3" s="1"/>
  <c r="D74" i="3" s="1"/>
  <c r="C74" i="3" s="1"/>
  <c r="F94" i="3" a="1"/>
  <c r="F94" i="3" s="1"/>
  <c r="D94" i="3" s="1"/>
  <c r="C94" i="3" s="1"/>
  <c r="F166" i="3" a="1"/>
  <c r="F166" i="3" s="1"/>
  <c r="D166" i="3" s="1"/>
  <c r="C166" i="3" s="1"/>
  <c r="F182" i="3" a="1"/>
  <c r="F182" i="3" s="1"/>
  <c r="D182" i="3" s="1"/>
  <c r="C182" i="3" s="1"/>
  <c r="F202" i="3" a="1"/>
  <c r="F202" i="3" s="1"/>
  <c r="D202" i="3" s="1"/>
  <c r="C202" i="3" s="1"/>
  <c r="F218" i="3" a="1"/>
  <c r="F218" i="3" s="1"/>
  <c r="D218" i="3" s="1"/>
  <c r="C218" i="3" s="1"/>
  <c r="F254" i="3" a="1"/>
  <c r="F254" i="3" s="1"/>
  <c r="D254" i="3" s="1"/>
  <c r="C254" i="3" s="1"/>
  <c r="F274" i="3" a="1"/>
  <c r="F274" i="3" s="1"/>
  <c r="D274" i="3" s="1"/>
  <c r="C274" i="3" s="1"/>
  <c r="F290" i="3" a="1"/>
  <c r="F290" i="3" s="1"/>
  <c r="D290" i="3" s="1"/>
  <c r="C290" i="3" s="1"/>
  <c r="F326" i="3" a="1"/>
  <c r="F326" i="3" s="1"/>
  <c r="D326" i="3" s="1"/>
  <c r="C326" i="3" s="1"/>
  <c r="F346" i="3" a="1"/>
  <c r="F346" i="3" s="1"/>
  <c r="D346" i="3" s="1"/>
  <c r="C346" i="3" s="1"/>
  <c r="F362" i="3" a="1"/>
  <c r="F362" i="3" s="1"/>
  <c r="D362" i="3" s="1"/>
  <c r="C362" i="3" s="1"/>
  <c r="F418" i="3" a="1"/>
  <c r="F418" i="3" s="1"/>
  <c r="D418" i="3" s="1"/>
  <c r="C418" i="3" s="1"/>
  <c r="F434" i="3" a="1"/>
  <c r="F434" i="3" s="1"/>
  <c r="D434" i="3" s="1"/>
  <c r="C434" i="3" s="1"/>
  <c r="F490" i="3" a="1"/>
  <c r="F490" i="3" s="1"/>
  <c r="D490" i="3" s="1"/>
  <c r="C490" i="3" s="1"/>
  <c r="F506" i="3" a="1"/>
  <c r="F506" i="3" s="1"/>
  <c r="D506" i="3" s="1"/>
  <c r="C506" i="3" s="1"/>
  <c r="F526" i="3" a="1"/>
  <c r="F526" i="3" s="1"/>
  <c r="D526" i="3" s="1"/>
  <c r="C526" i="3" s="1"/>
  <c r="F578" i="3" a="1"/>
  <c r="F578" i="3" s="1"/>
  <c r="D578" i="3" s="1"/>
  <c r="C578" i="3" s="1"/>
  <c r="F598" i="3" a="1"/>
  <c r="F598" i="3" s="1"/>
  <c r="D598" i="3" s="1"/>
  <c r="C598" i="3" s="1"/>
  <c r="F614" i="3" a="1"/>
  <c r="F614" i="3" s="1"/>
  <c r="D614" i="3" s="1"/>
  <c r="C614" i="3" s="1"/>
  <c r="F556" i="3" a="1"/>
  <c r="F556" i="3" s="1"/>
  <c r="D556" i="3" s="1"/>
  <c r="C556" i="3" s="1"/>
  <c r="F112" i="3" a="1"/>
  <c r="F112" i="3" s="1"/>
  <c r="D112" i="3" s="1"/>
  <c r="C112" i="3" s="1"/>
  <c r="F416" i="3" a="1"/>
  <c r="F416" i="3" s="1"/>
  <c r="D416" i="3" s="1"/>
  <c r="C416" i="3" s="1"/>
  <c r="F488" i="3" a="1"/>
  <c r="F488" i="3" s="1"/>
  <c r="D488" i="3" s="1"/>
  <c r="C488" i="3" s="1"/>
  <c r="F282" i="3" a="1"/>
  <c r="F282" i="3" s="1"/>
  <c r="D282" i="3" s="1"/>
  <c r="C282" i="3" s="1"/>
  <c r="F474" i="3" a="1"/>
  <c r="F474" i="3" s="1"/>
  <c r="D474" i="3" s="1"/>
  <c r="C474" i="3" s="1"/>
  <c r="F216" i="3" a="1"/>
  <c r="F216" i="3" s="1"/>
  <c r="D216" i="3" s="1"/>
  <c r="C216" i="3" s="1"/>
  <c r="F432" i="3" a="1"/>
  <c r="F432" i="3" s="1"/>
  <c r="D432" i="3" s="1"/>
  <c r="C432" i="3" s="1"/>
  <c r="F475" i="3" a="1"/>
  <c r="F475" i="3" s="1"/>
  <c r="D475" i="3" s="1"/>
  <c r="C475" i="3" s="1"/>
  <c r="F224" i="3" a="1"/>
  <c r="F224" i="3" s="1"/>
  <c r="D224" i="3" s="1"/>
  <c r="C224" i="3" s="1"/>
  <c r="F168" i="3" a="1"/>
  <c r="F168" i="3" s="1"/>
  <c r="D168" i="3" s="1"/>
  <c r="C168" i="3" s="1"/>
  <c r="F228" i="3" a="1"/>
  <c r="F228" i="3" s="1"/>
  <c r="D228" i="3" s="1"/>
  <c r="C228" i="3" s="1"/>
  <c r="F264" i="3" a="1"/>
  <c r="F264" i="3" s="1"/>
  <c r="D264" i="3" s="1"/>
  <c r="C264" i="3" s="1"/>
  <c r="F289" i="3" a="1"/>
  <c r="F289" i="3" s="1"/>
  <c r="D289" i="3" s="1"/>
  <c r="C289" i="3" s="1"/>
  <c r="F492" i="3" a="1"/>
  <c r="F492" i="3" s="1"/>
  <c r="D492" i="3" s="1"/>
  <c r="C492" i="3" s="1"/>
  <c r="F528" i="3" a="1"/>
  <c r="F528" i="3" s="1"/>
  <c r="D528" i="3" s="1"/>
  <c r="C528" i="3" s="1"/>
  <c r="F564" i="3" a="1"/>
  <c r="F564" i="3" s="1"/>
  <c r="D564" i="3" s="1"/>
  <c r="C564" i="3" s="1"/>
  <c r="F588" i="3" a="1"/>
  <c r="F588" i="3" s="1"/>
  <c r="D588" i="3" s="1"/>
  <c r="C588" i="3" s="1"/>
  <c r="F636" i="3" a="1"/>
  <c r="F636" i="3" s="1"/>
  <c r="D636" i="3" s="1"/>
  <c r="C636" i="3" s="1"/>
  <c r="F399" i="3" a="1"/>
  <c r="F399" i="3" s="1"/>
  <c r="D399" i="3" s="1"/>
  <c r="C399" i="3" s="1"/>
  <c r="F585" i="3" a="1"/>
  <c r="F585" i="3" s="1"/>
  <c r="D585" i="3" s="1"/>
  <c r="C585" i="3" s="1"/>
  <c r="F125" i="3" a="1"/>
  <c r="F125" i="3" s="1"/>
  <c r="D125" i="3" s="1"/>
  <c r="C125" i="3" s="1"/>
  <c r="F365" i="3" a="1"/>
  <c r="F365" i="3" s="1"/>
  <c r="D365" i="3" s="1"/>
  <c r="C365" i="3" s="1"/>
  <c r="F509" i="3" a="1"/>
  <c r="F509" i="3" s="1"/>
  <c r="D509" i="3" s="1"/>
  <c r="C509" i="3" s="1"/>
  <c r="F220" i="3" a="1"/>
  <c r="F220" i="3" s="1"/>
  <c r="D220" i="3" s="1"/>
  <c r="C220" i="3" s="1"/>
  <c r="F344" i="3" a="1"/>
  <c r="F344" i="3" s="1"/>
  <c r="D344" i="3" s="1"/>
  <c r="C344" i="3" s="1"/>
  <c r="F616" i="3" a="1"/>
  <c r="F616" i="3" s="1"/>
  <c r="D616" i="3" s="1"/>
  <c r="C616" i="3" s="1"/>
  <c r="F91" i="3" a="1"/>
  <c r="F91" i="3" s="1"/>
  <c r="D91" i="3" s="1"/>
  <c r="C91" i="3" s="1"/>
  <c r="F174" i="3" a="1"/>
  <c r="F174" i="3" s="1"/>
  <c r="D174" i="3" s="1"/>
  <c r="C174" i="3" s="1"/>
  <c r="F570" i="3" a="1"/>
  <c r="F570" i="3" s="1"/>
  <c r="D570" i="3" s="1"/>
  <c r="C570" i="3" s="1"/>
  <c r="F43" i="3" a="1"/>
  <c r="F43" i="3" s="1"/>
  <c r="D43" i="3" s="1"/>
  <c r="C43" i="3" s="1"/>
  <c r="F24" i="3" a="1"/>
  <c r="F24" i="3" s="1"/>
  <c r="D24" i="3" s="1"/>
  <c r="C24" i="3" s="1"/>
  <c r="F73" i="3" a="1"/>
  <c r="F73" i="3" s="1"/>
  <c r="D73" i="3" s="1"/>
  <c r="C73" i="3" s="1"/>
  <c r="F96" i="3" a="1"/>
  <c r="F96" i="3" s="1"/>
  <c r="D96" i="3" s="1"/>
  <c r="C96" i="3" s="1"/>
  <c r="F156" i="3" a="1"/>
  <c r="F156" i="3" s="1"/>
  <c r="D156" i="3" s="1"/>
  <c r="C156" i="3" s="1"/>
  <c r="F276" i="3" a="1"/>
  <c r="F276" i="3" s="1"/>
  <c r="D276" i="3" s="1"/>
  <c r="C276" i="3" s="1"/>
  <c r="F312" i="3" a="1"/>
  <c r="F312" i="3" s="1"/>
  <c r="D312" i="3" s="1"/>
  <c r="C312" i="3" s="1"/>
  <c r="F325" i="3" a="1"/>
  <c r="F325" i="3" s="1"/>
  <c r="D325" i="3" s="1"/>
  <c r="C325" i="3" s="1"/>
  <c r="F348" i="3" a="1"/>
  <c r="F348" i="3" s="1"/>
  <c r="D348" i="3" s="1"/>
  <c r="C348" i="3" s="1"/>
  <c r="F384" i="3" a="1"/>
  <c r="F384" i="3" s="1"/>
  <c r="D384" i="3" s="1"/>
  <c r="C384" i="3" s="1"/>
  <c r="F408" i="3" a="1"/>
  <c r="F408" i="3" s="1"/>
  <c r="D408" i="3" s="1"/>
  <c r="C408" i="3" s="1"/>
  <c r="F433" i="3" a="1"/>
  <c r="F433" i="3" s="1"/>
  <c r="D433" i="3" s="1"/>
  <c r="C433" i="3" s="1"/>
  <c r="F469" i="3" a="1"/>
  <c r="F469" i="3" s="1"/>
  <c r="D469" i="3" s="1"/>
  <c r="C469" i="3" s="1"/>
  <c r="F480" i="3" a="1"/>
  <c r="F480" i="3" s="1"/>
  <c r="D480" i="3" s="1"/>
  <c r="C480" i="3" s="1"/>
  <c r="F505" i="3" a="1"/>
  <c r="F505" i="3" s="1"/>
  <c r="D505" i="3" s="1"/>
  <c r="C505" i="3" s="1"/>
  <c r="F541" i="3" a="1"/>
  <c r="F541" i="3" s="1"/>
  <c r="D541" i="3" s="1"/>
  <c r="C541" i="3" s="1"/>
  <c r="F577" i="3" a="1"/>
  <c r="F577" i="3" s="1"/>
  <c r="D577" i="3" s="1"/>
  <c r="C577" i="3" s="1"/>
  <c r="F613" i="3" a="1"/>
  <c r="F613" i="3" s="1"/>
  <c r="D613" i="3" s="1"/>
  <c r="C613" i="3" s="1"/>
  <c r="F270" i="3" a="1"/>
  <c r="F270" i="3" s="1"/>
  <c r="D270" i="3" s="1"/>
  <c r="C270" i="3" s="1"/>
  <c r="F277" i="3" a="1"/>
  <c r="F277" i="3" s="1"/>
  <c r="D277" i="3" s="1"/>
  <c r="C277" i="3" s="1"/>
  <c r="F349" i="3" a="1"/>
  <c r="F349" i="3" s="1"/>
  <c r="D349" i="3" s="1"/>
  <c r="C349" i="3" s="1"/>
  <c r="F378" i="3" a="1"/>
  <c r="F378" i="3" s="1"/>
  <c r="D378" i="3" s="1"/>
  <c r="C378" i="3" s="1"/>
  <c r="F414" i="3" a="1"/>
  <c r="F414" i="3" s="1"/>
  <c r="D414" i="3" s="1"/>
  <c r="C414" i="3" s="1"/>
  <c r="F421" i="3" a="1"/>
  <c r="F421" i="3" s="1"/>
  <c r="D421" i="3" s="1"/>
  <c r="C421" i="3" s="1"/>
  <c r="F450" i="3" a="1"/>
  <c r="F450" i="3" s="1"/>
  <c r="D450" i="3" s="1"/>
  <c r="C450" i="3" s="1"/>
  <c r="F457" i="3" a="1"/>
  <c r="F457" i="3" s="1"/>
  <c r="D457" i="3" s="1"/>
  <c r="C457" i="3" s="1"/>
  <c r="F257" i="3" a="1"/>
  <c r="F257" i="3" s="1"/>
  <c r="D257" i="3" s="1"/>
  <c r="C257" i="3" s="1"/>
  <c r="F256" i="3" a="1"/>
  <c r="F256" i="3" s="1"/>
  <c r="D256" i="3" s="1"/>
  <c r="C256" i="3" s="1"/>
  <c r="F114" i="3" a="1"/>
  <c r="F114" i="3" s="1"/>
  <c r="D114" i="3" s="1"/>
  <c r="C114" i="3" s="1"/>
  <c r="F294" i="3" a="1"/>
  <c r="F294" i="3" s="1"/>
  <c r="D294" i="3" s="1"/>
  <c r="C294" i="3" s="1"/>
  <c r="F619" i="3" a="1"/>
  <c r="F619" i="3" s="1"/>
  <c r="D619" i="3" s="1"/>
  <c r="C619" i="3" s="1"/>
  <c r="F12" i="3" a="1"/>
  <c r="F12" i="3" s="1"/>
  <c r="D12" i="3" s="1"/>
  <c r="C12" i="3" s="1"/>
  <c r="F37" i="3" a="1"/>
  <c r="F37" i="3" s="1"/>
  <c r="D37" i="3" s="1"/>
  <c r="C37" i="3" s="1"/>
  <c r="F84" i="3" a="1"/>
  <c r="F84" i="3" s="1"/>
  <c r="D84" i="3" s="1"/>
  <c r="C84" i="3" s="1"/>
  <c r="F217" i="3" a="1"/>
  <c r="F217" i="3" s="1"/>
  <c r="D217" i="3" s="1"/>
  <c r="C217" i="3" s="1"/>
  <c r="F253" i="3" a="1"/>
  <c r="F253" i="3" s="1"/>
  <c r="D253" i="3" s="1"/>
  <c r="C253" i="3" s="1"/>
  <c r="F372" i="3" a="1"/>
  <c r="F372" i="3" s="1"/>
  <c r="D372" i="3" s="1"/>
  <c r="C372" i="3" s="1"/>
  <c r="F397" i="3" a="1"/>
  <c r="F397" i="3" s="1"/>
  <c r="D397" i="3" s="1"/>
  <c r="C397" i="3" s="1"/>
  <c r="F420" i="3" a="1"/>
  <c r="F420" i="3" s="1"/>
  <c r="D420" i="3" s="1"/>
  <c r="C420" i="3" s="1"/>
  <c r="F456" i="3" a="1"/>
  <c r="F456" i="3" s="1"/>
  <c r="D456" i="3" s="1"/>
  <c r="C456" i="3" s="1"/>
  <c r="F552" i="3" a="1"/>
  <c r="F552" i="3" s="1"/>
  <c r="D552" i="3" s="1"/>
  <c r="C552" i="3" s="1"/>
  <c r="F624" i="3" a="1"/>
  <c r="F624" i="3" s="1"/>
  <c r="D624" i="3" s="1"/>
  <c r="C624" i="3" s="1"/>
  <c r="F14" i="3" a="1"/>
  <c r="F14" i="3" s="1"/>
  <c r="D14" i="3" s="1"/>
  <c r="C14" i="3" s="1"/>
  <c r="F62" i="3" a="1"/>
  <c r="F62" i="3" s="1"/>
  <c r="D62" i="3" s="1"/>
  <c r="C62" i="3" s="1"/>
  <c r="F230" i="3" a="1"/>
  <c r="F230" i="3" s="1"/>
  <c r="D230" i="3" s="1"/>
  <c r="C230" i="3" s="1"/>
  <c r="F410" i="3" a="1"/>
  <c r="F410" i="3" s="1"/>
  <c r="D410" i="3" s="1"/>
  <c r="C410" i="3" s="1"/>
  <c r="F458" i="3" a="1"/>
  <c r="F458" i="3" s="1"/>
  <c r="D458" i="3" s="1"/>
  <c r="C458" i="3" s="1"/>
  <c r="F15" i="3" a="1"/>
  <c r="F15" i="3" s="1"/>
  <c r="D15" i="3" s="1"/>
  <c r="C15" i="3" s="1"/>
  <c r="F591" i="3" a="1"/>
  <c r="F591" i="3" s="1"/>
  <c r="D591" i="3" s="1"/>
  <c r="C591" i="3" s="1"/>
  <c r="F592" i="3" a="1"/>
  <c r="F592" i="3" s="1"/>
  <c r="D592" i="3" s="1"/>
  <c r="C592" i="3" s="1"/>
  <c r="F77" i="3" a="1"/>
  <c r="F77" i="3" s="1"/>
  <c r="D77" i="3" s="1"/>
  <c r="C77" i="3" s="1"/>
  <c r="F149" i="3" a="1"/>
  <c r="F149" i="3" s="1"/>
  <c r="D149" i="3" s="1"/>
  <c r="C149" i="3" s="1"/>
  <c r="F127" i="3" a="1"/>
  <c r="F127" i="3" s="1"/>
  <c r="D127" i="3" s="1"/>
  <c r="C127" i="3" s="1"/>
  <c r="F510" i="3" a="1"/>
  <c r="F510" i="3" s="1"/>
  <c r="D510" i="3" s="1"/>
  <c r="C510" i="3" s="1"/>
  <c r="F559" i="3" a="1"/>
  <c r="F559" i="3" s="1"/>
  <c r="D559" i="3" s="1"/>
  <c r="C559" i="3" s="1"/>
  <c r="F36" i="3" a="1"/>
  <c r="F36" i="3" s="1"/>
  <c r="D36" i="3" s="1"/>
  <c r="C36" i="3" s="1"/>
  <c r="F108" i="3" a="1"/>
  <c r="F108" i="3" s="1"/>
  <c r="D108" i="3" s="1"/>
  <c r="C108" i="3" s="1"/>
  <c r="F13" i="3" a="1"/>
  <c r="F13" i="3" s="1"/>
  <c r="D13" i="3" s="1"/>
  <c r="C13" i="3" s="1"/>
  <c r="F29" i="3" a="1"/>
  <c r="F29" i="3" s="1"/>
  <c r="D29" i="3" s="1"/>
  <c r="C29" i="3" s="1"/>
  <c r="F49" i="3" a="1"/>
  <c r="F49" i="3" s="1"/>
  <c r="D49" i="3" s="1"/>
  <c r="C49" i="3" s="1"/>
  <c r="F137" i="3" a="1"/>
  <c r="F137" i="3" s="1"/>
  <c r="D137" i="3" s="1"/>
  <c r="C137" i="3" s="1"/>
  <c r="F301" i="3" a="1"/>
  <c r="F301" i="3" s="1"/>
  <c r="D301" i="3" s="1"/>
  <c r="C301" i="3" s="1"/>
  <c r="F353" i="3" a="1"/>
  <c r="F353" i="3" s="1"/>
  <c r="D353" i="3" s="1"/>
  <c r="C353" i="3" s="1"/>
  <c r="D150" i="3"/>
  <c r="C150" i="3" s="1"/>
  <c r="D343" i="3"/>
  <c r="C343" i="3" s="1"/>
  <c r="D534" i="3"/>
  <c r="C534" i="3" s="1"/>
  <c r="D80" i="3"/>
  <c r="C80" i="3" s="1"/>
  <c r="D138" i="3"/>
  <c r="C138" i="3" s="1"/>
  <c r="D330" i="3"/>
  <c r="C330" i="3" s="1"/>
  <c r="D523" i="3"/>
  <c r="C523" i="3" s="1"/>
  <c r="D72" i="3"/>
  <c r="C72" i="3" s="1"/>
  <c r="D252" i="3"/>
  <c r="C252" i="3" s="1"/>
  <c r="D259" i="3"/>
  <c r="C259" i="3" s="1"/>
  <c r="D439" i="3"/>
  <c r="C439" i="3" s="1"/>
  <c r="D648" i="3"/>
  <c r="C648" i="3" s="1"/>
  <c r="D89" i="3"/>
  <c r="C89" i="3" s="1"/>
  <c r="D293" i="3"/>
  <c r="C293" i="3" s="1"/>
  <c r="D329" i="3"/>
  <c r="C329" i="3" s="1"/>
  <c r="D473" i="3"/>
  <c r="C473" i="3" s="1"/>
  <c r="D485" i="3"/>
  <c r="C485" i="3" s="1"/>
  <c r="D521" i="3"/>
  <c r="C521" i="3" s="1"/>
  <c r="D76" i="3"/>
  <c r="C76" i="3" s="1"/>
  <c r="D92" i="3"/>
  <c r="C92" i="3" s="1"/>
  <c r="D148" i="3"/>
  <c r="C148" i="3" s="1"/>
  <c r="D164" i="3"/>
  <c r="C164" i="3" s="1"/>
  <c r="D184" i="3"/>
  <c r="C184" i="3" s="1"/>
  <c r="D292" i="3"/>
  <c r="C292" i="3" s="1"/>
  <c r="D328" i="3"/>
  <c r="C328" i="3" s="1"/>
  <c r="D364" i="3"/>
  <c r="C364" i="3" s="1"/>
  <c r="D380" i="3"/>
  <c r="C380" i="3" s="1"/>
  <c r="D452" i="3"/>
  <c r="C452" i="3" s="1"/>
  <c r="D44" i="3"/>
  <c r="C44" i="3" s="1"/>
  <c r="D54" i="3"/>
  <c r="C54" i="3" s="1"/>
  <c r="D133" i="3"/>
  <c r="C133" i="3" s="1"/>
  <c r="D198" i="3"/>
  <c r="C198" i="3" s="1"/>
  <c r="D241" i="3"/>
  <c r="C241" i="3" s="1"/>
  <c r="D313" i="3"/>
  <c r="C313" i="3" s="1"/>
  <c r="D9" i="3"/>
  <c r="C9" i="3" s="1"/>
  <c r="D16" i="3"/>
  <c r="C16" i="3" s="1"/>
  <c r="D45" i="3"/>
  <c r="C45" i="3" s="1"/>
  <c r="D52" i="3"/>
  <c r="C52" i="3" s="1"/>
  <c r="D81" i="3"/>
  <c r="C81" i="3" s="1"/>
  <c r="D117" i="3"/>
  <c r="C117" i="3" s="1"/>
  <c r="D124" i="3"/>
  <c r="C124" i="3" s="1"/>
  <c r="D160" i="3"/>
  <c r="C160" i="3" s="1"/>
  <c r="D189" i="3"/>
  <c r="C189" i="3" s="1"/>
  <c r="D232" i="3"/>
  <c r="C232" i="3" s="1"/>
  <c r="D261" i="3"/>
  <c r="C261" i="3" s="1"/>
  <c r="D268" i="3"/>
  <c r="C268" i="3" s="1"/>
  <c r="D297" i="3"/>
  <c r="C297" i="3" s="1"/>
  <c r="D333" i="3"/>
  <c r="C333" i="3" s="1"/>
  <c r="D376" i="3"/>
  <c r="C376" i="3" s="1"/>
  <c r="D405" i="3"/>
  <c r="C405" i="3" s="1"/>
  <c r="D412" i="3"/>
  <c r="C412" i="3" s="1"/>
  <c r="D448" i="3"/>
  <c r="C448" i="3" s="1"/>
  <c r="D477" i="3"/>
  <c r="C477" i="3" s="1"/>
  <c r="D484" i="3"/>
  <c r="C484" i="3" s="1"/>
  <c r="D513" i="3"/>
  <c r="C513" i="3" s="1"/>
  <c r="D269" i="3"/>
  <c r="C269" i="3" s="1"/>
  <c r="D498" i="3"/>
  <c r="C498" i="3" s="1"/>
  <c r="D128" i="3"/>
  <c r="C128" i="3" s="1"/>
  <c r="D336" i="3"/>
  <c r="C336" i="3" s="1"/>
  <c r="D342" i="3"/>
  <c r="C342" i="3" s="1"/>
  <c r="D522" i="3"/>
  <c r="C522" i="3" s="1"/>
  <c r="D18" i="3"/>
  <c r="C18" i="3" s="1"/>
  <c r="D61" i="3"/>
  <c r="C61" i="3" s="1"/>
  <c r="D97" i="3"/>
  <c r="C97" i="3" s="1"/>
  <c r="D385" i="3"/>
  <c r="C385" i="3" s="1"/>
  <c r="D565" i="3"/>
  <c r="C565" i="3" s="1"/>
  <c r="D594" i="3"/>
  <c r="C594" i="3" s="1"/>
  <c r="D630" i="3"/>
  <c r="C630" i="3" s="1"/>
  <c r="D637" i="3"/>
  <c r="C637" i="3" s="1"/>
  <c r="D486" i="3"/>
  <c r="C486" i="3" s="1"/>
  <c r="D558" i="3"/>
  <c r="C558" i="3" s="1"/>
  <c r="D25" i="3"/>
  <c r="C25" i="3" s="1"/>
  <c r="D126" i="3"/>
  <c r="C126" i="3" s="1"/>
  <c r="D162" i="3"/>
  <c r="C162" i="3" s="1"/>
  <c r="D205" i="3"/>
  <c r="C205" i="3" s="1"/>
  <c r="D306" i="3"/>
  <c r="C306" i="3" s="1"/>
  <c r="D493" i="3"/>
  <c r="C493" i="3" s="1"/>
  <c r="D601" i="3"/>
  <c r="C601" i="3" s="1"/>
  <c r="D26" i="3"/>
  <c r="C26" i="3" s="1"/>
  <c r="D50" i="3"/>
  <c r="C50" i="3" s="1"/>
  <c r="D86" i="3"/>
  <c r="C86" i="3" s="1"/>
  <c r="D98" i="3"/>
  <c r="C98" i="3" s="1"/>
  <c r="D122" i="3"/>
  <c r="C122" i="3" s="1"/>
  <c r="D134" i="3"/>
  <c r="C134" i="3" s="1"/>
  <c r="D158" i="3"/>
  <c r="C158" i="3" s="1"/>
  <c r="D194" i="3"/>
  <c r="C194" i="3" s="1"/>
  <c r="D206" i="3"/>
  <c r="C206" i="3" s="1"/>
  <c r="D242" i="3"/>
  <c r="C242" i="3" s="1"/>
  <c r="D266" i="3"/>
  <c r="C266" i="3" s="1"/>
  <c r="D278" i="3"/>
  <c r="C278" i="3" s="1"/>
  <c r="D314" i="3"/>
  <c r="C314" i="3" s="1"/>
  <c r="D338" i="3"/>
  <c r="C338" i="3" s="1"/>
  <c r="D350" i="3"/>
  <c r="C350" i="3" s="1"/>
  <c r="D374" i="3"/>
  <c r="C374" i="3" s="1"/>
  <c r="D386" i="3"/>
  <c r="C386" i="3" s="1"/>
  <c r="D422" i="3"/>
  <c r="C422" i="3" s="1"/>
  <c r="D446" i="3"/>
  <c r="C446" i="3" s="1"/>
  <c r="D494" i="3"/>
  <c r="C494" i="3" s="1"/>
  <c r="D518" i="3"/>
  <c r="C518" i="3" s="1"/>
  <c r="D530" i="3"/>
  <c r="C530" i="3" s="1"/>
  <c r="D554" i="3"/>
  <c r="C554" i="3" s="1"/>
  <c r="D566" i="3"/>
  <c r="C566" i="3" s="1"/>
  <c r="D590" i="3"/>
  <c r="C590" i="3" s="1"/>
  <c r="D602" i="3"/>
  <c r="C602" i="3" s="1"/>
  <c r="D638" i="3"/>
  <c r="C638" i="3" s="1"/>
  <c r="D101" i="3"/>
  <c r="C101" i="3" s="1"/>
  <c r="D121" i="3"/>
  <c r="C121" i="3" s="1"/>
  <c r="D173" i="3"/>
  <c r="C173" i="3" s="1"/>
  <c r="D193" i="3"/>
  <c r="C193" i="3" s="1"/>
  <c r="D245" i="3"/>
  <c r="C245" i="3" s="1"/>
  <c r="D265" i="3"/>
  <c r="C265" i="3" s="1"/>
  <c r="D317" i="3"/>
  <c r="C317" i="3" s="1"/>
  <c r="D337" i="3"/>
  <c r="C337" i="3" s="1"/>
  <c r="D373" i="3"/>
  <c r="C373" i="3" s="1"/>
  <c r="D389" i="3"/>
  <c r="C389" i="3" s="1"/>
  <c r="D481" i="3"/>
  <c r="C481" i="3" s="1"/>
  <c r="D517" i="3"/>
  <c r="C517" i="3" s="1"/>
  <c r="D553" i="3"/>
  <c r="C553" i="3" s="1"/>
  <c r="D589" i="3"/>
  <c r="C589" i="3" s="1"/>
  <c r="D605" i="3"/>
  <c r="C605" i="3" s="1"/>
  <c r="D625" i="3"/>
  <c r="C625" i="3" s="1"/>
  <c r="D641" i="3"/>
  <c r="C641" i="3" s="1"/>
  <c r="D75" i="3"/>
  <c r="C75" i="3" s="1"/>
  <c r="D87" i="3"/>
  <c r="C87" i="3" s="1"/>
  <c r="D100" i="3"/>
  <c r="C100" i="3" s="1"/>
  <c r="D111" i="3"/>
  <c r="C111" i="3" s="1"/>
  <c r="D123" i="3"/>
  <c r="C123" i="3" s="1"/>
  <c r="D147" i="3"/>
  <c r="C147" i="3" s="1"/>
  <c r="D159" i="3"/>
  <c r="C159" i="3" s="1"/>
  <c r="D267" i="3"/>
  <c r="C267" i="3" s="1"/>
  <c r="D280" i="3"/>
  <c r="C280" i="3" s="1"/>
  <c r="D291" i="3"/>
  <c r="C291" i="3" s="1"/>
  <c r="D303" i="3"/>
  <c r="C303" i="3" s="1"/>
  <c r="D316" i="3"/>
  <c r="C316" i="3" s="1"/>
  <c r="D339" i="3"/>
  <c r="C339" i="3" s="1"/>
  <c r="D352" i="3"/>
  <c r="C352" i="3" s="1"/>
  <c r="D460" i="3"/>
  <c r="C460" i="3" s="1"/>
  <c r="D471" i="3"/>
  <c r="C471" i="3" s="1"/>
  <c r="D483" i="3"/>
  <c r="C483" i="3" s="1"/>
  <c r="D496" i="3"/>
  <c r="C496" i="3" s="1"/>
  <c r="D507" i="3"/>
  <c r="C507" i="3" s="1"/>
  <c r="D532" i="3"/>
  <c r="C532" i="3" s="1"/>
  <c r="D543" i="3"/>
  <c r="C543" i="3" s="1"/>
  <c r="D170" i="3"/>
  <c r="C170" i="3" s="1"/>
  <c r="D302" i="3"/>
  <c r="C302" i="3" s="1"/>
  <c r="D461" i="3"/>
  <c r="C461" i="3" s="1"/>
  <c r="D225" i="3"/>
  <c r="C225" i="3" s="1"/>
  <c r="D304" i="3"/>
  <c r="C304" i="3" s="1"/>
  <c r="D340" i="3"/>
  <c r="C340" i="3" s="1"/>
  <c r="D369" i="3"/>
  <c r="C369" i="3" s="1"/>
  <c r="D520" i="3"/>
  <c r="C520" i="3" s="1"/>
  <c r="D41" i="3"/>
  <c r="C41" i="3" s="1"/>
  <c r="D221" i="3"/>
  <c r="C221" i="3" s="1"/>
  <c r="D233" i="3"/>
  <c r="C233" i="3" s="1"/>
  <c r="D413" i="3"/>
  <c r="C413" i="3" s="1"/>
  <c r="D617" i="3"/>
  <c r="C617" i="3" s="1"/>
  <c r="D20" i="3"/>
  <c r="C20" i="3" s="1"/>
  <c r="D272" i="3"/>
  <c r="C272" i="3" s="1"/>
  <c r="D544" i="3"/>
  <c r="C544" i="3" s="1"/>
  <c r="D30" i="3"/>
  <c r="C30" i="3" s="1"/>
  <c r="D42" i="3"/>
  <c r="C42" i="3" s="1"/>
  <c r="D222" i="3"/>
  <c r="C222" i="3" s="1"/>
  <c r="D235" i="3"/>
  <c r="C235" i="3" s="1"/>
  <c r="D415" i="3"/>
  <c r="C415" i="3" s="1"/>
  <c r="D426" i="3"/>
  <c r="C426" i="3" s="1"/>
  <c r="D606" i="3"/>
  <c r="C606" i="3" s="1"/>
  <c r="D618" i="3"/>
  <c r="C618" i="3" s="1"/>
  <c r="D151" i="3"/>
  <c r="C151" i="3" s="1"/>
  <c r="D540" i="3"/>
  <c r="C540" i="3" s="1"/>
  <c r="D499" i="3"/>
  <c r="C499" i="3" s="1"/>
  <c r="D141" i="3"/>
  <c r="C141" i="3" s="1"/>
  <c r="D201" i="3"/>
  <c r="C201" i="3" s="1"/>
  <c r="D273" i="3"/>
  <c r="C273" i="3" s="1"/>
  <c r="D321" i="3"/>
  <c r="C321" i="3" s="1"/>
  <c r="D370" i="3"/>
  <c r="C370" i="3" s="1"/>
  <c r="D393" i="3"/>
  <c r="C393" i="3" s="1"/>
  <c r="D465" i="3"/>
  <c r="C465" i="3" s="1"/>
  <c r="D537" i="3"/>
  <c r="C537" i="3" s="1"/>
  <c r="D550" i="3"/>
  <c r="C550" i="3" s="1"/>
  <c r="D597" i="3"/>
  <c r="C597" i="3" s="1"/>
  <c r="D645" i="3"/>
  <c r="C645" i="3" s="1"/>
  <c r="D70" i="3"/>
  <c r="C70" i="3" s="1"/>
  <c r="D279" i="3"/>
  <c r="C279" i="3" s="1"/>
  <c r="D466" i="3"/>
  <c r="C466" i="3" s="1"/>
  <c r="D503" i="3"/>
  <c r="C503" i="3" s="1"/>
  <c r="D130" i="3"/>
  <c r="C130" i="3" s="1"/>
  <c r="D454" i="3"/>
  <c r="C454" i="3" s="1"/>
  <c r="D650" i="3"/>
  <c r="C650" i="3" s="1"/>
  <c r="D60" i="3"/>
  <c r="C60" i="3" s="1"/>
  <c r="D109" i="3"/>
  <c r="C109" i="3" s="1"/>
  <c r="D120" i="3"/>
  <c r="C120" i="3" s="1"/>
  <c r="D132" i="3"/>
  <c r="C132" i="3" s="1"/>
  <c r="D145" i="3"/>
  <c r="C145" i="3" s="1"/>
  <c r="D181" i="3"/>
  <c r="C181" i="3" s="1"/>
  <c r="D192" i="3"/>
  <c r="C192" i="3" s="1"/>
  <c r="D240" i="3"/>
  <c r="C240" i="3" s="1"/>
  <c r="D300" i="3"/>
  <c r="C300" i="3" s="1"/>
  <c r="D361" i="3"/>
  <c r="C361" i="3" s="1"/>
  <c r="D5" i="3"/>
  <c r="C5" i="3" s="1"/>
  <c r="D56" i="3"/>
  <c r="C56" i="3" s="1"/>
  <c r="D210" i="3"/>
  <c r="C210" i="3" s="1"/>
  <c r="D153" i="3"/>
  <c r="C153" i="3" s="1"/>
  <c r="D53" i="3"/>
  <c r="C53" i="3" s="1"/>
  <c r="D437" i="3"/>
  <c r="C437" i="3" s="1"/>
  <c r="D508" i="3"/>
  <c r="C508" i="3" s="1"/>
  <c r="D199" i="3"/>
  <c r="C199" i="3" s="1"/>
  <c r="D581" i="3"/>
  <c r="C581" i="3" s="1"/>
  <c r="D629" i="3"/>
  <c r="C629" i="3" s="1"/>
  <c r="D40" i="3"/>
  <c r="C40" i="3" s="1"/>
  <c r="D524" i="3"/>
  <c r="C524" i="3" s="1"/>
  <c r="D6" i="3"/>
  <c r="C6" i="3" s="1"/>
  <c r="D593" i="3"/>
  <c r="C593" i="3" s="1"/>
  <c r="D4" i="3"/>
  <c r="C4" i="3" s="1"/>
  <c r="D236" i="3"/>
  <c r="C236" i="3" s="1"/>
  <c r="D308" i="3"/>
  <c r="C308" i="3" s="1"/>
  <c r="D19" i="3"/>
  <c r="C19" i="3" s="1"/>
  <c r="D66" i="3"/>
  <c r="C66" i="3" s="1"/>
  <c r="D17" i="3"/>
  <c r="C17" i="3" s="1"/>
  <c r="D78" i="3"/>
  <c r="C78" i="3" s="1"/>
  <c r="D197" i="3"/>
  <c r="C197" i="3" s="1"/>
  <c r="D401" i="3"/>
  <c r="C401" i="3" s="1"/>
  <c r="D55" i="3"/>
  <c r="C55" i="3" s="1"/>
  <c r="D409" i="3"/>
  <c r="C409" i="3" s="1"/>
  <c r="D445" i="3"/>
  <c r="C445" i="3" s="1"/>
  <c r="D626" i="3"/>
  <c r="C626" i="3" s="1"/>
  <c r="D65" i="3"/>
  <c r="C65" i="3" s="1"/>
  <c r="D85" i="3"/>
  <c r="C85" i="3" s="1"/>
  <c r="D157" i="3"/>
  <c r="C157" i="3" s="1"/>
  <c r="D209" i="3"/>
  <c r="C209" i="3" s="1"/>
  <c r="D229" i="3"/>
  <c r="C229" i="3" s="1"/>
  <c r="D281" i="3"/>
  <c r="C281" i="3" s="1"/>
  <c r="D248" i="3"/>
  <c r="C248" i="3" s="1"/>
  <c r="D284" i="3"/>
  <c r="C284" i="3" s="1"/>
  <c r="D296" i="3"/>
  <c r="C296" i="3" s="1"/>
  <c r="D320" i="3"/>
  <c r="C320" i="3" s="1"/>
  <c r="D356" i="3"/>
  <c r="C356" i="3" s="1"/>
  <c r="D368" i="3"/>
  <c r="C368" i="3" s="1"/>
  <c r="D392" i="3"/>
  <c r="C392" i="3" s="1"/>
  <c r="D404" i="3"/>
  <c r="C404" i="3" s="1"/>
  <c r="D428" i="3"/>
  <c r="C428" i="3" s="1"/>
  <c r="D440" i="3"/>
  <c r="C440" i="3" s="1"/>
  <c r="D464" i="3"/>
  <c r="C464" i="3" s="1"/>
  <c r="D476" i="3"/>
  <c r="C476" i="3" s="1"/>
  <c r="D500" i="3"/>
  <c r="C500" i="3" s="1"/>
  <c r="D548" i="3"/>
  <c r="C548" i="3" s="1"/>
  <c r="D572" i="3"/>
  <c r="C572" i="3" s="1"/>
  <c r="D584" i="3"/>
  <c r="C584" i="3" s="1"/>
  <c r="D608" i="3"/>
  <c r="C608" i="3" s="1"/>
  <c r="D11" i="3"/>
  <c r="C11" i="3" s="1"/>
  <c r="D31" i="3"/>
  <c r="C31" i="3" s="1"/>
  <c r="D67" i="3"/>
  <c r="C67" i="3" s="1"/>
  <c r="D83" i="3"/>
  <c r="C83" i="3" s="1"/>
  <c r="D103" i="3"/>
  <c r="C103" i="3" s="1"/>
  <c r="D119" i="3"/>
  <c r="C119" i="3" s="1"/>
  <c r="D139" i="3"/>
  <c r="C139" i="3" s="1"/>
  <c r="D155" i="3"/>
  <c r="C155" i="3" s="1"/>
  <c r="D227" i="3"/>
  <c r="C227" i="3" s="1"/>
  <c r="D247" i="3"/>
  <c r="C247" i="3" s="1"/>
  <c r="D263" i="3"/>
  <c r="C263" i="3" s="1"/>
  <c r="D283" i="3"/>
  <c r="C283" i="3" s="1"/>
  <c r="D299" i="3"/>
  <c r="C299" i="3" s="1"/>
  <c r="D319" i="3"/>
  <c r="C319" i="3" s="1"/>
  <c r="D335" i="3"/>
  <c r="C335" i="3" s="1"/>
  <c r="D355" i="3"/>
  <c r="C355" i="3" s="1"/>
  <c r="D371" i="3"/>
  <c r="C371" i="3" s="1"/>
  <c r="D391" i="3"/>
  <c r="C391" i="3" s="1"/>
  <c r="D407" i="3"/>
  <c r="C407" i="3" s="1"/>
  <c r="D427" i="3"/>
  <c r="C427" i="3" s="1"/>
  <c r="D443" i="3"/>
  <c r="C443" i="3" s="1"/>
  <c r="D463" i="3"/>
  <c r="C463" i="3" s="1"/>
  <c r="D479" i="3"/>
  <c r="C479" i="3" s="1"/>
  <c r="D515" i="3"/>
  <c r="C515" i="3" s="1"/>
  <c r="D535" i="3"/>
  <c r="C535" i="3" s="1"/>
  <c r="D571" i="3"/>
  <c r="C571" i="3" s="1"/>
  <c r="D587" i="3"/>
  <c r="C587" i="3" s="1"/>
  <c r="D607" i="3"/>
  <c r="C607" i="3" s="1"/>
  <c r="D623" i="3"/>
  <c r="C623" i="3" s="1"/>
  <c r="D643" i="3"/>
  <c r="C643" i="3" s="1"/>
  <c r="D246" i="3"/>
  <c r="C246" i="3" s="1"/>
  <c r="D258" i="3"/>
  <c r="C258" i="3" s="1"/>
  <c r="D271" i="3"/>
  <c r="C271" i="3" s="1"/>
  <c r="D390" i="3"/>
  <c r="C390" i="3" s="1"/>
  <c r="D402" i="3"/>
  <c r="C402" i="3" s="1"/>
  <c r="D438" i="3"/>
  <c r="C438" i="3" s="1"/>
  <c r="D451" i="3"/>
  <c r="C451" i="3" s="1"/>
  <c r="D462" i="3"/>
  <c r="C462" i="3" s="1"/>
  <c r="D582" i="3"/>
  <c r="C582" i="3" s="1"/>
  <c r="D595" i="3"/>
  <c r="C595" i="3" s="1"/>
  <c r="D631" i="3"/>
  <c r="C631" i="3" s="1"/>
  <c r="D642" i="3"/>
  <c r="C642" i="3" s="1"/>
  <c r="D7" i="3"/>
  <c r="C7" i="3" s="1"/>
  <c r="D115" i="3"/>
  <c r="C115" i="3" s="1"/>
  <c r="D144" i="3"/>
  <c r="C144" i="3" s="1"/>
  <c r="D180" i="3"/>
  <c r="C180" i="3" s="1"/>
  <c r="D187" i="3"/>
  <c r="C187" i="3" s="1"/>
  <c r="D324" i="3"/>
  <c r="C324" i="3" s="1"/>
  <c r="D331" i="3"/>
  <c r="C331" i="3" s="1"/>
  <c r="D360" i="3"/>
  <c r="C360" i="3" s="1"/>
  <c r="D367" i="3"/>
  <c r="C367" i="3" s="1"/>
  <c r="D396" i="3"/>
  <c r="C396" i="3" s="1"/>
  <c r="D504" i="3"/>
  <c r="C504" i="3" s="1"/>
  <c r="D511" i="3"/>
  <c r="C511" i="3" s="1"/>
  <c r="D547" i="3"/>
  <c r="C547" i="3" s="1"/>
  <c r="D576" i="3"/>
  <c r="C576" i="3" s="1"/>
  <c r="D583" i="3"/>
  <c r="C583" i="3" s="1"/>
  <c r="D8" i="3"/>
  <c r="C8" i="3" s="1"/>
  <c r="D104" i="3"/>
  <c r="C104" i="3" s="1"/>
  <c r="D116" i="3"/>
  <c r="C116" i="3" s="1"/>
  <c r="D140" i="3"/>
  <c r="C140" i="3" s="1"/>
  <c r="D152" i="3"/>
  <c r="C152" i="3" s="1"/>
  <c r="D176" i="3"/>
  <c r="C176" i="3" s="1"/>
  <c r="D188" i="3"/>
  <c r="C188" i="3" s="1"/>
  <c r="D46" i="3"/>
  <c r="C46" i="3" s="1"/>
  <c r="D57" i="3"/>
  <c r="C57" i="3" s="1"/>
  <c r="D82" i="3"/>
  <c r="C82" i="3" s="1"/>
  <c r="D93" i="3"/>
  <c r="C93" i="3" s="1"/>
  <c r="D118" i="3"/>
  <c r="C118" i="3" s="1"/>
  <c r="D165" i="3"/>
  <c r="C165" i="3" s="1"/>
  <c r="D177" i="3"/>
  <c r="C177" i="3" s="1"/>
  <c r="D226" i="3"/>
  <c r="C226" i="3" s="1"/>
  <c r="D249" i="3"/>
  <c r="C249" i="3" s="1"/>
  <c r="D262" i="3"/>
  <c r="C262" i="3" s="1"/>
  <c r="D285" i="3"/>
  <c r="C285" i="3" s="1"/>
  <c r="D298" i="3"/>
  <c r="C298" i="3" s="1"/>
  <c r="D309" i="3"/>
  <c r="C309" i="3" s="1"/>
  <c r="D334" i="3"/>
  <c r="C334" i="3" s="1"/>
  <c r="D357" i="3"/>
  <c r="C357" i="3" s="1"/>
  <c r="D381" i="3"/>
  <c r="C381" i="3" s="1"/>
  <c r="D406" i="3"/>
  <c r="C406" i="3" s="1"/>
  <c r="D417" i="3"/>
  <c r="C417" i="3" s="1"/>
  <c r="D429" i="3"/>
  <c r="C429" i="3" s="1"/>
  <c r="D489" i="3"/>
  <c r="C489" i="3" s="1"/>
  <c r="D501" i="3"/>
  <c r="C501" i="3" s="1"/>
  <c r="D609" i="3"/>
  <c r="C609" i="3" s="1"/>
  <c r="D250" i="3"/>
  <c r="C250" i="3" s="1"/>
  <c r="D22" i="3"/>
  <c r="C22" i="3" s="1"/>
  <c r="D110" i="3"/>
  <c r="C110" i="3" s="1"/>
  <c r="D146" i="3"/>
  <c r="C146" i="3" s="1"/>
  <c r="D238" i="3"/>
  <c r="C238" i="3" s="1"/>
  <c r="D310" i="3"/>
  <c r="C310" i="3" s="1"/>
  <c r="D382" i="3"/>
  <c r="C382" i="3" s="1"/>
  <c r="D398" i="3"/>
  <c r="C398" i="3" s="1"/>
  <c r="D470" i="3"/>
  <c r="C470" i="3" s="1"/>
  <c r="D542" i="3"/>
  <c r="C542" i="3" s="1"/>
  <c r="D562" i="3"/>
  <c r="C562" i="3" s="1"/>
  <c r="D634" i="3"/>
  <c r="C634" i="3" s="1"/>
  <c r="D48" i="3"/>
  <c r="C48" i="3" s="1"/>
  <c r="D204" i="3"/>
  <c r="C204" i="3" s="1"/>
  <c r="D444" i="3"/>
  <c r="C444" i="3" s="1"/>
  <c r="D516" i="3"/>
  <c r="C516" i="3" s="1"/>
  <c r="D600" i="3"/>
  <c r="C600" i="3" s="1"/>
  <c r="D497" i="3"/>
  <c r="C497" i="3" s="1"/>
  <c r="D569" i="3"/>
  <c r="C569" i="3" s="1"/>
  <c r="D3" i="3"/>
  <c r="C3" i="3" s="1"/>
  <c r="D28" i="3"/>
  <c r="C28" i="3" s="1"/>
  <c r="D39" i="3"/>
  <c r="C39" i="3" s="1"/>
  <c r="D51" i="3"/>
  <c r="C51" i="3" s="1"/>
  <c r="D64" i="3"/>
  <c r="C64" i="3" s="1"/>
  <c r="D172" i="3"/>
  <c r="C172" i="3" s="1"/>
  <c r="D183" i="3"/>
  <c r="C183" i="3" s="1"/>
  <c r="D195" i="3"/>
  <c r="C195" i="3" s="1"/>
  <c r="D219" i="3"/>
  <c r="C219" i="3" s="1"/>
  <c r="D231" i="3"/>
  <c r="C231" i="3" s="1"/>
  <c r="D244" i="3"/>
  <c r="C244" i="3" s="1"/>
  <c r="D255" i="3"/>
  <c r="C255" i="3" s="1"/>
  <c r="D363" i="3"/>
  <c r="C363" i="3" s="1"/>
  <c r="D375" i="3"/>
  <c r="C375" i="3" s="1"/>
  <c r="D388" i="3"/>
  <c r="C388" i="3" s="1"/>
  <c r="D411" i="3"/>
  <c r="C411" i="3" s="1"/>
  <c r="D424" i="3"/>
  <c r="C424" i="3" s="1"/>
  <c r="D435" i="3"/>
  <c r="C435" i="3" s="1"/>
  <c r="D447" i="3"/>
  <c r="C447" i="3" s="1"/>
  <c r="D555" i="3"/>
  <c r="C555" i="3" s="1"/>
  <c r="D568" i="3"/>
  <c r="C568" i="3" s="1"/>
  <c r="D579" i="3"/>
  <c r="C579" i="3" s="1"/>
  <c r="D604" i="3"/>
  <c r="C604" i="3" s="1"/>
  <c r="D615" i="3"/>
  <c r="C615" i="3" s="1"/>
  <c r="D627" i="3"/>
  <c r="C627" i="3" s="1"/>
  <c r="D640" i="3"/>
  <c r="C640" i="3" s="1"/>
  <c r="D90" i="3"/>
  <c r="C90" i="3" s="1"/>
  <c r="D169" i="3"/>
  <c r="C169" i="3" s="1"/>
  <c r="D234" i="3"/>
  <c r="C234" i="3" s="1"/>
  <c r="D529" i="3"/>
  <c r="C529" i="3" s="1"/>
  <c r="D482" i="3"/>
  <c r="C482" i="3" s="1"/>
  <c r="D425" i="3"/>
  <c r="C425" i="3" s="1"/>
  <c r="D533" i="3"/>
  <c r="C533" i="3" s="1"/>
  <c r="D136" i="3"/>
  <c r="C136" i="3" s="1"/>
  <c r="D327" i="3"/>
  <c r="C327" i="3" s="1"/>
  <c r="D519" i="3"/>
  <c r="C519" i="3" s="1"/>
  <c r="D88" i="3"/>
  <c r="C88" i="3" s="1"/>
  <c r="D196" i="3"/>
  <c r="C196" i="3" s="1"/>
  <c r="D441" i="3"/>
  <c r="C441" i="3" s="1"/>
  <c r="D161" i="3"/>
  <c r="C161" i="3" s="1"/>
  <c r="D545" i="3"/>
  <c r="C545" i="3" s="1"/>
  <c r="D472" i="3"/>
  <c r="C472" i="3" s="1"/>
  <c r="D163" i="3"/>
  <c r="C163" i="3" s="1"/>
  <c r="D354" i="3"/>
  <c r="C354" i="3" s="1"/>
  <c r="D546" i="3"/>
  <c r="C546" i="3" s="1"/>
  <c r="D468" i="3"/>
  <c r="C468" i="3" s="1"/>
  <c r="D79" i="3"/>
  <c r="C79" i="3" s="1"/>
  <c r="D68" i="3"/>
  <c r="C68" i="3" s="1"/>
  <c r="D260" i="3"/>
  <c r="C260" i="3" s="1"/>
  <c r="D332" i="3"/>
  <c r="C332" i="3" s="1"/>
  <c r="D644" i="3"/>
  <c r="C644" i="3" s="1"/>
  <c r="D211" i="3"/>
  <c r="C21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93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</futureMetadata>
  <cellMetadata count="1">
    <bk>
      <rc t="1" v="0"/>
    </bk>
  </cellMetadata>
  <valueMetadata count="293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</valueMetadata>
</metadata>
</file>

<file path=xl/sharedStrings.xml><?xml version="1.0" encoding="utf-8"?>
<sst xmlns="http://schemas.openxmlformats.org/spreadsheetml/2006/main" count="12898" uniqueCount="163">
  <si>
    <t>FECHA</t>
  </si>
  <si>
    <t>CUENTA</t>
  </si>
  <si>
    <t>CATEGORÍA</t>
  </si>
  <si>
    <t>SUBCATEGORÍA</t>
  </si>
  <si>
    <t>DESCRIPCIÓN</t>
  </si>
  <si>
    <t>IMPORTE (€)</t>
  </si>
  <si>
    <t>SALDO (€)</t>
  </si>
  <si>
    <t>CLASIFICACIÓN</t>
  </si>
  <si>
    <t>TIPO</t>
  </si>
  <si>
    <t>Detalle</t>
  </si>
  <si>
    <t>CC 1</t>
  </si>
  <si>
    <t>Nómina</t>
  </si>
  <si>
    <t>Trabajo</t>
  </si>
  <si>
    <t>Ingreso</t>
  </si>
  <si>
    <t>Gasto</t>
  </si>
  <si>
    <t>Concepto</t>
  </si>
  <si>
    <t>Año</t>
  </si>
  <si>
    <t>Mes</t>
  </si>
  <si>
    <t>CLASIFICACION COBRO</t>
  </si>
  <si>
    <t>CLASIFICACION PAGO</t>
  </si>
  <si>
    <t>Comida</t>
  </si>
  <si>
    <t>*</t>
  </si>
  <si>
    <t>Compra / Comida</t>
  </si>
  <si>
    <t>Seguro Salud</t>
  </si>
  <si>
    <t>Fisio / Salud</t>
  </si>
  <si>
    <t>Fecha</t>
  </si>
  <si>
    <t>Producto</t>
  </si>
  <si>
    <t>Saldo</t>
  </si>
  <si>
    <t>Valor liquidativo</t>
  </si>
  <si>
    <t>Valor liquidativo (Moneda Extranjera)</t>
  </si>
  <si>
    <t>Cambio</t>
  </si>
  <si>
    <t>Participaciones</t>
  </si>
  <si>
    <t>VTSAX</t>
  </si>
  <si>
    <t>Tipo</t>
  </si>
  <si>
    <t>Subtipo</t>
  </si>
  <si>
    <t>Cantidad</t>
  </si>
  <si>
    <t>Vencimiento</t>
  </si>
  <si>
    <t>Enlace</t>
  </si>
  <si>
    <t>AAPL</t>
  </si>
  <si>
    <t>Renta Variable</t>
  </si>
  <si>
    <t>Acciones</t>
  </si>
  <si>
    <t>MSFT</t>
  </si>
  <si>
    <t>Criptomonedas</t>
  </si>
  <si>
    <t>Bonos</t>
  </si>
  <si>
    <t>Renta Fija</t>
  </si>
  <si>
    <t>Bonos Estatales</t>
  </si>
  <si>
    <t>CA 1</t>
  </si>
  <si>
    <t>Cuenta Ahorro</t>
  </si>
  <si>
    <t>Cuenta Corriente</t>
  </si>
  <si>
    <t>CC 2</t>
  </si>
  <si>
    <t>Fondo Inversión</t>
  </si>
  <si>
    <t>PRHSX</t>
  </si>
  <si>
    <t>Cuenta Producto</t>
  </si>
  <si>
    <t>Hora</t>
  </si>
  <si>
    <t>Producto Contraparte</t>
  </si>
  <si>
    <t>Cuenta Contraparte</t>
  </si>
  <si>
    <t>Tipo Transacción</t>
  </si>
  <si>
    <t>Precio Participación</t>
  </si>
  <si>
    <t>Precio (Moneda Transacción)</t>
  </si>
  <si>
    <t>Divisa</t>
  </si>
  <si>
    <t>Importe Bruto</t>
  </si>
  <si>
    <t>Importe Bruto (Moneda Transacción)</t>
  </si>
  <si>
    <t>Retenido</t>
  </si>
  <si>
    <t>Retenido (Moneda Transacción)</t>
  </si>
  <si>
    <t>País Retención</t>
  </si>
  <si>
    <t>Año IRPF</t>
  </si>
  <si>
    <t>Comisión</t>
  </si>
  <si>
    <t>Comisión (Moneda Transacción)</t>
  </si>
  <si>
    <t>00:00:01</t>
  </si>
  <si>
    <t>Compra</t>
  </si>
  <si>
    <t>EUR</t>
  </si>
  <si>
    <t>Venta</t>
  </si>
  <si>
    <t>Dividendos</t>
  </si>
  <si>
    <t>US</t>
  </si>
  <si>
    <t>Año Final</t>
  </si>
  <si>
    <t>Mínimo</t>
  </si>
  <si>
    <t>Máximo</t>
  </si>
  <si>
    <t>Otros</t>
  </si>
  <si>
    <t>Regalos</t>
  </si>
  <si>
    <t>Regalos - Otros</t>
  </si>
  <si>
    <t>Salud</t>
  </si>
  <si>
    <t>Óptica</t>
  </si>
  <si>
    <t>Óptica - Salud</t>
  </si>
  <si>
    <t>Donaciones</t>
  </si>
  <si>
    <t>Donaciones - Otros</t>
  </si>
  <si>
    <t>Coche</t>
  </si>
  <si>
    <t>Revisión</t>
  </si>
  <si>
    <t>Revisión - Coche</t>
  </si>
  <si>
    <t>Transporte</t>
  </si>
  <si>
    <t>Taxi</t>
  </si>
  <si>
    <t>Taxi - Transporte</t>
  </si>
  <si>
    <t>Viajes</t>
  </si>
  <si>
    <t>Airbnb</t>
  </si>
  <si>
    <t>Airbnb - Viajes</t>
  </si>
  <si>
    <t>Dentista</t>
  </si>
  <si>
    <t>Dentista - Salud</t>
  </si>
  <si>
    <t>Mascota</t>
  </si>
  <si>
    <t>Mascota - Otros</t>
  </si>
  <si>
    <t>Ocio</t>
  </si>
  <si>
    <t>Cine</t>
  </si>
  <si>
    <t>Cine - Ocio</t>
  </si>
  <si>
    <t>ITV</t>
  </si>
  <si>
    <t>ITV - Coche</t>
  </si>
  <si>
    <t>Restaurantes</t>
  </si>
  <si>
    <t>Hamburguesería</t>
  </si>
  <si>
    <t>Hamburguesería - Restaurantes</t>
  </si>
  <si>
    <t>Empresa A</t>
  </si>
  <si>
    <t>Empresa A - Nómina</t>
  </si>
  <si>
    <t>Carnicería</t>
  </si>
  <si>
    <t>Carnicería - Comida</t>
  </si>
  <si>
    <t>Educación</t>
  </si>
  <si>
    <t>Material Escolar</t>
  </si>
  <si>
    <t>Material Escolar - Educación</t>
  </si>
  <si>
    <t>Vuelo</t>
  </si>
  <si>
    <t>Vuelo - Viajes</t>
  </si>
  <si>
    <t>Empresa B</t>
  </si>
  <si>
    <t>Empresa B - Nómina</t>
  </si>
  <si>
    <t>Ropa</t>
  </si>
  <si>
    <t>H&amp;M</t>
  </si>
  <si>
    <t>H&amp;M - Ropa</t>
  </si>
  <si>
    <t>Libros</t>
  </si>
  <si>
    <t>Libros - Educación</t>
  </si>
  <si>
    <t>Hotel</t>
  </si>
  <si>
    <t>Hotel - Viajes</t>
  </si>
  <si>
    <t>Corte Inglés</t>
  </si>
  <si>
    <t>Corte Inglés - Ropa</t>
  </si>
  <si>
    <t>Colegio</t>
  </si>
  <si>
    <t>Colegio - Educación</t>
  </si>
  <si>
    <t>Fisio</t>
  </si>
  <si>
    <t>Fisio - Salud</t>
  </si>
  <si>
    <t>Restaurante Italiano</t>
  </si>
  <si>
    <t>Restaurante Italiano - Restaurantes</t>
  </si>
  <si>
    <t>Zara</t>
  </si>
  <si>
    <t>Zara - Ropa</t>
  </si>
  <si>
    <t>Netflix</t>
  </si>
  <si>
    <t>Netflix - Ocio</t>
  </si>
  <si>
    <t>Metro</t>
  </si>
  <si>
    <t>Metro - Transporte</t>
  </si>
  <si>
    <t>Gasolina</t>
  </si>
  <si>
    <t>Gasolina - Transporte</t>
  </si>
  <si>
    <t>Seguro Coche</t>
  </si>
  <si>
    <t>Seguro Coche - Coche</t>
  </si>
  <si>
    <t>Cafetería</t>
  </si>
  <si>
    <t>Cafetería - Restaurantes</t>
  </si>
  <si>
    <t>Supermercado</t>
  </si>
  <si>
    <t>Supermercado - Comida</t>
  </si>
  <si>
    <t>Panadería</t>
  </si>
  <si>
    <t>Panadería - Comida</t>
  </si>
  <si>
    <t>Concierto</t>
  </si>
  <si>
    <t>Concierto - Ocio</t>
  </si>
  <si>
    <t>Close</t>
  </si>
  <si>
    <t>Ticker</t>
  </si>
  <si>
    <t>USD</t>
  </si>
  <si>
    <t>USDEUR</t>
  </si>
  <si>
    <t>EURUSD</t>
  </si>
  <si>
    <t>BTCEUR</t>
  </si>
  <si>
    <t>ID</t>
  </si>
  <si>
    <t>ID - Product - Fecha</t>
  </si>
  <si>
    <t>Cash</t>
  </si>
  <si>
    <t>CC2</t>
  </si>
  <si>
    <t>CC1</t>
  </si>
  <si>
    <t>ID Transacción</t>
  </si>
  <si>
    <t>ID Transacción Espejo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</si>
</sst>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2" fontId="0" fillId="0" borderId="0" xfId="0" applyNumberFormat="1"/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4" fillId="0" borderId="0" xfId="0" applyNumberFormat="1" applyFont="1"/>
    <xf numFmtId="14" fontId="0" fillId="0" borderId="0" xfId="0" applyNumberFormat="1"/>
    <xf numFmtId="21" fontId="0" fillId="0" borderId="0" xfId="0" applyNumberFormat="1"/>
    <xf numFmtId="22" fontId="3" fillId="0" borderId="4" xfId="0" applyNumberFormat="1" applyFont="1" applyBorder="1" applyAlignment="1">
      <alignment horizontal="right" wrapText="1"/>
    </xf>
    <xf numFmtId="2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22" fontId="3" fillId="0" borderId="5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22" fontId="3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33">
    <dxf>
      <numFmt numFmtId="0" formatCode="General"/>
    </dxf>
    <dxf>
      <numFmt numFmtId="14" formatCode="0.00%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:mm"/>
      <fill>
        <patternFill patternType="none">
          <fgColor indexed="64"/>
          <bgColor auto="1"/>
        </patternFill>
      </fill>
      <alignment horizontal="right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left style="medium">
          <color rgb="FFCCCCCC"/>
        </lef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2" formatCode="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Stocks!$C$2:$C$8399</c:f>
              <c:strCache>
                <c:ptCount val="8398"/>
                <c:pt idx="0">
                  <c:v>AAPL</c:v>
                </c:pt>
                <c:pt idx="1">
                  <c:v>AAPL</c:v>
                </c:pt>
                <c:pt idx="2">
                  <c:v>AAPL</c:v>
                </c:pt>
                <c:pt idx="3">
                  <c:v>AAPL</c:v>
                </c:pt>
                <c:pt idx="4">
                  <c:v>AAPL</c:v>
                </c:pt>
                <c:pt idx="5">
                  <c:v>AAPL</c:v>
                </c:pt>
                <c:pt idx="6">
                  <c:v>AAPL</c:v>
                </c:pt>
                <c:pt idx="7">
                  <c:v>AAPL</c:v>
                </c:pt>
                <c:pt idx="8">
                  <c:v>AAPL</c:v>
                </c:pt>
                <c:pt idx="9">
                  <c:v>AAPL</c:v>
                </c:pt>
                <c:pt idx="10">
                  <c:v>AAPL</c:v>
                </c:pt>
                <c:pt idx="11">
                  <c:v>AAPL</c:v>
                </c:pt>
                <c:pt idx="12">
                  <c:v>AAPL</c:v>
                </c:pt>
                <c:pt idx="13">
                  <c:v>AAPL</c:v>
                </c:pt>
                <c:pt idx="14">
                  <c:v>AAPL</c:v>
                </c:pt>
                <c:pt idx="15">
                  <c:v>AAPL</c:v>
                </c:pt>
                <c:pt idx="16">
                  <c:v>AAPL</c:v>
                </c:pt>
                <c:pt idx="17">
                  <c:v>AAPL</c:v>
                </c:pt>
                <c:pt idx="18">
                  <c:v>AAPL</c:v>
                </c:pt>
                <c:pt idx="19">
                  <c:v>AAPL</c:v>
                </c:pt>
                <c:pt idx="20">
                  <c:v>AAPL</c:v>
                </c:pt>
                <c:pt idx="21">
                  <c:v>AAPL</c:v>
                </c:pt>
                <c:pt idx="22">
                  <c:v>AAPL</c:v>
                </c:pt>
                <c:pt idx="23">
                  <c:v>AAPL</c:v>
                </c:pt>
                <c:pt idx="24">
                  <c:v>AAPL</c:v>
                </c:pt>
                <c:pt idx="25">
                  <c:v>AAPL</c:v>
                </c:pt>
                <c:pt idx="26">
                  <c:v>AAPL</c:v>
                </c:pt>
                <c:pt idx="27">
                  <c:v>AAPL</c:v>
                </c:pt>
                <c:pt idx="28">
                  <c:v>AAPL</c:v>
                </c:pt>
                <c:pt idx="29">
                  <c:v>AAPL</c:v>
                </c:pt>
                <c:pt idx="30">
                  <c:v>AAPL</c:v>
                </c:pt>
                <c:pt idx="31">
                  <c:v>AAPL</c:v>
                </c:pt>
                <c:pt idx="32">
                  <c:v>AAPL</c:v>
                </c:pt>
                <c:pt idx="33">
                  <c:v>AAPL</c:v>
                </c:pt>
                <c:pt idx="34">
                  <c:v>AAPL</c:v>
                </c:pt>
                <c:pt idx="35">
                  <c:v>AAPL</c:v>
                </c:pt>
                <c:pt idx="36">
                  <c:v>AAPL</c:v>
                </c:pt>
                <c:pt idx="37">
                  <c:v>AAPL</c:v>
                </c:pt>
                <c:pt idx="38">
                  <c:v>AAPL</c:v>
                </c:pt>
                <c:pt idx="39">
                  <c:v>AAPL</c:v>
                </c:pt>
                <c:pt idx="40">
                  <c:v>AAPL</c:v>
                </c:pt>
                <c:pt idx="41">
                  <c:v>AAPL</c:v>
                </c:pt>
                <c:pt idx="42">
                  <c:v>AAPL</c:v>
                </c:pt>
                <c:pt idx="43">
                  <c:v>AAPL</c:v>
                </c:pt>
                <c:pt idx="44">
                  <c:v>AAPL</c:v>
                </c:pt>
                <c:pt idx="45">
                  <c:v>AAPL</c:v>
                </c:pt>
                <c:pt idx="46">
                  <c:v>AAPL</c:v>
                </c:pt>
                <c:pt idx="47">
                  <c:v>AAPL</c:v>
                </c:pt>
                <c:pt idx="48">
                  <c:v>AAPL</c:v>
                </c:pt>
                <c:pt idx="49">
                  <c:v>AAPL</c:v>
                </c:pt>
                <c:pt idx="50">
                  <c:v>AAPL</c:v>
                </c:pt>
                <c:pt idx="51">
                  <c:v>AAPL</c:v>
                </c:pt>
                <c:pt idx="52">
                  <c:v>AAPL</c:v>
                </c:pt>
                <c:pt idx="53">
                  <c:v>AAPL</c:v>
                </c:pt>
                <c:pt idx="54">
                  <c:v>AAPL</c:v>
                </c:pt>
                <c:pt idx="55">
                  <c:v>AAPL</c:v>
                </c:pt>
                <c:pt idx="56">
                  <c:v>AAPL</c:v>
                </c:pt>
                <c:pt idx="57">
                  <c:v>AAPL</c:v>
                </c:pt>
                <c:pt idx="58">
                  <c:v>AAPL</c:v>
                </c:pt>
                <c:pt idx="59">
                  <c:v>AAPL</c:v>
                </c:pt>
                <c:pt idx="60">
                  <c:v>AAPL</c:v>
                </c:pt>
                <c:pt idx="61">
                  <c:v>AAPL</c:v>
                </c:pt>
                <c:pt idx="62">
                  <c:v>AAPL</c:v>
                </c:pt>
                <c:pt idx="63">
                  <c:v>AAPL</c:v>
                </c:pt>
                <c:pt idx="64">
                  <c:v>AAPL</c:v>
                </c:pt>
                <c:pt idx="65">
                  <c:v>AAPL</c:v>
                </c:pt>
                <c:pt idx="66">
                  <c:v>AAPL</c:v>
                </c:pt>
                <c:pt idx="67">
                  <c:v>AAPL</c:v>
                </c:pt>
                <c:pt idx="68">
                  <c:v>AAPL</c:v>
                </c:pt>
                <c:pt idx="69">
                  <c:v>AAPL</c:v>
                </c:pt>
                <c:pt idx="70">
                  <c:v>AAPL</c:v>
                </c:pt>
                <c:pt idx="71">
                  <c:v>AAPL</c:v>
                </c:pt>
                <c:pt idx="72">
                  <c:v>AAPL</c:v>
                </c:pt>
                <c:pt idx="73">
                  <c:v>AAPL</c:v>
                </c:pt>
                <c:pt idx="74">
                  <c:v>AAPL</c:v>
                </c:pt>
                <c:pt idx="75">
                  <c:v>AAPL</c:v>
                </c:pt>
                <c:pt idx="76">
                  <c:v>AAPL</c:v>
                </c:pt>
                <c:pt idx="77">
                  <c:v>AAPL</c:v>
                </c:pt>
                <c:pt idx="78">
                  <c:v>AAPL</c:v>
                </c:pt>
                <c:pt idx="79">
                  <c:v>AAPL</c:v>
                </c:pt>
                <c:pt idx="80">
                  <c:v>AAPL</c:v>
                </c:pt>
                <c:pt idx="81">
                  <c:v>AAPL</c:v>
                </c:pt>
                <c:pt idx="82">
                  <c:v>AAPL</c:v>
                </c:pt>
                <c:pt idx="83">
                  <c:v>AAPL</c:v>
                </c:pt>
                <c:pt idx="84">
                  <c:v>AAPL</c:v>
                </c:pt>
                <c:pt idx="85">
                  <c:v>AAPL</c:v>
                </c:pt>
                <c:pt idx="86">
                  <c:v>AAPL</c:v>
                </c:pt>
                <c:pt idx="87">
                  <c:v>AAPL</c:v>
                </c:pt>
                <c:pt idx="88">
                  <c:v>AAPL</c:v>
                </c:pt>
                <c:pt idx="89">
                  <c:v>AAPL</c:v>
                </c:pt>
                <c:pt idx="90">
                  <c:v>AAPL</c:v>
                </c:pt>
                <c:pt idx="91">
                  <c:v>AAPL</c:v>
                </c:pt>
                <c:pt idx="92">
                  <c:v>AAPL</c:v>
                </c:pt>
                <c:pt idx="93">
                  <c:v>AAPL</c:v>
                </c:pt>
                <c:pt idx="94">
                  <c:v>AAPL</c:v>
                </c:pt>
                <c:pt idx="95">
                  <c:v>AAPL</c:v>
                </c:pt>
                <c:pt idx="96">
                  <c:v>AAPL</c:v>
                </c:pt>
                <c:pt idx="97">
                  <c:v>AAPL</c:v>
                </c:pt>
                <c:pt idx="98">
                  <c:v>AAPL</c:v>
                </c:pt>
                <c:pt idx="99">
                  <c:v>AAPL</c:v>
                </c:pt>
                <c:pt idx="100">
                  <c:v>AAPL</c:v>
                </c:pt>
                <c:pt idx="101">
                  <c:v>AAPL</c:v>
                </c:pt>
                <c:pt idx="102">
                  <c:v>AAPL</c:v>
                </c:pt>
                <c:pt idx="103">
                  <c:v>AAPL</c:v>
                </c:pt>
                <c:pt idx="104">
                  <c:v>AAPL</c:v>
                </c:pt>
                <c:pt idx="105">
                  <c:v>AAPL</c:v>
                </c:pt>
                <c:pt idx="106">
                  <c:v>AAPL</c:v>
                </c:pt>
                <c:pt idx="107">
                  <c:v>AAPL</c:v>
                </c:pt>
                <c:pt idx="108">
                  <c:v>AAPL</c:v>
                </c:pt>
                <c:pt idx="109">
                  <c:v>AAPL</c:v>
                </c:pt>
                <c:pt idx="110">
                  <c:v>AAPL</c:v>
                </c:pt>
                <c:pt idx="111">
                  <c:v>AAPL</c:v>
                </c:pt>
                <c:pt idx="112">
                  <c:v>AAPL</c:v>
                </c:pt>
                <c:pt idx="113">
                  <c:v>AAPL</c:v>
                </c:pt>
                <c:pt idx="114">
                  <c:v>AAPL</c:v>
                </c:pt>
                <c:pt idx="115">
                  <c:v>AAPL</c:v>
                </c:pt>
                <c:pt idx="116">
                  <c:v>AAPL</c:v>
                </c:pt>
                <c:pt idx="117">
                  <c:v>AAPL</c:v>
                </c:pt>
                <c:pt idx="118">
                  <c:v>AAPL</c:v>
                </c:pt>
                <c:pt idx="119">
                  <c:v>AAPL</c:v>
                </c:pt>
                <c:pt idx="120">
                  <c:v>AAPL</c:v>
                </c:pt>
                <c:pt idx="121">
                  <c:v>AAPL</c:v>
                </c:pt>
                <c:pt idx="122">
                  <c:v>AAPL</c:v>
                </c:pt>
                <c:pt idx="123">
                  <c:v>AAPL</c:v>
                </c:pt>
                <c:pt idx="124">
                  <c:v>AAPL</c:v>
                </c:pt>
                <c:pt idx="125">
                  <c:v>AAPL</c:v>
                </c:pt>
                <c:pt idx="126">
                  <c:v>AAPL</c:v>
                </c:pt>
                <c:pt idx="127">
                  <c:v>AAPL</c:v>
                </c:pt>
                <c:pt idx="128">
                  <c:v>AAPL</c:v>
                </c:pt>
                <c:pt idx="129">
                  <c:v>AAPL</c:v>
                </c:pt>
                <c:pt idx="130">
                  <c:v>AAPL</c:v>
                </c:pt>
                <c:pt idx="131">
                  <c:v>AAPL</c:v>
                </c:pt>
                <c:pt idx="132">
                  <c:v>AAPL</c:v>
                </c:pt>
                <c:pt idx="133">
                  <c:v>AAPL</c:v>
                </c:pt>
                <c:pt idx="134">
                  <c:v>AAPL</c:v>
                </c:pt>
                <c:pt idx="135">
                  <c:v>AAPL</c:v>
                </c:pt>
                <c:pt idx="136">
                  <c:v>AAPL</c:v>
                </c:pt>
                <c:pt idx="137">
                  <c:v>AAPL</c:v>
                </c:pt>
                <c:pt idx="138">
                  <c:v>AAPL</c:v>
                </c:pt>
                <c:pt idx="139">
                  <c:v>AAPL</c:v>
                </c:pt>
                <c:pt idx="140">
                  <c:v>AAPL</c:v>
                </c:pt>
                <c:pt idx="141">
                  <c:v>AAPL</c:v>
                </c:pt>
                <c:pt idx="142">
                  <c:v>AAPL</c:v>
                </c:pt>
                <c:pt idx="143">
                  <c:v>AAPL</c:v>
                </c:pt>
                <c:pt idx="144">
                  <c:v>AAPL</c:v>
                </c:pt>
                <c:pt idx="145">
                  <c:v>AAPL</c:v>
                </c:pt>
                <c:pt idx="146">
                  <c:v>AAPL</c:v>
                </c:pt>
                <c:pt idx="147">
                  <c:v>AAPL</c:v>
                </c:pt>
                <c:pt idx="148">
                  <c:v>AAPL</c:v>
                </c:pt>
                <c:pt idx="149">
                  <c:v>AAPL</c:v>
                </c:pt>
                <c:pt idx="150">
                  <c:v>AAPL</c:v>
                </c:pt>
                <c:pt idx="151">
                  <c:v>AAPL</c:v>
                </c:pt>
                <c:pt idx="152">
                  <c:v>AAPL</c:v>
                </c:pt>
                <c:pt idx="153">
                  <c:v>AAPL</c:v>
                </c:pt>
                <c:pt idx="154">
                  <c:v>AAPL</c:v>
                </c:pt>
                <c:pt idx="155">
                  <c:v>AAPL</c:v>
                </c:pt>
                <c:pt idx="156">
                  <c:v>AAPL</c:v>
                </c:pt>
                <c:pt idx="157">
                  <c:v>AAPL</c:v>
                </c:pt>
                <c:pt idx="158">
                  <c:v>AAPL</c:v>
                </c:pt>
                <c:pt idx="159">
                  <c:v>AAPL</c:v>
                </c:pt>
                <c:pt idx="160">
                  <c:v>AAPL</c:v>
                </c:pt>
                <c:pt idx="161">
                  <c:v>AAPL</c:v>
                </c:pt>
                <c:pt idx="162">
                  <c:v>AAPL</c:v>
                </c:pt>
                <c:pt idx="163">
                  <c:v>AAPL</c:v>
                </c:pt>
                <c:pt idx="164">
                  <c:v>AAPL</c:v>
                </c:pt>
                <c:pt idx="165">
                  <c:v>AAPL</c:v>
                </c:pt>
                <c:pt idx="166">
                  <c:v>AAPL</c:v>
                </c:pt>
                <c:pt idx="167">
                  <c:v>AAPL</c:v>
                </c:pt>
                <c:pt idx="168">
                  <c:v>AAPL</c:v>
                </c:pt>
                <c:pt idx="169">
                  <c:v>AAPL</c:v>
                </c:pt>
                <c:pt idx="170">
                  <c:v>AAPL</c:v>
                </c:pt>
                <c:pt idx="171">
                  <c:v>AAPL</c:v>
                </c:pt>
                <c:pt idx="172">
                  <c:v>AAPL</c:v>
                </c:pt>
                <c:pt idx="173">
                  <c:v>AAPL</c:v>
                </c:pt>
                <c:pt idx="174">
                  <c:v>AAPL</c:v>
                </c:pt>
                <c:pt idx="175">
                  <c:v>AAPL</c:v>
                </c:pt>
                <c:pt idx="176">
                  <c:v>AAPL</c:v>
                </c:pt>
                <c:pt idx="177">
                  <c:v>AAPL</c:v>
                </c:pt>
                <c:pt idx="178">
                  <c:v>AAPL</c:v>
                </c:pt>
                <c:pt idx="179">
                  <c:v>AAPL</c:v>
                </c:pt>
                <c:pt idx="180">
                  <c:v>AAPL</c:v>
                </c:pt>
                <c:pt idx="181">
                  <c:v>AAPL</c:v>
                </c:pt>
                <c:pt idx="182">
                  <c:v>AAPL</c:v>
                </c:pt>
                <c:pt idx="183">
                  <c:v>AAPL</c:v>
                </c:pt>
                <c:pt idx="184">
                  <c:v>AAPL</c:v>
                </c:pt>
                <c:pt idx="185">
                  <c:v>AAPL</c:v>
                </c:pt>
                <c:pt idx="186">
                  <c:v>AAPL</c:v>
                </c:pt>
                <c:pt idx="187">
                  <c:v>AAPL</c:v>
                </c:pt>
                <c:pt idx="188">
                  <c:v>AAPL</c:v>
                </c:pt>
                <c:pt idx="189">
                  <c:v>AAPL</c:v>
                </c:pt>
                <c:pt idx="190">
                  <c:v>AAPL</c:v>
                </c:pt>
                <c:pt idx="191">
                  <c:v>AAPL</c:v>
                </c:pt>
                <c:pt idx="192">
                  <c:v>AAPL</c:v>
                </c:pt>
                <c:pt idx="193">
                  <c:v>AAPL</c:v>
                </c:pt>
                <c:pt idx="194">
                  <c:v>AAPL</c:v>
                </c:pt>
                <c:pt idx="195">
                  <c:v>AAPL</c:v>
                </c:pt>
                <c:pt idx="196">
                  <c:v>AAPL</c:v>
                </c:pt>
                <c:pt idx="197">
                  <c:v>AAPL</c:v>
                </c:pt>
                <c:pt idx="198">
                  <c:v>AAPL</c:v>
                </c:pt>
                <c:pt idx="199">
                  <c:v>AAPL</c:v>
                </c:pt>
                <c:pt idx="200">
                  <c:v>AAPL</c:v>
                </c:pt>
                <c:pt idx="201">
                  <c:v>AAPL</c:v>
                </c:pt>
                <c:pt idx="202">
                  <c:v>AAPL</c:v>
                </c:pt>
                <c:pt idx="203">
                  <c:v>AAPL</c:v>
                </c:pt>
                <c:pt idx="204">
                  <c:v>AAPL</c:v>
                </c:pt>
                <c:pt idx="205">
                  <c:v>AAPL</c:v>
                </c:pt>
                <c:pt idx="206">
                  <c:v>AAPL</c:v>
                </c:pt>
                <c:pt idx="207">
                  <c:v>AAPL</c:v>
                </c:pt>
                <c:pt idx="208">
                  <c:v>AAPL</c:v>
                </c:pt>
                <c:pt idx="209">
                  <c:v>AAPL</c:v>
                </c:pt>
                <c:pt idx="210">
                  <c:v>AAPL</c:v>
                </c:pt>
                <c:pt idx="211">
                  <c:v>AAPL</c:v>
                </c:pt>
                <c:pt idx="212">
                  <c:v>AAPL</c:v>
                </c:pt>
                <c:pt idx="213">
                  <c:v>AAPL</c:v>
                </c:pt>
                <c:pt idx="214">
                  <c:v>AAPL</c:v>
                </c:pt>
                <c:pt idx="215">
                  <c:v>AAPL</c:v>
                </c:pt>
                <c:pt idx="216">
                  <c:v>AAPL</c:v>
                </c:pt>
                <c:pt idx="217">
                  <c:v>AAPL</c:v>
                </c:pt>
                <c:pt idx="218">
                  <c:v>AAPL</c:v>
                </c:pt>
                <c:pt idx="219">
                  <c:v>AAPL</c:v>
                </c:pt>
                <c:pt idx="220">
                  <c:v>AAPL</c:v>
                </c:pt>
                <c:pt idx="221">
                  <c:v>AAPL</c:v>
                </c:pt>
                <c:pt idx="222">
                  <c:v>AAPL</c:v>
                </c:pt>
                <c:pt idx="223">
                  <c:v>AAPL</c:v>
                </c:pt>
                <c:pt idx="224">
                  <c:v>AAPL</c:v>
                </c:pt>
                <c:pt idx="225">
                  <c:v>AAPL</c:v>
                </c:pt>
                <c:pt idx="226">
                  <c:v>AAPL</c:v>
                </c:pt>
                <c:pt idx="227">
                  <c:v>AAPL</c:v>
                </c:pt>
                <c:pt idx="228">
                  <c:v>AAPL</c:v>
                </c:pt>
                <c:pt idx="229">
                  <c:v>AAPL</c:v>
                </c:pt>
                <c:pt idx="230">
                  <c:v>AAPL</c:v>
                </c:pt>
                <c:pt idx="231">
                  <c:v>AAPL</c:v>
                </c:pt>
                <c:pt idx="232">
                  <c:v>AAPL</c:v>
                </c:pt>
                <c:pt idx="233">
                  <c:v>AAPL</c:v>
                </c:pt>
                <c:pt idx="234">
                  <c:v>AAPL</c:v>
                </c:pt>
                <c:pt idx="235">
                  <c:v>AAPL</c:v>
                </c:pt>
                <c:pt idx="236">
                  <c:v>AAPL</c:v>
                </c:pt>
                <c:pt idx="237">
                  <c:v>AAPL</c:v>
                </c:pt>
                <c:pt idx="238">
                  <c:v>AAPL</c:v>
                </c:pt>
                <c:pt idx="239">
                  <c:v>AAPL</c:v>
                </c:pt>
                <c:pt idx="240">
                  <c:v>AAPL</c:v>
                </c:pt>
                <c:pt idx="241">
                  <c:v>AAPL</c:v>
                </c:pt>
                <c:pt idx="242">
                  <c:v>AAPL</c:v>
                </c:pt>
                <c:pt idx="243">
                  <c:v>AAPL</c:v>
                </c:pt>
                <c:pt idx="244">
                  <c:v>AAPL</c:v>
                </c:pt>
                <c:pt idx="245">
                  <c:v>AAPL</c:v>
                </c:pt>
                <c:pt idx="246">
                  <c:v>AAPL</c:v>
                </c:pt>
                <c:pt idx="247">
                  <c:v>AAPL</c:v>
                </c:pt>
                <c:pt idx="248">
                  <c:v>AAPL</c:v>
                </c:pt>
                <c:pt idx="249">
                  <c:v>AAPL</c:v>
                </c:pt>
                <c:pt idx="250">
                  <c:v>AAPL</c:v>
                </c:pt>
                <c:pt idx="251">
                  <c:v>AAPL</c:v>
                </c:pt>
                <c:pt idx="252">
                  <c:v>AAPL</c:v>
                </c:pt>
                <c:pt idx="253">
                  <c:v>AAPL</c:v>
                </c:pt>
                <c:pt idx="254">
                  <c:v>AAPL</c:v>
                </c:pt>
                <c:pt idx="255">
                  <c:v>AAPL</c:v>
                </c:pt>
                <c:pt idx="256">
                  <c:v>AAPL</c:v>
                </c:pt>
                <c:pt idx="257">
                  <c:v>AAPL</c:v>
                </c:pt>
                <c:pt idx="258">
                  <c:v>AAPL</c:v>
                </c:pt>
                <c:pt idx="259">
                  <c:v>AAPL</c:v>
                </c:pt>
                <c:pt idx="260">
                  <c:v>AAPL</c:v>
                </c:pt>
                <c:pt idx="261">
                  <c:v>AAPL</c:v>
                </c:pt>
                <c:pt idx="262">
                  <c:v>AAPL</c:v>
                </c:pt>
                <c:pt idx="263">
                  <c:v>AAPL</c:v>
                </c:pt>
                <c:pt idx="264">
                  <c:v>AAPL</c:v>
                </c:pt>
                <c:pt idx="265">
                  <c:v>AAPL</c:v>
                </c:pt>
                <c:pt idx="266">
                  <c:v>AAPL</c:v>
                </c:pt>
                <c:pt idx="267">
                  <c:v>AAPL</c:v>
                </c:pt>
                <c:pt idx="268">
                  <c:v>AAPL</c:v>
                </c:pt>
                <c:pt idx="269">
                  <c:v>AAPL</c:v>
                </c:pt>
                <c:pt idx="270">
                  <c:v>AAPL</c:v>
                </c:pt>
                <c:pt idx="271">
                  <c:v>AAPL</c:v>
                </c:pt>
                <c:pt idx="272">
                  <c:v>AAPL</c:v>
                </c:pt>
                <c:pt idx="273">
                  <c:v>AAPL</c:v>
                </c:pt>
                <c:pt idx="274">
                  <c:v>AAPL</c:v>
                </c:pt>
                <c:pt idx="275">
                  <c:v>AAPL</c:v>
                </c:pt>
                <c:pt idx="276">
                  <c:v>AAPL</c:v>
                </c:pt>
                <c:pt idx="277">
                  <c:v>AAPL</c:v>
                </c:pt>
                <c:pt idx="278">
                  <c:v>AAPL</c:v>
                </c:pt>
                <c:pt idx="279">
                  <c:v>AAPL</c:v>
                </c:pt>
                <c:pt idx="280">
                  <c:v>AAPL</c:v>
                </c:pt>
                <c:pt idx="281">
                  <c:v>AAPL</c:v>
                </c:pt>
                <c:pt idx="282">
                  <c:v>AAPL</c:v>
                </c:pt>
                <c:pt idx="283">
                  <c:v>AAPL</c:v>
                </c:pt>
                <c:pt idx="284">
                  <c:v>AAPL</c:v>
                </c:pt>
                <c:pt idx="285">
                  <c:v>AAPL</c:v>
                </c:pt>
                <c:pt idx="286">
                  <c:v>AAPL</c:v>
                </c:pt>
                <c:pt idx="287">
                  <c:v>AAPL</c:v>
                </c:pt>
                <c:pt idx="288">
                  <c:v>AAPL</c:v>
                </c:pt>
                <c:pt idx="289">
                  <c:v>AAPL</c:v>
                </c:pt>
                <c:pt idx="290">
                  <c:v>AAPL</c:v>
                </c:pt>
                <c:pt idx="291">
                  <c:v>AAPL</c:v>
                </c:pt>
                <c:pt idx="292">
                  <c:v>AAPL</c:v>
                </c:pt>
                <c:pt idx="293">
                  <c:v>AAPL</c:v>
                </c:pt>
                <c:pt idx="294">
                  <c:v>AAPL</c:v>
                </c:pt>
                <c:pt idx="295">
                  <c:v>AAPL</c:v>
                </c:pt>
                <c:pt idx="296">
                  <c:v>AAPL</c:v>
                </c:pt>
                <c:pt idx="297">
                  <c:v>AAPL</c:v>
                </c:pt>
                <c:pt idx="298">
                  <c:v>AAPL</c:v>
                </c:pt>
                <c:pt idx="299">
                  <c:v>AAPL</c:v>
                </c:pt>
                <c:pt idx="300">
                  <c:v>AAPL</c:v>
                </c:pt>
                <c:pt idx="301">
                  <c:v>AAPL</c:v>
                </c:pt>
                <c:pt idx="302">
                  <c:v>AAPL</c:v>
                </c:pt>
                <c:pt idx="303">
                  <c:v>AAPL</c:v>
                </c:pt>
                <c:pt idx="304">
                  <c:v>AAPL</c:v>
                </c:pt>
                <c:pt idx="305">
                  <c:v>AAPL</c:v>
                </c:pt>
                <c:pt idx="306">
                  <c:v>AAPL</c:v>
                </c:pt>
                <c:pt idx="307">
                  <c:v>AAPL</c:v>
                </c:pt>
                <c:pt idx="308">
                  <c:v>AAPL</c:v>
                </c:pt>
                <c:pt idx="309">
                  <c:v>AAPL</c:v>
                </c:pt>
                <c:pt idx="310">
                  <c:v>AAPL</c:v>
                </c:pt>
                <c:pt idx="311">
                  <c:v>AAPL</c:v>
                </c:pt>
                <c:pt idx="312">
                  <c:v>AAPL</c:v>
                </c:pt>
                <c:pt idx="313">
                  <c:v>AAPL</c:v>
                </c:pt>
                <c:pt idx="314">
                  <c:v>AAPL</c:v>
                </c:pt>
                <c:pt idx="315">
                  <c:v>AAPL</c:v>
                </c:pt>
                <c:pt idx="316">
                  <c:v>AAPL</c:v>
                </c:pt>
                <c:pt idx="317">
                  <c:v>AAPL</c:v>
                </c:pt>
                <c:pt idx="318">
                  <c:v>AAPL</c:v>
                </c:pt>
                <c:pt idx="319">
                  <c:v>AAPL</c:v>
                </c:pt>
                <c:pt idx="320">
                  <c:v>AAPL</c:v>
                </c:pt>
                <c:pt idx="321">
                  <c:v>AAPL</c:v>
                </c:pt>
                <c:pt idx="322">
                  <c:v>AAPL</c:v>
                </c:pt>
                <c:pt idx="323">
                  <c:v>AAPL</c:v>
                </c:pt>
                <c:pt idx="324">
                  <c:v>AAPL</c:v>
                </c:pt>
                <c:pt idx="325">
                  <c:v>AAPL</c:v>
                </c:pt>
                <c:pt idx="326">
                  <c:v>AAPL</c:v>
                </c:pt>
                <c:pt idx="327">
                  <c:v>AAPL</c:v>
                </c:pt>
                <c:pt idx="328">
                  <c:v>AAPL</c:v>
                </c:pt>
                <c:pt idx="329">
                  <c:v>AAPL</c:v>
                </c:pt>
                <c:pt idx="330">
                  <c:v>AAPL</c:v>
                </c:pt>
                <c:pt idx="331">
                  <c:v>AAPL</c:v>
                </c:pt>
                <c:pt idx="332">
                  <c:v>AAPL</c:v>
                </c:pt>
                <c:pt idx="333">
                  <c:v>AAPL</c:v>
                </c:pt>
                <c:pt idx="334">
                  <c:v>AAPL</c:v>
                </c:pt>
                <c:pt idx="335">
                  <c:v>AAPL</c:v>
                </c:pt>
                <c:pt idx="336">
                  <c:v>AAPL</c:v>
                </c:pt>
                <c:pt idx="337">
                  <c:v>AAPL</c:v>
                </c:pt>
                <c:pt idx="338">
                  <c:v>AAPL</c:v>
                </c:pt>
                <c:pt idx="339">
                  <c:v>AAPL</c:v>
                </c:pt>
                <c:pt idx="340">
                  <c:v>AAPL</c:v>
                </c:pt>
                <c:pt idx="341">
                  <c:v>AAPL</c:v>
                </c:pt>
                <c:pt idx="342">
                  <c:v>AAPL</c:v>
                </c:pt>
                <c:pt idx="343">
                  <c:v>AAPL</c:v>
                </c:pt>
                <c:pt idx="344">
                  <c:v>AAPL</c:v>
                </c:pt>
                <c:pt idx="345">
                  <c:v>AAPL</c:v>
                </c:pt>
                <c:pt idx="346">
                  <c:v>AAPL</c:v>
                </c:pt>
                <c:pt idx="347">
                  <c:v>AAPL</c:v>
                </c:pt>
                <c:pt idx="348">
                  <c:v>AAPL</c:v>
                </c:pt>
                <c:pt idx="349">
                  <c:v>AAPL</c:v>
                </c:pt>
                <c:pt idx="350">
                  <c:v>AAPL</c:v>
                </c:pt>
                <c:pt idx="351">
                  <c:v>AAPL</c:v>
                </c:pt>
                <c:pt idx="352">
                  <c:v>AAPL</c:v>
                </c:pt>
                <c:pt idx="353">
                  <c:v>AAPL</c:v>
                </c:pt>
                <c:pt idx="354">
                  <c:v>AAPL</c:v>
                </c:pt>
                <c:pt idx="355">
                  <c:v>AAPL</c:v>
                </c:pt>
                <c:pt idx="356">
                  <c:v>AAPL</c:v>
                </c:pt>
                <c:pt idx="357">
                  <c:v>AAPL</c:v>
                </c:pt>
                <c:pt idx="358">
                  <c:v>AAPL</c:v>
                </c:pt>
                <c:pt idx="359">
                  <c:v>AAPL</c:v>
                </c:pt>
                <c:pt idx="360">
                  <c:v>AAPL</c:v>
                </c:pt>
                <c:pt idx="361">
                  <c:v>AAPL</c:v>
                </c:pt>
                <c:pt idx="362">
                  <c:v>AAPL</c:v>
                </c:pt>
                <c:pt idx="363">
                  <c:v>AAPL</c:v>
                </c:pt>
                <c:pt idx="364">
                  <c:v>AAPL</c:v>
                </c:pt>
                <c:pt idx="365">
                  <c:v>AAPL</c:v>
                </c:pt>
                <c:pt idx="366">
                  <c:v>AAPL</c:v>
                </c:pt>
                <c:pt idx="367">
                  <c:v>AAPL</c:v>
                </c:pt>
                <c:pt idx="368">
                  <c:v>AAPL</c:v>
                </c:pt>
                <c:pt idx="369">
                  <c:v>AAPL</c:v>
                </c:pt>
                <c:pt idx="370">
                  <c:v>AAPL</c:v>
                </c:pt>
                <c:pt idx="371">
                  <c:v>AAPL</c:v>
                </c:pt>
                <c:pt idx="372">
                  <c:v>AAPL</c:v>
                </c:pt>
                <c:pt idx="373">
                  <c:v>AAPL</c:v>
                </c:pt>
                <c:pt idx="374">
                  <c:v>AAPL</c:v>
                </c:pt>
                <c:pt idx="375">
                  <c:v>AAPL</c:v>
                </c:pt>
                <c:pt idx="376">
                  <c:v>AAPL</c:v>
                </c:pt>
                <c:pt idx="377">
                  <c:v>AAPL</c:v>
                </c:pt>
                <c:pt idx="378">
                  <c:v>AAPL</c:v>
                </c:pt>
                <c:pt idx="379">
                  <c:v>AAPL</c:v>
                </c:pt>
                <c:pt idx="380">
                  <c:v>AAPL</c:v>
                </c:pt>
                <c:pt idx="381">
                  <c:v>AAPL</c:v>
                </c:pt>
                <c:pt idx="382">
                  <c:v>AAPL</c:v>
                </c:pt>
                <c:pt idx="383">
                  <c:v>AAPL</c:v>
                </c:pt>
                <c:pt idx="384">
                  <c:v>AAPL</c:v>
                </c:pt>
                <c:pt idx="385">
                  <c:v>AAPL</c:v>
                </c:pt>
                <c:pt idx="386">
                  <c:v>AAPL</c:v>
                </c:pt>
                <c:pt idx="387">
                  <c:v>AAPL</c:v>
                </c:pt>
                <c:pt idx="388">
                  <c:v>AAPL</c:v>
                </c:pt>
                <c:pt idx="389">
                  <c:v>AAPL</c:v>
                </c:pt>
                <c:pt idx="390">
                  <c:v>AAPL</c:v>
                </c:pt>
                <c:pt idx="391">
                  <c:v>AAPL</c:v>
                </c:pt>
                <c:pt idx="392">
                  <c:v>AAPL</c:v>
                </c:pt>
                <c:pt idx="393">
                  <c:v>AAPL</c:v>
                </c:pt>
                <c:pt idx="394">
                  <c:v>AAPL</c:v>
                </c:pt>
                <c:pt idx="395">
                  <c:v>AAPL</c:v>
                </c:pt>
                <c:pt idx="396">
                  <c:v>AAPL</c:v>
                </c:pt>
                <c:pt idx="397">
                  <c:v>AAPL</c:v>
                </c:pt>
                <c:pt idx="398">
                  <c:v>AAPL</c:v>
                </c:pt>
                <c:pt idx="399">
                  <c:v>AAPL</c:v>
                </c:pt>
                <c:pt idx="400">
                  <c:v>AAPL</c:v>
                </c:pt>
                <c:pt idx="401">
                  <c:v>AAPL</c:v>
                </c:pt>
                <c:pt idx="402">
                  <c:v>AAPL</c:v>
                </c:pt>
                <c:pt idx="403">
                  <c:v>AAPL</c:v>
                </c:pt>
                <c:pt idx="404">
                  <c:v>AAPL</c:v>
                </c:pt>
                <c:pt idx="405">
                  <c:v>AAPL</c:v>
                </c:pt>
                <c:pt idx="406">
                  <c:v>AAPL</c:v>
                </c:pt>
                <c:pt idx="407">
                  <c:v>AAPL</c:v>
                </c:pt>
                <c:pt idx="408">
                  <c:v>AAPL</c:v>
                </c:pt>
                <c:pt idx="409">
                  <c:v>AAPL</c:v>
                </c:pt>
                <c:pt idx="410">
                  <c:v>AAPL</c:v>
                </c:pt>
                <c:pt idx="411">
                  <c:v>AAPL</c:v>
                </c:pt>
                <c:pt idx="412">
                  <c:v>AAPL</c:v>
                </c:pt>
                <c:pt idx="413">
                  <c:v>AAPL</c:v>
                </c:pt>
                <c:pt idx="414">
                  <c:v>AAPL</c:v>
                </c:pt>
                <c:pt idx="415">
                  <c:v>AAPL</c:v>
                </c:pt>
                <c:pt idx="416">
                  <c:v>AAPL</c:v>
                </c:pt>
                <c:pt idx="417">
                  <c:v>AAPL</c:v>
                </c:pt>
                <c:pt idx="418">
                  <c:v>AAPL</c:v>
                </c:pt>
                <c:pt idx="419">
                  <c:v>AAPL</c:v>
                </c:pt>
                <c:pt idx="420">
                  <c:v>AAPL</c:v>
                </c:pt>
                <c:pt idx="421">
                  <c:v>AAPL</c:v>
                </c:pt>
                <c:pt idx="422">
                  <c:v>AAPL</c:v>
                </c:pt>
                <c:pt idx="423">
                  <c:v>AAPL</c:v>
                </c:pt>
                <c:pt idx="424">
                  <c:v>AAPL</c:v>
                </c:pt>
                <c:pt idx="425">
                  <c:v>AAPL</c:v>
                </c:pt>
                <c:pt idx="426">
                  <c:v>AAPL</c:v>
                </c:pt>
                <c:pt idx="427">
                  <c:v>AAPL</c:v>
                </c:pt>
                <c:pt idx="428">
                  <c:v>AAPL</c:v>
                </c:pt>
                <c:pt idx="429">
                  <c:v>AAPL</c:v>
                </c:pt>
                <c:pt idx="430">
                  <c:v>AAPL</c:v>
                </c:pt>
                <c:pt idx="431">
                  <c:v>AAPL</c:v>
                </c:pt>
                <c:pt idx="432">
                  <c:v>AAPL</c:v>
                </c:pt>
                <c:pt idx="433">
                  <c:v>AAPL</c:v>
                </c:pt>
                <c:pt idx="434">
                  <c:v>AAPL</c:v>
                </c:pt>
                <c:pt idx="435">
                  <c:v>AAPL</c:v>
                </c:pt>
                <c:pt idx="436">
                  <c:v>AAPL</c:v>
                </c:pt>
                <c:pt idx="437">
                  <c:v>AAPL</c:v>
                </c:pt>
                <c:pt idx="438">
                  <c:v>AAPL</c:v>
                </c:pt>
                <c:pt idx="439">
                  <c:v>AAPL</c:v>
                </c:pt>
                <c:pt idx="440">
                  <c:v>AAPL</c:v>
                </c:pt>
                <c:pt idx="441">
                  <c:v>AAPL</c:v>
                </c:pt>
                <c:pt idx="442">
                  <c:v>AAPL</c:v>
                </c:pt>
                <c:pt idx="443">
                  <c:v>AAPL</c:v>
                </c:pt>
                <c:pt idx="444">
                  <c:v>AAPL</c:v>
                </c:pt>
                <c:pt idx="445">
                  <c:v>AAPL</c:v>
                </c:pt>
                <c:pt idx="446">
                  <c:v>AAPL</c:v>
                </c:pt>
                <c:pt idx="447">
                  <c:v>AAPL</c:v>
                </c:pt>
                <c:pt idx="448">
                  <c:v>AAPL</c:v>
                </c:pt>
                <c:pt idx="449">
                  <c:v>AAPL</c:v>
                </c:pt>
                <c:pt idx="450">
                  <c:v>AAPL</c:v>
                </c:pt>
                <c:pt idx="451">
                  <c:v>AAPL</c:v>
                </c:pt>
                <c:pt idx="452">
                  <c:v>AAPL</c:v>
                </c:pt>
                <c:pt idx="453">
                  <c:v>AAPL</c:v>
                </c:pt>
                <c:pt idx="454">
                  <c:v>AAPL</c:v>
                </c:pt>
                <c:pt idx="455">
                  <c:v>AAPL</c:v>
                </c:pt>
                <c:pt idx="456">
                  <c:v>AAPL</c:v>
                </c:pt>
                <c:pt idx="457">
                  <c:v>AAPL</c:v>
                </c:pt>
                <c:pt idx="458">
                  <c:v>AAPL</c:v>
                </c:pt>
                <c:pt idx="459">
                  <c:v>AAPL</c:v>
                </c:pt>
                <c:pt idx="460">
                  <c:v>AAPL</c:v>
                </c:pt>
                <c:pt idx="461">
                  <c:v>AAPL</c:v>
                </c:pt>
                <c:pt idx="462">
                  <c:v>AAPL</c:v>
                </c:pt>
                <c:pt idx="463">
                  <c:v>AAPL</c:v>
                </c:pt>
                <c:pt idx="464">
                  <c:v>AAPL</c:v>
                </c:pt>
                <c:pt idx="465">
                  <c:v>AAPL</c:v>
                </c:pt>
                <c:pt idx="466">
                  <c:v>AAPL</c:v>
                </c:pt>
                <c:pt idx="467">
                  <c:v>AAPL</c:v>
                </c:pt>
                <c:pt idx="468">
                  <c:v>AAPL</c:v>
                </c:pt>
                <c:pt idx="469">
                  <c:v>AAPL</c:v>
                </c:pt>
                <c:pt idx="470">
                  <c:v>AAPL</c:v>
                </c:pt>
                <c:pt idx="471">
                  <c:v>AAPL</c:v>
                </c:pt>
                <c:pt idx="472">
                  <c:v>AAPL</c:v>
                </c:pt>
                <c:pt idx="473">
                  <c:v>AAPL</c:v>
                </c:pt>
                <c:pt idx="474">
                  <c:v>AAPL</c:v>
                </c:pt>
                <c:pt idx="475">
                  <c:v>AAPL</c:v>
                </c:pt>
                <c:pt idx="476">
                  <c:v>AAPL</c:v>
                </c:pt>
                <c:pt idx="477">
                  <c:v>AAPL</c:v>
                </c:pt>
                <c:pt idx="478">
                  <c:v>AAPL</c:v>
                </c:pt>
                <c:pt idx="479">
                  <c:v>AAPL</c:v>
                </c:pt>
                <c:pt idx="480">
                  <c:v>AAPL</c:v>
                </c:pt>
                <c:pt idx="481">
                  <c:v>AAPL</c:v>
                </c:pt>
                <c:pt idx="482">
                  <c:v>AAPL</c:v>
                </c:pt>
                <c:pt idx="483">
                  <c:v>AAPL</c:v>
                </c:pt>
                <c:pt idx="484">
                  <c:v>AAPL</c:v>
                </c:pt>
                <c:pt idx="485">
                  <c:v>AAPL</c:v>
                </c:pt>
                <c:pt idx="486">
                  <c:v>AAPL</c:v>
                </c:pt>
                <c:pt idx="487">
                  <c:v>AAPL</c:v>
                </c:pt>
                <c:pt idx="488">
                  <c:v>AAPL</c:v>
                </c:pt>
                <c:pt idx="489">
                  <c:v>AAPL</c:v>
                </c:pt>
                <c:pt idx="490">
                  <c:v>AAPL</c:v>
                </c:pt>
                <c:pt idx="491">
                  <c:v>AAPL</c:v>
                </c:pt>
                <c:pt idx="492">
                  <c:v>AAPL</c:v>
                </c:pt>
                <c:pt idx="493">
                  <c:v>AAPL</c:v>
                </c:pt>
                <c:pt idx="494">
                  <c:v>AAPL</c:v>
                </c:pt>
                <c:pt idx="495">
                  <c:v>AAPL</c:v>
                </c:pt>
                <c:pt idx="496">
                  <c:v>AAPL</c:v>
                </c:pt>
                <c:pt idx="497">
                  <c:v>AAPL</c:v>
                </c:pt>
                <c:pt idx="498">
                  <c:v>AAPL</c:v>
                </c:pt>
                <c:pt idx="499">
                  <c:v>AAPL</c:v>
                </c:pt>
                <c:pt idx="500">
                  <c:v>AAPL</c:v>
                </c:pt>
                <c:pt idx="501">
                  <c:v>AAPL</c:v>
                </c:pt>
                <c:pt idx="502">
                  <c:v>AAPL</c:v>
                </c:pt>
                <c:pt idx="503">
                  <c:v>AAPL</c:v>
                </c:pt>
                <c:pt idx="504">
                  <c:v>AAPL</c:v>
                </c:pt>
                <c:pt idx="505">
                  <c:v>AAPL</c:v>
                </c:pt>
                <c:pt idx="506">
                  <c:v>AAPL</c:v>
                </c:pt>
                <c:pt idx="507">
                  <c:v>AAPL</c:v>
                </c:pt>
                <c:pt idx="508">
                  <c:v>AAPL</c:v>
                </c:pt>
                <c:pt idx="509">
                  <c:v>AAPL</c:v>
                </c:pt>
                <c:pt idx="510">
                  <c:v>AAPL</c:v>
                </c:pt>
                <c:pt idx="511">
                  <c:v>AAPL</c:v>
                </c:pt>
                <c:pt idx="512">
                  <c:v>AAPL</c:v>
                </c:pt>
                <c:pt idx="513">
                  <c:v>AAPL</c:v>
                </c:pt>
                <c:pt idx="514">
                  <c:v>AAPL</c:v>
                </c:pt>
                <c:pt idx="515">
                  <c:v>AAPL</c:v>
                </c:pt>
                <c:pt idx="516">
                  <c:v>AAPL</c:v>
                </c:pt>
                <c:pt idx="517">
                  <c:v>AAPL</c:v>
                </c:pt>
                <c:pt idx="518">
                  <c:v>AAPL</c:v>
                </c:pt>
                <c:pt idx="519">
                  <c:v>AAPL</c:v>
                </c:pt>
                <c:pt idx="520">
                  <c:v>AAPL</c:v>
                </c:pt>
                <c:pt idx="521">
                  <c:v>AAPL</c:v>
                </c:pt>
                <c:pt idx="522">
                  <c:v>AAPL</c:v>
                </c:pt>
                <c:pt idx="523">
                  <c:v>AAPL</c:v>
                </c:pt>
                <c:pt idx="524">
                  <c:v>AAPL</c:v>
                </c:pt>
                <c:pt idx="525">
                  <c:v>AAPL</c:v>
                </c:pt>
                <c:pt idx="526">
                  <c:v>AAPL</c:v>
                </c:pt>
                <c:pt idx="527">
                  <c:v>AAPL</c:v>
                </c:pt>
                <c:pt idx="528">
                  <c:v>AAPL</c:v>
                </c:pt>
                <c:pt idx="529">
                  <c:v>AAPL</c:v>
                </c:pt>
                <c:pt idx="530">
                  <c:v>AAPL</c:v>
                </c:pt>
                <c:pt idx="531">
                  <c:v>AAPL</c:v>
                </c:pt>
                <c:pt idx="532">
                  <c:v>AAPL</c:v>
                </c:pt>
                <c:pt idx="533">
                  <c:v>AAPL</c:v>
                </c:pt>
                <c:pt idx="534">
                  <c:v>AAPL</c:v>
                </c:pt>
                <c:pt idx="535">
                  <c:v>AAPL</c:v>
                </c:pt>
                <c:pt idx="536">
                  <c:v>AAPL</c:v>
                </c:pt>
                <c:pt idx="537">
                  <c:v>AAPL</c:v>
                </c:pt>
                <c:pt idx="538">
                  <c:v>AAPL</c:v>
                </c:pt>
                <c:pt idx="539">
                  <c:v>AAPL</c:v>
                </c:pt>
                <c:pt idx="540">
                  <c:v>AAPL</c:v>
                </c:pt>
                <c:pt idx="541">
                  <c:v>AAPL</c:v>
                </c:pt>
                <c:pt idx="542">
                  <c:v>AAPL</c:v>
                </c:pt>
                <c:pt idx="543">
                  <c:v>AAPL</c:v>
                </c:pt>
                <c:pt idx="544">
                  <c:v>AAPL</c:v>
                </c:pt>
                <c:pt idx="545">
                  <c:v>AAPL</c:v>
                </c:pt>
                <c:pt idx="546">
                  <c:v>AAPL</c:v>
                </c:pt>
                <c:pt idx="547">
                  <c:v>AAPL</c:v>
                </c:pt>
                <c:pt idx="548">
                  <c:v>AAPL</c:v>
                </c:pt>
                <c:pt idx="549">
                  <c:v>AAPL</c:v>
                </c:pt>
                <c:pt idx="550">
                  <c:v>AAPL</c:v>
                </c:pt>
                <c:pt idx="551">
                  <c:v>AAPL</c:v>
                </c:pt>
                <c:pt idx="552">
                  <c:v>AAPL</c:v>
                </c:pt>
                <c:pt idx="553">
                  <c:v>AAPL</c:v>
                </c:pt>
                <c:pt idx="554">
                  <c:v>AAPL</c:v>
                </c:pt>
                <c:pt idx="555">
                  <c:v>AAPL</c:v>
                </c:pt>
                <c:pt idx="556">
                  <c:v>AAPL</c:v>
                </c:pt>
                <c:pt idx="557">
                  <c:v>AAPL</c:v>
                </c:pt>
                <c:pt idx="558">
                  <c:v>AAPL</c:v>
                </c:pt>
                <c:pt idx="559">
                  <c:v>AAPL</c:v>
                </c:pt>
                <c:pt idx="560">
                  <c:v>AAPL</c:v>
                </c:pt>
                <c:pt idx="561">
                  <c:v>AAPL</c:v>
                </c:pt>
                <c:pt idx="562">
                  <c:v>AAPL</c:v>
                </c:pt>
                <c:pt idx="563">
                  <c:v>AAPL</c:v>
                </c:pt>
                <c:pt idx="564">
                  <c:v>AAPL</c:v>
                </c:pt>
                <c:pt idx="565">
                  <c:v>AAPL</c:v>
                </c:pt>
                <c:pt idx="566">
                  <c:v>AAPL</c:v>
                </c:pt>
                <c:pt idx="567">
                  <c:v>AAPL</c:v>
                </c:pt>
                <c:pt idx="568">
                  <c:v>AAPL</c:v>
                </c:pt>
                <c:pt idx="569">
                  <c:v>AAPL</c:v>
                </c:pt>
                <c:pt idx="570">
                  <c:v>AAPL</c:v>
                </c:pt>
                <c:pt idx="571">
                  <c:v>AAPL</c:v>
                </c:pt>
                <c:pt idx="572">
                  <c:v>AAPL</c:v>
                </c:pt>
                <c:pt idx="573">
                  <c:v>AAPL</c:v>
                </c:pt>
                <c:pt idx="574">
                  <c:v>AAPL</c:v>
                </c:pt>
                <c:pt idx="575">
                  <c:v>AAPL</c:v>
                </c:pt>
                <c:pt idx="576">
                  <c:v>AAPL</c:v>
                </c:pt>
                <c:pt idx="577">
                  <c:v>AAPL</c:v>
                </c:pt>
                <c:pt idx="578">
                  <c:v>AAPL</c:v>
                </c:pt>
                <c:pt idx="579">
                  <c:v>AAPL</c:v>
                </c:pt>
                <c:pt idx="580">
                  <c:v>AAPL</c:v>
                </c:pt>
                <c:pt idx="581">
                  <c:v>AAPL</c:v>
                </c:pt>
                <c:pt idx="582">
                  <c:v>AAPL</c:v>
                </c:pt>
                <c:pt idx="583">
                  <c:v>AAPL</c:v>
                </c:pt>
                <c:pt idx="584">
                  <c:v>AAPL</c:v>
                </c:pt>
                <c:pt idx="585">
                  <c:v>AAPL</c:v>
                </c:pt>
                <c:pt idx="586">
                  <c:v>AAPL</c:v>
                </c:pt>
                <c:pt idx="587">
                  <c:v>AAPL</c:v>
                </c:pt>
                <c:pt idx="588">
                  <c:v>AAPL</c:v>
                </c:pt>
                <c:pt idx="589">
                  <c:v>AAPL</c:v>
                </c:pt>
                <c:pt idx="590">
                  <c:v>AAPL</c:v>
                </c:pt>
                <c:pt idx="591">
                  <c:v>AAPL</c:v>
                </c:pt>
                <c:pt idx="592">
                  <c:v>AAPL</c:v>
                </c:pt>
                <c:pt idx="593">
                  <c:v>AAPL</c:v>
                </c:pt>
                <c:pt idx="594">
                  <c:v>AAPL</c:v>
                </c:pt>
                <c:pt idx="595">
                  <c:v>AAPL</c:v>
                </c:pt>
                <c:pt idx="596">
                  <c:v>AAPL</c:v>
                </c:pt>
                <c:pt idx="597">
                  <c:v>AAPL</c:v>
                </c:pt>
                <c:pt idx="598">
                  <c:v>AAPL</c:v>
                </c:pt>
                <c:pt idx="599">
                  <c:v>AAPL</c:v>
                </c:pt>
                <c:pt idx="600">
                  <c:v>AAPL</c:v>
                </c:pt>
                <c:pt idx="601">
                  <c:v>AAPL</c:v>
                </c:pt>
                <c:pt idx="602">
                  <c:v>AAPL</c:v>
                </c:pt>
                <c:pt idx="603">
                  <c:v>AAPL</c:v>
                </c:pt>
                <c:pt idx="604">
                  <c:v>AAPL</c:v>
                </c:pt>
                <c:pt idx="605">
                  <c:v>AAPL</c:v>
                </c:pt>
                <c:pt idx="606">
                  <c:v>AAPL</c:v>
                </c:pt>
                <c:pt idx="607">
                  <c:v>AAPL</c:v>
                </c:pt>
                <c:pt idx="608">
                  <c:v>AAPL</c:v>
                </c:pt>
                <c:pt idx="609">
                  <c:v>AAPL</c:v>
                </c:pt>
                <c:pt idx="610">
                  <c:v>AAPL</c:v>
                </c:pt>
                <c:pt idx="611">
                  <c:v>AAPL</c:v>
                </c:pt>
                <c:pt idx="612">
                  <c:v>AAPL</c:v>
                </c:pt>
                <c:pt idx="613">
                  <c:v>AAPL</c:v>
                </c:pt>
                <c:pt idx="614">
                  <c:v>AAPL</c:v>
                </c:pt>
                <c:pt idx="615">
                  <c:v>AAPL</c:v>
                </c:pt>
                <c:pt idx="616">
                  <c:v>AAPL</c:v>
                </c:pt>
                <c:pt idx="617">
                  <c:v>AAPL</c:v>
                </c:pt>
                <c:pt idx="618">
                  <c:v>AAPL</c:v>
                </c:pt>
                <c:pt idx="619">
                  <c:v>AAPL</c:v>
                </c:pt>
                <c:pt idx="620">
                  <c:v>AAPL</c:v>
                </c:pt>
                <c:pt idx="621">
                  <c:v>AAPL</c:v>
                </c:pt>
                <c:pt idx="622">
                  <c:v>AAPL</c:v>
                </c:pt>
                <c:pt idx="623">
                  <c:v>AAPL</c:v>
                </c:pt>
                <c:pt idx="624">
                  <c:v>AAPL</c:v>
                </c:pt>
                <c:pt idx="625">
                  <c:v>AAPL</c:v>
                </c:pt>
                <c:pt idx="626">
                  <c:v>AAPL</c:v>
                </c:pt>
                <c:pt idx="627">
                  <c:v>AAPL</c:v>
                </c:pt>
                <c:pt idx="628">
                  <c:v>AAPL</c:v>
                </c:pt>
                <c:pt idx="629">
                  <c:v>AAPL</c:v>
                </c:pt>
                <c:pt idx="630">
                  <c:v>AAPL</c:v>
                </c:pt>
                <c:pt idx="631">
                  <c:v>AAPL</c:v>
                </c:pt>
                <c:pt idx="632">
                  <c:v>AAPL</c:v>
                </c:pt>
                <c:pt idx="633">
                  <c:v>AAPL</c:v>
                </c:pt>
                <c:pt idx="634">
                  <c:v>AAPL</c:v>
                </c:pt>
                <c:pt idx="635">
                  <c:v>AAPL</c:v>
                </c:pt>
                <c:pt idx="636">
                  <c:v>AAPL</c:v>
                </c:pt>
                <c:pt idx="637">
                  <c:v>AAPL</c:v>
                </c:pt>
                <c:pt idx="638">
                  <c:v>AAPL</c:v>
                </c:pt>
                <c:pt idx="639">
                  <c:v>AAPL</c:v>
                </c:pt>
                <c:pt idx="640">
                  <c:v>AAPL</c:v>
                </c:pt>
                <c:pt idx="641">
                  <c:v>AAPL</c:v>
                </c:pt>
                <c:pt idx="642">
                  <c:v>AAPL</c:v>
                </c:pt>
                <c:pt idx="643">
                  <c:v>AAPL</c:v>
                </c:pt>
                <c:pt idx="644">
                  <c:v>AAPL</c:v>
                </c:pt>
                <c:pt idx="645">
                  <c:v>AAPL</c:v>
                </c:pt>
                <c:pt idx="646">
                  <c:v>AAPL</c:v>
                </c:pt>
                <c:pt idx="647">
                  <c:v>AAPL</c:v>
                </c:pt>
                <c:pt idx="648">
                  <c:v>AAPL</c:v>
                </c:pt>
                <c:pt idx="649">
                  <c:v>AAPL</c:v>
                </c:pt>
                <c:pt idx="650">
                  <c:v>AAPL</c:v>
                </c:pt>
                <c:pt idx="651">
                  <c:v>AAPL</c:v>
                </c:pt>
                <c:pt idx="652">
                  <c:v>AAPL</c:v>
                </c:pt>
                <c:pt idx="653">
                  <c:v>AAPL</c:v>
                </c:pt>
                <c:pt idx="654">
                  <c:v>AAPL</c:v>
                </c:pt>
                <c:pt idx="655">
                  <c:v>AAPL</c:v>
                </c:pt>
                <c:pt idx="656">
                  <c:v>AAPL</c:v>
                </c:pt>
                <c:pt idx="657">
                  <c:v>AAPL</c:v>
                </c:pt>
                <c:pt idx="658">
                  <c:v>AAPL</c:v>
                </c:pt>
                <c:pt idx="659">
                  <c:v>AAPL</c:v>
                </c:pt>
                <c:pt idx="660">
                  <c:v>AAPL</c:v>
                </c:pt>
                <c:pt idx="661">
                  <c:v>AAPL</c:v>
                </c:pt>
                <c:pt idx="662">
                  <c:v>AAPL</c:v>
                </c:pt>
                <c:pt idx="663">
                  <c:v>AAPL</c:v>
                </c:pt>
                <c:pt idx="664">
                  <c:v>AAPL</c:v>
                </c:pt>
                <c:pt idx="665">
                  <c:v>AAPL</c:v>
                </c:pt>
                <c:pt idx="666">
                  <c:v>AAPL</c:v>
                </c:pt>
                <c:pt idx="667">
                  <c:v>AAPL</c:v>
                </c:pt>
                <c:pt idx="668">
                  <c:v>AAPL</c:v>
                </c:pt>
                <c:pt idx="669">
                  <c:v>AAPL</c:v>
                </c:pt>
                <c:pt idx="670">
                  <c:v>AAPL</c:v>
                </c:pt>
                <c:pt idx="671">
                  <c:v>AAPL</c:v>
                </c:pt>
                <c:pt idx="672">
                  <c:v>AAPL</c:v>
                </c:pt>
                <c:pt idx="673">
                  <c:v>AAPL</c:v>
                </c:pt>
                <c:pt idx="674">
                  <c:v>AAPL</c:v>
                </c:pt>
                <c:pt idx="675">
                  <c:v>AAPL</c:v>
                </c:pt>
                <c:pt idx="676">
                  <c:v>AAPL</c:v>
                </c:pt>
                <c:pt idx="677">
                  <c:v>AAPL</c:v>
                </c:pt>
                <c:pt idx="678">
                  <c:v>AAPL</c:v>
                </c:pt>
                <c:pt idx="679">
                  <c:v>AAPL</c:v>
                </c:pt>
                <c:pt idx="680">
                  <c:v>AAPL</c:v>
                </c:pt>
                <c:pt idx="681">
                  <c:v>AAPL</c:v>
                </c:pt>
                <c:pt idx="682">
                  <c:v>AAPL</c:v>
                </c:pt>
                <c:pt idx="683">
                  <c:v>AAPL</c:v>
                </c:pt>
                <c:pt idx="684">
                  <c:v>AAPL</c:v>
                </c:pt>
                <c:pt idx="685">
                  <c:v>AAPL</c:v>
                </c:pt>
                <c:pt idx="686">
                  <c:v>AAPL</c:v>
                </c:pt>
                <c:pt idx="687">
                  <c:v>AAPL</c:v>
                </c:pt>
                <c:pt idx="688">
                  <c:v>AAPL</c:v>
                </c:pt>
                <c:pt idx="689">
                  <c:v>AAPL</c:v>
                </c:pt>
                <c:pt idx="690">
                  <c:v>AAPL</c:v>
                </c:pt>
                <c:pt idx="691">
                  <c:v>AAPL</c:v>
                </c:pt>
                <c:pt idx="692">
                  <c:v>AAPL</c:v>
                </c:pt>
                <c:pt idx="693">
                  <c:v>AAPL</c:v>
                </c:pt>
                <c:pt idx="694">
                  <c:v>AAPL</c:v>
                </c:pt>
                <c:pt idx="695">
                  <c:v>AAPL</c:v>
                </c:pt>
                <c:pt idx="696">
                  <c:v>AAPL</c:v>
                </c:pt>
                <c:pt idx="697">
                  <c:v>AAPL</c:v>
                </c:pt>
                <c:pt idx="698">
                  <c:v>AAPL</c:v>
                </c:pt>
                <c:pt idx="699">
                  <c:v>AAPL</c:v>
                </c:pt>
                <c:pt idx="700">
                  <c:v>AAPL</c:v>
                </c:pt>
                <c:pt idx="701">
                  <c:v>AAPL</c:v>
                </c:pt>
                <c:pt idx="702">
                  <c:v>AAPL</c:v>
                </c:pt>
                <c:pt idx="703">
                  <c:v>AAPL</c:v>
                </c:pt>
                <c:pt idx="704">
                  <c:v>AAPL</c:v>
                </c:pt>
                <c:pt idx="705">
                  <c:v>AAPL</c:v>
                </c:pt>
                <c:pt idx="706">
                  <c:v>AAPL</c:v>
                </c:pt>
                <c:pt idx="707">
                  <c:v>AAPL</c:v>
                </c:pt>
                <c:pt idx="708">
                  <c:v>AAPL</c:v>
                </c:pt>
                <c:pt idx="709">
                  <c:v>AAPL</c:v>
                </c:pt>
                <c:pt idx="710">
                  <c:v>AAPL</c:v>
                </c:pt>
                <c:pt idx="711">
                  <c:v>AAPL</c:v>
                </c:pt>
                <c:pt idx="712">
                  <c:v>AAPL</c:v>
                </c:pt>
                <c:pt idx="713">
                  <c:v>AAPL</c:v>
                </c:pt>
                <c:pt idx="714">
                  <c:v>AAPL</c:v>
                </c:pt>
                <c:pt idx="715">
                  <c:v>AAPL</c:v>
                </c:pt>
                <c:pt idx="716">
                  <c:v>AAPL</c:v>
                </c:pt>
                <c:pt idx="717">
                  <c:v>AAPL</c:v>
                </c:pt>
                <c:pt idx="718">
                  <c:v>AAPL</c:v>
                </c:pt>
                <c:pt idx="719">
                  <c:v>AAPL</c:v>
                </c:pt>
                <c:pt idx="720">
                  <c:v>AAPL</c:v>
                </c:pt>
                <c:pt idx="721">
                  <c:v>AAPL</c:v>
                </c:pt>
                <c:pt idx="722">
                  <c:v>AAPL</c:v>
                </c:pt>
                <c:pt idx="723">
                  <c:v>AAPL</c:v>
                </c:pt>
                <c:pt idx="724">
                  <c:v>AAPL</c:v>
                </c:pt>
                <c:pt idx="725">
                  <c:v>AAPL</c:v>
                </c:pt>
                <c:pt idx="726">
                  <c:v>AAPL</c:v>
                </c:pt>
                <c:pt idx="727">
                  <c:v>AAPL</c:v>
                </c:pt>
                <c:pt idx="728">
                  <c:v>AAPL</c:v>
                </c:pt>
                <c:pt idx="729">
                  <c:v>AAPL</c:v>
                </c:pt>
                <c:pt idx="730">
                  <c:v>AAPL</c:v>
                </c:pt>
                <c:pt idx="731">
                  <c:v>AAPL</c:v>
                </c:pt>
                <c:pt idx="732">
                  <c:v>AAPL</c:v>
                </c:pt>
                <c:pt idx="733">
                  <c:v>AAPL</c:v>
                </c:pt>
                <c:pt idx="734">
                  <c:v>AAPL</c:v>
                </c:pt>
                <c:pt idx="735">
                  <c:v>AAPL</c:v>
                </c:pt>
                <c:pt idx="736">
                  <c:v>AAPL</c:v>
                </c:pt>
                <c:pt idx="737">
                  <c:v>AAPL</c:v>
                </c:pt>
                <c:pt idx="738">
                  <c:v>AAPL</c:v>
                </c:pt>
                <c:pt idx="739">
                  <c:v>AAPL</c:v>
                </c:pt>
                <c:pt idx="740">
                  <c:v>AAPL</c:v>
                </c:pt>
                <c:pt idx="741">
                  <c:v>AAPL</c:v>
                </c:pt>
                <c:pt idx="742">
                  <c:v>AAPL</c:v>
                </c:pt>
                <c:pt idx="743">
                  <c:v>AAPL</c:v>
                </c:pt>
                <c:pt idx="744">
                  <c:v>AAPL</c:v>
                </c:pt>
                <c:pt idx="745">
                  <c:v>AAPL</c:v>
                </c:pt>
                <c:pt idx="746">
                  <c:v>AAPL</c:v>
                </c:pt>
                <c:pt idx="747">
                  <c:v>AAPL</c:v>
                </c:pt>
                <c:pt idx="748">
                  <c:v>AAPL</c:v>
                </c:pt>
                <c:pt idx="749">
                  <c:v>AAPL</c:v>
                </c:pt>
                <c:pt idx="750">
                  <c:v>AAPL</c:v>
                </c:pt>
                <c:pt idx="751">
                  <c:v>AAPL</c:v>
                </c:pt>
                <c:pt idx="752">
                  <c:v>AAPL</c:v>
                </c:pt>
                <c:pt idx="753">
                  <c:v>AAPL</c:v>
                </c:pt>
                <c:pt idx="754">
                  <c:v>AAPL</c:v>
                </c:pt>
                <c:pt idx="755">
                  <c:v>AAPL</c:v>
                </c:pt>
                <c:pt idx="756">
                  <c:v>AAPL</c:v>
                </c:pt>
                <c:pt idx="757">
                  <c:v>AAPL</c:v>
                </c:pt>
                <c:pt idx="758">
                  <c:v>AAPL</c:v>
                </c:pt>
                <c:pt idx="759">
                  <c:v>AAPL</c:v>
                </c:pt>
                <c:pt idx="760">
                  <c:v>AAPL</c:v>
                </c:pt>
                <c:pt idx="761">
                  <c:v>AAPL</c:v>
                </c:pt>
                <c:pt idx="762">
                  <c:v>AAPL</c:v>
                </c:pt>
                <c:pt idx="763">
                  <c:v>AAPL</c:v>
                </c:pt>
                <c:pt idx="764">
                  <c:v>AAPL</c:v>
                </c:pt>
                <c:pt idx="765">
                  <c:v>AAPL</c:v>
                </c:pt>
                <c:pt idx="766">
                  <c:v>AAPL</c:v>
                </c:pt>
                <c:pt idx="767">
                  <c:v>AAPL</c:v>
                </c:pt>
                <c:pt idx="768">
                  <c:v>AAPL</c:v>
                </c:pt>
                <c:pt idx="769">
                  <c:v>AAPL</c:v>
                </c:pt>
                <c:pt idx="770">
                  <c:v>AAPL</c:v>
                </c:pt>
                <c:pt idx="771">
                  <c:v>AAPL</c:v>
                </c:pt>
                <c:pt idx="772">
                  <c:v>AAPL</c:v>
                </c:pt>
                <c:pt idx="773">
                  <c:v>AAPL</c:v>
                </c:pt>
                <c:pt idx="774">
                  <c:v>AAPL</c:v>
                </c:pt>
                <c:pt idx="775">
                  <c:v>AAPL</c:v>
                </c:pt>
                <c:pt idx="776">
                  <c:v>AAPL</c:v>
                </c:pt>
                <c:pt idx="777">
                  <c:v>AAPL</c:v>
                </c:pt>
                <c:pt idx="778">
                  <c:v>AAPL</c:v>
                </c:pt>
                <c:pt idx="779">
                  <c:v>AAPL</c:v>
                </c:pt>
                <c:pt idx="780">
                  <c:v>AAPL</c:v>
                </c:pt>
                <c:pt idx="781">
                  <c:v>AAPL</c:v>
                </c:pt>
                <c:pt idx="782">
                  <c:v>AAPL</c:v>
                </c:pt>
                <c:pt idx="783">
                  <c:v>AAPL</c:v>
                </c:pt>
                <c:pt idx="784">
                  <c:v>AAPL</c:v>
                </c:pt>
                <c:pt idx="785">
                  <c:v>AAPL</c:v>
                </c:pt>
                <c:pt idx="786">
                  <c:v>AAPL</c:v>
                </c:pt>
                <c:pt idx="787">
                  <c:v>AAPL</c:v>
                </c:pt>
                <c:pt idx="788">
                  <c:v>AAPL</c:v>
                </c:pt>
                <c:pt idx="789">
                  <c:v>AAPL</c:v>
                </c:pt>
                <c:pt idx="790">
                  <c:v>AAPL</c:v>
                </c:pt>
                <c:pt idx="791">
                  <c:v>AAPL</c:v>
                </c:pt>
                <c:pt idx="792">
                  <c:v>AAPL</c:v>
                </c:pt>
                <c:pt idx="793">
                  <c:v>AAPL</c:v>
                </c:pt>
                <c:pt idx="794">
                  <c:v>AAPL</c:v>
                </c:pt>
                <c:pt idx="795">
                  <c:v>AAPL</c:v>
                </c:pt>
                <c:pt idx="796">
                  <c:v>AAPL</c:v>
                </c:pt>
                <c:pt idx="797">
                  <c:v>AAPL</c:v>
                </c:pt>
                <c:pt idx="798">
                  <c:v>AAPL</c:v>
                </c:pt>
                <c:pt idx="799">
                  <c:v>AAPL</c:v>
                </c:pt>
                <c:pt idx="800">
                  <c:v>AAPL</c:v>
                </c:pt>
                <c:pt idx="801">
                  <c:v>AAPL</c:v>
                </c:pt>
                <c:pt idx="802">
                  <c:v>AAPL</c:v>
                </c:pt>
                <c:pt idx="803">
                  <c:v>AAPL</c:v>
                </c:pt>
                <c:pt idx="804">
                  <c:v>AAPL</c:v>
                </c:pt>
                <c:pt idx="805">
                  <c:v>AAPL</c:v>
                </c:pt>
                <c:pt idx="806">
                  <c:v>AAPL</c:v>
                </c:pt>
                <c:pt idx="807">
                  <c:v>AAPL</c:v>
                </c:pt>
                <c:pt idx="808">
                  <c:v>AAPL</c:v>
                </c:pt>
                <c:pt idx="809">
                  <c:v>AAPL</c:v>
                </c:pt>
                <c:pt idx="810">
                  <c:v>AAPL</c:v>
                </c:pt>
                <c:pt idx="811">
                  <c:v>AAPL</c:v>
                </c:pt>
                <c:pt idx="812">
                  <c:v>AAPL</c:v>
                </c:pt>
                <c:pt idx="813">
                  <c:v>AAPL</c:v>
                </c:pt>
                <c:pt idx="814">
                  <c:v>AAPL</c:v>
                </c:pt>
                <c:pt idx="815">
                  <c:v>AAPL</c:v>
                </c:pt>
                <c:pt idx="816">
                  <c:v>AAPL</c:v>
                </c:pt>
                <c:pt idx="817">
                  <c:v>AAPL</c:v>
                </c:pt>
                <c:pt idx="818">
                  <c:v>AAPL</c:v>
                </c:pt>
                <c:pt idx="819">
                  <c:v>AAPL</c:v>
                </c:pt>
                <c:pt idx="820">
                  <c:v>AAPL</c:v>
                </c:pt>
                <c:pt idx="821">
                  <c:v>AAPL</c:v>
                </c:pt>
                <c:pt idx="822">
                  <c:v>AAPL</c:v>
                </c:pt>
                <c:pt idx="823">
                  <c:v>AAPL</c:v>
                </c:pt>
                <c:pt idx="824">
                  <c:v>AAPL</c:v>
                </c:pt>
                <c:pt idx="825">
                  <c:v>AAPL</c:v>
                </c:pt>
                <c:pt idx="826">
                  <c:v>AAPL</c:v>
                </c:pt>
                <c:pt idx="827">
                  <c:v>AAPL</c:v>
                </c:pt>
                <c:pt idx="828">
                  <c:v>AAPL</c:v>
                </c:pt>
                <c:pt idx="829">
                  <c:v>AAPL</c:v>
                </c:pt>
                <c:pt idx="830">
                  <c:v>AAPL</c:v>
                </c:pt>
                <c:pt idx="831">
                  <c:v>AAPL</c:v>
                </c:pt>
                <c:pt idx="832">
                  <c:v>AAPL</c:v>
                </c:pt>
                <c:pt idx="833">
                  <c:v>AAPL</c:v>
                </c:pt>
                <c:pt idx="834">
                  <c:v>AAPL</c:v>
                </c:pt>
                <c:pt idx="835">
                  <c:v>AAPL</c:v>
                </c:pt>
                <c:pt idx="836">
                  <c:v>AAPL</c:v>
                </c:pt>
                <c:pt idx="837">
                  <c:v>AAPL</c:v>
                </c:pt>
                <c:pt idx="838">
                  <c:v>AAPL</c:v>
                </c:pt>
                <c:pt idx="839">
                  <c:v>AAPL</c:v>
                </c:pt>
                <c:pt idx="840">
                  <c:v>AAPL</c:v>
                </c:pt>
                <c:pt idx="841">
                  <c:v>AAPL</c:v>
                </c:pt>
                <c:pt idx="842">
                  <c:v>AAPL</c:v>
                </c:pt>
                <c:pt idx="843">
                  <c:v>AAPL</c:v>
                </c:pt>
                <c:pt idx="844">
                  <c:v>AAPL</c:v>
                </c:pt>
                <c:pt idx="845">
                  <c:v>AAPL</c:v>
                </c:pt>
                <c:pt idx="846">
                  <c:v>AAPL</c:v>
                </c:pt>
                <c:pt idx="847">
                  <c:v>AAPL</c:v>
                </c:pt>
                <c:pt idx="848">
                  <c:v>AAPL</c:v>
                </c:pt>
                <c:pt idx="849">
                  <c:v>AAPL</c:v>
                </c:pt>
                <c:pt idx="850">
                  <c:v>AAPL</c:v>
                </c:pt>
                <c:pt idx="851">
                  <c:v>AAPL</c:v>
                </c:pt>
                <c:pt idx="852">
                  <c:v>AAPL</c:v>
                </c:pt>
                <c:pt idx="853">
                  <c:v>AAPL</c:v>
                </c:pt>
                <c:pt idx="854">
                  <c:v>AAPL</c:v>
                </c:pt>
                <c:pt idx="855">
                  <c:v>AAPL</c:v>
                </c:pt>
                <c:pt idx="856">
                  <c:v>AAPL</c:v>
                </c:pt>
                <c:pt idx="857">
                  <c:v>AAPL</c:v>
                </c:pt>
                <c:pt idx="858">
                  <c:v>AAPL</c:v>
                </c:pt>
                <c:pt idx="859">
                  <c:v>AAPL</c:v>
                </c:pt>
                <c:pt idx="860">
                  <c:v>AAPL</c:v>
                </c:pt>
                <c:pt idx="861">
                  <c:v>AAPL</c:v>
                </c:pt>
                <c:pt idx="862">
                  <c:v>AAPL</c:v>
                </c:pt>
                <c:pt idx="863">
                  <c:v>AAPL</c:v>
                </c:pt>
                <c:pt idx="864">
                  <c:v>AAPL</c:v>
                </c:pt>
                <c:pt idx="865">
                  <c:v>AAPL</c:v>
                </c:pt>
                <c:pt idx="866">
                  <c:v>AAPL</c:v>
                </c:pt>
                <c:pt idx="867">
                  <c:v>AAPL</c:v>
                </c:pt>
                <c:pt idx="868">
                  <c:v>AAPL</c:v>
                </c:pt>
                <c:pt idx="869">
                  <c:v>AAPL</c:v>
                </c:pt>
                <c:pt idx="870">
                  <c:v>AAPL</c:v>
                </c:pt>
                <c:pt idx="871">
                  <c:v>AAPL</c:v>
                </c:pt>
                <c:pt idx="872">
                  <c:v>AAPL</c:v>
                </c:pt>
                <c:pt idx="873">
                  <c:v>AAPL</c:v>
                </c:pt>
                <c:pt idx="874">
                  <c:v>AAPL</c:v>
                </c:pt>
                <c:pt idx="875">
                  <c:v>AAPL</c:v>
                </c:pt>
                <c:pt idx="876">
                  <c:v>AAPL</c:v>
                </c:pt>
                <c:pt idx="877">
                  <c:v>AAPL</c:v>
                </c:pt>
                <c:pt idx="878">
                  <c:v>AAPL</c:v>
                </c:pt>
                <c:pt idx="879">
                  <c:v>AAPL</c:v>
                </c:pt>
                <c:pt idx="880">
                  <c:v>AAPL</c:v>
                </c:pt>
                <c:pt idx="881">
                  <c:v>AAPL</c:v>
                </c:pt>
                <c:pt idx="882">
                  <c:v>AAPL</c:v>
                </c:pt>
                <c:pt idx="883">
                  <c:v>AAPL</c:v>
                </c:pt>
                <c:pt idx="884">
                  <c:v>AAPL</c:v>
                </c:pt>
                <c:pt idx="885">
                  <c:v>AAPL</c:v>
                </c:pt>
                <c:pt idx="886">
                  <c:v>AAPL</c:v>
                </c:pt>
                <c:pt idx="887">
                  <c:v>AAPL</c:v>
                </c:pt>
                <c:pt idx="888">
                  <c:v>AAPL</c:v>
                </c:pt>
                <c:pt idx="889">
                  <c:v>AAPL</c:v>
                </c:pt>
                <c:pt idx="890">
                  <c:v>AAPL</c:v>
                </c:pt>
                <c:pt idx="891">
                  <c:v>AAPL</c:v>
                </c:pt>
                <c:pt idx="892">
                  <c:v>AAPL</c:v>
                </c:pt>
                <c:pt idx="893">
                  <c:v>AAPL</c:v>
                </c:pt>
                <c:pt idx="894">
                  <c:v>AAPL</c:v>
                </c:pt>
                <c:pt idx="895">
                  <c:v>AAPL</c:v>
                </c:pt>
                <c:pt idx="896">
                  <c:v>AAPL</c:v>
                </c:pt>
                <c:pt idx="897">
                  <c:v>AAPL</c:v>
                </c:pt>
                <c:pt idx="898">
                  <c:v>AAPL</c:v>
                </c:pt>
                <c:pt idx="899">
                  <c:v>AAPL</c:v>
                </c:pt>
                <c:pt idx="900">
                  <c:v>AAPL</c:v>
                </c:pt>
                <c:pt idx="901">
                  <c:v>AAPL</c:v>
                </c:pt>
                <c:pt idx="902">
                  <c:v>AAPL</c:v>
                </c:pt>
                <c:pt idx="903">
                  <c:v>AAPL</c:v>
                </c:pt>
                <c:pt idx="904">
                  <c:v>AAPL</c:v>
                </c:pt>
                <c:pt idx="905">
                  <c:v>AAPL</c:v>
                </c:pt>
                <c:pt idx="906">
                  <c:v>AAPL</c:v>
                </c:pt>
                <c:pt idx="907">
                  <c:v>AAPL</c:v>
                </c:pt>
                <c:pt idx="908">
                  <c:v>AAPL</c:v>
                </c:pt>
                <c:pt idx="909">
                  <c:v>AAPL</c:v>
                </c:pt>
                <c:pt idx="910">
                  <c:v>AAPL</c:v>
                </c:pt>
                <c:pt idx="911">
                  <c:v>AAPL</c:v>
                </c:pt>
                <c:pt idx="912">
                  <c:v>AAPL</c:v>
                </c:pt>
                <c:pt idx="913">
                  <c:v>AAPL</c:v>
                </c:pt>
                <c:pt idx="914">
                  <c:v>AAPL</c:v>
                </c:pt>
                <c:pt idx="915">
                  <c:v>AAPL</c:v>
                </c:pt>
                <c:pt idx="916">
                  <c:v>AAPL</c:v>
                </c:pt>
                <c:pt idx="917">
                  <c:v>AAPL</c:v>
                </c:pt>
                <c:pt idx="918">
                  <c:v>AAPL</c:v>
                </c:pt>
                <c:pt idx="919">
                  <c:v>AAPL</c:v>
                </c:pt>
                <c:pt idx="920">
                  <c:v>AAPL</c:v>
                </c:pt>
                <c:pt idx="921">
                  <c:v>AAPL</c:v>
                </c:pt>
                <c:pt idx="922">
                  <c:v>AAPL</c:v>
                </c:pt>
                <c:pt idx="923">
                  <c:v>AAPL</c:v>
                </c:pt>
                <c:pt idx="924">
                  <c:v>AAPL</c:v>
                </c:pt>
                <c:pt idx="925">
                  <c:v>AAPL</c:v>
                </c:pt>
                <c:pt idx="926">
                  <c:v>AAPL</c:v>
                </c:pt>
                <c:pt idx="927">
                  <c:v>AAPL</c:v>
                </c:pt>
                <c:pt idx="928">
                  <c:v>AAPL</c:v>
                </c:pt>
                <c:pt idx="929">
                  <c:v>AAPL</c:v>
                </c:pt>
                <c:pt idx="930">
                  <c:v>AAPL</c:v>
                </c:pt>
                <c:pt idx="931">
                  <c:v>AAPL</c:v>
                </c:pt>
                <c:pt idx="932">
                  <c:v>AAPL</c:v>
                </c:pt>
                <c:pt idx="933">
                  <c:v>AAPL</c:v>
                </c:pt>
                <c:pt idx="934">
                  <c:v>AAPL</c:v>
                </c:pt>
                <c:pt idx="935">
                  <c:v>AAPL</c:v>
                </c:pt>
                <c:pt idx="936">
                  <c:v>AAPL</c:v>
                </c:pt>
                <c:pt idx="937">
                  <c:v>AAPL</c:v>
                </c:pt>
                <c:pt idx="938">
                  <c:v>AAPL</c:v>
                </c:pt>
                <c:pt idx="939">
                  <c:v>AAPL</c:v>
                </c:pt>
                <c:pt idx="940">
                  <c:v>AAPL</c:v>
                </c:pt>
                <c:pt idx="941">
                  <c:v>AAPL</c:v>
                </c:pt>
                <c:pt idx="942">
                  <c:v>AAPL</c:v>
                </c:pt>
                <c:pt idx="943">
                  <c:v>AAPL</c:v>
                </c:pt>
                <c:pt idx="944">
                  <c:v>AAPL</c:v>
                </c:pt>
                <c:pt idx="945">
                  <c:v>AAPL</c:v>
                </c:pt>
                <c:pt idx="946">
                  <c:v>AAPL</c:v>
                </c:pt>
                <c:pt idx="947">
                  <c:v>AAPL</c:v>
                </c:pt>
                <c:pt idx="948">
                  <c:v>AAPL</c:v>
                </c:pt>
                <c:pt idx="949">
                  <c:v>AAPL</c:v>
                </c:pt>
                <c:pt idx="950">
                  <c:v>AAPL</c:v>
                </c:pt>
                <c:pt idx="951">
                  <c:v>AAPL</c:v>
                </c:pt>
                <c:pt idx="952">
                  <c:v>AAPL</c:v>
                </c:pt>
                <c:pt idx="953">
                  <c:v>AAPL</c:v>
                </c:pt>
                <c:pt idx="954">
                  <c:v>AAPL</c:v>
                </c:pt>
                <c:pt idx="955">
                  <c:v>AAPL</c:v>
                </c:pt>
                <c:pt idx="956">
                  <c:v>AAPL</c:v>
                </c:pt>
                <c:pt idx="957">
                  <c:v>AAPL</c:v>
                </c:pt>
                <c:pt idx="958">
                  <c:v>AAPL</c:v>
                </c:pt>
                <c:pt idx="959">
                  <c:v>AAPL</c:v>
                </c:pt>
                <c:pt idx="960">
                  <c:v>AAPL</c:v>
                </c:pt>
                <c:pt idx="961">
                  <c:v>AAPL</c:v>
                </c:pt>
                <c:pt idx="962">
                  <c:v>AAPL</c:v>
                </c:pt>
                <c:pt idx="963">
                  <c:v>AAPL</c:v>
                </c:pt>
                <c:pt idx="964">
                  <c:v>AAPL</c:v>
                </c:pt>
                <c:pt idx="965">
                  <c:v>AAPL</c:v>
                </c:pt>
                <c:pt idx="966">
                  <c:v>AAPL</c:v>
                </c:pt>
                <c:pt idx="967">
                  <c:v>AAPL</c:v>
                </c:pt>
                <c:pt idx="968">
                  <c:v>AAPL</c:v>
                </c:pt>
                <c:pt idx="969">
                  <c:v>AAPL</c:v>
                </c:pt>
                <c:pt idx="970">
                  <c:v>AAPL</c:v>
                </c:pt>
                <c:pt idx="971">
                  <c:v>AAPL</c:v>
                </c:pt>
                <c:pt idx="972">
                  <c:v>AAPL</c:v>
                </c:pt>
                <c:pt idx="973">
                  <c:v>AAPL</c:v>
                </c:pt>
                <c:pt idx="974">
                  <c:v>AAPL</c:v>
                </c:pt>
                <c:pt idx="975">
                  <c:v>AAPL</c:v>
                </c:pt>
                <c:pt idx="976">
                  <c:v>AAPL</c:v>
                </c:pt>
                <c:pt idx="977">
                  <c:v>AAPL</c:v>
                </c:pt>
                <c:pt idx="978">
                  <c:v>AAPL</c:v>
                </c:pt>
                <c:pt idx="979">
                  <c:v>AAPL</c:v>
                </c:pt>
                <c:pt idx="980">
                  <c:v>AAPL</c:v>
                </c:pt>
                <c:pt idx="981">
                  <c:v>AAPL</c:v>
                </c:pt>
                <c:pt idx="982">
                  <c:v>AAPL</c:v>
                </c:pt>
                <c:pt idx="983">
                  <c:v>AAPL</c:v>
                </c:pt>
                <c:pt idx="984">
                  <c:v>AAPL</c:v>
                </c:pt>
                <c:pt idx="985">
                  <c:v>AAPL</c:v>
                </c:pt>
                <c:pt idx="986">
                  <c:v>AAPL</c:v>
                </c:pt>
                <c:pt idx="987">
                  <c:v>AAPL</c:v>
                </c:pt>
                <c:pt idx="988">
                  <c:v>AAPL</c:v>
                </c:pt>
                <c:pt idx="989">
                  <c:v>AAPL</c:v>
                </c:pt>
                <c:pt idx="990">
                  <c:v>AAPL</c:v>
                </c:pt>
                <c:pt idx="991">
                  <c:v>AAPL</c:v>
                </c:pt>
                <c:pt idx="992">
                  <c:v>AAPL</c:v>
                </c:pt>
                <c:pt idx="993">
                  <c:v>AAPL</c:v>
                </c:pt>
                <c:pt idx="994">
                  <c:v>AAPL</c:v>
                </c:pt>
                <c:pt idx="995">
                  <c:v>AAPL</c:v>
                </c:pt>
                <c:pt idx="996">
                  <c:v>AAPL</c:v>
                </c:pt>
                <c:pt idx="997">
                  <c:v>AAPL</c:v>
                </c:pt>
                <c:pt idx="998">
                  <c:v>AAPL</c:v>
                </c:pt>
                <c:pt idx="999">
                  <c:v>AAPL</c:v>
                </c:pt>
                <c:pt idx="1000">
                  <c:v>AAPL</c:v>
                </c:pt>
                <c:pt idx="1001">
                  <c:v>AAPL</c:v>
                </c:pt>
                <c:pt idx="1002">
                  <c:v>AAPL</c:v>
                </c:pt>
                <c:pt idx="1003">
                  <c:v>AAPL</c:v>
                </c:pt>
                <c:pt idx="1004">
                  <c:v>AAPL</c:v>
                </c:pt>
                <c:pt idx="1005">
                  <c:v>AAPL</c:v>
                </c:pt>
                <c:pt idx="1006">
                  <c:v>AAPL</c:v>
                </c:pt>
                <c:pt idx="1007">
                  <c:v>AAPL</c:v>
                </c:pt>
                <c:pt idx="1008">
                  <c:v>AAPL</c:v>
                </c:pt>
                <c:pt idx="1009">
                  <c:v>AAPL</c:v>
                </c:pt>
                <c:pt idx="1010">
                  <c:v>AAPL</c:v>
                </c:pt>
                <c:pt idx="1011">
                  <c:v>AAPL</c:v>
                </c:pt>
                <c:pt idx="1012">
                  <c:v>AAPL</c:v>
                </c:pt>
                <c:pt idx="1013">
                  <c:v>AAPL</c:v>
                </c:pt>
                <c:pt idx="1014">
                  <c:v>AAPL</c:v>
                </c:pt>
                <c:pt idx="1015">
                  <c:v>AAPL</c:v>
                </c:pt>
                <c:pt idx="1016">
                  <c:v>AAPL</c:v>
                </c:pt>
                <c:pt idx="1017">
                  <c:v>AAPL</c:v>
                </c:pt>
                <c:pt idx="1018">
                  <c:v>AAPL</c:v>
                </c:pt>
                <c:pt idx="1019">
                  <c:v>AAPL</c:v>
                </c:pt>
                <c:pt idx="1020">
                  <c:v>AAPL</c:v>
                </c:pt>
                <c:pt idx="1021">
                  <c:v>AAPL</c:v>
                </c:pt>
                <c:pt idx="1022">
                  <c:v>AAPL</c:v>
                </c:pt>
                <c:pt idx="1023">
                  <c:v>AAPL</c:v>
                </c:pt>
                <c:pt idx="1024">
                  <c:v>AAPL</c:v>
                </c:pt>
                <c:pt idx="1025">
                  <c:v>AAPL</c:v>
                </c:pt>
                <c:pt idx="1026">
                  <c:v>AAPL</c:v>
                </c:pt>
                <c:pt idx="1027">
                  <c:v>AAPL</c:v>
                </c:pt>
                <c:pt idx="1028">
                  <c:v>AAPL</c:v>
                </c:pt>
                <c:pt idx="1029">
                  <c:v>AAPL</c:v>
                </c:pt>
                <c:pt idx="1030">
                  <c:v>AAPL</c:v>
                </c:pt>
                <c:pt idx="1031">
                  <c:v>AAPL</c:v>
                </c:pt>
                <c:pt idx="1032">
                  <c:v>AAPL</c:v>
                </c:pt>
                <c:pt idx="1033">
                  <c:v>AAPL</c:v>
                </c:pt>
                <c:pt idx="1034">
                  <c:v>AAPL</c:v>
                </c:pt>
                <c:pt idx="1035">
                  <c:v>AAPL</c:v>
                </c:pt>
                <c:pt idx="1036">
                  <c:v>AAPL</c:v>
                </c:pt>
                <c:pt idx="1037">
                  <c:v>AAPL</c:v>
                </c:pt>
                <c:pt idx="1038">
                  <c:v>AAPL</c:v>
                </c:pt>
                <c:pt idx="1039">
                  <c:v>AAPL</c:v>
                </c:pt>
                <c:pt idx="1040">
                  <c:v>AAPL</c:v>
                </c:pt>
                <c:pt idx="1041">
                  <c:v>AAPL</c:v>
                </c:pt>
                <c:pt idx="1042">
                  <c:v>AAPL</c:v>
                </c:pt>
                <c:pt idx="1043">
                  <c:v>AAPL</c:v>
                </c:pt>
                <c:pt idx="1044">
                  <c:v>AAPL</c:v>
                </c:pt>
                <c:pt idx="1045">
                  <c:v>AAPL</c:v>
                </c:pt>
                <c:pt idx="1046">
                  <c:v>AAPL</c:v>
                </c:pt>
                <c:pt idx="1047">
                  <c:v>AAPL</c:v>
                </c:pt>
                <c:pt idx="1048">
                  <c:v>AAPL</c:v>
                </c:pt>
                <c:pt idx="1049">
                  <c:v>AAPL</c:v>
                </c:pt>
                <c:pt idx="1050">
                  <c:v>AAPL</c:v>
                </c:pt>
                <c:pt idx="1051">
                  <c:v>AAPL</c:v>
                </c:pt>
                <c:pt idx="1052">
                  <c:v>AAPL</c:v>
                </c:pt>
                <c:pt idx="1053">
                  <c:v>AAPL</c:v>
                </c:pt>
                <c:pt idx="1054">
                  <c:v>AAPL</c:v>
                </c:pt>
                <c:pt idx="1055">
                  <c:v>AAPL</c:v>
                </c:pt>
                <c:pt idx="1056">
                  <c:v>AAPL</c:v>
                </c:pt>
                <c:pt idx="1057">
                  <c:v>AAPL</c:v>
                </c:pt>
                <c:pt idx="1058">
                  <c:v>AAPL</c:v>
                </c:pt>
                <c:pt idx="1059">
                  <c:v>AAPL</c:v>
                </c:pt>
                <c:pt idx="1060">
                  <c:v>AAPL</c:v>
                </c:pt>
                <c:pt idx="1061">
                  <c:v>AAPL</c:v>
                </c:pt>
                <c:pt idx="1062">
                  <c:v>AAPL</c:v>
                </c:pt>
                <c:pt idx="1063">
                  <c:v>AAPL</c:v>
                </c:pt>
                <c:pt idx="1064">
                  <c:v>AAPL</c:v>
                </c:pt>
                <c:pt idx="1065">
                  <c:v>AAPL</c:v>
                </c:pt>
                <c:pt idx="1066">
                  <c:v>AAPL</c:v>
                </c:pt>
                <c:pt idx="1067">
                  <c:v>AAPL</c:v>
                </c:pt>
                <c:pt idx="1068">
                  <c:v>AAPL</c:v>
                </c:pt>
                <c:pt idx="1069">
                  <c:v>AAPL</c:v>
                </c:pt>
                <c:pt idx="1070">
                  <c:v>AAPL</c:v>
                </c:pt>
                <c:pt idx="1071">
                  <c:v>AAPL</c:v>
                </c:pt>
                <c:pt idx="1072">
                  <c:v>AAPL</c:v>
                </c:pt>
                <c:pt idx="1073">
                  <c:v>AAPL</c:v>
                </c:pt>
                <c:pt idx="1074">
                  <c:v>AAPL</c:v>
                </c:pt>
                <c:pt idx="1075">
                  <c:v>AAPL</c:v>
                </c:pt>
                <c:pt idx="1076">
                  <c:v>AAPL</c:v>
                </c:pt>
                <c:pt idx="1077">
                  <c:v>AAPL</c:v>
                </c:pt>
                <c:pt idx="1078">
                  <c:v>AAPL</c:v>
                </c:pt>
                <c:pt idx="1079">
                  <c:v>AAPL</c:v>
                </c:pt>
                <c:pt idx="1080">
                  <c:v>AAPL</c:v>
                </c:pt>
                <c:pt idx="1081">
                  <c:v>AAPL</c:v>
                </c:pt>
                <c:pt idx="1082">
                  <c:v>AAPL</c:v>
                </c:pt>
                <c:pt idx="1083">
                  <c:v>AAPL</c:v>
                </c:pt>
                <c:pt idx="1084">
                  <c:v>AAPL</c:v>
                </c:pt>
                <c:pt idx="1085">
                  <c:v>AAPL</c:v>
                </c:pt>
                <c:pt idx="1086">
                  <c:v>AAPL</c:v>
                </c:pt>
                <c:pt idx="1087">
                  <c:v>AAPL</c:v>
                </c:pt>
                <c:pt idx="1088">
                  <c:v>AAPL</c:v>
                </c:pt>
                <c:pt idx="1089">
                  <c:v>AAPL</c:v>
                </c:pt>
                <c:pt idx="1090">
                  <c:v>AAPL</c:v>
                </c:pt>
                <c:pt idx="1091">
                  <c:v>AAPL</c:v>
                </c:pt>
                <c:pt idx="1092">
                  <c:v>AAPL</c:v>
                </c:pt>
                <c:pt idx="1093">
                  <c:v>AAPL</c:v>
                </c:pt>
                <c:pt idx="1094">
                  <c:v>AAPL</c:v>
                </c:pt>
                <c:pt idx="1095">
                  <c:v>AAPL</c:v>
                </c:pt>
                <c:pt idx="1096">
                  <c:v>AAPL</c:v>
                </c:pt>
                <c:pt idx="1097">
                  <c:v>AAPL</c:v>
                </c:pt>
                <c:pt idx="1098">
                  <c:v>AAPL</c:v>
                </c:pt>
                <c:pt idx="1099">
                  <c:v>AAPL</c:v>
                </c:pt>
                <c:pt idx="1100">
                  <c:v>AAPL</c:v>
                </c:pt>
                <c:pt idx="1101">
                  <c:v>AAPL</c:v>
                </c:pt>
                <c:pt idx="1102">
                  <c:v>AAPL</c:v>
                </c:pt>
                <c:pt idx="1103">
                  <c:v>AAPL</c:v>
                </c:pt>
                <c:pt idx="1104">
                  <c:v>AAPL</c:v>
                </c:pt>
                <c:pt idx="1105">
                  <c:v>AAPL</c:v>
                </c:pt>
                <c:pt idx="1106">
                  <c:v>AAPL</c:v>
                </c:pt>
                <c:pt idx="1107">
                  <c:v>AAPL</c:v>
                </c:pt>
                <c:pt idx="1108">
                  <c:v>AAPL</c:v>
                </c:pt>
                <c:pt idx="1109">
                  <c:v>AAPL</c:v>
                </c:pt>
                <c:pt idx="1110">
                  <c:v>AAPL</c:v>
                </c:pt>
                <c:pt idx="1111">
                  <c:v>AAPL</c:v>
                </c:pt>
                <c:pt idx="1112">
                  <c:v>AAPL</c:v>
                </c:pt>
                <c:pt idx="1113">
                  <c:v>AAPL</c:v>
                </c:pt>
                <c:pt idx="1114">
                  <c:v>AAPL</c:v>
                </c:pt>
                <c:pt idx="1115">
                  <c:v>AAPL</c:v>
                </c:pt>
                <c:pt idx="1116">
                  <c:v>AAPL</c:v>
                </c:pt>
                <c:pt idx="1117">
                  <c:v>AAPL</c:v>
                </c:pt>
                <c:pt idx="1118">
                  <c:v>AAPL</c:v>
                </c:pt>
                <c:pt idx="1119">
                  <c:v>AAPL</c:v>
                </c:pt>
                <c:pt idx="1120">
                  <c:v>AAPL</c:v>
                </c:pt>
                <c:pt idx="1121">
                  <c:v>AAPL</c:v>
                </c:pt>
                <c:pt idx="1122">
                  <c:v>AAPL</c:v>
                </c:pt>
                <c:pt idx="1123">
                  <c:v>AAPL</c:v>
                </c:pt>
                <c:pt idx="1124">
                  <c:v>AAPL</c:v>
                </c:pt>
                <c:pt idx="1125">
                  <c:v>AAPL</c:v>
                </c:pt>
                <c:pt idx="1126">
                  <c:v>AAPL</c:v>
                </c:pt>
                <c:pt idx="1127">
                  <c:v>AAPL</c:v>
                </c:pt>
                <c:pt idx="1128">
                  <c:v>AAPL</c:v>
                </c:pt>
                <c:pt idx="1129">
                  <c:v>AAPL</c:v>
                </c:pt>
                <c:pt idx="1130">
                  <c:v>AAPL</c:v>
                </c:pt>
                <c:pt idx="1131">
                  <c:v>AAPL</c:v>
                </c:pt>
                <c:pt idx="1132">
                  <c:v>AAPL</c:v>
                </c:pt>
                <c:pt idx="1133">
                  <c:v>AAPL</c:v>
                </c:pt>
                <c:pt idx="1134">
                  <c:v>AAPL</c:v>
                </c:pt>
                <c:pt idx="1135">
                  <c:v>AAPL</c:v>
                </c:pt>
                <c:pt idx="1136">
                  <c:v>AAPL</c:v>
                </c:pt>
                <c:pt idx="1137">
                  <c:v>AAPL</c:v>
                </c:pt>
                <c:pt idx="1138">
                  <c:v>AAPL</c:v>
                </c:pt>
                <c:pt idx="1139">
                  <c:v>AAPL</c:v>
                </c:pt>
                <c:pt idx="1140">
                  <c:v>AAPL</c:v>
                </c:pt>
                <c:pt idx="1141">
                  <c:v>AAPL</c:v>
                </c:pt>
                <c:pt idx="1142">
                  <c:v>AAPL</c:v>
                </c:pt>
                <c:pt idx="1143">
                  <c:v>AAPL</c:v>
                </c:pt>
                <c:pt idx="1144">
                  <c:v>AAPL</c:v>
                </c:pt>
                <c:pt idx="1145">
                  <c:v>AAPL</c:v>
                </c:pt>
                <c:pt idx="1146">
                  <c:v>AAPL</c:v>
                </c:pt>
                <c:pt idx="1147">
                  <c:v>AAPL</c:v>
                </c:pt>
                <c:pt idx="1148">
                  <c:v>AAPL</c:v>
                </c:pt>
                <c:pt idx="1149">
                  <c:v>AAPL</c:v>
                </c:pt>
                <c:pt idx="1150">
                  <c:v>AAPL</c:v>
                </c:pt>
                <c:pt idx="1151">
                  <c:v>AAPL</c:v>
                </c:pt>
                <c:pt idx="1152">
                  <c:v>AAPL</c:v>
                </c:pt>
                <c:pt idx="1153">
                  <c:v>AAPL</c:v>
                </c:pt>
                <c:pt idx="1154">
                  <c:v>AAPL</c:v>
                </c:pt>
                <c:pt idx="1155">
                  <c:v>AAPL</c:v>
                </c:pt>
                <c:pt idx="1156">
                  <c:v>AAPL</c:v>
                </c:pt>
                <c:pt idx="1157">
                  <c:v>AAPL</c:v>
                </c:pt>
                <c:pt idx="1158">
                  <c:v>AAPL</c:v>
                </c:pt>
                <c:pt idx="1159">
                  <c:v>AAPL</c:v>
                </c:pt>
                <c:pt idx="1160">
                  <c:v>AAPL</c:v>
                </c:pt>
                <c:pt idx="1161">
                  <c:v>AAPL</c:v>
                </c:pt>
                <c:pt idx="1162">
                  <c:v>AAPL</c:v>
                </c:pt>
                <c:pt idx="1163">
                  <c:v>AAPL</c:v>
                </c:pt>
                <c:pt idx="1164">
                  <c:v>AAPL</c:v>
                </c:pt>
                <c:pt idx="1165">
                  <c:v>AAPL</c:v>
                </c:pt>
                <c:pt idx="1166">
                  <c:v>AAPL</c:v>
                </c:pt>
                <c:pt idx="1167">
                  <c:v>AAPL</c:v>
                </c:pt>
                <c:pt idx="1168">
                  <c:v>AAPL</c:v>
                </c:pt>
                <c:pt idx="1169">
                  <c:v>AAPL</c:v>
                </c:pt>
                <c:pt idx="1170">
                  <c:v>AAPL</c:v>
                </c:pt>
                <c:pt idx="1171">
                  <c:v>AAPL</c:v>
                </c:pt>
                <c:pt idx="1172">
                  <c:v>AAPL</c:v>
                </c:pt>
                <c:pt idx="1173">
                  <c:v>AAPL</c:v>
                </c:pt>
                <c:pt idx="1174">
                  <c:v>AAPL</c:v>
                </c:pt>
                <c:pt idx="1175">
                  <c:v>AAPL</c:v>
                </c:pt>
                <c:pt idx="1176">
                  <c:v>AAPL</c:v>
                </c:pt>
                <c:pt idx="1177">
                  <c:v>AAPL</c:v>
                </c:pt>
                <c:pt idx="1178">
                  <c:v>AAPL</c:v>
                </c:pt>
                <c:pt idx="1179">
                  <c:v>AAPL</c:v>
                </c:pt>
                <c:pt idx="1180">
                  <c:v>AAPL</c:v>
                </c:pt>
                <c:pt idx="1181">
                  <c:v>AAPL</c:v>
                </c:pt>
                <c:pt idx="1182">
                  <c:v>AAPL</c:v>
                </c:pt>
                <c:pt idx="1183">
                  <c:v>AAPL</c:v>
                </c:pt>
                <c:pt idx="1184">
                  <c:v>AAPL</c:v>
                </c:pt>
                <c:pt idx="1185">
                  <c:v>AAPL</c:v>
                </c:pt>
                <c:pt idx="1186">
                  <c:v>AAPL</c:v>
                </c:pt>
                <c:pt idx="1187">
                  <c:v>AAPL</c:v>
                </c:pt>
                <c:pt idx="1188">
                  <c:v>AAPL</c:v>
                </c:pt>
                <c:pt idx="1189">
                  <c:v>AAPL</c:v>
                </c:pt>
                <c:pt idx="1190">
                  <c:v>AAPL</c:v>
                </c:pt>
                <c:pt idx="1191">
                  <c:v>AAPL</c:v>
                </c:pt>
                <c:pt idx="1192">
                  <c:v>AAPL</c:v>
                </c:pt>
                <c:pt idx="1193">
                  <c:v>AAPL</c:v>
                </c:pt>
                <c:pt idx="1194">
                  <c:v>AAPL</c:v>
                </c:pt>
                <c:pt idx="1195">
                  <c:v>AAPL</c:v>
                </c:pt>
                <c:pt idx="1196">
                  <c:v>AAPL</c:v>
                </c:pt>
                <c:pt idx="1197">
                  <c:v>AAPL</c:v>
                </c:pt>
                <c:pt idx="1198">
                  <c:v>AAPL</c:v>
                </c:pt>
                <c:pt idx="1199">
                  <c:v>AAPL</c:v>
                </c:pt>
                <c:pt idx="1200">
                  <c:v>AAPL</c:v>
                </c:pt>
                <c:pt idx="1201">
                  <c:v>AAPL</c:v>
                </c:pt>
                <c:pt idx="1202">
                  <c:v>AAPL</c:v>
                </c:pt>
                <c:pt idx="1203">
                  <c:v>AAPL</c:v>
                </c:pt>
                <c:pt idx="1204">
                  <c:v>AAPL</c:v>
                </c:pt>
                <c:pt idx="1205">
                  <c:v>AAPL</c:v>
                </c:pt>
                <c:pt idx="1206">
                  <c:v>AAPL</c:v>
                </c:pt>
                <c:pt idx="1207">
                  <c:v>AAPL</c:v>
                </c:pt>
                <c:pt idx="1208">
                  <c:v>AAPL</c:v>
                </c:pt>
                <c:pt idx="1209">
                  <c:v>AAPL</c:v>
                </c:pt>
                <c:pt idx="1210">
                  <c:v>AAPL</c:v>
                </c:pt>
                <c:pt idx="1211">
                  <c:v>AAPL</c:v>
                </c:pt>
                <c:pt idx="1212">
                  <c:v>AAPL</c:v>
                </c:pt>
                <c:pt idx="1213">
                  <c:v>AAPL</c:v>
                </c:pt>
                <c:pt idx="1214">
                  <c:v>AAPL</c:v>
                </c:pt>
                <c:pt idx="1215">
                  <c:v>AAPL</c:v>
                </c:pt>
                <c:pt idx="1216">
                  <c:v>AAPL</c:v>
                </c:pt>
                <c:pt idx="1217">
                  <c:v>AAPL</c:v>
                </c:pt>
                <c:pt idx="1218">
                  <c:v>AAPL</c:v>
                </c:pt>
                <c:pt idx="1219">
                  <c:v>AAPL</c:v>
                </c:pt>
                <c:pt idx="1220">
                  <c:v>AAPL</c:v>
                </c:pt>
                <c:pt idx="1221">
                  <c:v>AAPL</c:v>
                </c:pt>
                <c:pt idx="1222">
                  <c:v>AAPL</c:v>
                </c:pt>
                <c:pt idx="1223">
                  <c:v>AAPL</c:v>
                </c:pt>
                <c:pt idx="1224">
                  <c:v>AAPL</c:v>
                </c:pt>
                <c:pt idx="1225">
                  <c:v>AAPL</c:v>
                </c:pt>
                <c:pt idx="1226">
                  <c:v>AAPL</c:v>
                </c:pt>
                <c:pt idx="1227">
                  <c:v>AAPL</c:v>
                </c:pt>
                <c:pt idx="1228">
                  <c:v>AAPL</c:v>
                </c:pt>
                <c:pt idx="1229">
                  <c:v>AAPL</c:v>
                </c:pt>
                <c:pt idx="1230">
                  <c:v>AAPL</c:v>
                </c:pt>
                <c:pt idx="1231">
                  <c:v>AAPL</c:v>
                </c:pt>
                <c:pt idx="1232">
                  <c:v>AAPL</c:v>
                </c:pt>
                <c:pt idx="1233">
                  <c:v>AAPL</c:v>
                </c:pt>
                <c:pt idx="1234">
                  <c:v>AAPL</c:v>
                </c:pt>
                <c:pt idx="1235">
                  <c:v>AAPL</c:v>
                </c:pt>
                <c:pt idx="1236">
                  <c:v>AAPL</c:v>
                </c:pt>
                <c:pt idx="1237">
                  <c:v>AAPL</c:v>
                </c:pt>
                <c:pt idx="1238">
                  <c:v>AAPL</c:v>
                </c:pt>
                <c:pt idx="1239">
                  <c:v>AAPL</c:v>
                </c:pt>
                <c:pt idx="1240">
                  <c:v>AAPL</c:v>
                </c:pt>
                <c:pt idx="1241">
                  <c:v>AAPL</c:v>
                </c:pt>
                <c:pt idx="1242">
                  <c:v>AAPL</c:v>
                </c:pt>
                <c:pt idx="1243">
                  <c:v>AAPL</c:v>
                </c:pt>
                <c:pt idx="1244">
                  <c:v>AAPL</c:v>
                </c:pt>
                <c:pt idx="1245">
                  <c:v>AAPL</c:v>
                </c:pt>
                <c:pt idx="1246">
                  <c:v>AAPL</c:v>
                </c:pt>
                <c:pt idx="1247">
                  <c:v>AAPL</c:v>
                </c:pt>
                <c:pt idx="1248">
                  <c:v>AAPL</c:v>
                </c:pt>
                <c:pt idx="1249">
                  <c:v>AAPL</c:v>
                </c:pt>
                <c:pt idx="1250">
                  <c:v>AAPL</c:v>
                </c:pt>
                <c:pt idx="1251">
                  <c:v>AAPL</c:v>
                </c:pt>
                <c:pt idx="1252">
                  <c:v>AAPL</c:v>
                </c:pt>
                <c:pt idx="1253">
                  <c:v>AAPL</c:v>
                </c:pt>
                <c:pt idx="1254">
                  <c:v>AAPL</c:v>
                </c:pt>
                <c:pt idx="1255">
                  <c:v>AAPL</c:v>
                </c:pt>
                <c:pt idx="1256">
                  <c:v>AAPL</c:v>
                </c:pt>
                <c:pt idx="1257">
                  <c:v>AAPL</c:v>
                </c:pt>
                <c:pt idx="1258">
                  <c:v>AAPL</c:v>
                </c:pt>
                <c:pt idx="1259">
                  <c:v>AAPL</c:v>
                </c:pt>
                <c:pt idx="1260">
                  <c:v>AAPL</c:v>
                </c:pt>
                <c:pt idx="1261">
                  <c:v>AAPL</c:v>
                </c:pt>
                <c:pt idx="1262">
                  <c:v>AAPL</c:v>
                </c:pt>
                <c:pt idx="1263">
                  <c:v>AAPL</c:v>
                </c:pt>
                <c:pt idx="1264">
                  <c:v>AAPL</c:v>
                </c:pt>
                <c:pt idx="1265">
                  <c:v>AAPL</c:v>
                </c:pt>
                <c:pt idx="1266">
                  <c:v>AAPL</c:v>
                </c:pt>
                <c:pt idx="1267">
                  <c:v>AAPL</c:v>
                </c:pt>
                <c:pt idx="1268">
                  <c:v>AAPL</c:v>
                </c:pt>
                <c:pt idx="1269">
                  <c:v>AAPL</c:v>
                </c:pt>
                <c:pt idx="1270">
                  <c:v>AAPL</c:v>
                </c:pt>
                <c:pt idx="1271">
                  <c:v>AAPL</c:v>
                </c:pt>
                <c:pt idx="1272">
                  <c:v>AAPL</c:v>
                </c:pt>
                <c:pt idx="1273">
                  <c:v>AAPL</c:v>
                </c:pt>
                <c:pt idx="1274">
                  <c:v>AAPL</c:v>
                </c:pt>
                <c:pt idx="1275">
                  <c:v>AAPL</c:v>
                </c:pt>
                <c:pt idx="1276">
                  <c:v>AAPL</c:v>
                </c:pt>
                <c:pt idx="1277">
                  <c:v>AAPL</c:v>
                </c:pt>
                <c:pt idx="1278">
                  <c:v>AAPL</c:v>
                </c:pt>
                <c:pt idx="1279">
                  <c:v>AAPL</c:v>
                </c:pt>
                <c:pt idx="1280">
                  <c:v>AAPL</c:v>
                </c:pt>
                <c:pt idx="1281">
                  <c:v>AAPL</c:v>
                </c:pt>
                <c:pt idx="1282">
                  <c:v>AAPL</c:v>
                </c:pt>
                <c:pt idx="1283">
                  <c:v>AAPL</c:v>
                </c:pt>
                <c:pt idx="1284">
                  <c:v>AAPL</c:v>
                </c:pt>
                <c:pt idx="1285">
                  <c:v>AAPL</c:v>
                </c:pt>
                <c:pt idx="1286">
                  <c:v>AAPL</c:v>
                </c:pt>
                <c:pt idx="1287">
                  <c:v>AAPL</c:v>
                </c:pt>
                <c:pt idx="1288">
                  <c:v>AAPL</c:v>
                </c:pt>
                <c:pt idx="1289">
                  <c:v>AAPL</c:v>
                </c:pt>
                <c:pt idx="1290">
                  <c:v>AAPL</c:v>
                </c:pt>
                <c:pt idx="1291">
                  <c:v>AAPL</c:v>
                </c:pt>
                <c:pt idx="1292">
                  <c:v>AAPL</c:v>
                </c:pt>
                <c:pt idx="1293">
                  <c:v>AAPL</c:v>
                </c:pt>
                <c:pt idx="1294">
                  <c:v>AAPL</c:v>
                </c:pt>
                <c:pt idx="1295">
                  <c:v>AAPL</c:v>
                </c:pt>
                <c:pt idx="1296">
                  <c:v>AAPL</c:v>
                </c:pt>
                <c:pt idx="1297">
                  <c:v>AAPL</c:v>
                </c:pt>
                <c:pt idx="1298">
                  <c:v>AAPL</c:v>
                </c:pt>
                <c:pt idx="1299">
                  <c:v>AAPL</c:v>
                </c:pt>
                <c:pt idx="1300">
                  <c:v>AAPL</c:v>
                </c:pt>
                <c:pt idx="1301">
                  <c:v>AAPL</c:v>
                </c:pt>
                <c:pt idx="1302">
                  <c:v>AAPL</c:v>
                </c:pt>
                <c:pt idx="1303">
                  <c:v>AAPL</c:v>
                </c:pt>
                <c:pt idx="1304">
                  <c:v>AAPL</c:v>
                </c:pt>
                <c:pt idx="1305">
                  <c:v>AAPL</c:v>
                </c:pt>
                <c:pt idx="1306">
                  <c:v>AAPL</c:v>
                </c:pt>
                <c:pt idx="1307">
                  <c:v>AAPL</c:v>
                </c:pt>
                <c:pt idx="1308">
                  <c:v>AAPL</c:v>
                </c:pt>
                <c:pt idx="1309">
                  <c:v>AAPL</c:v>
                </c:pt>
                <c:pt idx="1310">
                  <c:v>AAPL</c:v>
                </c:pt>
                <c:pt idx="1311">
                  <c:v>AAPL</c:v>
                </c:pt>
                <c:pt idx="1312">
                  <c:v>AAPL</c:v>
                </c:pt>
                <c:pt idx="1313">
                  <c:v>AAPL</c:v>
                </c:pt>
                <c:pt idx="1314">
                  <c:v>AAPL</c:v>
                </c:pt>
                <c:pt idx="1315">
                  <c:v>AAPL</c:v>
                </c:pt>
                <c:pt idx="1316">
                  <c:v>AAPL</c:v>
                </c:pt>
                <c:pt idx="1317">
                  <c:v>AAPL</c:v>
                </c:pt>
                <c:pt idx="1318">
                  <c:v>AAPL</c:v>
                </c:pt>
                <c:pt idx="1319">
                  <c:v>AAPL</c:v>
                </c:pt>
                <c:pt idx="1320">
                  <c:v>AAPL</c:v>
                </c:pt>
                <c:pt idx="1321">
                  <c:v>AAPL</c:v>
                </c:pt>
                <c:pt idx="1322">
                  <c:v>AAPL</c:v>
                </c:pt>
                <c:pt idx="1323">
                  <c:v>AAPL</c:v>
                </c:pt>
                <c:pt idx="1324">
                  <c:v>AAPL</c:v>
                </c:pt>
                <c:pt idx="1325">
                  <c:v>AAPL</c:v>
                </c:pt>
                <c:pt idx="1326">
                  <c:v>AAPL</c:v>
                </c:pt>
                <c:pt idx="1327">
                  <c:v>AAPL</c:v>
                </c:pt>
                <c:pt idx="1328">
                  <c:v>AAPL</c:v>
                </c:pt>
                <c:pt idx="1329">
                  <c:v>AAPL</c:v>
                </c:pt>
                <c:pt idx="1330">
                  <c:v>AAPL</c:v>
                </c:pt>
                <c:pt idx="1331">
                  <c:v>AAPL</c:v>
                </c:pt>
                <c:pt idx="1332">
                  <c:v>AAPL</c:v>
                </c:pt>
                <c:pt idx="1333">
                  <c:v>AAPL</c:v>
                </c:pt>
                <c:pt idx="1334">
                  <c:v>AAPL</c:v>
                </c:pt>
                <c:pt idx="1335">
                  <c:v>AAPL</c:v>
                </c:pt>
                <c:pt idx="1336">
                  <c:v>AAPL</c:v>
                </c:pt>
                <c:pt idx="1337">
                  <c:v>AAPL</c:v>
                </c:pt>
                <c:pt idx="1338">
                  <c:v>AAPL</c:v>
                </c:pt>
                <c:pt idx="1339">
                  <c:v>AAPL</c:v>
                </c:pt>
                <c:pt idx="1340">
                  <c:v>AAPL</c:v>
                </c:pt>
                <c:pt idx="1341">
                  <c:v>AAPL</c:v>
                </c:pt>
                <c:pt idx="1342">
                  <c:v>AAPL</c:v>
                </c:pt>
                <c:pt idx="1343">
                  <c:v>AAPL</c:v>
                </c:pt>
                <c:pt idx="1344">
                  <c:v>AAPL</c:v>
                </c:pt>
                <c:pt idx="1345">
                  <c:v>AAPL</c:v>
                </c:pt>
                <c:pt idx="1346">
                  <c:v>AAPL</c:v>
                </c:pt>
                <c:pt idx="1347">
                  <c:v>AAPL</c:v>
                </c:pt>
                <c:pt idx="1348">
                  <c:v>AAPL</c:v>
                </c:pt>
                <c:pt idx="1349">
                  <c:v>AAPL</c:v>
                </c:pt>
                <c:pt idx="1350">
                  <c:v>AAPL</c:v>
                </c:pt>
                <c:pt idx="1351">
                  <c:v>AAPL</c:v>
                </c:pt>
                <c:pt idx="1352">
                  <c:v>AAPL</c:v>
                </c:pt>
                <c:pt idx="1353">
                  <c:v>AAPL</c:v>
                </c:pt>
                <c:pt idx="1354">
                  <c:v>AAPL</c:v>
                </c:pt>
                <c:pt idx="1355">
                  <c:v>AAPL</c:v>
                </c:pt>
                <c:pt idx="1356">
                  <c:v>AAPL</c:v>
                </c:pt>
                <c:pt idx="1357">
                  <c:v>AAPL</c:v>
                </c:pt>
                <c:pt idx="1358">
                  <c:v>AAPL</c:v>
                </c:pt>
                <c:pt idx="1359">
                  <c:v>AAPL</c:v>
                </c:pt>
                <c:pt idx="1360">
                  <c:v>AAPL</c:v>
                </c:pt>
                <c:pt idx="1361">
                  <c:v>AAPL</c:v>
                </c:pt>
                <c:pt idx="1362">
                  <c:v>AAPL</c:v>
                </c:pt>
                <c:pt idx="1363">
                  <c:v>AAPL</c:v>
                </c:pt>
                <c:pt idx="1364">
                  <c:v>AAPL</c:v>
                </c:pt>
                <c:pt idx="1365">
                  <c:v>AAPL</c:v>
                </c:pt>
                <c:pt idx="1366">
                  <c:v>AAPL</c:v>
                </c:pt>
                <c:pt idx="1367">
                  <c:v>AAPL</c:v>
                </c:pt>
                <c:pt idx="1368">
                  <c:v>AAPL</c:v>
                </c:pt>
                <c:pt idx="1369">
                  <c:v>AAPL</c:v>
                </c:pt>
                <c:pt idx="1370">
                  <c:v>AAPL</c:v>
                </c:pt>
                <c:pt idx="1371">
                  <c:v>AAPL</c:v>
                </c:pt>
                <c:pt idx="1372">
                  <c:v>AAPL</c:v>
                </c:pt>
                <c:pt idx="1373">
                  <c:v>AAPL</c:v>
                </c:pt>
                <c:pt idx="1374">
                  <c:v>AAPL</c:v>
                </c:pt>
                <c:pt idx="1375">
                  <c:v>AAPL</c:v>
                </c:pt>
                <c:pt idx="1376">
                  <c:v>AAPL</c:v>
                </c:pt>
                <c:pt idx="1377">
                  <c:v>AAPL</c:v>
                </c:pt>
                <c:pt idx="1378">
                  <c:v>AAPL</c:v>
                </c:pt>
                <c:pt idx="1379">
                  <c:v>AAPL</c:v>
                </c:pt>
                <c:pt idx="1380">
                  <c:v>AAPL</c:v>
                </c:pt>
                <c:pt idx="1381">
                  <c:v>AAPL</c:v>
                </c:pt>
                <c:pt idx="1382">
                  <c:v>AAPL</c:v>
                </c:pt>
                <c:pt idx="1383">
                  <c:v>AAPL</c:v>
                </c:pt>
                <c:pt idx="1384">
                  <c:v>AAPL</c:v>
                </c:pt>
                <c:pt idx="1385">
                  <c:v>AAPL</c:v>
                </c:pt>
                <c:pt idx="1386">
                  <c:v>AAPL</c:v>
                </c:pt>
                <c:pt idx="1387">
                  <c:v>AAPL</c:v>
                </c:pt>
                <c:pt idx="1388">
                  <c:v>AAPL</c:v>
                </c:pt>
                <c:pt idx="1389">
                  <c:v>AAPL</c:v>
                </c:pt>
                <c:pt idx="1390">
                  <c:v>AAPL</c:v>
                </c:pt>
                <c:pt idx="1391">
                  <c:v>AAPL</c:v>
                </c:pt>
                <c:pt idx="1392">
                  <c:v>AAPL</c:v>
                </c:pt>
                <c:pt idx="1393">
                  <c:v>AAPL</c:v>
                </c:pt>
                <c:pt idx="1394">
                  <c:v>AAPL</c:v>
                </c:pt>
                <c:pt idx="1395">
                  <c:v>AAPL</c:v>
                </c:pt>
                <c:pt idx="1396">
                  <c:v>AAPL</c:v>
                </c:pt>
                <c:pt idx="1397">
                  <c:v>AAPL</c:v>
                </c:pt>
                <c:pt idx="1398">
                  <c:v>AAPL</c:v>
                </c:pt>
                <c:pt idx="1399">
                  <c:v>AAPL</c:v>
                </c:pt>
                <c:pt idx="1400">
                  <c:v>AAPL</c:v>
                </c:pt>
                <c:pt idx="1401">
                  <c:v>AAPL</c:v>
                </c:pt>
                <c:pt idx="1402">
                  <c:v>AAPL</c:v>
                </c:pt>
                <c:pt idx="1403">
                  <c:v>AAPL</c:v>
                </c:pt>
                <c:pt idx="1404">
                  <c:v>AAPL</c:v>
                </c:pt>
                <c:pt idx="1405">
                  <c:v>AAPL</c:v>
                </c:pt>
                <c:pt idx="1406">
                  <c:v>AAPL</c:v>
                </c:pt>
                <c:pt idx="1407">
                  <c:v>AAPL</c:v>
                </c:pt>
                <c:pt idx="1408">
                  <c:v>AAPL</c:v>
                </c:pt>
                <c:pt idx="1409">
                  <c:v>AAPL</c:v>
                </c:pt>
                <c:pt idx="1410">
                  <c:v>AAPL</c:v>
                </c:pt>
                <c:pt idx="1411">
                  <c:v>AAPL</c:v>
                </c:pt>
                <c:pt idx="1412">
                  <c:v>AAPL</c:v>
                </c:pt>
                <c:pt idx="1413">
                  <c:v>AAPL</c:v>
                </c:pt>
                <c:pt idx="1414">
                  <c:v>AAPL</c:v>
                </c:pt>
                <c:pt idx="1415">
                  <c:v>AAPL</c:v>
                </c:pt>
                <c:pt idx="1416">
                  <c:v>AAPL</c:v>
                </c:pt>
                <c:pt idx="1417">
                  <c:v>AAPL</c:v>
                </c:pt>
                <c:pt idx="1418">
                  <c:v>AAPL</c:v>
                </c:pt>
                <c:pt idx="1419">
                  <c:v>AAPL</c:v>
                </c:pt>
                <c:pt idx="1420">
                  <c:v>AAPL</c:v>
                </c:pt>
                <c:pt idx="1421">
                  <c:v>AAPL</c:v>
                </c:pt>
                <c:pt idx="1422">
                  <c:v>AAPL</c:v>
                </c:pt>
                <c:pt idx="1423">
                  <c:v>AAPL</c:v>
                </c:pt>
                <c:pt idx="1424">
                  <c:v>AAPL</c:v>
                </c:pt>
                <c:pt idx="1425">
                  <c:v>AAPL</c:v>
                </c:pt>
                <c:pt idx="1426">
                  <c:v>AAPL</c:v>
                </c:pt>
                <c:pt idx="1427">
                  <c:v>AAPL</c:v>
                </c:pt>
                <c:pt idx="1428">
                  <c:v>AAPL</c:v>
                </c:pt>
                <c:pt idx="1429">
                  <c:v>AAPL</c:v>
                </c:pt>
                <c:pt idx="1430">
                  <c:v>AAPL</c:v>
                </c:pt>
                <c:pt idx="1431">
                  <c:v>AAPL</c:v>
                </c:pt>
                <c:pt idx="1432">
                  <c:v>AAPL</c:v>
                </c:pt>
                <c:pt idx="1433">
                  <c:v>AAPL</c:v>
                </c:pt>
                <c:pt idx="1434">
                  <c:v>AAPL</c:v>
                </c:pt>
                <c:pt idx="1435">
                  <c:v>AAPL</c:v>
                </c:pt>
                <c:pt idx="1436">
                  <c:v>AAPL</c:v>
                </c:pt>
                <c:pt idx="1437">
                  <c:v>AAPL</c:v>
                </c:pt>
                <c:pt idx="1438">
                  <c:v>AAPL</c:v>
                </c:pt>
                <c:pt idx="1439">
                  <c:v>AAPL</c:v>
                </c:pt>
                <c:pt idx="1440">
                  <c:v>AAPL</c:v>
                </c:pt>
                <c:pt idx="1441">
                  <c:v>AAPL</c:v>
                </c:pt>
                <c:pt idx="1442">
                  <c:v>AAPL</c:v>
                </c:pt>
                <c:pt idx="1443">
                  <c:v>AAPL</c:v>
                </c:pt>
                <c:pt idx="1444">
                  <c:v>AAPL</c:v>
                </c:pt>
                <c:pt idx="1445">
                  <c:v>AAPL</c:v>
                </c:pt>
                <c:pt idx="1446">
                  <c:v>AAPL</c:v>
                </c:pt>
                <c:pt idx="1447">
                  <c:v>AAPL</c:v>
                </c:pt>
                <c:pt idx="1448">
                  <c:v>AAPL</c:v>
                </c:pt>
                <c:pt idx="1449">
                  <c:v>AAPL</c:v>
                </c:pt>
                <c:pt idx="1450">
                  <c:v>AAPL</c:v>
                </c:pt>
                <c:pt idx="1451">
                  <c:v>AAPL</c:v>
                </c:pt>
                <c:pt idx="1452">
                  <c:v>AAPL</c:v>
                </c:pt>
                <c:pt idx="1453">
                  <c:v>AAPL</c:v>
                </c:pt>
                <c:pt idx="1454">
                  <c:v>AAPL</c:v>
                </c:pt>
                <c:pt idx="1455">
                  <c:v>AAPL</c:v>
                </c:pt>
                <c:pt idx="1456">
                  <c:v>AAPL</c:v>
                </c:pt>
                <c:pt idx="1457">
                  <c:v>AAPL</c:v>
                </c:pt>
                <c:pt idx="1458">
                  <c:v>AAPL</c:v>
                </c:pt>
                <c:pt idx="1459">
                  <c:v>AAPL</c:v>
                </c:pt>
                <c:pt idx="1460">
                  <c:v>AAPL</c:v>
                </c:pt>
                <c:pt idx="1461">
                  <c:v>AAPL</c:v>
                </c:pt>
                <c:pt idx="1462">
                  <c:v>AAPL</c:v>
                </c:pt>
                <c:pt idx="1463">
                  <c:v>AAPL</c:v>
                </c:pt>
                <c:pt idx="1464">
                  <c:v>AAPL</c:v>
                </c:pt>
                <c:pt idx="1465">
                  <c:v>AAPL</c:v>
                </c:pt>
                <c:pt idx="1466">
                  <c:v>AAPL</c:v>
                </c:pt>
                <c:pt idx="1467">
                  <c:v>AAPL</c:v>
                </c:pt>
                <c:pt idx="1468">
                  <c:v>AAPL</c:v>
                </c:pt>
                <c:pt idx="1469">
                  <c:v>AAPL</c:v>
                </c:pt>
                <c:pt idx="1470">
                  <c:v>AAPL</c:v>
                </c:pt>
                <c:pt idx="1471">
                  <c:v>AAPL</c:v>
                </c:pt>
                <c:pt idx="1472">
                  <c:v>AAPL</c:v>
                </c:pt>
                <c:pt idx="1473">
                  <c:v>AAPL</c:v>
                </c:pt>
                <c:pt idx="1474">
                  <c:v>AAPL</c:v>
                </c:pt>
                <c:pt idx="1475">
                  <c:v>AAPL</c:v>
                </c:pt>
                <c:pt idx="1476">
                  <c:v>AAPL</c:v>
                </c:pt>
                <c:pt idx="1477">
                  <c:v>AAPL</c:v>
                </c:pt>
                <c:pt idx="1478">
                  <c:v>AAPL</c:v>
                </c:pt>
                <c:pt idx="1479">
                  <c:v>AAPL</c:v>
                </c:pt>
                <c:pt idx="1480">
                  <c:v>AAPL</c:v>
                </c:pt>
                <c:pt idx="1481">
                  <c:v>AAPL</c:v>
                </c:pt>
                <c:pt idx="1482">
                  <c:v>AAPL</c:v>
                </c:pt>
                <c:pt idx="1483">
                  <c:v>AAPL</c:v>
                </c:pt>
                <c:pt idx="1484">
                  <c:v>AAPL</c:v>
                </c:pt>
                <c:pt idx="1485">
                  <c:v>AAPL</c:v>
                </c:pt>
                <c:pt idx="1486">
                  <c:v>AAPL</c:v>
                </c:pt>
                <c:pt idx="1487">
                  <c:v>AAPL</c:v>
                </c:pt>
                <c:pt idx="1488">
                  <c:v>AAPL</c:v>
                </c:pt>
                <c:pt idx="1489">
                  <c:v>AAPL</c:v>
                </c:pt>
                <c:pt idx="1490">
                  <c:v>Bonos</c:v>
                </c:pt>
                <c:pt idx="1491">
                  <c:v>BTCEUR</c:v>
                </c:pt>
                <c:pt idx="1492">
                  <c:v>BTCEUR</c:v>
                </c:pt>
                <c:pt idx="1493">
                  <c:v>BTCEUR</c:v>
                </c:pt>
                <c:pt idx="1494">
                  <c:v>BTCEUR</c:v>
                </c:pt>
                <c:pt idx="1495">
                  <c:v>BTCEUR</c:v>
                </c:pt>
                <c:pt idx="1496">
                  <c:v>BTCEUR</c:v>
                </c:pt>
                <c:pt idx="1497">
                  <c:v>BTCEUR</c:v>
                </c:pt>
                <c:pt idx="1498">
                  <c:v>BTCEUR</c:v>
                </c:pt>
                <c:pt idx="1499">
                  <c:v>BTCEUR</c:v>
                </c:pt>
                <c:pt idx="1500">
                  <c:v>BTCEUR</c:v>
                </c:pt>
                <c:pt idx="1501">
                  <c:v>BTCEUR</c:v>
                </c:pt>
                <c:pt idx="1502">
                  <c:v>BTCEUR</c:v>
                </c:pt>
                <c:pt idx="1503">
                  <c:v>BTCEUR</c:v>
                </c:pt>
                <c:pt idx="1504">
                  <c:v>BTCEUR</c:v>
                </c:pt>
                <c:pt idx="1505">
                  <c:v>BTCEUR</c:v>
                </c:pt>
                <c:pt idx="1506">
                  <c:v>BTCEUR</c:v>
                </c:pt>
                <c:pt idx="1507">
                  <c:v>BTCEUR</c:v>
                </c:pt>
                <c:pt idx="1508">
                  <c:v>BTCEUR</c:v>
                </c:pt>
                <c:pt idx="1509">
                  <c:v>BTCEUR</c:v>
                </c:pt>
                <c:pt idx="1510">
                  <c:v>BTCEUR</c:v>
                </c:pt>
                <c:pt idx="1511">
                  <c:v>BTCEUR</c:v>
                </c:pt>
                <c:pt idx="1512">
                  <c:v>BTCEUR</c:v>
                </c:pt>
                <c:pt idx="1513">
                  <c:v>BTCEUR</c:v>
                </c:pt>
                <c:pt idx="1514">
                  <c:v>BTCEUR</c:v>
                </c:pt>
                <c:pt idx="1515">
                  <c:v>BTCEUR</c:v>
                </c:pt>
                <c:pt idx="1516">
                  <c:v>BTCEUR</c:v>
                </c:pt>
                <c:pt idx="1517">
                  <c:v>BTCEUR</c:v>
                </c:pt>
                <c:pt idx="1518">
                  <c:v>BTCEUR</c:v>
                </c:pt>
                <c:pt idx="1519">
                  <c:v>BTCEUR</c:v>
                </c:pt>
                <c:pt idx="1520">
                  <c:v>BTCEUR</c:v>
                </c:pt>
                <c:pt idx="1521">
                  <c:v>BTCEUR</c:v>
                </c:pt>
                <c:pt idx="1522">
                  <c:v>BTCEUR</c:v>
                </c:pt>
                <c:pt idx="1523">
                  <c:v>BTCEUR</c:v>
                </c:pt>
                <c:pt idx="1524">
                  <c:v>BTCEUR</c:v>
                </c:pt>
                <c:pt idx="1525">
                  <c:v>BTCEUR</c:v>
                </c:pt>
                <c:pt idx="1526">
                  <c:v>BTCEUR</c:v>
                </c:pt>
                <c:pt idx="1527">
                  <c:v>BTCEUR</c:v>
                </c:pt>
                <c:pt idx="1528">
                  <c:v>BTCEUR</c:v>
                </c:pt>
                <c:pt idx="1529">
                  <c:v>BTCEUR</c:v>
                </c:pt>
                <c:pt idx="1530">
                  <c:v>BTCEUR</c:v>
                </c:pt>
                <c:pt idx="1531">
                  <c:v>BTCEUR</c:v>
                </c:pt>
                <c:pt idx="1532">
                  <c:v>BTCEUR</c:v>
                </c:pt>
                <c:pt idx="1533">
                  <c:v>BTCEUR</c:v>
                </c:pt>
                <c:pt idx="1534">
                  <c:v>BTCEUR</c:v>
                </c:pt>
                <c:pt idx="1535">
                  <c:v>BTCEUR</c:v>
                </c:pt>
                <c:pt idx="1536">
                  <c:v>BTCEUR</c:v>
                </c:pt>
                <c:pt idx="1537">
                  <c:v>BTCEUR</c:v>
                </c:pt>
                <c:pt idx="1538">
                  <c:v>BTCEUR</c:v>
                </c:pt>
                <c:pt idx="1539">
                  <c:v>BTCEUR</c:v>
                </c:pt>
                <c:pt idx="1540">
                  <c:v>BTCEUR</c:v>
                </c:pt>
                <c:pt idx="1541">
                  <c:v>BTCEUR</c:v>
                </c:pt>
                <c:pt idx="1542">
                  <c:v>BTCEUR</c:v>
                </c:pt>
                <c:pt idx="1543">
                  <c:v>BTCEUR</c:v>
                </c:pt>
                <c:pt idx="1544">
                  <c:v>BTCEUR</c:v>
                </c:pt>
                <c:pt idx="1545">
                  <c:v>BTCEUR</c:v>
                </c:pt>
                <c:pt idx="1546">
                  <c:v>BTCEUR</c:v>
                </c:pt>
                <c:pt idx="1547">
                  <c:v>BTCEUR</c:v>
                </c:pt>
                <c:pt idx="1548">
                  <c:v>BTCEUR</c:v>
                </c:pt>
                <c:pt idx="1549">
                  <c:v>BTCEUR</c:v>
                </c:pt>
                <c:pt idx="1550">
                  <c:v>BTCEUR</c:v>
                </c:pt>
                <c:pt idx="1551">
                  <c:v>BTCEUR</c:v>
                </c:pt>
                <c:pt idx="1552">
                  <c:v>BTCEUR</c:v>
                </c:pt>
                <c:pt idx="1553">
                  <c:v>BTCEUR</c:v>
                </c:pt>
                <c:pt idx="1554">
                  <c:v>BTCEUR</c:v>
                </c:pt>
                <c:pt idx="1555">
                  <c:v>BTCEUR</c:v>
                </c:pt>
                <c:pt idx="1556">
                  <c:v>BTCEUR</c:v>
                </c:pt>
                <c:pt idx="1557">
                  <c:v>BTCEUR</c:v>
                </c:pt>
                <c:pt idx="1558">
                  <c:v>BTCEUR</c:v>
                </c:pt>
                <c:pt idx="1559">
                  <c:v>BTCEUR</c:v>
                </c:pt>
                <c:pt idx="1560">
                  <c:v>BTCEUR</c:v>
                </c:pt>
                <c:pt idx="1561">
                  <c:v>BTCEUR</c:v>
                </c:pt>
                <c:pt idx="1562">
                  <c:v>BTCEUR</c:v>
                </c:pt>
                <c:pt idx="1563">
                  <c:v>BTCEUR</c:v>
                </c:pt>
                <c:pt idx="1564">
                  <c:v>BTCEUR</c:v>
                </c:pt>
                <c:pt idx="1565">
                  <c:v>BTCEUR</c:v>
                </c:pt>
                <c:pt idx="1566">
                  <c:v>BTCEUR</c:v>
                </c:pt>
                <c:pt idx="1567">
                  <c:v>BTCEUR</c:v>
                </c:pt>
                <c:pt idx="1568">
                  <c:v>BTCEUR</c:v>
                </c:pt>
                <c:pt idx="1569">
                  <c:v>BTCEUR</c:v>
                </c:pt>
                <c:pt idx="1570">
                  <c:v>BTCEUR</c:v>
                </c:pt>
                <c:pt idx="1571">
                  <c:v>BTCEUR</c:v>
                </c:pt>
                <c:pt idx="1572">
                  <c:v>BTCEUR</c:v>
                </c:pt>
                <c:pt idx="1573">
                  <c:v>BTCEUR</c:v>
                </c:pt>
                <c:pt idx="1574">
                  <c:v>BTCEUR</c:v>
                </c:pt>
                <c:pt idx="1575">
                  <c:v>BTCEUR</c:v>
                </c:pt>
                <c:pt idx="1576">
                  <c:v>BTCEUR</c:v>
                </c:pt>
                <c:pt idx="1577">
                  <c:v>BTCEUR</c:v>
                </c:pt>
                <c:pt idx="1578">
                  <c:v>BTCEUR</c:v>
                </c:pt>
                <c:pt idx="1579">
                  <c:v>BTCEUR</c:v>
                </c:pt>
                <c:pt idx="1580">
                  <c:v>BTCEUR</c:v>
                </c:pt>
                <c:pt idx="1581">
                  <c:v>BTCEUR</c:v>
                </c:pt>
                <c:pt idx="1582">
                  <c:v>BTCEUR</c:v>
                </c:pt>
                <c:pt idx="1583">
                  <c:v>BTCEUR</c:v>
                </c:pt>
                <c:pt idx="1584">
                  <c:v>BTCEUR</c:v>
                </c:pt>
                <c:pt idx="1585">
                  <c:v>BTCEUR</c:v>
                </c:pt>
                <c:pt idx="1586">
                  <c:v>BTCEUR</c:v>
                </c:pt>
                <c:pt idx="1587">
                  <c:v>BTCEUR</c:v>
                </c:pt>
                <c:pt idx="1588">
                  <c:v>BTCEUR</c:v>
                </c:pt>
                <c:pt idx="1589">
                  <c:v>BTCEUR</c:v>
                </c:pt>
                <c:pt idx="1590">
                  <c:v>BTCEUR</c:v>
                </c:pt>
                <c:pt idx="1591">
                  <c:v>BTCEUR</c:v>
                </c:pt>
                <c:pt idx="1592">
                  <c:v>BTCEUR</c:v>
                </c:pt>
                <c:pt idx="1593">
                  <c:v>BTCEUR</c:v>
                </c:pt>
                <c:pt idx="1594">
                  <c:v>BTCEUR</c:v>
                </c:pt>
                <c:pt idx="1595">
                  <c:v>BTCEUR</c:v>
                </c:pt>
                <c:pt idx="1596">
                  <c:v>BTCEUR</c:v>
                </c:pt>
                <c:pt idx="1597">
                  <c:v>BTCEUR</c:v>
                </c:pt>
                <c:pt idx="1598">
                  <c:v>BTCEUR</c:v>
                </c:pt>
                <c:pt idx="1599">
                  <c:v>BTCEUR</c:v>
                </c:pt>
                <c:pt idx="1600">
                  <c:v>BTCEUR</c:v>
                </c:pt>
                <c:pt idx="1601">
                  <c:v>BTCEUR</c:v>
                </c:pt>
                <c:pt idx="1602">
                  <c:v>BTCEUR</c:v>
                </c:pt>
                <c:pt idx="1603">
                  <c:v>BTCEUR</c:v>
                </c:pt>
                <c:pt idx="1604">
                  <c:v>BTCEUR</c:v>
                </c:pt>
                <c:pt idx="1605">
                  <c:v>BTCEUR</c:v>
                </c:pt>
                <c:pt idx="1606">
                  <c:v>BTCEUR</c:v>
                </c:pt>
                <c:pt idx="1607">
                  <c:v>BTCEUR</c:v>
                </c:pt>
                <c:pt idx="1608">
                  <c:v>BTCEUR</c:v>
                </c:pt>
                <c:pt idx="1609">
                  <c:v>BTCEUR</c:v>
                </c:pt>
                <c:pt idx="1610">
                  <c:v>BTCEUR</c:v>
                </c:pt>
                <c:pt idx="1611">
                  <c:v>BTCEUR</c:v>
                </c:pt>
                <c:pt idx="1612">
                  <c:v>BTCEUR</c:v>
                </c:pt>
                <c:pt idx="1613">
                  <c:v>BTCEUR</c:v>
                </c:pt>
                <c:pt idx="1614">
                  <c:v>BTCEUR</c:v>
                </c:pt>
                <c:pt idx="1615">
                  <c:v>BTCEUR</c:v>
                </c:pt>
                <c:pt idx="1616">
                  <c:v>BTCEUR</c:v>
                </c:pt>
                <c:pt idx="1617">
                  <c:v>BTCEUR</c:v>
                </c:pt>
                <c:pt idx="1618">
                  <c:v>BTCEUR</c:v>
                </c:pt>
                <c:pt idx="1619">
                  <c:v>BTCEUR</c:v>
                </c:pt>
                <c:pt idx="1620">
                  <c:v>BTCEUR</c:v>
                </c:pt>
                <c:pt idx="1621">
                  <c:v>BTCEUR</c:v>
                </c:pt>
                <c:pt idx="1622">
                  <c:v>BTCEUR</c:v>
                </c:pt>
                <c:pt idx="1623">
                  <c:v>BTCEUR</c:v>
                </c:pt>
                <c:pt idx="1624">
                  <c:v>BTCEUR</c:v>
                </c:pt>
                <c:pt idx="1625">
                  <c:v>BTCEUR</c:v>
                </c:pt>
                <c:pt idx="1626">
                  <c:v>BTCEUR</c:v>
                </c:pt>
                <c:pt idx="1627">
                  <c:v>BTCEUR</c:v>
                </c:pt>
                <c:pt idx="1628">
                  <c:v>BTCEUR</c:v>
                </c:pt>
                <c:pt idx="1629">
                  <c:v>BTCEUR</c:v>
                </c:pt>
                <c:pt idx="1630">
                  <c:v>BTCEUR</c:v>
                </c:pt>
                <c:pt idx="1631">
                  <c:v>BTCEUR</c:v>
                </c:pt>
                <c:pt idx="1632">
                  <c:v>BTCEUR</c:v>
                </c:pt>
                <c:pt idx="1633">
                  <c:v>BTCEUR</c:v>
                </c:pt>
                <c:pt idx="1634">
                  <c:v>BTCEUR</c:v>
                </c:pt>
                <c:pt idx="1635">
                  <c:v>BTCEUR</c:v>
                </c:pt>
                <c:pt idx="1636">
                  <c:v>BTCEUR</c:v>
                </c:pt>
                <c:pt idx="1637">
                  <c:v>BTCEUR</c:v>
                </c:pt>
                <c:pt idx="1638">
                  <c:v>BTCEUR</c:v>
                </c:pt>
                <c:pt idx="1639">
                  <c:v>BTCEUR</c:v>
                </c:pt>
                <c:pt idx="1640">
                  <c:v>BTCEUR</c:v>
                </c:pt>
                <c:pt idx="1641">
                  <c:v>BTCEUR</c:v>
                </c:pt>
                <c:pt idx="1642">
                  <c:v>BTCEUR</c:v>
                </c:pt>
                <c:pt idx="1643">
                  <c:v>BTCEUR</c:v>
                </c:pt>
                <c:pt idx="1644">
                  <c:v>BTCEUR</c:v>
                </c:pt>
                <c:pt idx="1645">
                  <c:v>BTCEUR</c:v>
                </c:pt>
                <c:pt idx="1646">
                  <c:v>BTCEUR</c:v>
                </c:pt>
                <c:pt idx="1647">
                  <c:v>BTCEUR</c:v>
                </c:pt>
                <c:pt idx="1648">
                  <c:v>BTCEUR</c:v>
                </c:pt>
                <c:pt idx="1649">
                  <c:v>BTCEUR</c:v>
                </c:pt>
                <c:pt idx="1650">
                  <c:v>BTCEUR</c:v>
                </c:pt>
                <c:pt idx="1651">
                  <c:v>BTCEUR</c:v>
                </c:pt>
                <c:pt idx="1652">
                  <c:v>BTCEUR</c:v>
                </c:pt>
                <c:pt idx="1653">
                  <c:v>BTCEUR</c:v>
                </c:pt>
                <c:pt idx="1654">
                  <c:v>BTCEUR</c:v>
                </c:pt>
                <c:pt idx="1655">
                  <c:v>BTCEUR</c:v>
                </c:pt>
                <c:pt idx="1656">
                  <c:v>BTCEUR</c:v>
                </c:pt>
                <c:pt idx="1657">
                  <c:v>BTCEUR</c:v>
                </c:pt>
                <c:pt idx="1658">
                  <c:v>BTCEUR</c:v>
                </c:pt>
                <c:pt idx="1659">
                  <c:v>BTCEUR</c:v>
                </c:pt>
                <c:pt idx="1660">
                  <c:v>BTCEUR</c:v>
                </c:pt>
                <c:pt idx="1661">
                  <c:v>BTCEUR</c:v>
                </c:pt>
                <c:pt idx="1662">
                  <c:v>BTCEUR</c:v>
                </c:pt>
                <c:pt idx="1663">
                  <c:v>BTCEUR</c:v>
                </c:pt>
                <c:pt idx="1664">
                  <c:v>BTCEUR</c:v>
                </c:pt>
                <c:pt idx="1665">
                  <c:v>BTCEUR</c:v>
                </c:pt>
                <c:pt idx="1666">
                  <c:v>BTCEUR</c:v>
                </c:pt>
                <c:pt idx="1667">
                  <c:v>BTCEUR</c:v>
                </c:pt>
                <c:pt idx="1668">
                  <c:v>BTCEUR</c:v>
                </c:pt>
                <c:pt idx="1669">
                  <c:v>BTCEUR</c:v>
                </c:pt>
                <c:pt idx="1670">
                  <c:v>BTCEUR</c:v>
                </c:pt>
                <c:pt idx="1671">
                  <c:v>BTCEUR</c:v>
                </c:pt>
                <c:pt idx="1672">
                  <c:v>BTCEUR</c:v>
                </c:pt>
                <c:pt idx="1673">
                  <c:v>BTCEUR</c:v>
                </c:pt>
                <c:pt idx="1674">
                  <c:v>BTCEUR</c:v>
                </c:pt>
                <c:pt idx="1675">
                  <c:v>BTCEUR</c:v>
                </c:pt>
                <c:pt idx="1676">
                  <c:v>BTCEUR</c:v>
                </c:pt>
                <c:pt idx="1677">
                  <c:v>BTCEUR</c:v>
                </c:pt>
                <c:pt idx="1678">
                  <c:v>BTCEUR</c:v>
                </c:pt>
                <c:pt idx="1679">
                  <c:v>BTCEUR</c:v>
                </c:pt>
                <c:pt idx="1680">
                  <c:v>BTCEUR</c:v>
                </c:pt>
                <c:pt idx="1681">
                  <c:v>BTCEUR</c:v>
                </c:pt>
                <c:pt idx="1682">
                  <c:v>BTCEUR</c:v>
                </c:pt>
                <c:pt idx="1683">
                  <c:v>BTCEUR</c:v>
                </c:pt>
                <c:pt idx="1684">
                  <c:v>BTCEUR</c:v>
                </c:pt>
                <c:pt idx="1685">
                  <c:v>BTCEUR</c:v>
                </c:pt>
                <c:pt idx="1686">
                  <c:v>BTCEUR</c:v>
                </c:pt>
                <c:pt idx="1687">
                  <c:v>BTCEUR</c:v>
                </c:pt>
                <c:pt idx="1688">
                  <c:v>BTCEUR</c:v>
                </c:pt>
                <c:pt idx="1689">
                  <c:v>BTCEUR</c:v>
                </c:pt>
                <c:pt idx="1690">
                  <c:v>BTCEUR</c:v>
                </c:pt>
                <c:pt idx="1691">
                  <c:v>BTCEUR</c:v>
                </c:pt>
                <c:pt idx="1692">
                  <c:v>BTCEUR</c:v>
                </c:pt>
                <c:pt idx="1693">
                  <c:v>BTCEUR</c:v>
                </c:pt>
                <c:pt idx="1694">
                  <c:v>BTCEUR</c:v>
                </c:pt>
                <c:pt idx="1695">
                  <c:v>BTCEUR</c:v>
                </c:pt>
                <c:pt idx="1696">
                  <c:v>BTCEUR</c:v>
                </c:pt>
                <c:pt idx="1697">
                  <c:v>BTCEUR</c:v>
                </c:pt>
                <c:pt idx="1698">
                  <c:v>BTCEUR</c:v>
                </c:pt>
                <c:pt idx="1699">
                  <c:v>BTCEUR</c:v>
                </c:pt>
                <c:pt idx="1700">
                  <c:v>BTCEUR</c:v>
                </c:pt>
                <c:pt idx="1701">
                  <c:v>BTCEUR</c:v>
                </c:pt>
                <c:pt idx="1702">
                  <c:v>BTCEUR</c:v>
                </c:pt>
                <c:pt idx="1703">
                  <c:v>BTCEUR</c:v>
                </c:pt>
                <c:pt idx="1704">
                  <c:v>BTCEUR</c:v>
                </c:pt>
                <c:pt idx="1705">
                  <c:v>BTCEUR</c:v>
                </c:pt>
                <c:pt idx="1706">
                  <c:v>BTCEUR</c:v>
                </c:pt>
                <c:pt idx="1707">
                  <c:v>BTCEUR</c:v>
                </c:pt>
                <c:pt idx="1708">
                  <c:v>BTCEUR</c:v>
                </c:pt>
                <c:pt idx="1709">
                  <c:v>BTCEUR</c:v>
                </c:pt>
                <c:pt idx="1710">
                  <c:v>BTCEUR</c:v>
                </c:pt>
                <c:pt idx="1711">
                  <c:v>BTCEUR</c:v>
                </c:pt>
                <c:pt idx="1712">
                  <c:v>BTCEUR</c:v>
                </c:pt>
                <c:pt idx="1713">
                  <c:v>BTCEUR</c:v>
                </c:pt>
                <c:pt idx="1714">
                  <c:v>BTCEUR</c:v>
                </c:pt>
                <c:pt idx="1715">
                  <c:v>BTCEUR</c:v>
                </c:pt>
                <c:pt idx="1716">
                  <c:v>BTCEUR</c:v>
                </c:pt>
                <c:pt idx="1717">
                  <c:v>BTCEUR</c:v>
                </c:pt>
                <c:pt idx="1718">
                  <c:v>BTCEUR</c:v>
                </c:pt>
                <c:pt idx="1719">
                  <c:v>BTCEUR</c:v>
                </c:pt>
                <c:pt idx="1720">
                  <c:v>BTCEUR</c:v>
                </c:pt>
                <c:pt idx="1721">
                  <c:v>BTCEUR</c:v>
                </c:pt>
                <c:pt idx="1722">
                  <c:v>BTCEUR</c:v>
                </c:pt>
                <c:pt idx="1723">
                  <c:v>BTCEUR</c:v>
                </c:pt>
                <c:pt idx="1724">
                  <c:v>BTCEUR</c:v>
                </c:pt>
                <c:pt idx="1725">
                  <c:v>BTCEUR</c:v>
                </c:pt>
                <c:pt idx="1726">
                  <c:v>BTCEUR</c:v>
                </c:pt>
                <c:pt idx="1727">
                  <c:v>BTCEUR</c:v>
                </c:pt>
                <c:pt idx="1728">
                  <c:v>BTCEUR</c:v>
                </c:pt>
                <c:pt idx="1729">
                  <c:v>BTCEUR</c:v>
                </c:pt>
                <c:pt idx="1730">
                  <c:v>BTCEUR</c:v>
                </c:pt>
                <c:pt idx="1731">
                  <c:v>BTCEUR</c:v>
                </c:pt>
                <c:pt idx="1732">
                  <c:v>BTCEUR</c:v>
                </c:pt>
                <c:pt idx="1733">
                  <c:v>BTCEUR</c:v>
                </c:pt>
                <c:pt idx="1734">
                  <c:v>BTCEUR</c:v>
                </c:pt>
                <c:pt idx="1735">
                  <c:v>BTCEUR</c:v>
                </c:pt>
                <c:pt idx="1736">
                  <c:v>BTCEUR</c:v>
                </c:pt>
                <c:pt idx="1737">
                  <c:v>BTCEUR</c:v>
                </c:pt>
                <c:pt idx="1738">
                  <c:v>BTCEUR</c:v>
                </c:pt>
                <c:pt idx="1739">
                  <c:v>BTCEUR</c:v>
                </c:pt>
                <c:pt idx="1740">
                  <c:v>BTCEUR</c:v>
                </c:pt>
                <c:pt idx="1741">
                  <c:v>BTCEUR</c:v>
                </c:pt>
                <c:pt idx="1742">
                  <c:v>BTCEUR</c:v>
                </c:pt>
                <c:pt idx="1743">
                  <c:v>BTCEUR</c:v>
                </c:pt>
                <c:pt idx="1744">
                  <c:v>BTCEUR</c:v>
                </c:pt>
                <c:pt idx="1745">
                  <c:v>BTCEUR</c:v>
                </c:pt>
                <c:pt idx="1746">
                  <c:v>BTCEUR</c:v>
                </c:pt>
                <c:pt idx="1747">
                  <c:v>BTCEUR</c:v>
                </c:pt>
                <c:pt idx="1748">
                  <c:v>BTCEUR</c:v>
                </c:pt>
                <c:pt idx="1749">
                  <c:v>BTCEUR</c:v>
                </c:pt>
                <c:pt idx="1750">
                  <c:v>BTCEUR</c:v>
                </c:pt>
                <c:pt idx="1751">
                  <c:v>BTCEUR</c:v>
                </c:pt>
                <c:pt idx="1752">
                  <c:v>BTCEUR</c:v>
                </c:pt>
                <c:pt idx="1753">
                  <c:v>BTCEUR</c:v>
                </c:pt>
                <c:pt idx="1754">
                  <c:v>BTCEUR</c:v>
                </c:pt>
                <c:pt idx="1755">
                  <c:v>BTCEUR</c:v>
                </c:pt>
                <c:pt idx="1756">
                  <c:v>BTCEUR</c:v>
                </c:pt>
                <c:pt idx="1757">
                  <c:v>BTCEUR</c:v>
                </c:pt>
                <c:pt idx="1758">
                  <c:v>BTCEUR</c:v>
                </c:pt>
                <c:pt idx="1759">
                  <c:v>BTCEUR</c:v>
                </c:pt>
                <c:pt idx="1760">
                  <c:v>BTCEUR</c:v>
                </c:pt>
                <c:pt idx="1761">
                  <c:v>BTCEUR</c:v>
                </c:pt>
                <c:pt idx="1762">
                  <c:v>BTCEUR</c:v>
                </c:pt>
                <c:pt idx="1763">
                  <c:v>BTCEUR</c:v>
                </c:pt>
                <c:pt idx="1764">
                  <c:v>BTCEUR</c:v>
                </c:pt>
                <c:pt idx="1765">
                  <c:v>BTCEUR</c:v>
                </c:pt>
                <c:pt idx="1766">
                  <c:v>BTCEUR</c:v>
                </c:pt>
                <c:pt idx="1767">
                  <c:v>BTCEUR</c:v>
                </c:pt>
                <c:pt idx="1768">
                  <c:v>BTCEUR</c:v>
                </c:pt>
                <c:pt idx="1769">
                  <c:v>BTCEUR</c:v>
                </c:pt>
                <c:pt idx="1770">
                  <c:v>BTCEUR</c:v>
                </c:pt>
                <c:pt idx="1771">
                  <c:v>BTCEUR</c:v>
                </c:pt>
                <c:pt idx="1772">
                  <c:v>BTCEUR</c:v>
                </c:pt>
                <c:pt idx="1773">
                  <c:v>BTCEUR</c:v>
                </c:pt>
                <c:pt idx="1774">
                  <c:v>BTCEUR</c:v>
                </c:pt>
                <c:pt idx="1775">
                  <c:v>BTCEUR</c:v>
                </c:pt>
                <c:pt idx="1776">
                  <c:v>BTCEUR</c:v>
                </c:pt>
                <c:pt idx="1777">
                  <c:v>BTCEUR</c:v>
                </c:pt>
                <c:pt idx="1778">
                  <c:v>BTCEUR</c:v>
                </c:pt>
                <c:pt idx="1779">
                  <c:v>BTCEUR</c:v>
                </c:pt>
                <c:pt idx="1780">
                  <c:v>BTCEUR</c:v>
                </c:pt>
                <c:pt idx="1781">
                  <c:v>BTCEUR</c:v>
                </c:pt>
                <c:pt idx="1782">
                  <c:v>BTCEUR</c:v>
                </c:pt>
                <c:pt idx="1783">
                  <c:v>BTCEUR</c:v>
                </c:pt>
                <c:pt idx="1784">
                  <c:v>BTCEUR</c:v>
                </c:pt>
                <c:pt idx="1785">
                  <c:v>BTCEUR</c:v>
                </c:pt>
                <c:pt idx="1786">
                  <c:v>BTCEUR</c:v>
                </c:pt>
                <c:pt idx="1787">
                  <c:v>BTCEUR</c:v>
                </c:pt>
                <c:pt idx="1788">
                  <c:v>BTCEUR</c:v>
                </c:pt>
                <c:pt idx="1789">
                  <c:v>BTCEUR</c:v>
                </c:pt>
                <c:pt idx="1790">
                  <c:v>BTCEUR</c:v>
                </c:pt>
                <c:pt idx="1791">
                  <c:v>BTCEUR</c:v>
                </c:pt>
                <c:pt idx="1792">
                  <c:v>BTCEUR</c:v>
                </c:pt>
                <c:pt idx="1793">
                  <c:v>BTCEUR</c:v>
                </c:pt>
                <c:pt idx="1794">
                  <c:v>BTCEUR</c:v>
                </c:pt>
                <c:pt idx="1795">
                  <c:v>BTCEUR</c:v>
                </c:pt>
                <c:pt idx="1796">
                  <c:v>BTCEUR</c:v>
                </c:pt>
                <c:pt idx="1797">
                  <c:v>BTCEUR</c:v>
                </c:pt>
                <c:pt idx="1798">
                  <c:v>BTCEUR</c:v>
                </c:pt>
                <c:pt idx="1799">
                  <c:v>BTCEUR</c:v>
                </c:pt>
                <c:pt idx="1800">
                  <c:v>BTCEUR</c:v>
                </c:pt>
                <c:pt idx="1801">
                  <c:v>BTCEUR</c:v>
                </c:pt>
                <c:pt idx="1802">
                  <c:v>BTCEUR</c:v>
                </c:pt>
                <c:pt idx="1803">
                  <c:v>BTCEUR</c:v>
                </c:pt>
                <c:pt idx="1804">
                  <c:v>BTCEUR</c:v>
                </c:pt>
                <c:pt idx="1805">
                  <c:v>BTCEUR</c:v>
                </c:pt>
                <c:pt idx="1806">
                  <c:v>BTCEUR</c:v>
                </c:pt>
                <c:pt idx="1807">
                  <c:v>BTCEUR</c:v>
                </c:pt>
                <c:pt idx="1808">
                  <c:v>BTCEUR</c:v>
                </c:pt>
                <c:pt idx="1809">
                  <c:v>BTCEUR</c:v>
                </c:pt>
                <c:pt idx="1810">
                  <c:v>BTCEUR</c:v>
                </c:pt>
                <c:pt idx="1811">
                  <c:v>BTCEUR</c:v>
                </c:pt>
                <c:pt idx="1812">
                  <c:v>BTCEUR</c:v>
                </c:pt>
                <c:pt idx="1813">
                  <c:v>BTCEUR</c:v>
                </c:pt>
                <c:pt idx="1814">
                  <c:v>BTCEUR</c:v>
                </c:pt>
                <c:pt idx="1815">
                  <c:v>BTCEUR</c:v>
                </c:pt>
                <c:pt idx="1816">
                  <c:v>BTCEUR</c:v>
                </c:pt>
                <c:pt idx="1817">
                  <c:v>BTCEUR</c:v>
                </c:pt>
                <c:pt idx="1818">
                  <c:v>BTCEUR</c:v>
                </c:pt>
                <c:pt idx="1819">
                  <c:v>BTCEUR</c:v>
                </c:pt>
                <c:pt idx="1820">
                  <c:v>BTCEUR</c:v>
                </c:pt>
                <c:pt idx="1821">
                  <c:v>BTCEUR</c:v>
                </c:pt>
                <c:pt idx="1822">
                  <c:v>BTCEUR</c:v>
                </c:pt>
                <c:pt idx="1823">
                  <c:v>BTCEUR</c:v>
                </c:pt>
                <c:pt idx="1824">
                  <c:v>BTCEUR</c:v>
                </c:pt>
                <c:pt idx="1825">
                  <c:v>BTCEUR</c:v>
                </c:pt>
                <c:pt idx="1826">
                  <c:v>BTCEUR</c:v>
                </c:pt>
                <c:pt idx="1827">
                  <c:v>BTCEUR</c:v>
                </c:pt>
                <c:pt idx="1828">
                  <c:v>BTCEUR</c:v>
                </c:pt>
                <c:pt idx="1829">
                  <c:v>BTCEUR</c:v>
                </c:pt>
                <c:pt idx="1830">
                  <c:v>BTCEUR</c:v>
                </c:pt>
                <c:pt idx="1831">
                  <c:v>BTCEUR</c:v>
                </c:pt>
                <c:pt idx="1832">
                  <c:v>BTCEUR</c:v>
                </c:pt>
                <c:pt idx="1833">
                  <c:v>BTCEUR</c:v>
                </c:pt>
                <c:pt idx="1834">
                  <c:v>BTCEUR</c:v>
                </c:pt>
                <c:pt idx="1835">
                  <c:v>BTCEUR</c:v>
                </c:pt>
                <c:pt idx="1836">
                  <c:v>BTCEUR</c:v>
                </c:pt>
                <c:pt idx="1837">
                  <c:v>BTCEUR</c:v>
                </c:pt>
                <c:pt idx="1838">
                  <c:v>BTCEUR</c:v>
                </c:pt>
                <c:pt idx="1839">
                  <c:v>BTCEUR</c:v>
                </c:pt>
                <c:pt idx="1840">
                  <c:v>BTCEUR</c:v>
                </c:pt>
                <c:pt idx="1841">
                  <c:v>BTCEUR</c:v>
                </c:pt>
                <c:pt idx="1842">
                  <c:v>BTCEUR</c:v>
                </c:pt>
                <c:pt idx="1843">
                  <c:v>BTCEUR</c:v>
                </c:pt>
                <c:pt idx="1844">
                  <c:v>BTCEUR</c:v>
                </c:pt>
                <c:pt idx="1845">
                  <c:v>BTCEUR</c:v>
                </c:pt>
                <c:pt idx="1846">
                  <c:v>BTCEUR</c:v>
                </c:pt>
                <c:pt idx="1847">
                  <c:v>BTCEUR</c:v>
                </c:pt>
                <c:pt idx="1848">
                  <c:v>BTCEUR</c:v>
                </c:pt>
                <c:pt idx="1849">
                  <c:v>BTCEUR</c:v>
                </c:pt>
                <c:pt idx="1850">
                  <c:v>BTCEUR</c:v>
                </c:pt>
                <c:pt idx="1851">
                  <c:v>BTCEUR</c:v>
                </c:pt>
                <c:pt idx="1852">
                  <c:v>BTCEUR</c:v>
                </c:pt>
                <c:pt idx="1853">
                  <c:v>BTCEUR</c:v>
                </c:pt>
                <c:pt idx="1854">
                  <c:v>BTCEUR</c:v>
                </c:pt>
                <c:pt idx="1855">
                  <c:v>BTCEUR</c:v>
                </c:pt>
                <c:pt idx="1856">
                  <c:v>BTCEUR</c:v>
                </c:pt>
                <c:pt idx="1857">
                  <c:v>BTCEUR</c:v>
                </c:pt>
                <c:pt idx="1858">
                  <c:v>BTCEUR</c:v>
                </c:pt>
                <c:pt idx="1859">
                  <c:v>BTCEUR</c:v>
                </c:pt>
                <c:pt idx="1860">
                  <c:v>BTCEUR</c:v>
                </c:pt>
                <c:pt idx="1861">
                  <c:v>BTCEUR</c:v>
                </c:pt>
                <c:pt idx="1862">
                  <c:v>BTCEUR</c:v>
                </c:pt>
                <c:pt idx="1863">
                  <c:v>BTCEUR</c:v>
                </c:pt>
                <c:pt idx="1864">
                  <c:v>BTCEUR</c:v>
                </c:pt>
                <c:pt idx="1865">
                  <c:v>BTCEUR</c:v>
                </c:pt>
                <c:pt idx="1866">
                  <c:v>BTCEUR</c:v>
                </c:pt>
                <c:pt idx="1867">
                  <c:v>BTCEUR</c:v>
                </c:pt>
                <c:pt idx="1868">
                  <c:v>BTCEUR</c:v>
                </c:pt>
                <c:pt idx="1869">
                  <c:v>BTCEUR</c:v>
                </c:pt>
                <c:pt idx="1870">
                  <c:v>BTCEUR</c:v>
                </c:pt>
                <c:pt idx="1871">
                  <c:v>BTCEUR</c:v>
                </c:pt>
                <c:pt idx="1872">
                  <c:v>BTCEUR</c:v>
                </c:pt>
                <c:pt idx="1873">
                  <c:v>BTCEUR</c:v>
                </c:pt>
                <c:pt idx="1874">
                  <c:v>BTCEUR</c:v>
                </c:pt>
                <c:pt idx="1875">
                  <c:v>BTCEUR</c:v>
                </c:pt>
                <c:pt idx="1876">
                  <c:v>BTCEUR</c:v>
                </c:pt>
                <c:pt idx="1877">
                  <c:v>BTCEUR</c:v>
                </c:pt>
                <c:pt idx="1878">
                  <c:v>BTCEUR</c:v>
                </c:pt>
                <c:pt idx="1879">
                  <c:v>BTCEUR</c:v>
                </c:pt>
                <c:pt idx="1880">
                  <c:v>BTCEUR</c:v>
                </c:pt>
                <c:pt idx="1881">
                  <c:v>BTCEUR</c:v>
                </c:pt>
                <c:pt idx="1882">
                  <c:v>BTCEUR</c:v>
                </c:pt>
                <c:pt idx="1883">
                  <c:v>BTCEUR</c:v>
                </c:pt>
                <c:pt idx="1884">
                  <c:v>BTCEUR</c:v>
                </c:pt>
                <c:pt idx="1885">
                  <c:v>BTCEUR</c:v>
                </c:pt>
                <c:pt idx="1886">
                  <c:v>BTCEUR</c:v>
                </c:pt>
                <c:pt idx="1887">
                  <c:v>BTCEUR</c:v>
                </c:pt>
                <c:pt idx="1888">
                  <c:v>BTCEUR</c:v>
                </c:pt>
                <c:pt idx="1889">
                  <c:v>BTCEUR</c:v>
                </c:pt>
                <c:pt idx="1890">
                  <c:v>BTCEUR</c:v>
                </c:pt>
                <c:pt idx="1891">
                  <c:v>BTCEUR</c:v>
                </c:pt>
                <c:pt idx="1892">
                  <c:v>BTCEUR</c:v>
                </c:pt>
                <c:pt idx="1893">
                  <c:v>BTCEUR</c:v>
                </c:pt>
                <c:pt idx="1894">
                  <c:v>BTCEUR</c:v>
                </c:pt>
                <c:pt idx="1895">
                  <c:v>BTCEUR</c:v>
                </c:pt>
                <c:pt idx="1896">
                  <c:v>BTCEUR</c:v>
                </c:pt>
                <c:pt idx="1897">
                  <c:v>BTCEUR</c:v>
                </c:pt>
                <c:pt idx="1898">
                  <c:v>BTCEUR</c:v>
                </c:pt>
                <c:pt idx="1899">
                  <c:v>BTCEUR</c:v>
                </c:pt>
                <c:pt idx="1900">
                  <c:v>BTCEUR</c:v>
                </c:pt>
                <c:pt idx="1901">
                  <c:v>BTCEUR</c:v>
                </c:pt>
                <c:pt idx="1902">
                  <c:v>BTCEUR</c:v>
                </c:pt>
                <c:pt idx="1903">
                  <c:v>BTCEUR</c:v>
                </c:pt>
                <c:pt idx="1904">
                  <c:v>BTCEUR</c:v>
                </c:pt>
                <c:pt idx="1905">
                  <c:v>BTCEUR</c:v>
                </c:pt>
                <c:pt idx="1906">
                  <c:v>BTCEUR</c:v>
                </c:pt>
                <c:pt idx="1907">
                  <c:v>BTCEUR</c:v>
                </c:pt>
                <c:pt idx="1908">
                  <c:v>BTCEUR</c:v>
                </c:pt>
                <c:pt idx="1909">
                  <c:v>BTCEUR</c:v>
                </c:pt>
                <c:pt idx="1910">
                  <c:v>BTCEUR</c:v>
                </c:pt>
                <c:pt idx="1911">
                  <c:v>BTCEUR</c:v>
                </c:pt>
                <c:pt idx="1912">
                  <c:v>BTCEUR</c:v>
                </c:pt>
                <c:pt idx="1913">
                  <c:v>BTCEUR</c:v>
                </c:pt>
                <c:pt idx="1914">
                  <c:v>BTCEUR</c:v>
                </c:pt>
                <c:pt idx="1915">
                  <c:v>BTCEUR</c:v>
                </c:pt>
                <c:pt idx="1916">
                  <c:v>BTCEUR</c:v>
                </c:pt>
                <c:pt idx="1917">
                  <c:v>BTCEUR</c:v>
                </c:pt>
                <c:pt idx="1918">
                  <c:v>BTCEUR</c:v>
                </c:pt>
                <c:pt idx="1919">
                  <c:v>BTCEUR</c:v>
                </c:pt>
                <c:pt idx="1920">
                  <c:v>BTCEUR</c:v>
                </c:pt>
                <c:pt idx="1921">
                  <c:v>BTCEUR</c:v>
                </c:pt>
                <c:pt idx="1922">
                  <c:v>BTCEUR</c:v>
                </c:pt>
                <c:pt idx="1923">
                  <c:v>BTCEUR</c:v>
                </c:pt>
                <c:pt idx="1924">
                  <c:v>BTCEUR</c:v>
                </c:pt>
                <c:pt idx="1925">
                  <c:v>BTCEUR</c:v>
                </c:pt>
                <c:pt idx="1926">
                  <c:v>BTCEUR</c:v>
                </c:pt>
                <c:pt idx="1927">
                  <c:v>BTCEUR</c:v>
                </c:pt>
                <c:pt idx="1928">
                  <c:v>BTCEUR</c:v>
                </c:pt>
                <c:pt idx="1929">
                  <c:v>BTCEUR</c:v>
                </c:pt>
                <c:pt idx="1930">
                  <c:v>BTCEUR</c:v>
                </c:pt>
                <c:pt idx="1931">
                  <c:v>BTCEUR</c:v>
                </c:pt>
                <c:pt idx="1932">
                  <c:v>BTCEUR</c:v>
                </c:pt>
                <c:pt idx="1933">
                  <c:v>BTCEUR</c:v>
                </c:pt>
                <c:pt idx="1934">
                  <c:v>BTCEUR</c:v>
                </c:pt>
                <c:pt idx="1935">
                  <c:v>BTCEUR</c:v>
                </c:pt>
                <c:pt idx="1936">
                  <c:v>BTCEUR</c:v>
                </c:pt>
                <c:pt idx="1937">
                  <c:v>BTCEUR</c:v>
                </c:pt>
                <c:pt idx="1938">
                  <c:v>BTCEUR</c:v>
                </c:pt>
                <c:pt idx="1939">
                  <c:v>BTCEUR</c:v>
                </c:pt>
                <c:pt idx="1940">
                  <c:v>BTCEUR</c:v>
                </c:pt>
                <c:pt idx="1941">
                  <c:v>BTCEUR</c:v>
                </c:pt>
                <c:pt idx="1942">
                  <c:v>BTCEUR</c:v>
                </c:pt>
                <c:pt idx="1943">
                  <c:v>BTCEUR</c:v>
                </c:pt>
                <c:pt idx="1944">
                  <c:v>BTCEUR</c:v>
                </c:pt>
                <c:pt idx="1945">
                  <c:v>BTCEUR</c:v>
                </c:pt>
                <c:pt idx="1946">
                  <c:v>BTCEUR</c:v>
                </c:pt>
                <c:pt idx="1947">
                  <c:v>BTCEUR</c:v>
                </c:pt>
                <c:pt idx="1948">
                  <c:v>BTCEUR</c:v>
                </c:pt>
                <c:pt idx="1949">
                  <c:v>BTCEUR</c:v>
                </c:pt>
                <c:pt idx="1950">
                  <c:v>BTCEUR</c:v>
                </c:pt>
                <c:pt idx="1951">
                  <c:v>BTCEUR</c:v>
                </c:pt>
                <c:pt idx="1952">
                  <c:v>BTCEUR</c:v>
                </c:pt>
                <c:pt idx="1953">
                  <c:v>BTCEUR</c:v>
                </c:pt>
                <c:pt idx="1954">
                  <c:v>BTCEUR</c:v>
                </c:pt>
                <c:pt idx="1955">
                  <c:v>BTCEUR</c:v>
                </c:pt>
                <c:pt idx="1956">
                  <c:v>BTCEUR</c:v>
                </c:pt>
                <c:pt idx="1957">
                  <c:v>BTCEUR</c:v>
                </c:pt>
                <c:pt idx="1958">
                  <c:v>BTCEUR</c:v>
                </c:pt>
                <c:pt idx="1959">
                  <c:v>BTCEUR</c:v>
                </c:pt>
                <c:pt idx="1960">
                  <c:v>BTCEUR</c:v>
                </c:pt>
                <c:pt idx="1961">
                  <c:v>BTCEUR</c:v>
                </c:pt>
                <c:pt idx="1962">
                  <c:v>BTCEUR</c:v>
                </c:pt>
                <c:pt idx="1963">
                  <c:v>BTCEUR</c:v>
                </c:pt>
                <c:pt idx="1964">
                  <c:v>BTCEUR</c:v>
                </c:pt>
                <c:pt idx="1965">
                  <c:v>BTCEUR</c:v>
                </c:pt>
                <c:pt idx="1966">
                  <c:v>BTCEUR</c:v>
                </c:pt>
                <c:pt idx="1967">
                  <c:v>BTCEUR</c:v>
                </c:pt>
                <c:pt idx="1968">
                  <c:v>BTCEUR</c:v>
                </c:pt>
                <c:pt idx="1969">
                  <c:v>BTCEUR</c:v>
                </c:pt>
                <c:pt idx="1970">
                  <c:v>BTCEUR</c:v>
                </c:pt>
                <c:pt idx="1971">
                  <c:v>BTCEUR</c:v>
                </c:pt>
                <c:pt idx="1972">
                  <c:v>BTCEUR</c:v>
                </c:pt>
                <c:pt idx="1973">
                  <c:v>BTCEUR</c:v>
                </c:pt>
                <c:pt idx="1974">
                  <c:v>BTCEUR</c:v>
                </c:pt>
                <c:pt idx="1975">
                  <c:v>BTCEUR</c:v>
                </c:pt>
                <c:pt idx="1976">
                  <c:v>BTCEUR</c:v>
                </c:pt>
                <c:pt idx="1977">
                  <c:v>BTCEUR</c:v>
                </c:pt>
                <c:pt idx="1978">
                  <c:v>BTCEUR</c:v>
                </c:pt>
                <c:pt idx="1979">
                  <c:v>BTCEUR</c:v>
                </c:pt>
                <c:pt idx="1980">
                  <c:v>BTCEUR</c:v>
                </c:pt>
                <c:pt idx="1981">
                  <c:v>BTCEUR</c:v>
                </c:pt>
                <c:pt idx="1982">
                  <c:v>BTCEUR</c:v>
                </c:pt>
                <c:pt idx="1983">
                  <c:v>BTCEUR</c:v>
                </c:pt>
                <c:pt idx="1984">
                  <c:v>BTCEUR</c:v>
                </c:pt>
                <c:pt idx="1985">
                  <c:v>BTCEUR</c:v>
                </c:pt>
                <c:pt idx="1986">
                  <c:v>BTCEUR</c:v>
                </c:pt>
                <c:pt idx="1987">
                  <c:v>BTCEUR</c:v>
                </c:pt>
                <c:pt idx="1988">
                  <c:v>BTCEUR</c:v>
                </c:pt>
                <c:pt idx="1989">
                  <c:v>BTCEUR</c:v>
                </c:pt>
                <c:pt idx="1990">
                  <c:v>BTCEUR</c:v>
                </c:pt>
                <c:pt idx="1991">
                  <c:v>BTCEUR</c:v>
                </c:pt>
                <c:pt idx="1992">
                  <c:v>BTCEUR</c:v>
                </c:pt>
                <c:pt idx="1993">
                  <c:v>BTCEUR</c:v>
                </c:pt>
                <c:pt idx="1994">
                  <c:v>BTCEUR</c:v>
                </c:pt>
                <c:pt idx="1995">
                  <c:v>BTCEUR</c:v>
                </c:pt>
                <c:pt idx="1996">
                  <c:v>BTCEUR</c:v>
                </c:pt>
                <c:pt idx="1997">
                  <c:v>BTCEUR</c:v>
                </c:pt>
                <c:pt idx="1998">
                  <c:v>BTCEUR</c:v>
                </c:pt>
                <c:pt idx="1999">
                  <c:v>BTCEUR</c:v>
                </c:pt>
                <c:pt idx="2000">
                  <c:v>BTCEUR</c:v>
                </c:pt>
                <c:pt idx="2001">
                  <c:v>BTCEUR</c:v>
                </c:pt>
                <c:pt idx="2002">
                  <c:v>BTCEUR</c:v>
                </c:pt>
                <c:pt idx="2003">
                  <c:v>BTCEUR</c:v>
                </c:pt>
                <c:pt idx="2004">
                  <c:v>BTCEUR</c:v>
                </c:pt>
                <c:pt idx="2005">
                  <c:v>BTCEUR</c:v>
                </c:pt>
                <c:pt idx="2006">
                  <c:v>BTCEUR</c:v>
                </c:pt>
                <c:pt idx="2007">
                  <c:v>BTCEUR</c:v>
                </c:pt>
                <c:pt idx="2008">
                  <c:v>BTCEUR</c:v>
                </c:pt>
                <c:pt idx="2009">
                  <c:v>BTCEUR</c:v>
                </c:pt>
                <c:pt idx="2010">
                  <c:v>BTCEUR</c:v>
                </c:pt>
                <c:pt idx="2011">
                  <c:v>BTCEUR</c:v>
                </c:pt>
                <c:pt idx="2012">
                  <c:v>BTCEUR</c:v>
                </c:pt>
                <c:pt idx="2013">
                  <c:v>BTCEUR</c:v>
                </c:pt>
                <c:pt idx="2014">
                  <c:v>BTCEUR</c:v>
                </c:pt>
                <c:pt idx="2015">
                  <c:v>BTCEUR</c:v>
                </c:pt>
                <c:pt idx="2016">
                  <c:v>BTCEUR</c:v>
                </c:pt>
                <c:pt idx="2017">
                  <c:v>BTCEUR</c:v>
                </c:pt>
                <c:pt idx="2018">
                  <c:v>BTCEUR</c:v>
                </c:pt>
                <c:pt idx="2019">
                  <c:v>BTCEUR</c:v>
                </c:pt>
                <c:pt idx="2020">
                  <c:v>BTCEUR</c:v>
                </c:pt>
                <c:pt idx="2021">
                  <c:v>BTCEUR</c:v>
                </c:pt>
                <c:pt idx="2022">
                  <c:v>BTCEUR</c:v>
                </c:pt>
                <c:pt idx="2023">
                  <c:v>BTCEUR</c:v>
                </c:pt>
                <c:pt idx="2024">
                  <c:v>BTCEUR</c:v>
                </c:pt>
                <c:pt idx="2025">
                  <c:v>BTCEUR</c:v>
                </c:pt>
                <c:pt idx="2026">
                  <c:v>BTCEUR</c:v>
                </c:pt>
                <c:pt idx="2027">
                  <c:v>BTCEUR</c:v>
                </c:pt>
                <c:pt idx="2028">
                  <c:v>BTCEUR</c:v>
                </c:pt>
                <c:pt idx="2029">
                  <c:v>BTCEUR</c:v>
                </c:pt>
                <c:pt idx="2030">
                  <c:v>BTCEUR</c:v>
                </c:pt>
                <c:pt idx="2031">
                  <c:v>BTCEUR</c:v>
                </c:pt>
                <c:pt idx="2032">
                  <c:v>BTCEUR</c:v>
                </c:pt>
                <c:pt idx="2033">
                  <c:v>BTCEUR</c:v>
                </c:pt>
                <c:pt idx="2034">
                  <c:v>BTCEUR</c:v>
                </c:pt>
                <c:pt idx="2035">
                  <c:v>BTCEUR</c:v>
                </c:pt>
                <c:pt idx="2036">
                  <c:v>BTCEUR</c:v>
                </c:pt>
                <c:pt idx="2037">
                  <c:v>BTCEUR</c:v>
                </c:pt>
                <c:pt idx="2038">
                  <c:v>BTCEUR</c:v>
                </c:pt>
                <c:pt idx="2039">
                  <c:v>BTCEUR</c:v>
                </c:pt>
                <c:pt idx="2040">
                  <c:v>BTCEUR</c:v>
                </c:pt>
                <c:pt idx="2041">
                  <c:v>BTCEUR</c:v>
                </c:pt>
                <c:pt idx="2042">
                  <c:v>BTCEUR</c:v>
                </c:pt>
                <c:pt idx="2043">
                  <c:v>BTCEUR</c:v>
                </c:pt>
                <c:pt idx="2044">
                  <c:v>BTCEUR</c:v>
                </c:pt>
                <c:pt idx="2045">
                  <c:v>BTCEUR</c:v>
                </c:pt>
                <c:pt idx="2046">
                  <c:v>BTCEUR</c:v>
                </c:pt>
                <c:pt idx="2047">
                  <c:v>BTCEUR</c:v>
                </c:pt>
                <c:pt idx="2048">
                  <c:v>BTCEUR</c:v>
                </c:pt>
                <c:pt idx="2049">
                  <c:v>BTCEUR</c:v>
                </c:pt>
                <c:pt idx="2050">
                  <c:v>BTCEUR</c:v>
                </c:pt>
                <c:pt idx="2051">
                  <c:v>BTCEUR</c:v>
                </c:pt>
                <c:pt idx="2052">
                  <c:v>BTCEUR</c:v>
                </c:pt>
                <c:pt idx="2053">
                  <c:v>BTCEUR</c:v>
                </c:pt>
                <c:pt idx="2054">
                  <c:v>BTCEUR</c:v>
                </c:pt>
                <c:pt idx="2055">
                  <c:v>BTCEUR</c:v>
                </c:pt>
                <c:pt idx="2056">
                  <c:v>BTCEUR</c:v>
                </c:pt>
                <c:pt idx="2057">
                  <c:v>BTCEUR</c:v>
                </c:pt>
                <c:pt idx="2058">
                  <c:v>BTCEUR</c:v>
                </c:pt>
                <c:pt idx="2059">
                  <c:v>BTCEUR</c:v>
                </c:pt>
                <c:pt idx="2060">
                  <c:v>BTCEUR</c:v>
                </c:pt>
                <c:pt idx="2061">
                  <c:v>BTCEUR</c:v>
                </c:pt>
                <c:pt idx="2062">
                  <c:v>BTCEUR</c:v>
                </c:pt>
                <c:pt idx="2063">
                  <c:v>BTCEUR</c:v>
                </c:pt>
                <c:pt idx="2064">
                  <c:v>BTCEUR</c:v>
                </c:pt>
                <c:pt idx="2065">
                  <c:v>BTCEUR</c:v>
                </c:pt>
                <c:pt idx="2066">
                  <c:v>BTCEUR</c:v>
                </c:pt>
                <c:pt idx="2067">
                  <c:v>BTCEUR</c:v>
                </c:pt>
                <c:pt idx="2068">
                  <c:v>BTCEUR</c:v>
                </c:pt>
                <c:pt idx="2069">
                  <c:v>BTCEUR</c:v>
                </c:pt>
                <c:pt idx="2070">
                  <c:v>BTCEUR</c:v>
                </c:pt>
                <c:pt idx="2071">
                  <c:v>BTCEUR</c:v>
                </c:pt>
                <c:pt idx="2072">
                  <c:v>BTCEUR</c:v>
                </c:pt>
                <c:pt idx="2073">
                  <c:v>BTCEUR</c:v>
                </c:pt>
                <c:pt idx="2074">
                  <c:v>BTCEUR</c:v>
                </c:pt>
                <c:pt idx="2075">
                  <c:v>BTCEUR</c:v>
                </c:pt>
                <c:pt idx="2076">
                  <c:v>BTCEUR</c:v>
                </c:pt>
                <c:pt idx="2077">
                  <c:v>BTCEUR</c:v>
                </c:pt>
                <c:pt idx="2078">
                  <c:v>BTCEUR</c:v>
                </c:pt>
                <c:pt idx="2079">
                  <c:v>BTCEUR</c:v>
                </c:pt>
                <c:pt idx="2080">
                  <c:v>BTCEUR</c:v>
                </c:pt>
                <c:pt idx="2081">
                  <c:v>BTCEUR</c:v>
                </c:pt>
                <c:pt idx="2082">
                  <c:v>BTCEUR</c:v>
                </c:pt>
                <c:pt idx="2083">
                  <c:v>BTCEUR</c:v>
                </c:pt>
                <c:pt idx="2084">
                  <c:v>BTCEUR</c:v>
                </c:pt>
                <c:pt idx="2085">
                  <c:v>BTCEUR</c:v>
                </c:pt>
                <c:pt idx="2086">
                  <c:v>BTCEUR</c:v>
                </c:pt>
                <c:pt idx="2087">
                  <c:v>BTCEUR</c:v>
                </c:pt>
                <c:pt idx="2088">
                  <c:v>BTCEUR</c:v>
                </c:pt>
                <c:pt idx="2089">
                  <c:v>BTCEUR</c:v>
                </c:pt>
                <c:pt idx="2090">
                  <c:v>BTCEUR</c:v>
                </c:pt>
                <c:pt idx="2091">
                  <c:v>BTCEUR</c:v>
                </c:pt>
                <c:pt idx="2092">
                  <c:v>BTCEUR</c:v>
                </c:pt>
                <c:pt idx="2093">
                  <c:v>BTCEUR</c:v>
                </c:pt>
                <c:pt idx="2094">
                  <c:v>BTCEUR</c:v>
                </c:pt>
                <c:pt idx="2095">
                  <c:v>BTCEUR</c:v>
                </c:pt>
                <c:pt idx="2096">
                  <c:v>BTCEUR</c:v>
                </c:pt>
                <c:pt idx="2097">
                  <c:v>BTCEUR</c:v>
                </c:pt>
                <c:pt idx="2098">
                  <c:v>BTCEUR</c:v>
                </c:pt>
                <c:pt idx="2099">
                  <c:v>BTCEUR</c:v>
                </c:pt>
                <c:pt idx="2100">
                  <c:v>BTCEUR</c:v>
                </c:pt>
                <c:pt idx="2101">
                  <c:v>BTCEUR</c:v>
                </c:pt>
                <c:pt idx="2102">
                  <c:v>BTCEUR</c:v>
                </c:pt>
                <c:pt idx="2103">
                  <c:v>BTCEUR</c:v>
                </c:pt>
                <c:pt idx="2104">
                  <c:v>BTCEUR</c:v>
                </c:pt>
                <c:pt idx="2105">
                  <c:v>BTCEUR</c:v>
                </c:pt>
                <c:pt idx="2106">
                  <c:v>BTCEUR</c:v>
                </c:pt>
                <c:pt idx="2107">
                  <c:v>BTCEUR</c:v>
                </c:pt>
                <c:pt idx="2108">
                  <c:v>BTCEUR</c:v>
                </c:pt>
                <c:pt idx="2109">
                  <c:v>BTCEUR</c:v>
                </c:pt>
                <c:pt idx="2110">
                  <c:v>BTCEUR</c:v>
                </c:pt>
                <c:pt idx="2111">
                  <c:v>BTCEUR</c:v>
                </c:pt>
                <c:pt idx="2112">
                  <c:v>BTCEUR</c:v>
                </c:pt>
                <c:pt idx="2113">
                  <c:v>BTCEUR</c:v>
                </c:pt>
                <c:pt idx="2114">
                  <c:v>BTCEUR</c:v>
                </c:pt>
                <c:pt idx="2115">
                  <c:v>BTCEUR</c:v>
                </c:pt>
                <c:pt idx="2116">
                  <c:v>BTCEUR</c:v>
                </c:pt>
                <c:pt idx="2117">
                  <c:v>BTCEUR</c:v>
                </c:pt>
                <c:pt idx="2118">
                  <c:v>BTCEUR</c:v>
                </c:pt>
                <c:pt idx="2119">
                  <c:v>BTCEUR</c:v>
                </c:pt>
                <c:pt idx="2120">
                  <c:v>BTCEUR</c:v>
                </c:pt>
                <c:pt idx="2121">
                  <c:v>BTCEUR</c:v>
                </c:pt>
                <c:pt idx="2122">
                  <c:v>BTCEUR</c:v>
                </c:pt>
                <c:pt idx="2123">
                  <c:v>BTCEUR</c:v>
                </c:pt>
                <c:pt idx="2124">
                  <c:v>BTCEUR</c:v>
                </c:pt>
                <c:pt idx="2125">
                  <c:v>BTCEUR</c:v>
                </c:pt>
                <c:pt idx="2126">
                  <c:v>BTCEUR</c:v>
                </c:pt>
                <c:pt idx="2127">
                  <c:v>BTCEUR</c:v>
                </c:pt>
                <c:pt idx="2128">
                  <c:v>BTCEUR</c:v>
                </c:pt>
                <c:pt idx="2129">
                  <c:v>BTCEUR</c:v>
                </c:pt>
                <c:pt idx="2130">
                  <c:v>BTCEUR</c:v>
                </c:pt>
                <c:pt idx="2131">
                  <c:v>BTCEUR</c:v>
                </c:pt>
                <c:pt idx="2132">
                  <c:v>BTCEUR</c:v>
                </c:pt>
                <c:pt idx="2133">
                  <c:v>BTCEUR</c:v>
                </c:pt>
                <c:pt idx="2134">
                  <c:v>BTCEUR</c:v>
                </c:pt>
                <c:pt idx="2135">
                  <c:v>BTCEUR</c:v>
                </c:pt>
                <c:pt idx="2136">
                  <c:v>BTCEUR</c:v>
                </c:pt>
                <c:pt idx="2137">
                  <c:v>BTCEUR</c:v>
                </c:pt>
                <c:pt idx="2138">
                  <c:v>BTCEUR</c:v>
                </c:pt>
                <c:pt idx="2139">
                  <c:v>BTCEUR</c:v>
                </c:pt>
                <c:pt idx="2140">
                  <c:v>BTCEUR</c:v>
                </c:pt>
                <c:pt idx="2141">
                  <c:v>BTCEUR</c:v>
                </c:pt>
                <c:pt idx="2142">
                  <c:v>BTCEUR</c:v>
                </c:pt>
                <c:pt idx="2143">
                  <c:v>BTCEUR</c:v>
                </c:pt>
                <c:pt idx="2144">
                  <c:v>BTCEUR</c:v>
                </c:pt>
                <c:pt idx="2145">
                  <c:v>BTCEUR</c:v>
                </c:pt>
                <c:pt idx="2146">
                  <c:v>BTCEUR</c:v>
                </c:pt>
                <c:pt idx="2147">
                  <c:v>BTCEUR</c:v>
                </c:pt>
                <c:pt idx="2148">
                  <c:v>BTCEUR</c:v>
                </c:pt>
                <c:pt idx="2149">
                  <c:v>BTCEUR</c:v>
                </c:pt>
                <c:pt idx="2150">
                  <c:v>BTCEUR</c:v>
                </c:pt>
                <c:pt idx="2151">
                  <c:v>BTCEUR</c:v>
                </c:pt>
                <c:pt idx="2152">
                  <c:v>BTCEUR</c:v>
                </c:pt>
                <c:pt idx="2153">
                  <c:v>BTCEUR</c:v>
                </c:pt>
                <c:pt idx="2154">
                  <c:v>BTCEUR</c:v>
                </c:pt>
                <c:pt idx="2155">
                  <c:v>BTCEUR</c:v>
                </c:pt>
                <c:pt idx="2156">
                  <c:v>BTCEUR</c:v>
                </c:pt>
                <c:pt idx="2157">
                  <c:v>BTCEUR</c:v>
                </c:pt>
                <c:pt idx="2158">
                  <c:v>BTCEUR</c:v>
                </c:pt>
                <c:pt idx="2159">
                  <c:v>BTCEUR</c:v>
                </c:pt>
                <c:pt idx="2160">
                  <c:v>BTCEUR</c:v>
                </c:pt>
                <c:pt idx="2161">
                  <c:v>BTCEUR</c:v>
                </c:pt>
                <c:pt idx="2162">
                  <c:v>BTCEUR</c:v>
                </c:pt>
                <c:pt idx="2163">
                  <c:v>BTCEUR</c:v>
                </c:pt>
                <c:pt idx="2164">
                  <c:v>BTCEUR</c:v>
                </c:pt>
                <c:pt idx="2165">
                  <c:v>BTCEUR</c:v>
                </c:pt>
                <c:pt idx="2166">
                  <c:v>BTCEUR</c:v>
                </c:pt>
                <c:pt idx="2167">
                  <c:v>BTCEUR</c:v>
                </c:pt>
                <c:pt idx="2168">
                  <c:v>BTCEUR</c:v>
                </c:pt>
                <c:pt idx="2169">
                  <c:v>BTCEUR</c:v>
                </c:pt>
                <c:pt idx="2170">
                  <c:v>BTCEUR</c:v>
                </c:pt>
                <c:pt idx="2171">
                  <c:v>BTCEUR</c:v>
                </c:pt>
                <c:pt idx="2172">
                  <c:v>BTCEUR</c:v>
                </c:pt>
                <c:pt idx="2173">
                  <c:v>BTCEUR</c:v>
                </c:pt>
                <c:pt idx="2174">
                  <c:v>BTCEUR</c:v>
                </c:pt>
                <c:pt idx="2175">
                  <c:v>BTCEUR</c:v>
                </c:pt>
                <c:pt idx="2176">
                  <c:v>BTCEUR</c:v>
                </c:pt>
                <c:pt idx="2177">
                  <c:v>BTCEUR</c:v>
                </c:pt>
                <c:pt idx="2178">
                  <c:v>BTCEUR</c:v>
                </c:pt>
                <c:pt idx="2179">
                  <c:v>BTCEUR</c:v>
                </c:pt>
                <c:pt idx="2180">
                  <c:v>BTCEUR</c:v>
                </c:pt>
                <c:pt idx="2181">
                  <c:v>BTCEUR</c:v>
                </c:pt>
                <c:pt idx="2182">
                  <c:v>BTCEUR</c:v>
                </c:pt>
                <c:pt idx="2183">
                  <c:v>BTCEUR</c:v>
                </c:pt>
                <c:pt idx="2184">
                  <c:v>BTCEUR</c:v>
                </c:pt>
                <c:pt idx="2185">
                  <c:v>BTCEUR</c:v>
                </c:pt>
                <c:pt idx="2186">
                  <c:v>BTCEUR</c:v>
                </c:pt>
                <c:pt idx="2187">
                  <c:v>BTCEUR</c:v>
                </c:pt>
                <c:pt idx="2188">
                  <c:v>BTCEUR</c:v>
                </c:pt>
                <c:pt idx="2189">
                  <c:v>BTCEUR</c:v>
                </c:pt>
                <c:pt idx="2190">
                  <c:v>BTCEUR</c:v>
                </c:pt>
                <c:pt idx="2191">
                  <c:v>BTCEUR</c:v>
                </c:pt>
                <c:pt idx="2192">
                  <c:v>BTCEUR</c:v>
                </c:pt>
                <c:pt idx="2193">
                  <c:v>BTCEUR</c:v>
                </c:pt>
                <c:pt idx="2194">
                  <c:v>BTCEUR</c:v>
                </c:pt>
                <c:pt idx="2195">
                  <c:v>BTCEUR</c:v>
                </c:pt>
                <c:pt idx="2196">
                  <c:v>BTCEUR</c:v>
                </c:pt>
                <c:pt idx="2197">
                  <c:v>BTCEUR</c:v>
                </c:pt>
                <c:pt idx="2198">
                  <c:v>BTCEUR</c:v>
                </c:pt>
                <c:pt idx="2199">
                  <c:v>BTCEUR</c:v>
                </c:pt>
                <c:pt idx="2200">
                  <c:v>BTCEUR</c:v>
                </c:pt>
                <c:pt idx="2201">
                  <c:v>BTCEUR</c:v>
                </c:pt>
                <c:pt idx="2202">
                  <c:v>BTCEUR</c:v>
                </c:pt>
                <c:pt idx="2203">
                  <c:v>BTCEUR</c:v>
                </c:pt>
                <c:pt idx="2204">
                  <c:v>BTCEUR</c:v>
                </c:pt>
                <c:pt idx="2205">
                  <c:v>BTCEUR</c:v>
                </c:pt>
                <c:pt idx="2206">
                  <c:v>BTCEUR</c:v>
                </c:pt>
                <c:pt idx="2207">
                  <c:v>BTCEUR</c:v>
                </c:pt>
                <c:pt idx="2208">
                  <c:v>BTCEUR</c:v>
                </c:pt>
                <c:pt idx="2209">
                  <c:v>BTCEUR</c:v>
                </c:pt>
                <c:pt idx="2210">
                  <c:v>BTCEUR</c:v>
                </c:pt>
                <c:pt idx="2211">
                  <c:v>BTCEUR</c:v>
                </c:pt>
                <c:pt idx="2212">
                  <c:v>BTCEUR</c:v>
                </c:pt>
                <c:pt idx="2213">
                  <c:v>BTCEUR</c:v>
                </c:pt>
                <c:pt idx="2214">
                  <c:v>BTCEUR</c:v>
                </c:pt>
                <c:pt idx="2215">
                  <c:v>BTCEUR</c:v>
                </c:pt>
                <c:pt idx="2216">
                  <c:v>BTCEUR</c:v>
                </c:pt>
                <c:pt idx="2217">
                  <c:v>BTCEUR</c:v>
                </c:pt>
                <c:pt idx="2218">
                  <c:v>BTCEUR</c:v>
                </c:pt>
                <c:pt idx="2219">
                  <c:v>BTCEUR</c:v>
                </c:pt>
                <c:pt idx="2220">
                  <c:v>BTCEUR</c:v>
                </c:pt>
                <c:pt idx="2221">
                  <c:v>BTCEUR</c:v>
                </c:pt>
                <c:pt idx="2222">
                  <c:v>BTCEUR</c:v>
                </c:pt>
                <c:pt idx="2223">
                  <c:v>BTCEUR</c:v>
                </c:pt>
                <c:pt idx="2224">
                  <c:v>BTCEUR</c:v>
                </c:pt>
                <c:pt idx="2225">
                  <c:v>BTCEUR</c:v>
                </c:pt>
                <c:pt idx="2226">
                  <c:v>BTCEUR</c:v>
                </c:pt>
                <c:pt idx="2227">
                  <c:v>BTCEUR</c:v>
                </c:pt>
                <c:pt idx="2228">
                  <c:v>BTCEUR</c:v>
                </c:pt>
                <c:pt idx="2229">
                  <c:v>BTCEUR</c:v>
                </c:pt>
                <c:pt idx="2230">
                  <c:v>BTCEUR</c:v>
                </c:pt>
                <c:pt idx="2231">
                  <c:v>BTCEUR</c:v>
                </c:pt>
                <c:pt idx="2232">
                  <c:v>BTCEUR</c:v>
                </c:pt>
                <c:pt idx="2233">
                  <c:v>BTCEUR</c:v>
                </c:pt>
                <c:pt idx="2234">
                  <c:v>BTCEUR</c:v>
                </c:pt>
                <c:pt idx="2235">
                  <c:v>BTCEUR</c:v>
                </c:pt>
                <c:pt idx="2236">
                  <c:v>BTCEUR</c:v>
                </c:pt>
                <c:pt idx="2237">
                  <c:v>BTCEUR</c:v>
                </c:pt>
                <c:pt idx="2238">
                  <c:v>BTCEUR</c:v>
                </c:pt>
                <c:pt idx="2239">
                  <c:v>BTCEUR</c:v>
                </c:pt>
                <c:pt idx="2240">
                  <c:v>BTCEUR</c:v>
                </c:pt>
                <c:pt idx="2241">
                  <c:v>BTCEUR</c:v>
                </c:pt>
                <c:pt idx="2242">
                  <c:v>BTCEUR</c:v>
                </c:pt>
                <c:pt idx="2243">
                  <c:v>BTCEUR</c:v>
                </c:pt>
                <c:pt idx="2244">
                  <c:v>BTCEUR</c:v>
                </c:pt>
                <c:pt idx="2245">
                  <c:v>BTCEUR</c:v>
                </c:pt>
                <c:pt idx="2246">
                  <c:v>BTCEUR</c:v>
                </c:pt>
                <c:pt idx="2247">
                  <c:v>BTCEUR</c:v>
                </c:pt>
                <c:pt idx="2248">
                  <c:v>BTCEUR</c:v>
                </c:pt>
                <c:pt idx="2249">
                  <c:v>BTCEUR</c:v>
                </c:pt>
                <c:pt idx="2250">
                  <c:v>BTCEUR</c:v>
                </c:pt>
                <c:pt idx="2251">
                  <c:v>BTCEUR</c:v>
                </c:pt>
                <c:pt idx="2252">
                  <c:v>BTCEUR</c:v>
                </c:pt>
                <c:pt idx="2253">
                  <c:v>BTCEUR</c:v>
                </c:pt>
                <c:pt idx="2254">
                  <c:v>BTCEUR</c:v>
                </c:pt>
                <c:pt idx="2255">
                  <c:v>BTCEUR</c:v>
                </c:pt>
                <c:pt idx="2256">
                  <c:v>BTCEUR</c:v>
                </c:pt>
                <c:pt idx="2257">
                  <c:v>BTCEUR</c:v>
                </c:pt>
                <c:pt idx="2258">
                  <c:v>BTCEUR</c:v>
                </c:pt>
                <c:pt idx="2259">
                  <c:v>BTCEUR</c:v>
                </c:pt>
                <c:pt idx="2260">
                  <c:v>BTCEUR</c:v>
                </c:pt>
                <c:pt idx="2261">
                  <c:v>BTCEUR</c:v>
                </c:pt>
                <c:pt idx="2262">
                  <c:v>BTCEUR</c:v>
                </c:pt>
                <c:pt idx="2263">
                  <c:v>BTCEUR</c:v>
                </c:pt>
                <c:pt idx="2264">
                  <c:v>BTCEUR</c:v>
                </c:pt>
                <c:pt idx="2265">
                  <c:v>BTCEUR</c:v>
                </c:pt>
                <c:pt idx="2266">
                  <c:v>BTCEUR</c:v>
                </c:pt>
                <c:pt idx="2267">
                  <c:v>BTCEUR</c:v>
                </c:pt>
                <c:pt idx="2268">
                  <c:v>BTCEUR</c:v>
                </c:pt>
                <c:pt idx="2269">
                  <c:v>BTCEUR</c:v>
                </c:pt>
                <c:pt idx="2270">
                  <c:v>BTCEUR</c:v>
                </c:pt>
                <c:pt idx="2271">
                  <c:v>BTCEUR</c:v>
                </c:pt>
                <c:pt idx="2272">
                  <c:v>BTCEUR</c:v>
                </c:pt>
                <c:pt idx="2273">
                  <c:v>BTCEUR</c:v>
                </c:pt>
                <c:pt idx="2274">
                  <c:v>BTCEUR</c:v>
                </c:pt>
                <c:pt idx="2275">
                  <c:v>BTCEUR</c:v>
                </c:pt>
                <c:pt idx="2276">
                  <c:v>BTCEUR</c:v>
                </c:pt>
                <c:pt idx="2277">
                  <c:v>BTCEUR</c:v>
                </c:pt>
                <c:pt idx="2278">
                  <c:v>BTCEUR</c:v>
                </c:pt>
                <c:pt idx="2279">
                  <c:v>BTCEUR</c:v>
                </c:pt>
                <c:pt idx="2280">
                  <c:v>BTCEUR</c:v>
                </c:pt>
                <c:pt idx="2281">
                  <c:v>BTCEUR</c:v>
                </c:pt>
                <c:pt idx="2282">
                  <c:v>BTCEUR</c:v>
                </c:pt>
                <c:pt idx="2283">
                  <c:v>BTCEUR</c:v>
                </c:pt>
                <c:pt idx="2284">
                  <c:v>BTCEUR</c:v>
                </c:pt>
                <c:pt idx="2285">
                  <c:v>BTCEUR</c:v>
                </c:pt>
                <c:pt idx="2286">
                  <c:v>BTCEUR</c:v>
                </c:pt>
                <c:pt idx="2287">
                  <c:v>BTCEUR</c:v>
                </c:pt>
                <c:pt idx="2288">
                  <c:v>BTCEUR</c:v>
                </c:pt>
                <c:pt idx="2289">
                  <c:v>BTCEUR</c:v>
                </c:pt>
                <c:pt idx="2290">
                  <c:v>BTCEUR</c:v>
                </c:pt>
                <c:pt idx="2291">
                  <c:v>BTCEUR</c:v>
                </c:pt>
                <c:pt idx="2292">
                  <c:v>BTCEUR</c:v>
                </c:pt>
                <c:pt idx="2293">
                  <c:v>BTCEUR</c:v>
                </c:pt>
                <c:pt idx="2294">
                  <c:v>BTCEUR</c:v>
                </c:pt>
                <c:pt idx="2295">
                  <c:v>BTCEUR</c:v>
                </c:pt>
                <c:pt idx="2296">
                  <c:v>BTCEUR</c:v>
                </c:pt>
                <c:pt idx="2297">
                  <c:v>BTCEUR</c:v>
                </c:pt>
                <c:pt idx="2298">
                  <c:v>BTCEUR</c:v>
                </c:pt>
                <c:pt idx="2299">
                  <c:v>BTCEUR</c:v>
                </c:pt>
                <c:pt idx="2300">
                  <c:v>BTCEUR</c:v>
                </c:pt>
                <c:pt idx="2301">
                  <c:v>BTCEUR</c:v>
                </c:pt>
                <c:pt idx="2302">
                  <c:v>BTCEUR</c:v>
                </c:pt>
                <c:pt idx="2303">
                  <c:v>BTCEUR</c:v>
                </c:pt>
                <c:pt idx="2304">
                  <c:v>BTCEUR</c:v>
                </c:pt>
                <c:pt idx="2305">
                  <c:v>BTCEUR</c:v>
                </c:pt>
                <c:pt idx="2306">
                  <c:v>BTCEUR</c:v>
                </c:pt>
                <c:pt idx="2307">
                  <c:v>BTCEUR</c:v>
                </c:pt>
                <c:pt idx="2308">
                  <c:v>BTCEUR</c:v>
                </c:pt>
                <c:pt idx="2309">
                  <c:v>BTCEUR</c:v>
                </c:pt>
                <c:pt idx="2310">
                  <c:v>BTCEUR</c:v>
                </c:pt>
                <c:pt idx="2311">
                  <c:v>BTCEUR</c:v>
                </c:pt>
                <c:pt idx="2312">
                  <c:v>BTCEUR</c:v>
                </c:pt>
                <c:pt idx="2313">
                  <c:v>BTCEUR</c:v>
                </c:pt>
                <c:pt idx="2314">
                  <c:v>BTCEUR</c:v>
                </c:pt>
                <c:pt idx="2315">
                  <c:v>BTCEUR</c:v>
                </c:pt>
                <c:pt idx="2316">
                  <c:v>BTCEUR</c:v>
                </c:pt>
                <c:pt idx="2317">
                  <c:v>BTCEUR</c:v>
                </c:pt>
                <c:pt idx="2318">
                  <c:v>BTCEUR</c:v>
                </c:pt>
                <c:pt idx="2319">
                  <c:v>BTCEUR</c:v>
                </c:pt>
                <c:pt idx="2320">
                  <c:v>BTCEUR</c:v>
                </c:pt>
                <c:pt idx="2321">
                  <c:v>BTCEUR</c:v>
                </c:pt>
                <c:pt idx="2322">
                  <c:v>BTCEUR</c:v>
                </c:pt>
                <c:pt idx="2323">
                  <c:v>BTCEUR</c:v>
                </c:pt>
                <c:pt idx="2324">
                  <c:v>BTCEUR</c:v>
                </c:pt>
                <c:pt idx="2325">
                  <c:v>BTCEUR</c:v>
                </c:pt>
                <c:pt idx="2326">
                  <c:v>BTCEUR</c:v>
                </c:pt>
                <c:pt idx="2327">
                  <c:v>BTCEUR</c:v>
                </c:pt>
                <c:pt idx="2328">
                  <c:v>BTCEUR</c:v>
                </c:pt>
                <c:pt idx="2329">
                  <c:v>BTCEUR</c:v>
                </c:pt>
                <c:pt idx="2330">
                  <c:v>BTCEUR</c:v>
                </c:pt>
                <c:pt idx="2331">
                  <c:v>BTCEUR</c:v>
                </c:pt>
                <c:pt idx="2332">
                  <c:v>BTCEUR</c:v>
                </c:pt>
                <c:pt idx="2333">
                  <c:v>BTCEUR</c:v>
                </c:pt>
                <c:pt idx="2334">
                  <c:v>BTCEUR</c:v>
                </c:pt>
                <c:pt idx="2335">
                  <c:v>BTCEUR</c:v>
                </c:pt>
                <c:pt idx="2336">
                  <c:v>BTCEUR</c:v>
                </c:pt>
                <c:pt idx="2337">
                  <c:v>BTCEUR</c:v>
                </c:pt>
                <c:pt idx="2338">
                  <c:v>BTCEUR</c:v>
                </c:pt>
                <c:pt idx="2339">
                  <c:v>BTCEUR</c:v>
                </c:pt>
                <c:pt idx="2340">
                  <c:v>BTCEUR</c:v>
                </c:pt>
                <c:pt idx="2341">
                  <c:v>BTCEUR</c:v>
                </c:pt>
                <c:pt idx="2342">
                  <c:v>BTCEUR</c:v>
                </c:pt>
                <c:pt idx="2343">
                  <c:v>BTCEUR</c:v>
                </c:pt>
                <c:pt idx="2344">
                  <c:v>BTCEUR</c:v>
                </c:pt>
                <c:pt idx="2345">
                  <c:v>BTCEUR</c:v>
                </c:pt>
                <c:pt idx="2346">
                  <c:v>BTCEUR</c:v>
                </c:pt>
                <c:pt idx="2347">
                  <c:v>BTCEUR</c:v>
                </c:pt>
                <c:pt idx="2348">
                  <c:v>BTCEUR</c:v>
                </c:pt>
                <c:pt idx="2349">
                  <c:v>BTCEUR</c:v>
                </c:pt>
                <c:pt idx="2350">
                  <c:v>BTCEUR</c:v>
                </c:pt>
                <c:pt idx="2351">
                  <c:v>BTCEUR</c:v>
                </c:pt>
                <c:pt idx="2352">
                  <c:v>BTCEUR</c:v>
                </c:pt>
                <c:pt idx="2353">
                  <c:v>BTCEUR</c:v>
                </c:pt>
                <c:pt idx="2354">
                  <c:v>BTCEUR</c:v>
                </c:pt>
                <c:pt idx="2355">
                  <c:v>BTCEUR</c:v>
                </c:pt>
                <c:pt idx="2356">
                  <c:v>BTCEUR</c:v>
                </c:pt>
                <c:pt idx="2357">
                  <c:v>BTCEUR</c:v>
                </c:pt>
                <c:pt idx="2358">
                  <c:v>BTCEUR</c:v>
                </c:pt>
                <c:pt idx="2359">
                  <c:v>BTCEUR</c:v>
                </c:pt>
                <c:pt idx="2360">
                  <c:v>BTCEUR</c:v>
                </c:pt>
                <c:pt idx="2361">
                  <c:v>BTCEUR</c:v>
                </c:pt>
                <c:pt idx="2362">
                  <c:v>BTCEUR</c:v>
                </c:pt>
                <c:pt idx="2363">
                  <c:v>BTCEUR</c:v>
                </c:pt>
                <c:pt idx="2364">
                  <c:v>BTCEUR</c:v>
                </c:pt>
                <c:pt idx="2365">
                  <c:v>BTCEUR</c:v>
                </c:pt>
                <c:pt idx="2366">
                  <c:v>BTCEUR</c:v>
                </c:pt>
                <c:pt idx="2367">
                  <c:v>BTCEUR</c:v>
                </c:pt>
                <c:pt idx="2368">
                  <c:v>BTCEUR</c:v>
                </c:pt>
                <c:pt idx="2369">
                  <c:v>BTCEUR</c:v>
                </c:pt>
                <c:pt idx="2370">
                  <c:v>BTCEUR</c:v>
                </c:pt>
                <c:pt idx="2371">
                  <c:v>BTCEUR</c:v>
                </c:pt>
                <c:pt idx="2372">
                  <c:v>BTCEUR</c:v>
                </c:pt>
                <c:pt idx="2373">
                  <c:v>BTCEUR</c:v>
                </c:pt>
                <c:pt idx="2374">
                  <c:v>BTCEUR</c:v>
                </c:pt>
                <c:pt idx="2375">
                  <c:v>BTCEUR</c:v>
                </c:pt>
                <c:pt idx="2376">
                  <c:v>BTCEUR</c:v>
                </c:pt>
                <c:pt idx="2377">
                  <c:v>BTCEUR</c:v>
                </c:pt>
                <c:pt idx="2378">
                  <c:v>BTCEUR</c:v>
                </c:pt>
                <c:pt idx="2379">
                  <c:v>BTCEUR</c:v>
                </c:pt>
                <c:pt idx="2380">
                  <c:v>BTCEUR</c:v>
                </c:pt>
                <c:pt idx="2381">
                  <c:v>BTCEUR</c:v>
                </c:pt>
                <c:pt idx="2382">
                  <c:v>BTCEUR</c:v>
                </c:pt>
                <c:pt idx="2383">
                  <c:v>BTCEUR</c:v>
                </c:pt>
                <c:pt idx="2384">
                  <c:v>BTCEUR</c:v>
                </c:pt>
                <c:pt idx="2385">
                  <c:v>BTCEUR</c:v>
                </c:pt>
                <c:pt idx="2386">
                  <c:v>BTCEUR</c:v>
                </c:pt>
                <c:pt idx="2387">
                  <c:v>BTCEUR</c:v>
                </c:pt>
                <c:pt idx="2388">
                  <c:v>BTCEUR</c:v>
                </c:pt>
                <c:pt idx="2389">
                  <c:v>BTCEUR</c:v>
                </c:pt>
                <c:pt idx="2390">
                  <c:v>BTCEUR</c:v>
                </c:pt>
                <c:pt idx="2391">
                  <c:v>BTCEUR</c:v>
                </c:pt>
                <c:pt idx="2392">
                  <c:v>BTCEUR</c:v>
                </c:pt>
                <c:pt idx="2393">
                  <c:v>BTCEUR</c:v>
                </c:pt>
                <c:pt idx="2394">
                  <c:v>BTCEUR</c:v>
                </c:pt>
                <c:pt idx="2395">
                  <c:v>BTCEUR</c:v>
                </c:pt>
                <c:pt idx="2396">
                  <c:v>BTCEUR</c:v>
                </c:pt>
                <c:pt idx="2397">
                  <c:v>BTCEUR</c:v>
                </c:pt>
                <c:pt idx="2398">
                  <c:v>BTCEUR</c:v>
                </c:pt>
                <c:pt idx="2399">
                  <c:v>BTCEUR</c:v>
                </c:pt>
                <c:pt idx="2400">
                  <c:v>BTCEUR</c:v>
                </c:pt>
                <c:pt idx="2401">
                  <c:v>BTCEUR</c:v>
                </c:pt>
                <c:pt idx="2402">
                  <c:v>BTCEUR</c:v>
                </c:pt>
                <c:pt idx="2403">
                  <c:v>BTCEUR</c:v>
                </c:pt>
                <c:pt idx="2404">
                  <c:v>BTCEUR</c:v>
                </c:pt>
                <c:pt idx="2405">
                  <c:v>BTCEUR</c:v>
                </c:pt>
                <c:pt idx="2406">
                  <c:v>BTCEUR</c:v>
                </c:pt>
                <c:pt idx="2407">
                  <c:v>BTCEUR</c:v>
                </c:pt>
                <c:pt idx="2408">
                  <c:v>BTCEUR</c:v>
                </c:pt>
                <c:pt idx="2409">
                  <c:v>BTCEUR</c:v>
                </c:pt>
                <c:pt idx="2410">
                  <c:v>BTCEUR</c:v>
                </c:pt>
                <c:pt idx="2411">
                  <c:v>BTCEUR</c:v>
                </c:pt>
                <c:pt idx="2412">
                  <c:v>BTCEUR</c:v>
                </c:pt>
                <c:pt idx="2413">
                  <c:v>BTCEUR</c:v>
                </c:pt>
                <c:pt idx="2414">
                  <c:v>BTCEUR</c:v>
                </c:pt>
                <c:pt idx="2415">
                  <c:v>BTCEUR</c:v>
                </c:pt>
                <c:pt idx="2416">
                  <c:v>BTCEUR</c:v>
                </c:pt>
                <c:pt idx="2417">
                  <c:v>BTCEUR</c:v>
                </c:pt>
                <c:pt idx="2418">
                  <c:v>BTCEUR</c:v>
                </c:pt>
                <c:pt idx="2419">
                  <c:v>BTCEUR</c:v>
                </c:pt>
                <c:pt idx="2420">
                  <c:v>BTCEUR</c:v>
                </c:pt>
                <c:pt idx="2421">
                  <c:v>BTCEUR</c:v>
                </c:pt>
                <c:pt idx="2422">
                  <c:v>BTCEUR</c:v>
                </c:pt>
                <c:pt idx="2423">
                  <c:v>BTCEUR</c:v>
                </c:pt>
                <c:pt idx="2424">
                  <c:v>BTCEUR</c:v>
                </c:pt>
                <c:pt idx="2425">
                  <c:v>BTCEUR</c:v>
                </c:pt>
                <c:pt idx="2426">
                  <c:v>BTCEUR</c:v>
                </c:pt>
                <c:pt idx="2427">
                  <c:v>BTCEUR</c:v>
                </c:pt>
                <c:pt idx="2428">
                  <c:v>BTCEUR</c:v>
                </c:pt>
                <c:pt idx="2429">
                  <c:v>BTCEUR</c:v>
                </c:pt>
                <c:pt idx="2430">
                  <c:v>BTCEUR</c:v>
                </c:pt>
                <c:pt idx="2431">
                  <c:v>BTCEUR</c:v>
                </c:pt>
                <c:pt idx="2432">
                  <c:v>BTCEUR</c:v>
                </c:pt>
                <c:pt idx="2433">
                  <c:v>BTCEUR</c:v>
                </c:pt>
                <c:pt idx="2434">
                  <c:v>BTCEUR</c:v>
                </c:pt>
                <c:pt idx="2435">
                  <c:v>BTCEUR</c:v>
                </c:pt>
                <c:pt idx="2436">
                  <c:v>BTCEUR</c:v>
                </c:pt>
                <c:pt idx="2437">
                  <c:v>BTCEUR</c:v>
                </c:pt>
                <c:pt idx="2438">
                  <c:v>BTCEUR</c:v>
                </c:pt>
                <c:pt idx="2439">
                  <c:v>BTCEUR</c:v>
                </c:pt>
                <c:pt idx="2440">
                  <c:v>BTCEUR</c:v>
                </c:pt>
                <c:pt idx="2441">
                  <c:v>BTCEUR</c:v>
                </c:pt>
                <c:pt idx="2442">
                  <c:v>BTCEUR</c:v>
                </c:pt>
                <c:pt idx="2443">
                  <c:v>BTCEUR</c:v>
                </c:pt>
                <c:pt idx="2444">
                  <c:v>BTCEUR</c:v>
                </c:pt>
                <c:pt idx="2445">
                  <c:v>BTCEUR</c:v>
                </c:pt>
                <c:pt idx="2446">
                  <c:v>BTCEUR</c:v>
                </c:pt>
                <c:pt idx="2447">
                  <c:v>BTCEUR</c:v>
                </c:pt>
                <c:pt idx="2448">
                  <c:v>BTCEUR</c:v>
                </c:pt>
                <c:pt idx="2449">
                  <c:v>BTCEUR</c:v>
                </c:pt>
                <c:pt idx="2450">
                  <c:v>BTCEUR</c:v>
                </c:pt>
                <c:pt idx="2451">
                  <c:v>BTCEUR</c:v>
                </c:pt>
                <c:pt idx="2452">
                  <c:v>BTCEUR</c:v>
                </c:pt>
                <c:pt idx="2453">
                  <c:v>BTCEUR</c:v>
                </c:pt>
                <c:pt idx="2454">
                  <c:v>BTCEUR</c:v>
                </c:pt>
                <c:pt idx="2455">
                  <c:v>BTCEUR</c:v>
                </c:pt>
                <c:pt idx="2456">
                  <c:v>BTCEUR</c:v>
                </c:pt>
                <c:pt idx="2457">
                  <c:v>BTCEUR</c:v>
                </c:pt>
                <c:pt idx="2458">
                  <c:v>BTCEUR</c:v>
                </c:pt>
                <c:pt idx="2459">
                  <c:v>BTCEUR</c:v>
                </c:pt>
                <c:pt idx="2460">
                  <c:v>BTCEUR</c:v>
                </c:pt>
                <c:pt idx="2461">
                  <c:v>BTCEUR</c:v>
                </c:pt>
                <c:pt idx="2462">
                  <c:v>BTCEUR</c:v>
                </c:pt>
                <c:pt idx="2463">
                  <c:v>BTCEUR</c:v>
                </c:pt>
                <c:pt idx="2464">
                  <c:v>BTCEUR</c:v>
                </c:pt>
                <c:pt idx="2465">
                  <c:v>BTCEUR</c:v>
                </c:pt>
                <c:pt idx="2466">
                  <c:v>BTCEUR</c:v>
                </c:pt>
                <c:pt idx="2467">
                  <c:v>BTCEUR</c:v>
                </c:pt>
                <c:pt idx="2468">
                  <c:v>BTCEUR</c:v>
                </c:pt>
                <c:pt idx="2469">
                  <c:v>BTCEUR</c:v>
                </c:pt>
                <c:pt idx="2470">
                  <c:v>BTCEUR</c:v>
                </c:pt>
                <c:pt idx="2471">
                  <c:v>BTCEUR</c:v>
                </c:pt>
                <c:pt idx="2472">
                  <c:v>BTCEUR</c:v>
                </c:pt>
                <c:pt idx="2473">
                  <c:v>BTCEUR</c:v>
                </c:pt>
                <c:pt idx="2474">
                  <c:v>BTCEUR</c:v>
                </c:pt>
                <c:pt idx="2475">
                  <c:v>BTCEUR</c:v>
                </c:pt>
                <c:pt idx="2476">
                  <c:v>BTCEUR</c:v>
                </c:pt>
                <c:pt idx="2477">
                  <c:v>BTCEUR</c:v>
                </c:pt>
                <c:pt idx="2478">
                  <c:v>BTCEUR</c:v>
                </c:pt>
                <c:pt idx="2479">
                  <c:v>BTCEUR</c:v>
                </c:pt>
                <c:pt idx="2480">
                  <c:v>BTCEUR</c:v>
                </c:pt>
                <c:pt idx="2481">
                  <c:v>BTCEUR</c:v>
                </c:pt>
                <c:pt idx="2482">
                  <c:v>BTCEUR</c:v>
                </c:pt>
                <c:pt idx="2483">
                  <c:v>BTCEUR</c:v>
                </c:pt>
                <c:pt idx="2484">
                  <c:v>BTCEUR</c:v>
                </c:pt>
                <c:pt idx="2485">
                  <c:v>BTCEUR</c:v>
                </c:pt>
                <c:pt idx="2486">
                  <c:v>BTCEUR</c:v>
                </c:pt>
                <c:pt idx="2487">
                  <c:v>BTCEUR</c:v>
                </c:pt>
                <c:pt idx="2488">
                  <c:v>BTCEUR</c:v>
                </c:pt>
                <c:pt idx="2489">
                  <c:v>BTCEUR</c:v>
                </c:pt>
                <c:pt idx="2490">
                  <c:v>BTCEUR</c:v>
                </c:pt>
                <c:pt idx="2491">
                  <c:v>BTCEUR</c:v>
                </c:pt>
                <c:pt idx="2492">
                  <c:v>BTCEUR</c:v>
                </c:pt>
                <c:pt idx="2493">
                  <c:v>BTCEUR</c:v>
                </c:pt>
                <c:pt idx="2494">
                  <c:v>BTCEUR</c:v>
                </c:pt>
                <c:pt idx="2495">
                  <c:v>BTCEUR</c:v>
                </c:pt>
                <c:pt idx="2496">
                  <c:v>BTCEUR</c:v>
                </c:pt>
                <c:pt idx="2497">
                  <c:v>BTCEUR</c:v>
                </c:pt>
                <c:pt idx="2498">
                  <c:v>BTCEUR</c:v>
                </c:pt>
                <c:pt idx="2499">
                  <c:v>BTCEUR</c:v>
                </c:pt>
                <c:pt idx="2500">
                  <c:v>BTCEUR</c:v>
                </c:pt>
                <c:pt idx="2501">
                  <c:v>BTCEUR</c:v>
                </c:pt>
                <c:pt idx="2502">
                  <c:v>BTCEUR</c:v>
                </c:pt>
                <c:pt idx="2503">
                  <c:v>BTCEUR</c:v>
                </c:pt>
                <c:pt idx="2504">
                  <c:v>BTCEUR</c:v>
                </c:pt>
                <c:pt idx="2505">
                  <c:v>BTCEUR</c:v>
                </c:pt>
                <c:pt idx="2506">
                  <c:v>BTCEUR</c:v>
                </c:pt>
                <c:pt idx="2507">
                  <c:v>BTCEUR</c:v>
                </c:pt>
                <c:pt idx="2508">
                  <c:v>BTCEUR</c:v>
                </c:pt>
                <c:pt idx="2509">
                  <c:v>BTCEUR</c:v>
                </c:pt>
                <c:pt idx="2510">
                  <c:v>BTCEUR</c:v>
                </c:pt>
                <c:pt idx="2511">
                  <c:v>BTCEUR</c:v>
                </c:pt>
                <c:pt idx="2512">
                  <c:v>BTCEUR</c:v>
                </c:pt>
                <c:pt idx="2513">
                  <c:v>BTCEUR</c:v>
                </c:pt>
                <c:pt idx="2514">
                  <c:v>BTCEUR</c:v>
                </c:pt>
                <c:pt idx="2515">
                  <c:v>BTCEUR</c:v>
                </c:pt>
                <c:pt idx="2516">
                  <c:v>BTCEUR</c:v>
                </c:pt>
                <c:pt idx="2517">
                  <c:v>BTCEUR</c:v>
                </c:pt>
                <c:pt idx="2518">
                  <c:v>BTCEUR</c:v>
                </c:pt>
                <c:pt idx="2519">
                  <c:v>BTCEUR</c:v>
                </c:pt>
                <c:pt idx="2520">
                  <c:v>BTCEUR</c:v>
                </c:pt>
                <c:pt idx="2521">
                  <c:v>BTCEUR</c:v>
                </c:pt>
                <c:pt idx="2522">
                  <c:v>BTCEUR</c:v>
                </c:pt>
                <c:pt idx="2523">
                  <c:v>BTCEUR</c:v>
                </c:pt>
                <c:pt idx="2524">
                  <c:v>BTCEUR</c:v>
                </c:pt>
                <c:pt idx="2525">
                  <c:v>BTCEUR</c:v>
                </c:pt>
                <c:pt idx="2526">
                  <c:v>BTCEUR</c:v>
                </c:pt>
                <c:pt idx="2527">
                  <c:v>BTCEUR</c:v>
                </c:pt>
                <c:pt idx="2528">
                  <c:v>BTCEUR</c:v>
                </c:pt>
                <c:pt idx="2529">
                  <c:v>BTCEUR</c:v>
                </c:pt>
                <c:pt idx="2530">
                  <c:v>BTCEUR</c:v>
                </c:pt>
                <c:pt idx="2531">
                  <c:v>BTCEUR</c:v>
                </c:pt>
                <c:pt idx="2532">
                  <c:v>BTCEUR</c:v>
                </c:pt>
                <c:pt idx="2533">
                  <c:v>BTCEUR</c:v>
                </c:pt>
                <c:pt idx="2534">
                  <c:v>BTCEUR</c:v>
                </c:pt>
                <c:pt idx="2535">
                  <c:v>BTCEUR</c:v>
                </c:pt>
                <c:pt idx="2536">
                  <c:v>BTCEUR</c:v>
                </c:pt>
                <c:pt idx="2537">
                  <c:v>BTCEUR</c:v>
                </c:pt>
                <c:pt idx="2538">
                  <c:v>BTCEUR</c:v>
                </c:pt>
                <c:pt idx="2539">
                  <c:v>BTCEUR</c:v>
                </c:pt>
                <c:pt idx="2540">
                  <c:v>BTCEUR</c:v>
                </c:pt>
                <c:pt idx="2541">
                  <c:v>BTCEUR</c:v>
                </c:pt>
                <c:pt idx="2542">
                  <c:v>BTCEUR</c:v>
                </c:pt>
                <c:pt idx="2543">
                  <c:v>BTCEUR</c:v>
                </c:pt>
                <c:pt idx="2544">
                  <c:v>BTCEUR</c:v>
                </c:pt>
                <c:pt idx="2545">
                  <c:v>BTCEUR</c:v>
                </c:pt>
                <c:pt idx="2546">
                  <c:v>BTCEUR</c:v>
                </c:pt>
                <c:pt idx="2547">
                  <c:v>BTCEUR</c:v>
                </c:pt>
                <c:pt idx="2548">
                  <c:v>BTCEUR</c:v>
                </c:pt>
                <c:pt idx="2549">
                  <c:v>BTCEUR</c:v>
                </c:pt>
                <c:pt idx="2550">
                  <c:v>BTCEUR</c:v>
                </c:pt>
                <c:pt idx="2551">
                  <c:v>BTCEUR</c:v>
                </c:pt>
                <c:pt idx="2552">
                  <c:v>BTCEUR</c:v>
                </c:pt>
                <c:pt idx="2553">
                  <c:v>BTCEUR</c:v>
                </c:pt>
                <c:pt idx="2554">
                  <c:v>BTCEUR</c:v>
                </c:pt>
                <c:pt idx="2555">
                  <c:v>BTCEUR</c:v>
                </c:pt>
                <c:pt idx="2556">
                  <c:v>BTCEUR</c:v>
                </c:pt>
                <c:pt idx="2557">
                  <c:v>BTCEUR</c:v>
                </c:pt>
                <c:pt idx="2558">
                  <c:v>BTCEUR</c:v>
                </c:pt>
                <c:pt idx="2559">
                  <c:v>BTCEUR</c:v>
                </c:pt>
                <c:pt idx="2560">
                  <c:v>BTCEUR</c:v>
                </c:pt>
                <c:pt idx="2561">
                  <c:v>BTCEUR</c:v>
                </c:pt>
                <c:pt idx="2562">
                  <c:v>BTCEUR</c:v>
                </c:pt>
                <c:pt idx="2563">
                  <c:v>BTCEUR</c:v>
                </c:pt>
                <c:pt idx="2564">
                  <c:v>BTCEUR</c:v>
                </c:pt>
                <c:pt idx="2565">
                  <c:v>BTCEUR</c:v>
                </c:pt>
                <c:pt idx="2566">
                  <c:v>BTCEUR</c:v>
                </c:pt>
                <c:pt idx="2567">
                  <c:v>BTCEUR</c:v>
                </c:pt>
                <c:pt idx="2568">
                  <c:v>BTCEUR</c:v>
                </c:pt>
                <c:pt idx="2569">
                  <c:v>BTCEUR</c:v>
                </c:pt>
                <c:pt idx="2570">
                  <c:v>BTCEUR</c:v>
                </c:pt>
                <c:pt idx="2571">
                  <c:v>BTCEUR</c:v>
                </c:pt>
                <c:pt idx="2572">
                  <c:v>BTCEUR</c:v>
                </c:pt>
                <c:pt idx="2573">
                  <c:v>BTCEUR</c:v>
                </c:pt>
                <c:pt idx="2574">
                  <c:v>BTCEUR</c:v>
                </c:pt>
                <c:pt idx="2575">
                  <c:v>BTCEUR</c:v>
                </c:pt>
                <c:pt idx="2576">
                  <c:v>BTCEUR</c:v>
                </c:pt>
                <c:pt idx="2577">
                  <c:v>BTCEUR</c:v>
                </c:pt>
                <c:pt idx="2578">
                  <c:v>BTCEUR</c:v>
                </c:pt>
                <c:pt idx="2579">
                  <c:v>BTCEUR</c:v>
                </c:pt>
                <c:pt idx="2580">
                  <c:v>BTCEUR</c:v>
                </c:pt>
                <c:pt idx="2581">
                  <c:v>BTCEUR</c:v>
                </c:pt>
                <c:pt idx="2582">
                  <c:v>BTCEUR</c:v>
                </c:pt>
                <c:pt idx="2583">
                  <c:v>BTCEUR</c:v>
                </c:pt>
                <c:pt idx="2584">
                  <c:v>BTCEUR</c:v>
                </c:pt>
                <c:pt idx="2585">
                  <c:v>BTCEUR</c:v>
                </c:pt>
                <c:pt idx="2586">
                  <c:v>BTCEUR</c:v>
                </c:pt>
                <c:pt idx="2587">
                  <c:v>BTCEUR</c:v>
                </c:pt>
                <c:pt idx="2588">
                  <c:v>BTCEUR</c:v>
                </c:pt>
                <c:pt idx="2589">
                  <c:v>BTCEUR</c:v>
                </c:pt>
                <c:pt idx="2590">
                  <c:v>BTCEUR</c:v>
                </c:pt>
                <c:pt idx="2591">
                  <c:v>BTCEUR</c:v>
                </c:pt>
                <c:pt idx="2592">
                  <c:v>BTCEUR</c:v>
                </c:pt>
                <c:pt idx="2593">
                  <c:v>BTCEUR</c:v>
                </c:pt>
                <c:pt idx="2594">
                  <c:v>BTCEUR</c:v>
                </c:pt>
                <c:pt idx="2595">
                  <c:v>BTCEUR</c:v>
                </c:pt>
                <c:pt idx="2596">
                  <c:v>BTCEUR</c:v>
                </c:pt>
                <c:pt idx="2597">
                  <c:v>BTCEUR</c:v>
                </c:pt>
                <c:pt idx="2598">
                  <c:v>BTCEUR</c:v>
                </c:pt>
                <c:pt idx="2599">
                  <c:v>BTCEUR</c:v>
                </c:pt>
                <c:pt idx="2600">
                  <c:v>BTCEUR</c:v>
                </c:pt>
                <c:pt idx="2601">
                  <c:v>BTCEUR</c:v>
                </c:pt>
                <c:pt idx="2602">
                  <c:v>BTCEUR</c:v>
                </c:pt>
                <c:pt idx="2603">
                  <c:v>BTCEUR</c:v>
                </c:pt>
                <c:pt idx="2604">
                  <c:v>BTCEUR</c:v>
                </c:pt>
                <c:pt idx="2605">
                  <c:v>BTCEUR</c:v>
                </c:pt>
                <c:pt idx="2606">
                  <c:v>BTCEUR</c:v>
                </c:pt>
                <c:pt idx="2607">
                  <c:v>BTCEUR</c:v>
                </c:pt>
                <c:pt idx="2608">
                  <c:v>BTCEUR</c:v>
                </c:pt>
                <c:pt idx="2609">
                  <c:v>BTCEUR</c:v>
                </c:pt>
                <c:pt idx="2610">
                  <c:v>BTCEUR</c:v>
                </c:pt>
                <c:pt idx="2611">
                  <c:v>BTCEUR</c:v>
                </c:pt>
                <c:pt idx="2612">
                  <c:v>BTCEUR</c:v>
                </c:pt>
                <c:pt idx="2613">
                  <c:v>BTCEUR</c:v>
                </c:pt>
                <c:pt idx="2614">
                  <c:v>BTCEUR</c:v>
                </c:pt>
                <c:pt idx="2615">
                  <c:v>BTCEUR</c:v>
                </c:pt>
                <c:pt idx="2616">
                  <c:v>BTCEUR</c:v>
                </c:pt>
                <c:pt idx="2617">
                  <c:v>BTCEUR</c:v>
                </c:pt>
                <c:pt idx="2618">
                  <c:v>BTCEUR</c:v>
                </c:pt>
                <c:pt idx="2619">
                  <c:v>BTCEUR</c:v>
                </c:pt>
                <c:pt idx="2620">
                  <c:v>BTCEUR</c:v>
                </c:pt>
                <c:pt idx="2621">
                  <c:v>BTCEUR</c:v>
                </c:pt>
                <c:pt idx="2622">
                  <c:v>BTCEUR</c:v>
                </c:pt>
                <c:pt idx="2623">
                  <c:v>BTCEUR</c:v>
                </c:pt>
                <c:pt idx="2624">
                  <c:v>BTCEUR</c:v>
                </c:pt>
                <c:pt idx="2625">
                  <c:v>BTCEUR</c:v>
                </c:pt>
                <c:pt idx="2626">
                  <c:v>BTCEUR</c:v>
                </c:pt>
                <c:pt idx="2627">
                  <c:v>BTCEUR</c:v>
                </c:pt>
                <c:pt idx="2628">
                  <c:v>BTCEUR</c:v>
                </c:pt>
                <c:pt idx="2629">
                  <c:v>BTCEUR</c:v>
                </c:pt>
                <c:pt idx="2630">
                  <c:v>BTCEUR</c:v>
                </c:pt>
                <c:pt idx="2631">
                  <c:v>BTCEUR</c:v>
                </c:pt>
                <c:pt idx="2632">
                  <c:v>BTCEUR</c:v>
                </c:pt>
                <c:pt idx="2633">
                  <c:v>BTCEUR</c:v>
                </c:pt>
                <c:pt idx="2634">
                  <c:v>BTCEUR</c:v>
                </c:pt>
                <c:pt idx="2635">
                  <c:v>BTCEUR</c:v>
                </c:pt>
                <c:pt idx="2636">
                  <c:v>BTCEUR</c:v>
                </c:pt>
                <c:pt idx="2637">
                  <c:v>BTCEUR</c:v>
                </c:pt>
                <c:pt idx="2638">
                  <c:v>BTCEUR</c:v>
                </c:pt>
                <c:pt idx="2639">
                  <c:v>BTCEUR</c:v>
                </c:pt>
                <c:pt idx="2640">
                  <c:v>BTCEUR</c:v>
                </c:pt>
                <c:pt idx="2641">
                  <c:v>BTCEUR</c:v>
                </c:pt>
                <c:pt idx="2642">
                  <c:v>BTCEUR</c:v>
                </c:pt>
                <c:pt idx="2643">
                  <c:v>BTCEUR</c:v>
                </c:pt>
                <c:pt idx="2644">
                  <c:v>BTCEUR</c:v>
                </c:pt>
                <c:pt idx="2645">
                  <c:v>BTCEUR</c:v>
                </c:pt>
                <c:pt idx="2646">
                  <c:v>BTCEUR</c:v>
                </c:pt>
                <c:pt idx="2647">
                  <c:v>BTCEUR</c:v>
                </c:pt>
                <c:pt idx="2648">
                  <c:v>BTCEUR</c:v>
                </c:pt>
                <c:pt idx="2649">
                  <c:v>BTCEUR</c:v>
                </c:pt>
                <c:pt idx="2650">
                  <c:v>BTCEUR</c:v>
                </c:pt>
                <c:pt idx="2651">
                  <c:v>BTCEUR</c:v>
                </c:pt>
                <c:pt idx="2652">
                  <c:v>BTCEUR</c:v>
                </c:pt>
                <c:pt idx="2653">
                  <c:v>BTCEUR</c:v>
                </c:pt>
                <c:pt idx="2654">
                  <c:v>BTCEUR</c:v>
                </c:pt>
                <c:pt idx="2655">
                  <c:v>BTCEUR</c:v>
                </c:pt>
                <c:pt idx="2656">
                  <c:v>BTCEUR</c:v>
                </c:pt>
                <c:pt idx="2657">
                  <c:v>BTCEUR</c:v>
                </c:pt>
                <c:pt idx="2658">
                  <c:v>BTCEUR</c:v>
                </c:pt>
                <c:pt idx="2659">
                  <c:v>BTCEUR</c:v>
                </c:pt>
                <c:pt idx="2660">
                  <c:v>BTCEUR</c:v>
                </c:pt>
                <c:pt idx="2661">
                  <c:v>BTCEUR</c:v>
                </c:pt>
                <c:pt idx="2662">
                  <c:v>BTCEUR</c:v>
                </c:pt>
                <c:pt idx="2663">
                  <c:v>BTCEUR</c:v>
                </c:pt>
                <c:pt idx="2664">
                  <c:v>BTCEUR</c:v>
                </c:pt>
                <c:pt idx="2665">
                  <c:v>BTCEUR</c:v>
                </c:pt>
                <c:pt idx="2666">
                  <c:v>BTCEUR</c:v>
                </c:pt>
                <c:pt idx="2667">
                  <c:v>BTCEUR</c:v>
                </c:pt>
                <c:pt idx="2668">
                  <c:v>BTCEUR</c:v>
                </c:pt>
                <c:pt idx="2669">
                  <c:v>BTCEUR</c:v>
                </c:pt>
                <c:pt idx="2670">
                  <c:v>BTCEUR</c:v>
                </c:pt>
                <c:pt idx="2671">
                  <c:v>BTCEUR</c:v>
                </c:pt>
                <c:pt idx="2672">
                  <c:v>BTCEUR</c:v>
                </c:pt>
                <c:pt idx="2673">
                  <c:v>BTCEUR</c:v>
                </c:pt>
                <c:pt idx="2674">
                  <c:v>BTCEUR</c:v>
                </c:pt>
                <c:pt idx="2675">
                  <c:v>BTCEUR</c:v>
                </c:pt>
                <c:pt idx="2676">
                  <c:v>BTCEUR</c:v>
                </c:pt>
                <c:pt idx="2677">
                  <c:v>BTCEUR</c:v>
                </c:pt>
                <c:pt idx="2678">
                  <c:v>BTCEUR</c:v>
                </c:pt>
                <c:pt idx="2679">
                  <c:v>BTCEUR</c:v>
                </c:pt>
                <c:pt idx="2680">
                  <c:v>BTCEUR</c:v>
                </c:pt>
                <c:pt idx="2681">
                  <c:v>BTCEUR</c:v>
                </c:pt>
                <c:pt idx="2682">
                  <c:v>BTCEUR</c:v>
                </c:pt>
                <c:pt idx="2683">
                  <c:v>BTCEUR</c:v>
                </c:pt>
                <c:pt idx="2684">
                  <c:v>BTCEUR</c:v>
                </c:pt>
                <c:pt idx="2685">
                  <c:v>BTCEUR</c:v>
                </c:pt>
                <c:pt idx="2686">
                  <c:v>BTCEUR</c:v>
                </c:pt>
                <c:pt idx="2687">
                  <c:v>BTCEUR</c:v>
                </c:pt>
                <c:pt idx="2688">
                  <c:v>BTCEUR</c:v>
                </c:pt>
                <c:pt idx="2689">
                  <c:v>BTCEUR</c:v>
                </c:pt>
                <c:pt idx="2690">
                  <c:v>BTCEUR</c:v>
                </c:pt>
                <c:pt idx="2691">
                  <c:v>BTCEUR</c:v>
                </c:pt>
                <c:pt idx="2692">
                  <c:v>BTCEUR</c:v>
                </c:pt>
                <c:pt idx="2693">
                  <c:v>BTCEUR</c:v>
                </c:pt>
                <c:pt idx="2694">
                  <c:v>BTCEUR</c:v>
                </c:pt>
                <c:pt idx="2695">
                  <c:v>BTCEUR</c:v>
                </c:pt>
                <c:pt idx="2696">
                  <c:v>BTCEUR</c:v>
                </c:pt>
                <c:pt idx="2697">
                  <c:v>BTCEUR</c:v>
                </c:pt>
                <c:pt idx="2698">
                  <c:v>BTCEUR</c:v>
                </c:pt>
                <c:pt idx="2699">
                  <c:v>BTCEUR</c:v>
                </c:pt>
                <c:pt idx="2700">
                  <c:v>BTCEUR</c:v>
                </c:pt>
                <c:pt idx="2701">
                  <c:v>BTCEUR</c:v>
                </c:pt>
                <c:pt idx="2702">
                  <c:v>BTCEUR</c:v>
                </c:pt>
                <c:pt idx="2703">
                  <c:v>BTCEUR</c:v>
                </c:pt>
                <c:pt idx="2704">
                  <c:v>BTCEUR</c:v>
                </c:pt>
                <c:pt idx="2705">
                  <c:v>BTCEUR</c:v>
                </c:pt>
                <c:pt idx="2706">
                  <c:v>BTCEUR</c:v>
                </c:pt>
                <c:pt idx="2707">
                  <c:v>BTCEUR</c:v>
                </c:pt>
                <c:pt idx="2708">
                  <c:v>BTCEUR</c:v>
                </c:pt>
                <c:pt idx="2709">
                  <c:v>BTCEUR</c:v>
                </c:pt>
                <c:pt idx="2710">
                  <c:v>BTCEUR</c:v>
                </c:pt>
                <c:pt idx="2711">
                  <c:v>BTCEUR</c:v>
                </c:pt>
                <c:pt idx="2712">
                  <c:v>BTCEUR</c:v>
                </c:pt>
                <c:pt idx="2713">
                  <c:v>BTCEUR</c:v>
                </c:pt>
                <c:pt idx="2714">
                  <c:v>BTCEUR</c:v>
                </c:pt>
                <c:pt idx="2715">
                  <c:v>BTCEUR</c:v>
                </c:pt>
                <c:pt idx="2716">
                  <c:v>BTCEUR</c:v>
                </c:pt>
                <c:pt idx="2717">
                  <c:v>BTCEUR</c:v>
                </c:pt>
                <c:pt idx="2718">
                  <c:v>BTCEUR</c:v>
                </c:pt>
                <c:pt idx="2719">
                  <c:v>BTCEUR</c:v>
                </c:pt>
                <c:pt idx="2720">
                  <c:v>BTCEUR</c:v>
                </c:pt>
                <c:pt idx="2721">
                  <c:v>BTCEUR</c:v>
                </c:pt>
                <c:pt idx="2722">
                  <c:v>BTCEUR</c:v>
                </c:pt>
                <c:pt idx="2723">
                  <c:v>BTCEUR</c:v>
                </c:pt>
                <c:pt idx="2724">
                  <c:v>BTCEUR</c:v>
                </c:pt>
                <c:pt idx="2725">
                  <c:v>BTCEUR</c:v>
                </c:pt>
                <c:pt idx="2726">
                  <c:v>BTCEUR</c:v>
                </c:pt>
                <c:pt idx="2727">
                  <c:v>BTCEUR</c:v>
                </c:pt>
                <c:pt idx="2728">
                  <c:v>BTCEUR</c:v>
                </c:pt>
                <c:pt idx="2729">
                  <c:v>BTCEUR</c:v>
                </c:pt>
                <c:pt idx="2730">
                  <c:v>BTCEUR</c:v>
                </c:pt>
                <c:pt idx="2731">
                  <c:v>BTCEUR</c:v>
                </c:pt>
                <c:pt idx="2732">
                  <c:v>BTCEUR</c:v>
                </c:pt>
                <c:pt idx="2733">
                  <c:v>BTCEUR</c:v>
                </c:pt>
                <c:pt idx="2734">
                  <c:v>BTCEUR</c:v>
                </c:pt>
                <c:pt idx="2735">
                  <c:v>BTCEUR</c:v>
                </c:pt>
                <c:pt idx="2736">
                  <c:v>BTCEUR</c:v>
                </c:pt>
                <c:pt idx="2737">
                  <c:v>BTCEUR</c:v>
                </c:pt>
                <c:pt idx="2738">
                  <c:v>BTCEUR</c:v>
                </c:pt>
                <c:pt idx="2739">
                  <c:v>BTCEUR</c:v>
                </c:pt>
                <c:pt idx="2740">
                  <c:v>BTCEUR</c:v>
                </c:pt>
                <c:pt idx="2741">
                  <c:v>BTCEUR</c:v>
                </c:pt>
                <c:pt idx="2742">
                  <c:v>BTCEUR</c:v>
                </c:pt>
                <c:pt idx="2743">
                  <c:v>BTCEUR</c:v>
                </c:pt>
                <c:pt idx="2744">
                  <c:v>BTCEUR</c:v>
                </c:pt>
                <c:pt idx="2745">
                  <c:v>BTCEUR</c:v>
                </c:pt>
                <c:pt idx="2746">
                  <c:v>BTCEUR</c:v>
                </c:pt>
                <c:pt idx="2747">
                  <c:v>BTCEUR</c:v>
                </c:pt>
                <c:pt idx="2748">
                  <c:v>BTCEUR</c:v>
                </c:pt>
                <c:pt idx="2749">
                  <c:v>BTCEUR</c:v>
                </c:pt>
                <c:pt idx="2750">
                  <c:v>BTCEUR</c:v>
                </c:pt>
                <c:pt idx="2751">
                  <c:v>BTCEUR</c:v>
                </c:pt>
                <c:pt idx="2752">
                  <c:v>BTCEUR</c:v>
                </c:pt>
                <c:pt idx="2753">
                  <c:v>BTCEUR</c:v>
                </c:pt>
                <c:pt idx="2754">
                  <c:v>BTCEUR</c:v>
                </c:pt>
                <c:pt idx="2755">
                  <c:v>BTCEUR</c:v>
                </c:pt>
                <c:pt idx="2756">
                  <c:v>BTCEUR</c:v>
                </c:pt>
                <c:pt idx="2757">
                  <c:v>BTCEUR</c:v>
                </c:pt>
                <c:pt idx="2758">
                  <c:v>BTCEUR</c:v>
                </c:pt>
                <c:pt idx="2759">
                  <c:v>BTCEUR</c:v>
                </c:pt>
                <c:pt idx="2760">
                  <c:v>BTCEUR</c:v>
                </c:pt>
                <c:pt idx="2761">
                  <c:v>BTCEUR</c:v>
                </c:pt>
                <c:pt idx="2762">
                  <c:v>BTCEUR</c:v>
                </c:pt>
                <c:pt idx="2763">
                  <c:v>BTCEUR</c:v>
                </c:pt>
                <c:pt idx="2764">
                  <c:v>BTCEUR</c:v>
                </c:pt>
                <c:pt idx="2765">
                  <c:v>BTCEUR</c:v>
                </c:pt>
                <c:pt idx="2766">
                  <c:v>BTCEUR</c:v>
                </c:pt>
                <c:pt idx="2767">
                  <c:v>BTCEUR</c:v>
                </c:pt>
                <c:pt idx="2768">
                  <c:v>BTCEUR</c:v>
                </c:pt>
                <c:pt idx="2769">
                  <c:v>BTCEUR</c:v>
                </c:pt>
                <c:pt idx="2770">
                  <c:v>BTCEUR</c:v>
                </c:pt>
                <c:pt idx="2771">
                  <c:v>BTCEUR</c:v>
                </c:pt>
                <c:pt idx="2772">
                  <c:v>BTCEUR</c:v>
                </c:pt>
                <c:pt idx="2773">
                  <c:v>BTCEUR</c:v>
                </c:pt>
                <c:pt idx="2774">
                  <c:v>BTCEUR</c:v>
                </c:pt>
                <c:pt idx="2775">
                  <c:v>BTCEUR</c:v>
                </c:pt>
                <c:pt idx="2776">
                  <c:v>BTCEUR</c:v>
                </c:pt>
                <c:pt idx="2777">
                  <c:v>BTCEUR</c:v>
                </c:pt>
                <c:pt idx="2778">
                  <c:v>BTCEUR</c:v>
                </c:pt>
                <c:pt idx="2779">
                  <c:v>BTCEUR</c:v>
                </c:pt>
                <c:pt idx="2780">
                  <c:v>BTCEUR</c:v>
                </c:pt>
                <c:pt idx="2781">
                  <c:v>BTCEUR</c:v>
                </c:pt>
                <c:pt idx="2782">
                  <c:v>BTCEUR</c:v>
                </c:pt>
                <c:pt idx="2783">
                  <c:v>BTCEUR</c:v>
                </c:pt>
                <c:pt idx="2784">
                  <c:v>BTCEUR</c:v>
                </c:pt>
                <c:pt idx="2785">
                  <c:v>BTCEUR</c:v>
                </c:pt>
                <c:pt idx="2786">
                  <c:v>BTCEUR</c:v>
                </c:pt>
                <c:pt idx="2787">
                  <c:v>BTCEUR</c:v>
                </c:pt>
                <c:pt idx="2788">
                  <c:v>BTCEUR</c:v>
                </c:pt>
                <c:pt idx="2789">
                  <c:v>BTCEUR</c:v>
                </c:pt>
                <c:pt idx="2790">
                  <c:v>BTCEUR</c:v>
                </c:pt>
                <c:pt idx="2791">
                  <c:v>BTCEUR</c:v>
                </c:pt>
                <c:pt idx="2792">
                  <c:v>BTCEUR</c:v>
                </c:pt>
                <c:pt idx="2793">
                  <c:v>BTCEUR</c:v>
                </c:pt>
                <c:pt idx="2794">
                  <c:v>BTCEUR</c:v>
                </c:pt>
                <c:pt idx="2795">
                  <c:v>BTCEUR</c:v>
                </c:pt>
                <c:pt idx="2796">
                  <c:v>BTCEUR</c:v>
                </c:pt>
                <c:pt idx="2797">
                  <c:v>BTCEUR</c:v>
                </c:pt>
                <c:pt idx="2798">
                  <c:v>BTCEUR</c:v>
                </c:pt>
                <c:pt idx="2799">
                  <c:v>BTCEUR</c:v>
                </c:pt>
                <c:pt idx="2800">
                  <c:v>BTCEUR</c:v>
                </c:pt>
                <c:pt idx="2801">
                  <c:v>BTCEUR</c:v>
                </c:pt>
                <c:pt idx="2802">
                  <c:v>BTCEUR</c:v>
                </c:pt>
                <c:pt idx="2803">
                  <c:v>BTCEUR</c:v>
                </c:pt>
                <c:pt idx="2804">
                  <c:v>BTCEUR</c:v>
                </c:pt>
                <c:pt idx="2805">
                  <c:v>BTCEUR</c:v>
                </c:pt>
                <c:pt idx="2806">
                  <c:v>BTCEUR</c:v>
                </c:pt>
                <c:pt idx="2807">
                  <c:v>BTCEUR</c:v>
                </c:pt>
                <c:pt idx="2808">
                  <c:v>BTCEUR</c:v>
                </c:pt>
                <c:pt idx="2809">
                  <c:v>BTCEUR</c:v>
                </c:pt>
                <c:pt idx="2810">
                  <c:v>BTCEUR</c:v>
                </c:pt>
                <c:pt idx="2811">
                  <c:v>BTCEUR</c:v>
                </c:pt>
                <c:pt idx="2812">
                  <c:v>BTCEUR</c:v>
                </c:pt>
                <c:pt idx="2813">
                  <c:v>BTCEUR</c:v>
                </c:pt>
                <c:pt idx="2814">
                  <c:v>BTCEUR</c:v>
                </c:pt>
                <c:pt idx="2815">
                  <c:v>BTCEUR</c:v>
                </c:pt>
                <c:pt idx="2816">
                  <c:v>BTCEUR</c:v>
                </c:pt>
                <c:pt idx="2817">
                  <c:v>BTCEUR</c:v>
                </c:pt>
                <c:pt idx="2818">
                  <c:v>BTCEUR</c:v>
                </c:pt>
                <c:pt idx="2819">
                  <c:v>BTCEUR</c:v>
                </c:pt>
                <c:pt idx="2820">
                  <c:v>BTCEUR</c:v>
                </c:pt>
                <c:pt idx="2821">
                  <c:v>BTCEUR</c:v>
                </c:pt>
                <c:pt idx="2822">
                  <c:v>BTCEUR</c:v>
                </c:pt>
                <c:pt idx="2823">
                  <c:v>BTCEUR</c:v>
                </c:pt>
                <c:pt idx="2824">
                  <c:v>BTCEUR</c:v>
                </c:pt>
                <c:pt idx="2825">
                  <c:v>BTCEUR</c:v>
                </c:pt>
                <c:pt idx="2826">
                  <c:v>BTCEUR</c:v>
                </c:pt>
                <c:pt idx="2827">
                  <c:v>BTCEUR</c:v>
                </c:pt>
                <c:pt idx="2828">
                  <c:v>BTCEUR</c:v>
                </c:pt>
                <c:pt idx="2829">
                  <c:v>BTCEUR</c:v>
                </c:pt>
                <c:pt idx="2830">
                  <c:v>BTCEUR</c:v>
                </c:pt>
                <c:pt idx="2831">
                  <c:v>BTCEUR</c:v>
                </c:pt>
                <c:pt idx="2832">
                  <c:v>BTCEUR</c:v>
                </c:pt>
                <c:pt idx="2833">
                  <c:v>BTCEUR</c:v>
                </c:pt>
                <c:pt idx="2834">
                  <c:v>BTCEUR</c:v>
                </c:pt>
                <c:pt idx="2835">
                  <c:v>BTCEUR</c:v>
                </c:pt>
                <c:pt idx="2836">
                  <c:v>BTCEUR</c:v>
                </c:pt>
                <c:pt idx="2837">
                  <c:v>BTCEUR</c:v>
                </c:pt>
                <c:pt idx="2838">
                  <c:v>BTCEUR</c:v>
                </c:pt>
                <c:pt idx="2839">
                  <c:v>BTCEUR</c:v>
                </c:pt>
                <c:pt idx="2840">
                  <c:v>BTCEUR</c:v>
                </c:pt>
                <c:pt idx="2841">
                  <c:v>BTCEUR</c:v>
                </c:pt>
                <c:pt idx="2842">
                  <c:v>BTCEUR</c:v>
                </c:pt>
                <c:pt idx="2843">
                  <c:v>BTCEUR</c:v>
                </c:pt>
                <c:pt idx="2844">
                  <c:v>BTCEUR</c:v>
                </c:pt>
                <c:pt idx="2845">
                  <c:v>BTCEUR</c:v>
                </c:pt>
                <c:pt idx="2846">
                  <c:v>BTCEUR</c:v>
                </c:pt>
                <c:pt idx="2847">
                  <c:v>BTCEUR</c:v>
                </c:pt>
                <c:pt idx="2848">
                  <c:v>BTCEUR</c:v>
                </c:pt>
                <c:pt idx="2849">
                  <c:v>BTCEUR</c:v>
                </c:pt>
                <c:pt idx="2850">
                  <c:v>BTCEUR</c:v>
                </c:pt>
                <c:pt idx="2851">
                  <c:v>BTCEUR</c:v>
                </c:pt>
                <c:pt idx="2852">
                  <c:v>BTCEUR</c:v>
                </c:pt>
                <c:pt idx="2853">
                  <c:v>BTCEUR</c:v>
                </c:pt>
                <c:pt idx="2854">
                  <c:v>BTCEUR</c:v>
                </c:pt>
                <c:pt idx="2855">
                  <c:v>BTCEUR</c:v>
                </c:pt>
                <c:pt idx="2856">
                  <c:v>BTCEUR</c:v>
                </c:pt>
                <c:pt idx="2857">
                  <c:v>BTCEUR</c:v>
                </c:pt>
                <c:pt idx="2858">
                  <c:v>BTCEUR</c:v>
                </c:pt>
                <c:pt idx="2859">
                  <c:v>BTCEUR</c:v>
                </c:pt>
                <c:pt idx="2860">
                  <c:v>BTCEUR</c:v>
                </c:pt>
                <c:pt idx="2861">
                  <c:v>BTCEUR</c:v>
                </c:pt>
                <c:pt idx="2862">
                  <c:v>BTCEUR</c:v>
                </c:pt>
                <c:pt idx="2863">
                  <c:v>BTCEUR</c:v>
                </c:pt>
                <c:pt idx="2864">
                  <c:v>BTCEUR</c:v>
                </c:pt>
                <c:pt idx="2865">
                  <c:v>BTCEUR</c:v>
                </c:pt>
                <c:pt idx="2866">
                  <c:v>BTCEUR</c:v>
                </c:pt>
                <c:pt idx="2867">
                  <c:v>BTCEUR</c:v>
                </c:pt>
                <c:pt idx="2868">
                  <c:v>BTCEUR</c:v>
                </c:pt>
                <c:pt idx="2869">
                  <c:v>BTCEUR</c:v>
                </c:pt>
                <c:pt idx="2870">
                  <c:v>BTCEUR</c:v>
                </c:pt>
                <c:pt idx="2871">
                  <c:v>BTCEUR</c:v>
                </c:pt>
                <c:pt idx="2872">
                  <c:v>BTCEUR</c:v>
                </c:pt>
                <c:pt idx="2873">
                  <c:v>BTCEUR</c:v>
                </c:pt>
                <c:pt idx="2874">
                  <c:v>BTCEUR</c:v>
                </c:pt>
                <c:pt idx="2875">
                  <c:v>BTCEUR</c:v>
                </c:pt>
                <c:pt idx="2876">
                  <c:v>BTCEUR</c:v>
                </c:pt>
                <c:pt idx="2877">
                  <c:v>BTCEUR</c:v>
                </c:pt>
                <c:pt idx="2878">
                  <c:v>BTCEUR</c:v>
                </c:pt>
                <c:pt idx="2879">
                  <c:v>BTCEUR</c:v>
                </c:pt>
                <c:pt idx="2880">
                  <c:v>BTCEUR</c:v>
                </c:pt>
                <c:pt idx="2881">
                  <c:v>BTCEUR</c:v>
                </c:pt>
                <c:pt idx="2882">
                  <c:v>BTCEUR</c:v>
                </c:pt>
                <c:pt idx="2883">
                  <c:v>BTCEUR</c:v>
                </c:pt>
                <c:pt idx="2884">
                  <c:v>BTCEUR</c:v>
                </c:pt>
                <c:pt idx="2885">
                  <c:v>BTCEUR</c:v>
                </c:pt>
                <c:pt idx="2886">
                  <c:v>BTCEUR</c:v>
                </c:pt>
                <c:pt idx="2887">
                  <c:v>BTCEUR</c:v>
                </c:pt>
                <c:pt idx="2888">
                  <c:v>BTCEUR</c:v>
                </c:pt>
                <c:pt idx="2889">
                  <c:v>BTCEUR</c:v>
                </c:pt>
                <c:pt idx="2890">
                  <c:v>BTCEUR</c:v>
                </c:pt>
                <c:pt idx="2891">
                  <c:v>BTCEUR</c:v>
                </c:pt>
                <c:pt idx="2892">
                  <c:v>BTCEUR</c:v>
                </c:pt>
                <c:pt idx="2893">
                  <c:v>BTCEUR</c:v>
                </c:pt>
                <c:pt idx="2894">
                  <c:v>BTCEUR</c:v>
                </c:pt>
                <c:pt idx="2895">
                  <c:v>BTCEUR</c:v>
                </c:pt>
                <c:pt idx="2896">
                  <c:v>BTCEUR</c:v>
                </c:pt>
                <c:pt idx="2897">
                  <c:v>BTCEUR</c:v>
                </c:pt>
                <c:pt idx="2898">
                  <c:v>BTCEUR</c:v>
                </c:pt>
                <c:pt idx="2899">
                  <c:v>BTCEUR</c:v>
                </c:pt>
                <c:pt idx="2900">
                  <c:v>BTCEUR</c:v>
                </c:pt>
                <c:pt idx="2901">
                  <c:v>BTCEUR</c:v>
                </c:pt>
                <c:pt idx="2902">
                  <c:v>BTCEUR</c:v>
                </c:pt>
                <c:pt idx="2903">
                  <c:v>BTCEUR</c:v>
                </c:pt>
                <c:pt idx="2904">
                  <c:v>BTCEUR</c:v>
                </c:pt>
                <c:pt idx="2905">
                  <c:v>BTCEUR</c:v>
                </c:pt>
                <c:pt idx="2906">
                  <c:v>BTCEUR</c:v>
                </c:pt>
                <c:pt idx="2907">
                  <c:v>BTCEUR</c:v>
                </c:pt>
                <c:pt idx="2908">
                  <c:v>BTCEUR</c:v>
                </c:pt>
                <c:pt idx="2909">
                  <c:v>BTCEUR</c:v>
                </c:pt>
                <c:pt idx="2910">
                  <c:v>BTCEUR</c:v>
                </c:pt>
                <c:pt idx="2911">
                  <c:v>BTCEUR</c:v>
                </c:pt>
                <c:pt idx="2912">
                  <c:v>BTCEUR</c:v>
                </c:pt>
                <c:pt idx="2913">
                  <c:v>BTCEUR</c:v>
                </c:pt>
                <c:pt idx="2914">
                  <c:v>BTCEUR</c:v>
                </c:pt>
                <c:pt idx="2915">
                  <c:v>BTCEUR</c:v>
                </c:pt>
                <c:pt idx="2916">
                  <c:v>BTCEUR</c:v>
                </c:pt>
                <c:pt idx="2917">
                  <c:v>BTCEUR</c:v>
                </c:pt>
                <c:pt idx="2918">
                  <c:v>BTCEUR</c:v>
                </c:pt>
                <c:pt idx="2919">
                  <c:v>BTCEUR</c:v>
                </c:pt>
                <c:pt idx="2920">
                  <c:v>BTCEUR</c:v>
                </c:pt>
                <c:pt idx="2921">
                  <c:v>BTCEUR</c:v>
                </c:pt>
                <c:pt idx="2922">
                  <c:v>BTCEUR</c:v>
                </c:pt>
                <c:pt idx="2923">
                  <c:v>BTCEUR</c:v>
                </c:pt>
                <c:pt idx="2924">
                  <c:v>BTCEUR</c:v>
                </c:pt>
                <c:pt idx="2925">
                  <c:v>BTCEUR</c:v>
                </c:pt>
                <c:pt idx="2926">
                  <c:v>BTCEUR</c:v>
                </c:pt>
                <c:pt idx="2927">
                  <c:v>BTCEUR</c:v>
                </c:pt>
                <c:pt idx="2928">
                  <c:v>BTCEUR</c:v>
                </c:pt>
                <c:pt idx="2929">
                  <c:v>BTCEUR</c:v>
                </c:pt>
                <c:pt idx="2930">
                  <c:v>BTCEUR</c:v>
                </c:pt>
                <c:pt idx="2931">
                  <c:v>BTCEUR</c:v>
                </c:pt>
                <c:pt idx="2932">
                  <c:v>BTCEUR</c:v>
                </c:pt>
                <c:pt idx="2933">
                  <c:v>BTCEUR</c:v>
                </c:pt>
                <c:pt idx="2934">
                  <c:v>BTCEUR</c:v>
                </c:pt>
                <c:pt idx="2935">
                  <c:v>BTCEUR</c:v>
                </c:pt>
                <c:pt idx="2936">
                  <c:v>BTCEUR</c:v>
                </c:pt>
                <c:pt idx="2937">
                  <c:v>BTCEUR</c:v>
                </c:pt>
                <c:pt idx="2938">
                  <c:v>BTCEUR</c:v>
                </c:pt>
                <c:pt idx="2939">
                  <c:v>BTCEUR</c:v>
                </c:pt>
                <c:pt idx="2940">
                  <c:v>BTCEUR</c:v>
                </c:pt>
                <c:pt idx="2941">
                  <c:v>BTCEUR</c:v>
                </c:pt>
                <c:pt idx="2942">
                  <c:v>BTCEUR</c:v>
                </c:pt>
                <c:pt idx="2943">
                  <c:v>BTCEUR</c:v>
                </c:pt>
                <c:pt idx="2944">
                  <c:v>BTCEUR</c:v>
                </c:pt>
                <c:pt idx="2945">
                  <c:v>BTCEUR</c:v>
                </c:pt>
                <c:pt idx="2946">
                  <c:v>BTCEUR</c:v>
                </c:pt>
                <c:pt idx="2947">
                  <c:v>BTCEUR</c:v>
                </c:pt>
                <c:pt idx="2948">
                  <c:v>BTCEUR</c:v>
                </c:pt>
                <c:pt idx="2949">
                  <c:v>BTCEUR</c:v>
                </c:pt>
                <c:pt idx="2950">
                  <c:v>BTCEUR</c:v>
                </c:pt>
                <c:pt idx="2951">
                  <c:v>BTCEUR</c:v>
                </c:pt>
                <c:pt idx="2952">
                  <c:v>BTCEUR</c:v>
                </c:pt>
                <c:pt idx="2953">
                  <c:v>BTCEUR</c:v>
                </c:pt>
                <c:pt idx="2954">
                  <c:v>BTCEUR</c:v>
                </c:pt>
                <c:pt idx="2955">
                  <c:v>BTCEUR</c:v>
                </c:pt>
                <c:pt idx="2956">
                  <c:v>BTCEUR</c:v>
                </c:pt>
                <c:pt idx="2957">
                  <c:v>BTCEUR</c:v>
                </c:pt>
                <c:pt idx="2958">
                  <c:v>BTCEUR</c:v>
                </c:pt>
                <c:pt idx="2959">
                  <c:v>BTCEUR</c:v>
                </c:pt>
                <c:pt idx="2960">
                  <c:v>BTCEUR</c:v>
                </c:pt>
                <c:pt idx="2961">
                  <c:v>BTCEUR</c:v>
                </c:pt>
                <c:pt idx="2962">
                  <c:v>BTCEUR</c:v>
                </c:pt>
                <c:pt idx="2963">
                  <c:v>BTCEUR</c:v>
                </c:pt>
                <c:pt idx="2964">
                  <c:v>BTCEUR</c:v>
                </c:pt>
                <c:pt idx="2965">
                  <c:v>BTCEUR</c:v>
                </c:pt>
                <c:pt idx="2966">
                  <c:v>BTCEUR</c:v>
                </c:pt>
                <c:pt idx="2967">
                  <c:v>BTCEUR</c:v>
                </c:pt>
                <c:pt idx="2968">
                  <c:v>BTCEUR</c:v>
                </c:pt>
                <c:pt idx="2969">
                  <c:v>BTCEUR</c:v>
                </c:pt>
                <c:pt idx="2970">
                  <c:v>BTCEUR</c:v>
                </c:pt>
                <c:pt idx="2971">
                  <c:v>BTCEUR</c:v>
                </c:pt>
                <c:pt idx="2972">
                  <c:v>BTCEUR</c:v>
                </c:pt>
                <c:pt idx="2973">
                  <c:v>BTCEUR</c:v>
                </c:pt>
                <c:pt idx="2974">
                  <c:v>BTCEUR</c:v>
                </c:pt>
                <c:pt idx="2975">
                  <c:v>BTCEUR</c:v>
                </c:pt>
                <c:pt idx="2976">
                  <c:v>BTCEUR</c:v>
                </c:pt>
                <c:pt idx="2977">
                  <c:v>BTCEUR</c:v>
                </c:pt>
                <c:pt idx="2978">
                  <c:v>BTCEUR</c:v>
                </c:pt>
                <c:pt idx="2979">
                  <c:v>BTCEUR</c:v>
                </c:pt>
                <c:pt idx="2980">
                  <c:v>BTCEUR</c:v>
                </c:pt>
                <c:pt idx="2981">
                  <c:v>BTCEUR</c:v>
                </c:pt>
                <c:pt idx="2982">
                  <c:v>BTCEUR</c:v>
                </c:pt>
                <c:pt idx="2983">
                  <c:v>BTCEUR</c:v>
                </c:pt>
                <c:pt idx="2984">
                  <c:v>BTCEUR</c:v>
                </c:pt>
                <c:pt idx="2985">
                  <c:v>BTCEUR</c:v>
                </c:pt>
                <c:pt idx="2986">
                  <c:v>BTCEUR</c:v>
                </c:pt>
                <c:pt idx="2987">
                  <c:v>BTCEUR</c:v>
                </c:pt>
                <c:pt idx="2988">
                  <c:v>BTCEUR</c:v>
                </c:pt>
                <c:pt idx="2989">
                  <c:v>BTCEUR</c:v>
                </c:pt>
                <c:pt idx="2990">
                  <c:v>BTCEUR</c:v>
                </c:pt>
                <c:pt idx="2991">
                  <c:v>BTCEUR</c:v>
                </c:pt>
                <c:pt idx="2992">
                  <c:v>BTCEUR</c:v>
                </c:pt>
                <c:pt idx="2993">
                  <c:v>BTCEUR</c:v>
                </c:pt>
                <c:pt idx="2994">
                  <c:v>BTCEUR</c:v>
                </c:pt>
                <c:pt idx="2995">
                  <c:v>BTCEUR</c:v>
                </c:pt>
                <c:pt idx="2996">
                  <c:v>BTCEUR</c:v>
                </c:pt>
                <c:pt idx="2997">
                  <c:v>BTCEUR</c:v>
                </c:pt>
                <c:pt idx="2998">
                  <c:v>BTCEUR</c:v>
                </c:pt>
                <c:pt idx="2999">
                  <c:v>BTCEUR</c:v>
                </c:pt>
                <c:pt idx="3000">
                  <c:v>BTCEUR</c:v>
                </c:pt>
                <c:pt idx="3001">
                  <c:v>BTCEUR</c:v>
                </c:pt>
                <c:pt idx="3002">
                  <c:v>BTCEUR</c:v>
                </c:pt>
                <c:pt idx="3003">
                  <c:v>BTCEUR</c:v>
                </c:pt>
                <c:pt idx="3004">
                  <c:v>BTCEUR</c:v>
                </c:pt>
                <c:pt idx="3005">
                  <c:v>BTCEUR</c:v>
                </c:pt>
                <c:pt idx="3006">
                  <c:v>BTCEUR</c:v>
                </c:pt>
                <c:pt idx="3007">
                  <c:v>BTCEUR</c:v>
                </c:pt>
                <c:pt idx="3008">
                  <c:v>BTCEUR</c:v>
                </c:pt>
                <c:pt idx="3009">
                  <c:v>BTCEUR</c:v>
                </c:pt>
                <c:pt idx="3010">
                  <c:v>BTCEUR</c:v>
                </c:pt>
                <c:pt idx="3011">
                  <c:v>BTCEUR</c:v>
                </c:pt>
                <c:pt idx="3012">
                  <c:v>BTCEUR</c:v>
                </c:pt>
                <c:pt idx="3013">
                  <c:v>BTCEUR</c:v>
                </c:pt>
                <c:pt idx="3014">
                  <c:v>BTCEUR</c:v>
                </c:pt>
                <c:pt idx="3015">
                  <c:v>BTCEUR</c:v>
                </c:pt>
                <c:pt idx="3016">
                  <c:v>BTCEUR</c:v>
                </c:pt>
                <c:pt idx="3017">
                  <c:v>BTCEUR</c:v>
                </c:pt>
                <c:pt idx="3018">
                  <c:v>BTCEUR</c:v>
                </c:pt>
                <c:pt idx="3019">
                  <c:v>BTCEUR</c:v>
                </c:pt>
                <c:pt idx="3020">
                  <c:v>BTCEUR</c:v>
                </c:pt>
                <c:pt idx="3021">
                  <c:v>BTCEUR</c:v>
                </c:pt>
                <c:pt idx="3022">
                  <c:v>BTCEUR</c:v>
                </c:pt>
                <c:pt idx="3023">
                  <c:v>BTCEUR</c:v>
                </c:pt>
                <c:pt idx="3024">
                  <c:v>BTCEUR</c:v>
                </c:pt>
                <c:pt idx="3025">
                  <c:v>BTCEUR</c:v>
                </c:pt>
                <c:pt idx="3026">
                  <c:v>BTCEUR</c:v>
                </c:pt>
                <c:pt idx="3027">
                  <c:v>BTCEUR</c:v>
                </c:pt>
                <c:pt idx="3028">
                  <c:v>BTCEUR</c:v>
                </c:pt>
                <c:pt idx="3029">
                  <c:v>BTCEUR</c:v>
                </c:pt>
                <c:pt idx="3030">
                  <c:v>BTCEUR</c:v>
                </c:pt>
                <c:pt idx="3031">
                  <c:v>BTCEUR</c:v>
                </c:pt>
                <c:pt idx="3032">
                  <c:v>BTCEUR</c:v>
                </c:pt>
                <c:pt idx="3033">
                  <c:v>BTCEUR</c:v>
                </c:pt>
                <c:pt idx="3034">
                  <c:v>BTCEUR</c:v>
                </c:pt>
                <c:pt idx="3035">
                  <c:v>BTCEUR</c:v>
                </c:pt>
                <c:pt idx="3036">
                  <c:v>BTCEUR</c:v>
                </c:pt>
                <c:pt idx="3037">
                  <c:v>BTCEUR</c:v>
                </c:pt>
                <c:pt idx="3038">
                  <c:v>BTCEUR</c:v>
                </c:pt>
                <c:pt idx="3039">
                  <c:v>BTCEUR</c:v>
                </c:pt>
                <c:pt idx="3040">
                  <c:v>BTCEUR</c:v>
                </c:pt>
                <c:pt idx="3041">
                  <c:v>BTCEUR</c:v>
                </c:pt>
                <c:pt idx="3042">
                  <c:v>BTCEUR</c:v>
                </c:pt>
                <c:pt idx="3043">
                  <c:v>BTCEUR</c:v>
                </c:pt>
                <c:pt idx="3044">
                  <c:v>BTCEUR</c:v>
                </c:pt>
                <c:pt idx="3045">
                  <c:v>BTCEUR</c:v>
                </c:pt>
                <c:pt idx="3046">
                  <c:v>BTCEUR</c:v>
                </c:pt>
                <c:pt idx="3047">
                  <c:v>BTCEUR</c:v>
                </c:pt>
                <c:pt idx="3048">
                  <c:v>BTCEUR</c:v>
                </c:pt>
                <c:pt idx="3049">
                  <c:v>BTCEUR</c:v>
                </c:pt>
                <c:pt idx="3050">
                  <c:v>BTCEUR</c:v>
                </c:pt>
                <c:pt idx="3051">
                  <c:v>BTCEUR</c:v>
                </c:pt>
                <c:pt idx="3052">
                  <c:v>BTCEUR</c:v>
                </c:pt>
                <c:pt idx="3053">
                  <c:v>BTCEUR</c:v>
                </c:pt>
                <c:pt idx="3054">
                  <c:v>BTCEUR</c:v>
                </c:pt>
                <c:pt idx="3055">
                  <c:v>BTCEUR</c:v>
                </c:pt>
                <c:pt idx="3056">
                  <c:v>BTCEUR</c:v>
                </c:pt>
                <c:pt idx="3057">
                  <c:v>BTCEUR</c:v>
                </c:pt>
                <c:pt idx="3058">
                  <c:v>BTCEUR</c:v>
                </c:pt>
                <c:pt idx="3059">
                  <c:v>BTCEUR</c:v>
                </c:pt>
                <c:pt idx="3060">
                  <c:v>BTCEUR</c:v>
                </c:pt>
                <c:pt idx="3061">
                  <c:v>BTCEUR</c:v>
                </c:pt>
                <c:pt idx="3062">
                  <c:v>BTCEUR</c:v>
                </c:pt>
                <c:pt idx="3063">
                  <c:v>BTCEUR</c:v>
                </c:pt>
                <c:pt idx="3064">
                  <c:v>BTCEUR</c:v>
                </c:pt>
                <c:pt idx="3065">
                  <c:v>BTCEUR</c:v>
                </c:pt>
                <c:pt idx="3066">
                  <c:v>BTCEUR</c:v>
                </c:pt>
                <c:pt idx="3067">
                  <c:v>BTCEUR</c:v>
                </c:pt>
                <c:pt idx="3068">
                  <c:v>BTCEUR</c:v>
                </c:pt>
                <c:pt idx="3069">
                  <c:v>BTCEUR</c:v>
                </c:pt>
                <c:pt idx="3070">
                  <c:v>BTCEUR</c:v>
                </c:pt>
                <c:pt idx="3071">
                  <c:v>BTCEUR</c:v>
                </c:pt>
                <c:pt idx="3072">
                  <c:v>BTCEUR</c:v>
                </c:pt>
                <c:pt idx="3073">
                  <c:v>BTCEUR</c:v>
                </c:pt>
                <c:pt idx="3074">
                  <c:v>BTCEUR</c:v>
                </c:pt>
                <c:pt idx="3075">
                  <c:v>BTCEUR</c:v>
                </c:pt>
                <c:pt idx="3076">
                  <c:v>BTCEUR</c:v>
                </c:pt>
                <c:pt idx="3077">
                  <c:v>BTCEUR</c:v>
                </c:pt>
                <c:pt idx="3078">
                  <c:v>BTCEUR</c:v>
                </c:pt>
                <c:pt idx="3079">
                  <c:v>BTCEUR</c:v>
                </c:pt>
                <c:pt idx="3080">
                  <c:v>BTCEUR</c:v>
                </c:pt>
                <c:pt idx="3081">
                  <c:v>BTCEUR</c:v>
                </c:pt>
                <c:pt idx="3082">
                  <c:v>BTCEUR</c:v>
                </c:pt>
                <c:pt idx="3083">
                  <c:v>BTCEUR</c:v>
                </c:pt>
                <c:pt idx="3084">
                  <c:v>BTCEUR</c:v>
                </c:pt>
                <c:pt idx="3085">
                  <c:v>BTCEUR</c:v>
                </c:pt>
                <c:pt idx="3086">
                  <c:v>BTCEUR</c:v>
                </c:pt>
                <c:pt idx="3087">
                  <c:v>BTCEUR</c:v>
                </c:pt>
                <c:pt idx="3088">
                  <c:v>BTCEUR</c:v>
                </c:pt>
                <c:pt idx="3089">
                  <c:v>BTCEUR</c:v>
                </c:pt>
                <c:pt idx="3090">
                  <c:v>BTCEUR</c:v>
                </c:pt>
                <c:pt idx="3091">
                  <c:v>BTCEUR</c:v>
                </c:pt>
                <c:pt idx="3092">
                  <c:v>BTCEUR</c:v>
                </c:pt>
                <c:pt idx="3093">
                  <c:v>BTCEUR</c:v>
                </c:pt>
                <c:pt idx="3094">
                  <c:v>BTCEUR</c:v>
                </c:pt>
                <c:pt idx="3095">
                  <c:v>BTCEUR</c:v>
                </c:pt>
                <c:pt idx="3096">
                  <c:v>BTCEUR</c:v>
                </c:pt>
                <c:pt idx="3097">
                  <c:v>BTCEUR</c:v>
                </c:pt>
                <c:pt idx="3098">
                  <c:v>BTCEUR</c:v>
                </c:pt>
                <c:pt idx="3099">
                  <c:v>BTCEUR</c:v>
                </c:pt>
                <c:pt idx="3100">
                  <c:v>BTCEUR</c:v>
                </c:pt>
                <c:pt idx="3101">
                  <c:v>BTCEUR</c:v>
                </c:pt>
                <c:pt idx="3102">
                  <c:v>BTCEUR</c:v>
                </c:pt>
                <c:pt idx="3103">
                  <c:v>BTCEUR</c:v>
                </c:pt>
                <c:pt idx="3104">
                  <c:v>BTCEUR</c:v>
                </c:pt>
                <c:pt idx="3105">
                  <c:v>BTCEUR</c:v>
                </c:pt>
                <c:pt idx="3106">
                  <c:v>BTCEUR</c:v>
                </c:pt>
                <c:pt idx="3107">
                  <c:v>BTCEUR</c:v>
                </c:pt>
                <c:pt idx="3108">
                  <c:v>BTCEUR</c:v>
                </c:pt>
                <c:pt idx="3109">
                  <c:v>BTCEUR</c:v>
                </c:pt>
                <c:pt idx="3110">
                  <c:v>BTCEUR</c:v>
                </c:pt>
                <c:pt idx="3111">
                  <c:v>BTCEUR</c:v>
                </c:pt>
                <c:pt idx="3112">
                  <c:v>BTCEUR</c:v>
                </c:pt>
                <c:pt idx="3113">
                  <c:v>BTCEUR</c:v>
                </c:pt>
                <c:pt idx="3114">
                  <c:v>BTCEUR</c:v>
                </c:pt>
                <c:pt idx="3115">
                  <c:v>BTCEUR</c:v>
                </c:pt>
                <c:pt idx="3116">
                  <c:v>BTCEUR</c:v>
                </c:pt>
                <c:pt idx="3117">
                  <c:v>BTCEUR</c:v>
                </c:pt>
                <c:pt idx="3118">
                  <c:v>BTCEUR</c:v>
                </c:pt>
                <c:pt idx="3119">
                  <c:v>BTCEUR</c:v>
                </c:pt>
                <c:pt idx="3120">
                  <c:v>BTCEUR</c:v>
                </c:pt>
                <c:pt idx="3121">
                  <c:v>BTCEUR</c:v>
                </c:pt>
                <c:pt idx="3122">
                  <c:v>BTCEUR</c:v>
                </c:pt>
                <c:pt idx="3123">
                  <c:v>BTCEUR</c:v>
                </c:pt>
                <c:pt idx="3124">
                  <c:v>BTCEUR</c:v>
                </c:pt>
                <c:pt idx="3125">
                  <c:v>BTCEUR</c:v>
                </c:pt>
                <c:pt idx="3126">
                  <c:v>BTCEUR</c:v>
                </c:pt>
                <c:pt idx="3127">
                  <c:v>BTCEUR</c:v>
                </c:pt>
                <c:pt idx="3128">
                  <c:v>BTCEUR</c:v>
                </c:pt>
                <c:pt idx="3129">
                  <c:v>BTCEUR</c:v>
                </c:pt>
                <c:pt idx="3130">
                  <c:v>BTCEUR</c:v>
                </c:pt>
                <c:pt idx="3131">
                  <c:v>BTCEUR</c:v>
                </c:pt>
                <c:pt idx="3132">
                  <c:v>BTCEUR</c:v>
                </c:pt>
                <c:pt idx="3133">
                  <c:v>BTCEUR</c:v>
                </c:pt>
                <c:pt idx="3134">
                  <c:v>BTCEUR</c:v>
                </c:pt>
                <c:pt idx="3135">
                  <c:v>BTCEUR</c:v>
                </c:pt>
                <c:pt idx="3136">
                  <c:v>BTCEUR</c:v>
                </c:pt>
                <c:pt idx="3137">
                  <c:v>BTCEUR</c:v>
                </c:pt>
                <c:pt idx="3138">
                  <c:v>BTCEUR</c:v>
                </c:pt>
                <c:pt idx="3139">
                  <c:v>BTCEUR</c:v>
                </c:pt>
                <c:pt idx="3140">
                  <c:v>BTCEUR</c:v>
                </c:pt>
                <c:pt idx="3141">
                  <c:v>BTCEUR</c:v>
                </c:pt>
                <c:pt idx="3142">
                  <c:v>BTCEUR</c:v>
                </c:pt>
                <c:pt idx="3143">
                  <c:v>BTCEUR</c:v>
                </c:pt>
                <c:pt idx="3144">
                  <c:v>BTCEUR</c:v>
                </c:pt>
                <c:pt idx="3145">
                  <c:v>BTCEUR</c:v>
                </c:pt>
                <c:pt idx="3146">
                  <c:v>BTCEUR</c:v>
                </c:pt>
                <c:pt idx="3147">
                  <c:v>BTCEUR</c:v>
                </c:pt>
                <c:pt idx="3148">
                  <c:v>BTCEUR</c:v>
                </c:pt>
                <c:pt idx="3149">
                  <c:v>BTCEUR</c:v>
                </c:pt>
                <c:pt idx="3150">
                  <c:v>BTCEUR</c:v>
                </c:pt>
                <c:pt idx="3151">
                  <c:v>BTCEUR</c:v>
                </c:pt>
                <c:pt idx="3152">
                  <c:v>BTCEUR</c:v>
                </c:pt>
                <c:pt idx="3153">
                  <c:v>BTCEUR</c:v>
                </c:pt>
                <c:pt idx="3154">
                  <c:v>BTCEUR</c:v>
                </c:pt>
                <c:pt idx="3155">
                  <c:v>BTCEUR</c:v>
                </c:pt>
                <c:pt idx="3156">
                  <c:v>BTCEUR</c:v>
                </c:pt>
                <c:pt idx="3157">
                  <c:v>BTCEUR</c:v>
                </c:pt>
                <c:pt idx="3158">
                  <c:v>BTCEUR</c:v>
                </c:pt>
                <c:pt idx="3159">
                  <c:v>BTCEUR</c:v>
                </c:pt>
                <c:pt idx="3160">
                  <c:v>BTCEUR</c:v>
                </c:pt>
                <c:pt idx="3161">
                  <c:v>BTCEUR</c:v>
                </c:pt>
                <c:pt idx="3162">
                  <c:v>BTCEUR</c:v>
                </c:pt>
                <c:pt idx="3163">
                  <c:v>BTCEUR</c:v>
                </c:pt>
                <c:pt idx="3164">
                  <c:v>BTCEUR</c:v>
                </c:pt>
                <c:pt idx="3165">
                  <c:v>BTCEUR</c:v>
                </c:pt>
                <c:pt idx="3166">
                  <c:v>BTCEUR</c:v>
                </c:pt>
                <c:pt idx="3167">
                  <c:v>BTCEUR</c:v>
                </c:pt>
                <c:pt idx="3168">
                  <c:v>BTCEUR</c:v>
                </c:pt>
                <c:pt idx="3169">
                  <c:v>BTCEUR</c:v>
                </c:pt>
                <c:pt idx="3170">
                  <c:v>BTCEUR</c:v>
                </c:pt>
                <c:pt idx="3171">
                  <c:v>BTCEUR</c:v>
                </c:pt>
                <c:pt idx="3172">
                  <c:v>BTCEUR</c:v>
                </c:pt>
                <c:pt idx="3173">
                  <c:v>BTCEUR</c:v>
                </c:pt>
                <c:pt idx="3174">
                  <c:v>BTCEUR</c:v>
                </c:pt>
                <c:pt idx="3175">
                  <c:v>BTCEUR</c:v>
                </c:pt>
                <c:pt idx="3176">
                  <c:v>BTCEUR</c:v>
                </c:pt>
                <c:pt idx="3177">
                  <c:v>BTCEUR</c:v>
                </c:pt>
                <c:pt idx="3178">
                  <c:v>BTCEUR</c:v>
                </c:pt>
                <c:pt idx="3179">
                  <c:v>BTCEUR</c:v>
                </c:pt>
                <c:pt idx="3180">
                  <c:v>BTCEUR</c:v>
                </c:pt>
                <c:pt idx="3181">
                  <c:v>BTCEUR</c:v>
                </c:pt>
                <c:pt idx="3182">
                  <c:v>BTCEUR</c:v>
                </c:pt>
                <c:pt idx="3183">
                  <c:v>BTCEUR</c:v>
                </c:pt>
                <c:pt idx="3184">
                  <c:v>BTCEUR</c:v>
                </c:pt>
                <c:pt idx="3185">
                  <c:v>BTCEUR</c:v>
                </c:pt>
                <c:pt idx="3186">
                  <c:v>BTCEUR</c:v>
                </c:pt>
                <c:pt idx="3187">
                  <c:v>BTCEUR</c:v>
                </c:pt>
                <c:pt idx="3188">
                  <c:v>BTCEUR</c:v>
                </c:pt>
                <c:pt idx="3189">
                  <c:v>BTCEUR</c:v>
                </c:pt>
                <c:pt idx="3190">
                  <c:v>BTCEUR</c:v>
                </c:pt>
                <c:pt idx="3191">
                  <c:v>BTCEUR</c:v>
                </c:pt>
                <c:pt idx="3192">
                  <c:v>BTCEUR</c:v>
                </c:pt>
                <c:pt idx="3193">
                  <c:v>BTCEUR</c:v>
                </c:pt>
                <c:pt idx="3194">
                  <c:v>BTCEUR</c:v>
                </c:pt>
                <c:pt idx="3195">
                  <c:v>BTCEUR</c:v>
                </c:pt>
                <c:pt idx="3196">
                  <c:v>BTCEUR</c:v>
                </c:pt>
                <c:pt idx="3197">
                  <c:v>BTCEUR</c:v>
                </c:pt>
                <c:pt idx="3198">
                  <c:v>BTCEUR</c:v>
                </c:pt>
                <c:pt idx="3199">
                  <c:v>BTCEUR</c:v>
                </c:pt>
                <c:pt idx="3200">
                  <c:v>BTCEUR</c:v>
                </c:pt>
                <c:pt idx="3201">
                  <c:v>BTCEUR</c:v>
                </c:pt>
                <c:pt idx="3202">
                  <c:v>BTCEUR</c:v>
                </c:pt>
                <c:pt idx="3203">
                  <c:v>BTCEUR</c:v>
                </c:pt>
                <c:pt idx="3204">
                  <c:v>BTCEUR</c:v>
                </c:pt>
                <c:pt idx="3205">
                  <c:v>BTCEUR</c:v>
                </c:pt>
                <c:pt idx="3206">
                  <c:v>BTCEUR</c:v>
                </c:pt>
                <c:pt idx="3207">
                  <c:v>BTCEUR</c:v>
                </c:pt>
                <c:pt idx="3208">
                  <c:v>BTCEUR</c:v>
                </c:pt>
                <c:pt idx="3209">
                  <c:v>BTCEUR</c:v>
                </c:pt>
                <c:pt idx="3210">
                  <c:v>BTCEUR</c:v>
                </c:pt>
                <c:pt idx="3211">
                  <c:v>BTCEUR</c:v>
                </c:pt>
                <c:pt idx="3212">
                  <c:v>BTCEUR</c:v>
                </c:pt>
                <c:pt idx="3213">
                  <c:v>BTCEUR</c:v>
                </c:pt>
                <c:pt idx="3214">
                  <c:v>BTCEUR</c:v>
                </c:pt>
                <c:pt idx="3215">
                  <c:v>BTCEUR</c:v>
                </c:pt>
                <c:pt idx="3216">
                  <c:v>BTCEUR</c:v>
                </c:pt>
                <c:pt idx="3217">
                  <c:v>BTCEUR</c:v>
                </c:pt>
                <c:pt idx="3218">
                  <c:v>BTCEUR</c:v>
                </c:pt>
                <c:pt idx="3219">
                  <c:v>BTCEUR</c:v>
                </c:pt>
                <c:pt idx="3220">
                  <c:v>BTCEUR</c:v>
                </c:pt>
                <c:pt idx="3221">
                  <c:v>BTCEUR</c:v>
                </c:pt>
                <c:pt idx="3222">
                  <c:v>BTCEUR</c:v>
                </c:pt>
                <c:pt idx="3223">
                  <c:v>BTCEUR</c:v>
                </c:pt>
                <c:pt idx="3224">
                  <c:v>BTCEUR</c:v>
                </c:pt>
                <c:pt idx="3225">
                  <c:v>BTCEUR</c:v>
                </c:pt>
                <c:pt idx="3226">
                  <c:v>BTCEUR</c:v>
                </c:pt>
                <c:pt idx="3227">
                  <c:v>BTCEUR</c:v>
                </c:pt>
                <c:pt idx="3228">
                  <c:v>BTCEUR</c:v>
                </c:pt>
                <c:pt idx="3229">
                  <c:v>BTCEUR</c:v>
                </c:pt>
                <c:pt idx="3230">
                  <c:v>BTCEUR</c:v>
                </c:pt>
                <c:pt idx="3231">
                  <c:v>BTCEUR</c:v>
                </c:pt>
                <c:pt idx="3232">
                  <c:v>BTCEUR</c:v>
                </c:pt>
                <c:pt idx="3233">
                  <c:v>BTCEUR</c:v>
                </c:pt>
                <c:pt idx="3234">
                  <c:v>BTCEUR</c:v>
                </c:pt>
                <c:pt idx="3235">
                  <c:v>BTCEUR</c:v>
                </c:pt>
                <c:pt idx="3236">
                  <c:v>BTCEUR</c:v>
                </c:pt>
                <c:pt idx="3237">
                  <c:v>BTCEUR</c:v>
                </c:pt>
                <c:pt idx="3238">
                  <c:v>BTCEUR</c:v>
                </c:pt>
                <c:pt idx="3239">
                  <c:v>BTCEUR</c:v>
                </c:pt>
                <c:pt idx="3240">
                  <c:v>BTCEUR</c:v>
                </c:pt>
                <c:pt idx="3241">
                  <c:v>BTCEUR</c:v>
                </c:pt>
                <c:pt idx="3242">
                  <c:v>BTCEUR</c:v>
                </c:pt>
                <c:pt idx="3243">
                  <c:v>BTCEUR</c:v>
                </c:pt>
                <c:pt idx="3244">
                  <c:v>BTCEUR</c:v>
                </c:pt>
                <c:pt idx="3245">
                  <c:v>BTCEUR</c:v>
                </c:pt>
                <c:pt idx="3246">
                  <c:v>BTCEUR</c:v>
                </c:pt>
                <c:pt idx="3247">
                  <c:v>BTCEUR</c:v>
                </c:pt>
                <c:pt idx="3248">
                  <c:v>BTCEUR</c:v>
                </c:pt>
                <c:pt idx="3249">
                  <c:v>BTCEUR</c:v>
                </c:pt>
                <c:pt idx="3250">
                  <c:v>BTCEUR</c:v>
                </c:pt>
                <c:pt idx="3251">
                  <c:v>BTCEUR</c:v>
                </c:pt>
                <c:pt idx="3252">
                  <c:v>BTCEUR</c:v>
                </c:pt>
                <c:pt idx="3253">
                  <c:v>BTCEUR</c:v>
                </c:pt>
                <c:pt idx="3254">
                  <c:v>BTCEUR</c:v>
                </c:pt>
                <c:pt idx="3255">
                  <c:v>BTCEUR</c:v>
                </c:pt>
                <c:pt idx="3256">
                  <c:v>BTCEUR</c:v>
                </c:pt>
                <c:pt idx="3257">
                  <c:v>BTCEUR</c:v>
                </c:pt>
                <c:pt idx="3258">
                  <c:v>BTCEUR</c:v>
                </c:pt>
                <c:pt idx="3259">
                  <c:v>BTCEUR</c:v>
                </c:pt>
                <c:pt idx="3260">
                  <c:v>BTCEUR</c:v>
                </c:pt>
                <c:pt idx="3261">
                  <c:v>BTCEUR</c:v>
                </c:pt>
                <c:pt idx="3262">
                  <c:v>BTCEUR</c:v>
                </c:pt>
                <c:pt idx="3263">
                  <c:v>BTCEUR</c:v>
                </c:pt>
                <c:pt idx="3264">
                  <c:v>BTCEUR</c:v>
                </c:pt>
                <c:pt idx="3265">
                  <c:v>BTCEUR</c:v>
                </c:pt>
                <c:pt idx="3266">
                  <c:v>BTCEUR</c:v>
                </c:pt>
                <c:pt idx="3267">
                  <c:v>BTCEUR</c:v>
                </c:pt>
                <c:pt idx="3268">
                  <c:v>BTCEUR</c:v>
                </c:pt>
                <c:pt idx="3269">
                  <c:v>BTCEUR</c:v>
                </c:pt>
                <c:pt idx="3270">
                  <c:v>BTCEUR</c:v>
                </c:pt>
                <c:pt idx="3271">
                  <c:v>BTCEUR</c:v>
                </c:pt>
                <c:pt idx="3272">
                  <c:v>BTCEUR</c:v>
                </c:pt>
                <c:pt idx="3273">
                  <c:v>BTCEUR</c:v>
                </c:pt>
                <c:pt idx="3274">
                  <c:v>BTCEUR</c:v>
                </c:pt>
                <c:pt idx="3275">
                  <c:v>BTCEUR</c:v>
                </c:pt>
                <c:pt idx="3276">
                  <c:v>BTCEUR</c:v>
                </c:pt>
                <c:pt idx="3277">
                  <c:v>BTCEUR</c:v>
                </c:pt>
                <c:pt idx="3278">
                  <c:v>BTCEUR</c:v>
                </c:pt>
                <c:pt idx="3279">
                  <c:v>BTCEUR</c:v>
                </c:pt>
                <c:pt idx="3280">
                  <c:v>BTCEUR</c:v>
                </c:pt>
                <c:pt idx="3281">
                  <c:v>BTCEUR</c:v>
                </c:pt>
                <c:pt idx="3282">
                  <c:v>BTCEUR</c:v>
                </c:pt>
                <c:pt idx="3283">
                  <c:v>BTCEUR</c:v>
                </c:pt>
                <c:pt idx="3284">
                  <c:v>BTCEUR</c:v>
                </c:pt>
                <c:pt idx="3285">
                  <c:v>BTCEUR</c:v>
                </c:pt>
                <c:pt idx="3286">
                  <c:v>BTCEUR</c:v>
                </c:pt>
                <c:pt idx="3287">
                  <c:v>BTCEUR</c:v>
                </c:pt>
                <c:pt idx="3288">
                  <c:v>BTCEUR</c:v>
                </c:pt>
                <c:pt idx="3289">
                  <c:v>BTCEUR</c:v>
                </c:pt>
                <c:pt idx="3290">
                  <c:v>BTCEUR</c:v>
                </c:pt>
                <c:pt idx="3291">
                  <c:v>BTCEUR</c:v>
                </c:pt>
                <c:pt idx="3292">
                  <c:v>BTCEUR</c:v>
                </c:pt>
                <c:pt idx="3293">
                  <c:v>BTCEUR</c:v>
                </c:pt>
                <c:pt idx="3294">
                  <c:v>BTCEUR</c:v>
                </c:pt>
                <c:pt idx="3295">
                  <c:v>BTCEUR</c:v>
                </c:pt>
                <c:pt idx="3296">
                  <c:v>BTCEUR</c:v>
                </c:pt>
                <c:pt idx="3297">
                  <c:v>BTCEUR</c:v>
                </c:pt>
                <c:pt idx="3298">
                  <c:v>BTCEUR</c:v>
                </c:pt>
                <c:pt idx="3299">
                  <c:v>BTCEUR</c:v>
                </c:pt>
                <c:pt idx="3300">
                  <c:v>BTCEUR</c:v>
                </c:pt>
                <c:pt idx="3301">
                  <c:v>BTCEUR</c:v>
                </c:pt>
                <c:pt idx="3302">
                  <c:v>BTCEUR</c:v>
                </c:pt>
                <c:pt idx="3303">
                  <c:v>BTCEUR</c:v>
                </c:pt>
                <c:pt idx="3304">
                  <c:v>BTCEUR</c:v>
                </c:pt>
                <c:pt idx="3305">
                  <c:v>BTCEUR</c:v>
                </c:pt>
                <c:pt idx="3306">
                  <c:v>BTCEUR</c:v>
                </c:pt>
                <c:pt idx="3307">
                  <c:v>BTCEUR</c:v>
                </c:pt>
                <c:pt idx="3308">
                  <c:v>BTCEUR</c:v>
                </c:pt>
                <c:pt idx="3309">
                  <c:v>BTCEUR</c:v>
                </c:pt>
                <c:pt idx="3310">
                  <c:v>BTCEUR</c:v>
                </c:pt>
                <c:pt idx="3311">
                  <c:v>BTCEUR</c:v>
                </c:pt>
                <c:pt idx="3312">
                  <c:v>BTCEUR</c:v>
                </c:pt>
                <c:pt idx="3313">
                  <c:v>BTCEUR</c:v>
                </c:pt>
                <c:pt idx="3314">
                  <c:v>BTCEUR</c:v>
                </c:pt>
                <c:pt idx="3315">
                  <c:v>BTCEUR</c:v>
                </c:pt>
                <c:pt idx="3316">
                  <c:v>BTCEUR</c:v>
                </c:pt>
                <c:pt idx="3317">
                  <c:v>BTCEUR</c:v>
                </c:pt>
                <c:pt idx="3318">
                  <c:v>BTCEUR</c:v>
                </c:pt>
                <c:pt idx="3319">
                  <c:v>BTCEUR</c:v>
                </c:pt>
                <c:pt idx="3320">
                  <c:v>BTCEUR</c:v>
                </c:pt>
                <c:pt idx="3321">
                  <c:v>BTCEUR</c:v>
                </c:pt>
                <c:pt idx="3322">
                  <c:v>BTCEUR</c:v>
                </c:pt>
                <c:pt idx="3323">
                  <c:v>BTCEUR</c:v>
                </c:pt>
                <c:pt idx="3324">
                  <c:v>BTCEUR</c:v>
                </c:pt>
                <c:pt idx="3325">
                  <c:v>BTCEUR</c:v>
                </c:pt>
                <c:pt idx="3326">
                  <c:v>BTCEUR</c:v>
                </c:pt>
                <c:pt idx="3327">
                  <c:v>BTCEUR</c:v>
                </c:pt>
                <c:pt idx="3328">
                  <c:v>BTCEUR</c:v>
                </c:pt>
                <c:pt idx="3329">
                  <c:v>BTCEUR</c:v>
                </c:pt>
                <c:pt idx="3330">
                  <c:v>BTCEUR</c:v>
                </c:pt>
                <c:pt idx="3331">
                  <c:v>BTCEUR</c:v>
                </c:pt>
                <c:pt idx="3332">
                  <c:v>BTCEUR</c:v>
                </c:pt>
                <c:pt idx="3333">
                  <c:v>BTCEUR</c:v>
                </c:pt>
                <c:pt idx="3334">
                  <c:v>BTCEUR</c:v>
                </c:pt>
                <c:pt idx="3335">
                  <c:v>BTCEUR</c:v>
                </c:pt>
                <c:pt idx="3336">
                  <c:v>BTCEUR</c:v>
                </c:pt>
                <c:pt idx="3337">
                  <c:v>BTCEUR</c:v>
                </c:pt>
                <c:pt idx="3338">
                  <c:v>BTCEUR</c:v>
                </c:pt>
                <c:pt idx="3339">
                  <c:v>BTCEUR</c:v>
                </c:pt>
                <c:pt idx="3340">
                  <c:v>BTCEUR</c:v>
                </c:pt>
                <c:pt idx="3341">
                  <c:v>BTCEUR</c:v>
                </c:pt>
                <c:pt idx="3342">
                  <c:v>BTCEUR</c:v>
                </c:pt>
                <c:pt idx="3343">
                  <c:v>BTCEUR</c:v>
                </c:pt>
                <c:pt idx="3344">
                  <c:v>BTCEUR</c:v>
                </c:pt>
                <c:pt idx="3345">
                  <c:v>BTCEUR</c:v>
                </c:pt>
                <c:pt idx="3346">
                  <c:v>BTCEUR</c:v>
                </c:pt>
                <c:pt idx="3347">
                  <c:v>BTCEUR</c:v>
                </c:pt>
                <c:pt idx="3348">
                  <c:v>BTCEUR</c:v>
                </c:pt>
                <c:pt idx="3349">
                  <c:v>BTCEUR</c:v>
                </c:pt>
                <c:pt idx="3350">
                  <c:v>BTCEUR</c:v>
                </c:pt>
                <c:pt idx="3351">
                  <c:v>BTCEUR</c:v>
                </c:pt>
                <c:pt idx="3352">
                  <c:v>BTCEUR</c:v>
                </c:pt>
                <c:pt idx="3353">
                  <c:v>BTCEUR</c:v>
                </c:pt>
                <c:pt idx="3354">
                  <c:v>BTCEUR</c:v>
                </c:pt>
                <c:pt idx="3355">
                  <c:v>BTCEUR</c:v>
                </c:pt>
                <c:pt idx="3356">
                  <c:v>BTCEUR</c:v>
                </c:pt>
                <c:pt idx="3357">
                  <c:v>BTCEUR</c:v>
                </c:pt>
                <c:pt idx="3358">
                  <c:v>BTCEUR</c:v>
                </c:pt>
                <c:pt idx="3359">
                  <c:v>BTCEUR</c:v>
                </c:pt>
                <c:pt idx="3360">
                  <c:v>BTCEUR</c:v>
                </c:pt>
                <c:pt idx="3361">
                  <c:v>BTCEUR</c:v>
                </c:pt>
                <c:pt idx="3362">
                  <c:v>BTCEUR</c:v>
                </c:pt>
                <c:pt idx="3363">
                  <c:v>BTCEUR</c:v>
                </c:pt>
                <c:pt idx="3364">
                  <c:v>BTCEUR</c:v>
                </c:pt>
                <c:pt idx="3365">
                  <c:v>BTCEUR</c:v>
                </c:pt>
                <c:pt idx="3366">
                  <c:v>BTCEUR</c:v>
                </c:pt>
                <c:pt idx="3367">
                  <c:v>BTCEUR</c:v>
                </c:pt>
                <c:pt idx="3368">
                  <c:v>BTCEUR</c:v>
                </c:pt>
                <c:pt idx="3369">
                  <c:v>BTCEUR</c:v>
                </c:pt>
                <c:pt idx="3370">
                  <c:v>BTCEUR</c:v>
                </c:pt>
                <c:pt idx="3371">
                  <c:v>BTCEUR</c:v>
                </c:pt>
                <c:pt idx="3372">
                  <c:v>BTCEUR</c:v>
                </c:pt>
                <c:pt idx="3373">
                  <c:v>BTCEUR</c:v>
                </c:pt>
                <c:pt idx="3374">
                  <c:v>BTCEUR</c:v>
                </c:pt>
                <c:pt idx="3375">
                  <c:v>BTCEUR</c:v>
                </c:pt>
                <c:pt idx="3376">
                  <c:v>BTCEUR</c:v>
                </c:pt>
                <c:pt idx="3377">
                  <c:v>BTCEUR</c:v>
                </c:pt>
                <c:pt idx="3378">
                  <c:v>BTCEUR</c:v>
                </c:pt>
                <c:pt idx="3379">
                  <c:v>BTCEUR</c:v>
                </c:pt>
                <c:pt idx="3380">
                  <c:v>BTCEUR</c:v>
                </c:pt>
                <c:pt idx="3381">
                  <c:v>BTCEUR</c:v>
                </c:pt>
                <c:pt idx="3382">
                  <c:v>BTCEUR</c:v>
                </c:pt>
                <c:pt idx="3383">
                  <c:v>BTCEUR</c:v>
                </c:pt>
                <c:pt idx="3384">
                  <c:v>BTCEUR</c:v>
                </c:pt>
                <c:pt idx="3385">
                  <c:v>BTCEUR</c:v>
                </c:pt>
                <c:pt idx="3386">
                  <c:v>BTCEUR</c:v>
                </c:pt>
                <c:pt idx="3387">
                  <c:v>BTCEUR</c:v>
                </c:pt>
                <c:pt idx="3388">
                  <c:v>BTCEUR</c:v>
                </c:pt>
                <c:pt idx="3389">
                  <c:v>BTCEUR</c:v>
                </c:pt>
                <c:pt idx="3390">
                  <c:v>BTCEUR</c:v>
                </c:pt>
                <c:pt idx="3391">
                  <c:v>BTCEUR</c:v>
                </c:pt>
                <c:pt idx="3392">
                  <c:v>BTCEUR</c:v>
                </c:pt>
                <c:pt idx="3393">
                  <c:v>BTCEUR</c:v>
                </c:pt>
                <c:pt idx="3394">
                  <c:v>BTCEUR</c:v>
                </c:pt>
                <c:pt idx="3395">
                  <c:v>BTCEUR</c:v>
                </c:pt>
                <c:pt idx="3396">
                  <c:v>BTCEUR</c:v>
                </c:pt>
                <c:pt idx="3397">
                  <c:v>BTCEUR</c:v>
                </c:pt>
                <c:pt idx="3398">
                  <c:v>BTCEUR</c:v>
                </c:pt>
                <c:pt idx="3399">
                  <c:v>BTCEUR</c:v>
                </c:pt>
                <c:pt idx="3400">
                  <c:v>BTCEUR</c:v>
                </c:pt>
                <c:pt idx="3401">
                  <c:v>BTCEUR</c:v>
                </c:pt>
                <c:pt idx="3402">
                  <c:v>BTCEUR</c:v>
                </c:pt>
                <c:pt idx="3403">
                  <c:v>BTCEUR</c:v>
                </c:pt>
                <c:pt idx="3404">
                  <c:v>BTCEUR</c:v>
                </c:pt>
                <c:pt idx="3405">
                  <c:v>BTCEUR</c:v>
                </c:pt>
                <c:pt idx="3406">
                  <c:v>BTCEUR</c:v>
                </c:pt>
                <c:pt idx="3407">
                  <c:v>BTCEUR</c:v>
                </c:pt>
                <c:pt idx="3408">
                  <c:v>BTCEUR</c:v>
                </c:pt>
                <c:pt idx="3409">
                  <c:v>BTCEUR</c:v>
                </c:pt>
                <c:pt idx="3410">
                  <c:v>BTCEUR</c:v>
                </c:pt>
                <c:pt idx="3411">
                  <c:v>BTCEUR</c:v>
                </c:pt>
                <c:pt idx="3412">
                  <c:v>BTCEUR</c:v>
                </c:pt>
                <c:pt idx="3413">
                  <c:v>BTCEUR</c:v>
                </c:pt>
                <c:pt idx="3414">
                  <c:v>BTCEUR</c:v>
                </c:pt>
                <c:pt idx="3415">
                  <c:v>BTCEUR</c:v>
                </c:pt>
                <c:pt idx="3416">
                  <c:v>BTCEUR</c:v>
                </c:pt>
                <c:pt idx="3417">
                  <c:v>BTCEUR</c:v>
                </c:pt>
                <c:pt idx="3418">
                  <c:v>BTCEUR</c:v>
                </c:pt>
                <c:pt idx="3419">
                  <c:v>BTCEUR</c:v>
                </c:pt>
                <c:pt idx="3420">
                  <c:v>BTCEUR</c:v>
                </c:pt>
                <c:pt idx="3421">
                  <c:v>BTCEUR</c:v>
                </c:pt>
                <c:pt idx="3422">
                  <c:v>BTCEUR</c:v>
                </c:pt>
                <c:pt idx="3423">
                  <c:v>BTCEUR</c:v>
                </c:pt>
                <c:pt idx="3424">
                  <c:v>BTCEUR</c:v>
                </c:pt>
                <c:pt idx="3425">
                  <c:v>BTCEUR</c:v>
                </c:pt>
                <c:pt idx="3426">
                  <c:v>BTCEUR</c:v>
                </c:pt>
                <c:pt idx="3427">
                  <c:v>BTCEUR</c:v>
                </c:pt>
                <c:pt idx="3428">
                  <c:v>BTCEUR</c:v>
                </c:pt>
                <c:pt idx="3429">
                  <c:v>BTCEUR</c:v>
                </c:pt>
                <c:pt idx="3430">
                  <c:v>BTCEUR</c:v>
                </c:pt>
                <c:pt idx="3431">
                  <c:v>BTCEUR</c:v>
                </c:pt>
                <c:pt idx="3432">
                  <c:v>BTCEUR</c:v>
                </c:pt>
                <c:pt idx="3433">
                  <c:v>BTCEUR</c:v>
                </c:pt>
                <c:pt idx="3434">
                  <c:v>BTCEUR</c:v>
                </c:pt>
                <c:pt idx="3435">
                  <c:v>BTCEUR</c:v>
                </c:pt>
                <c:pt idx="3436">
                  <c:v>BTCEUR</c:v>
                </c:pt>
                <c:pt idx="3437">
                  <c:v>BTCEUR</c:v>
                </c:pt>
                <c:pt idx="3438">
                  <c:v>BTCEUR</c:v>
                </c:pt>
                <c:pt idx="3439">
                  <c:v>BTCEUR</c:v>
                </c:pt>
                <c:pt idx="3440">
                  <c:v>BTCEUR</c:v>
                </c:pt>
                <c:pt idx="3441">
                  <c:v>BTCEUR</c:v>
                </c:pt>
                <c:pt idx="3442">
                  <c:v>BTCEUR</c:v>
                </c:pt>
                <c:pt idx="3443">
                  <c:v>BTCEUR</c:v>
                </c:pt>
                <c:pt idx="3444">
                  <c:v>BTCEUR</c:v>
                </c:pt>
                <c:pt idx="3445">
                  <c:v>BTCEUR</c:v>
                </c:pt>
                <c:pt idx="3446">
                  <c:v>BTCEUR</c:v>
                </c:pt>
                <c:pt idx="3447">
                  <c:v>BTCEUR</c:v>
                </c:pt>
                <c:pt idx="3448">
                  <c:v>BTCEUR</c:v>
                </c:pt>
                <c:pt idx="3449">
                  <c:v>BTCEUR</c:v>
                </c:pt>
                <c:pt idx="3450">
                  <c:v>BTCEUR</c:v>
                </c:pt>
                <c:pt idx="3451">
                  <c:v>BTCEUR</c:v>
                </c:pt>
                <c:pt idx="3452">
                  <c:v>BTCEUR</c:v>
                </c:pt>
                <c:pt idx="3453">
                  <c:v>BTCEUR</c:v>
                </c:pt>
                <c:pt idx="3454">
                  <c:v>BTCEUR</c:v>
                </c:pt>
                <c:pt idx="3455">
                  <c:v>BTCEUR</c:v>
                </c:pt>
                <c:pt idx="3456">
                  <c:v>BTCEUR</c:v>
                </c:pt>
                <c:pt idx="3457">
                  <c:v>BTCEUR</c:v>
                </c:pt>
                <c:pt idx="3458">
                  <c:v>BTCEUR</c:v>
                </c:pt>
                <c:pt idx="3459">
                  <c:v>BTCEUR</c:v>
                </c:pt>
                <c:pt idx="3460">
                  <c:v>BTCEUR</c:v>
                </c:pt>
                <c:pt idx="3461">
                  <c:v>BTCEUR</c:v>
                </c:pt>
                <c:pt idx="3462">
                  <c:v>BTCEUR</c:v>
                </c:pt>
                <c:pt idx="3463">
                  <c:v>BTCEUR</c:v>
                </c:pt>
                <c:pt idx="3464">
                  <c:v>BTCEUR</c:v>
                </c:pt>
                <c:pt idx="3465">
                  <c:v>BTCEUR</c:v>
                </c:pt>
                <c:pt idx="3466">
                  <c:v>BTCEUR</c:v>
                </c:pt>
                <c:pt idx="3467">
                  <c:v>BTCEUR</c:v>
                </c:pt>
                <c:pt idx="3468">
                  <c:v>BTCEUR</c:v>
                </c:pt>
                <c:pt idx="3469">
                  <c:v>BTCEUR</c:v>
                </c:pt>
                <c:pt idx="3470">
                  <c:v>BTCEUR</c:v>
                </c:pt>
                <c:pt idx="3471">
                  <c:v>BTCEUR</c:v>
                </c:pt>
                <c:pt idx="3472">
                  <c:v>BTCEUR</c:v>
                </c:pt>
                <c:pt idx="3473">
                  <c:v>BTCEUR</c:v>
                </c:pt>
                <c:pt idx="3474">
                  <c:v>BTCEUR</c:v>
                </c:pt>
                <c:pt idx="3475">
                  <c:v>BTCEUR</c:v>
                </c:pt>
                <c:pt idx="3476">
                  <c:v>BTCEUR</c:v>
                </c:pt>
                <c:pt idx="3477">
                  <c:v>BTCEUR</c:v>
                </c:pt>
                <c:pt idx="3478">
                  <c:v>BTCEUR</c:v>
                </c:pt>
                <c:pt idx="3479">
                  <c:v>BTCEUR</c:v>
                </c:pt>
                <c:pt idx="3480">
                  <c:v>BTCEUR</c:v>
                </c:pt>
                <c:pt idx="3481">
                  <c:v>BTCEUR</c:v>
                </c:pt>
                <c:pt idx="3482">
                  <c:v>BTCEUR</c:v>
                </c:pt>
                <c:pt idx="3483">
                  <c:v>BTCEUR</c:v>
                </c:pt>
                <c:pt idx="3484">
                  <c:v>BTCEUR</c:v>
                </c:pt>
                <c:pt idx="3485">
                  <c:v>BTCEUR</c:v>
                </c:pt>
                <c:pt idx="3486">
                  <c:v>BTCEUR</c:v>
                </c:pt>
                <c:pt idx="3487">
                  <c:v>BTCEUR</c:v>
                </c:pt>
                <c:pt idx="3488">
                  <c:v>BTCEUR</c:v>
                </c:pt>
                <c:pt idx="3489">
                  <c:v>BTCEUR</c:v>
                </c:pt>
                <c:pt idx="3490">
                  <c:v>BTCEUR</c:v>
                </c:pt>
                <c:pt idx="3491">
                  <c:v>BTCEUR</c:v>
                </c:pt>
                <c:pt idx="3492">
                  <c:v>BTCEUR</c:v>
                </c:pt>
                <c:pt idx="3493">
                  <c:v>BTCEUR</c:v>
                </c:pt>
                <c:pt idx="3494">
                  <c:v>BTCEUR</c:v>
                </c:pt>
                <c:pt idx="3495">
                  <c:v>BTCEUR</c:v>
                </c:pt>
                <c:pt idx="3496">
                  <c:v>BTCEUR</c:v>
                </c:pt>
                <c:pt idx="3497">
                  <c:v>BTCEUR</c:v>
                </c:pt>
                <c:pt idx="3498">
                  <c:v>BTCEUR</c:v>
                </c:pt>
                <c:pt idx="3499">
                  <c:v>BTCEUR</c:v>
                </c:pt>
                <c:pt idx="3500">
                  <c:v>BTCEUR</c:v>
                </c:pt>
                <c:pt idx="3501">
                  <c:v>BTCEUR</c:v>
                </c:pt>
                <c:pt idx="3502">
                  <c:v>BTCEUR</c:v>
                </c:pt>
                <c:pt idx="3503">
                  <c:v>BTCEUR</c:v>
                </c:pt>
                <c:pt idx="3504">
                  <c:v>BTCEUR</c:v>
                </c:pt>
                <c:pt idx="3505">
                  <c:v>BTCEUR</c:v>
                </c:pt>
                <c:pt idx="3506">
                  <c:v>BTCEUR</c:v>
                </c:pt>
                <c:pt idx="3507">
                  <c:v>BTCEUR</c:v>
                </c:pt>
                <c:pt idx="3508">
                  <c:v>BTCEUR</c:v>
                </c:pt>
                <c:pt idx="3509">
                  <c:v>BTCEUR</c:v>
                </c:pt>
                <c:pt idx="3510">
                  <c:v>BTCEUR</c:v>
                </c:pt>
                <c:pt idx="3511">
                  <c:v>BTCEUR</c:v>
                </c:pt>
                <c:pt idx="3512">
                  <c:v>BTCEUR</c:v>
                </c:pt>
                <c:pt idx="3513">
                  <c:v>BTCEUR</c:v>
                </c:pt>
                <c:pt idx="3514">
                  <c:v>BTCEUR</c:v>
                </c:pt>
                <c:pt idx="3515">
                  <c:v>BTCEUR</c:v>
                </c:pt>
                <c:pt idx="3516">
                  <c:v>BTCEUR</c:v>
                </c:pt>
                <c:pt idx="3517">
                  <c:v>BTCEUR</c:v>
                </c:pt>
                <c:pt idx="3518">
                  <c:v>BTCEUR</c:v>
                </c:pt>
                <c:pt idx="3519">
                  <c:v>BTCEUR</c:v>
                </c:pt>
                <c:pt idx="3520">
                  <c:v>BTCEUR</c:v>
                </c:pt>
                <c:pt idx="3521">
                  <c:v>BTCEUR</c:v>
                </c:pt>
                <c:pt idx="3522">
                  <c:v>BTCEUR</c:v>
                </c:pt>
                <c:pt idx="3523">
                  <c:v>BTCEUR</c:v>
                </c:pt>
                <c:pt idx="3524">
                  <c:v>BTCEUR</c:v>
                </c:pt>
                <c:pt idx="3525">
                  <c:v>BTCEUR</c:v>
                </c:pt>
                <c:pt idx="3526">
                  <c:v>BTCEUR</c:v>
                </c:pt>
                <c:pt idx="3527">
                  <c:v>BTCEUR</c:v>
                </c:pt>
                <c:pt idx="3528">
                  <c:v>BTCEUR</c:v>
                </c:pt>
                <c:pt idx="3529">
                  <c:v>BTCEUR</c:v>
                </c:pt>
                <c:pt idx="3530">
                  <c:v>BTCEUR</c:v>
                </c:pt>
                <c:pt idx="3531">
                  <c:v>BTCEUR</c:v>
                </c:pt>
                <c:pt idx="3532">
                  <c:v>BTCEUR</c:v>
                </c:pt>
                <c:pt idx="3533">
                  <c:v>BTCEUR</c:v>
                </c:pt>
                <c:pt idx="3534">
                  <c:v>BTCEUR</c:v>
                </c:pt>
                <c:pt idx="3535">
                  <c:v>BTCEUR</c:v>
                </c:pt>
                <c:pt idx="3536">
                  <c:v>BTCEUR</c:v>
                </c:pt>
                <c:pt idx="3537">
                  <c:v>BTCEUR</c:v>
                </c:pt>
                <c:pt idx="3538">
                  <c:v>BTCEUR</c:v>
                </c:pt>
                <c:pt idx="3539">
                  <c:v>BTCEUR</c:v>
                </c:pt>
                <c:pt idx="3540">
                  <c:v>BTCEUR</c:v>
                </c:pt>
                <c:pt idx="3541">
                  <c:v>BTCEUR</c:v>
                </c:pt>
                <c:pt idx="3542">
                  <c:v>BTCEUR</c:v>
                </c:pt>
                <c:pt idx="3543">
                  <c:v>BTCEUR</c:v>
                </c:pt>
                <c:pt idx="3544">
                  <c:v>BTCEUR</c:v>
                </c:pt>
                <c:pt idx="3545">
                  <c:v>BTCEUR</c:v>
                </c:pt>
                <c:pt idx="3546">
                  <c:v>BTCEUR</c:v>
                </c:pt>
                <c:pt idx="3547">
                  <c:v>BTCEUR</c:v>
                </c:pt>
                <c:pt idx="3548">
                  <c:v>BTCEUR</c:v>
                </c:pt>
                <c:pt idx="3549">
                  <c:v>BTCEUR</c:v>
                </c:pt>
                <c:pt idx="3550">
                  <c:v>BTCEUR</c:v>
                </c:pt>
                <c:pt idx="3551">
                  <c:v>BTCEUR</c:v>
                </c:pt>
                <c:pt idx="3552">
                  <c:v>BTCEUR</c:v>
                </c:pt>
                <c:pt idx="3553">
                  <c:v>BTCEUR</c:v>
                </c:pt>
                <c:pt idx="3554">
                  <c:v>BTCEUR</c:v>
                </c:pt>
                <c:pt idx="3555">
                  <c:v>BTCEUR</c:v>
                </c:pt>
                <c:pt idx="3556">
                  <c:v>BTCEUR</c:v>
                </c:pt>
                <c:pt idx="3557">
                  <c:v>BTCEUR</c:v>
                </c:pt>
                <c:pt idx="3558">
                  <c:v>BTCEUR</c:v>
                </c:pt>
                <c:pt idx="3559">
                  <c:v>BTCEUR</c:v>
                </c:pt>
                <c:pt idx="3560">
                  <c:v>BTCEUR</c:v>
                </c:pt>
                <c:pt idx="3561">
                  <c:v>BTCEUR</c:v>
                </c:pt>
                <c:pt idx="3562">
                  <c:v>BTCEUR</c:v>
                </c:pt>
                <c:pt idx="3563">
                  <c:v>BTCEUR</c:v>
                </c:pt>
                <c:pt idx="3564">
                  <c:v>BTCEUR</c:v>
                </c:pt>
                <c:pt idx="3565">
                  <c:v>BTCEUR</c:v>
                </c:pt>
                <c:pt idx="3566">
                  <c:v>BTCEUR</c:v>
                </c:pt>
                <c:pt idx="3567">
                  <c:v>BTCEUR</c:v>
                </c:pt>
                <c:pt idx="3568">
                  <c:v>BTCEUR</c:v>
                </c:pt>
                <c:pt idx="3569">
                  <c:v>BTCEUR</c:v>
                </c:pt>
                <c:pt idx="3570">
                  <c:v>BTCEUR</c:v>
                </c:pt>
                <c:pt idx="3571">
                  <c:v>BTCEUR</c:v>
                </c:pt>
                <c:pt idx="3572">
                  <c:v>BTCEUR</c:v>
                </c:pt>
                <c:pt idx="3573">
                  <c:v>BTCEUR</c:v>
                </c:pt>
                <c:pt idx="3574">
                  <c:v>BTCEUR</c:v>
                </c:pt>
                <c:pt idx="3575">
                  <c:v>BTCEUR</c:v>
                </c:pt>
                <c:pt idx="3576">
                  <c:v>BTCEUR</c:v>
                </c:pt>
                <c:pt idx="3577">
                  <c:v>BTCEUR</c:v>
                </c:pt>
                <c:pt idx="3578">
                  <c:v>BTCEUR</c:v>
                </c:pt>
                <c:pt idx="3579">
                  <c:v>BTCEUR</c:v>
                </c:pt>
                <c:pt idx="3580">
                  <c:v>BTCEUR</c:v>
                </c:pt>
                <c:pt idx="3581">
                  <c:v>BTCEUR</c:v>
                </c:pt>
                <c:pt idx="3582">
                  <c:v>BTCEUR</c:v>
                </c:pt>
                <c:pt idx="3583">
                  <c:v>BTCEUR</c:v>
                </c:pt>
                <c:pt idx="3584">
                  <c:v>BTCEUR</c:v>
                </c:pt>
                <c:pt idx="3585">
                  <c:v>BTCEUR</c:v>
                </c:pt>
                <c:pt idx="3586">
                  <c:v>BTCEUR</c:v>
                </c:pt>
                <c:pt idx="3587">
                  <c:v>BTCEUR</c:v>
                </c:pt>
                <c:pt idx="3588">
                  <c:v>BTCEUR</c:v>
                </c:pt>
                <c:pt idx="3589">
                  <c:v>BTCEUR</c:v>
                </c:pt>
                <c:pt idx="3590">
                  <c:v>BTCEUR</c:v>
                </c:pt>
                <c:pt idx="3591">
                  <c:v>BTCEUR</c:v>
                </c:pt>
                <c:pt idx="3592">
                  <c:v>BTCEUR</c:v>
                </c:pt>
                <c:pt idx="3593">
                  <c:v>BTCEUR</c:v>
                </c:pt>
                <c:pt idx="3594">
                  <c:v>BTCEUR</c:v>
                </c:pt>
                <c:pt idx="3595">
                  <c:v>BTCEUR</c:v>
                </c:pt>
                <c:pt idx="3596">
                  <c:v>BTCEUR</c:v>
                </c:pt>
                <c:pt idx="3597">
                  <c:v>BTCEUR</c:v>
                </c:pt>
                <c:pt idx="3598">
                  <c:v>BTCEUR</c:v>
                </c:pt>
                <c:pt idx="3599">
                  <c:v>BTCEUR</c:v>
                </c:pt>
                <c:pt idx="3600">
                  <c:v>BTCEUR</c:v>
                </c:pt>
                <c:pt idx="3601">
                  <c:v>BTCEUR</c:v>
                </c:pt>
                <c:pt idx="3602">
                  <c:v>BTCEUR</c:v>
                </c:pt>
                <c:pt idx="3603">
                  <c:v>BTCEUR</c:v>
                </c:pt>
                <c:pt idx="3604">
                  <c:v>BTCEUR</c:v>
                </c:pt>
                <c:pt idx="3605">
                  <c:v>BTCEUR</c:v>
                </c:pt>
                <c:pt idx="3606">
                  <c:v>BTCEUR</c:v>
                </c:pt>
                <c:pt idx="3607">
                  <c:v>BTCEUR</c:v>
                </c:pt>
                <c:pt idx="3608">
                  <c:v>BTCEUR</c:v>
                </c:pt>
                <c:pt idx="3609">
                  <c:v>BTCEUR</c:v>
                </c:pt>
                <c:pt idx="3610">
                  <c:v>BTCEUR</c:v>
                </c:pt>
                <c:pt idx="3611">
                  <c:v>BTCEUR</c:v>
                </c:pt>
                <c:pt idx="3612">
                  <c:v>BTCEUR</c:v>
                </c:pt>
                <c:pt idx="3613">
                  <c:v>BTCEUR</c:v>
                </c:pt>
                <c:pt idx="3614">
                  <c:v>BTCEUR</c:v>
                </c:pt>
                <c:pt idx="3615">
                  <c:v>BTCEUR</c:v>
                </c:pt>
                <c:pt idx="3616">
                  <c:v>BTCEUR</c:v>
                </c:pt>
                <c:pt idx="3617">
                  <c:v>BTCEUR</c:v>
                </c:pt>
                <c:pt idx="3618">
                  <c:v>BTCEUR</c:v>
                </c:pt>
                <c:pt idx="3619">
                  <c:v>BTCEUR</c:v>
                </c:pt>
                <c:pt idx="3620">
                  <c:v>BTCEUR</c:v>
                </c:pt>
                <c:pt idx="3621">
                  <c:v>BTCEUR</c:v>
                </c:pt>
                <c:pt idx="3622">
                  <c:v>BTCEUR</c:v>
                </c:pt>
                <c:pt idx="3623">
                  <c:v>BTCEUR</c:v>
                </c:pt>
                <c:pt idx="3624">
                  <c:v>BTCEUR</c:v>
                </c:pt>
                <c:pt idx="3625">
                  <c:v>BTCEUR</c:v>
                </c:pt>
                <c:pt idx="3626">
                  <c:v>BTCEUR</c:v>
                </c:pt>
                <c:pt idx="3627">
                  <c:v>BTCEUR</c:v>
                </c:pt>
                <c:pt idx="3628">
                  <c:v>BTCEUR</c:v>
                </c:pt>
                <c:pt idx="3629">
                  <c:v>BTCEUR</c:v>
                </c:pt>
                <c:pt idx="3630">
                  <c:v>BTCEUR</c:v>
                </c:pt>
                <c:pt idx="3631">
                  <c:v>BTCEUR</c:v>
                </c:pt>
                <c:pt idx="3632">
                  <c:v>BTCEUR</c:v>
                </c:pt>
                <c:pt idx="3633">
                  <c:v>BTCEUR</c:v>
                </c:pt>
                <c:pt idx="3634">
                  <c:v>BTCEUR</c:v>
                </c:pt>
                <c:pt idx="3635">
                  <c:v>BTCEUR</c:v>
                </c:pt>
                <c:pt idx="3636">
                  <c:v>BTCEUR</c:v>
                </c:pt>
                <c:pt idx="3637">
                  <c:v>BTCEUR</c:v>
                </c:pt>
                <c:pt idx="3638">
                  <c:v>BTCEUR</c:v>
                </c:pt>
                <c:pt idx="3639">
                  <c:v>BTCEUR</c:v>
                </c:pt>
                <c:pt idx="3640">
                  <c:v>BTCEUR</c:v>
                </c:pt>
                <c:pt idx="3641">
                  <c:v>BTCEUR</c:v>
                </c:pt>
                <c:pt idx="3642">
                  <c:v>BTCEUR</c:v>
                </c:pt>
                <c:pt idx="3643">
                  <c:v>BTCEUR</c:v>
                </c:pt>
                <c:pt idx="3644">
                  <c:v>BTCEUR</c:v>
                </c:pt>
                <c:pt idx="3645">
                  <c:v>BTCEUR</c:v>
                </c:pt>
                <c:pt idx="3646">
                  <c:v>BTCEUR</c:v>
                </c:pt>
                <c:pt idx="3647">
                  <c:v>BTCEUR</c:v>
                </c:pt>
                <c:pt idx="3648">
                  <c:v>BTCEUR</c:v>
                </c:pt>
                <c:pt idx="3649">
                  <c:v>BTCEUR</c:v>
                </c:pt>
                <c:pt idx="3650">
                  <c:v>BTCEUR</c:v>
                </c:pt>
                <c:pt idx="3651">
                  <c:v>MSFT</c:v>
                </c:pt>
                <c:pt idx="3652">
                  <c:v>MSFT</c:v>
                </c:pt>
                <c:pt idx="3653">
                  <c:v>MSFT</c:v>
                </c:pt>
                <c:pt idx="3654">
                  <c:v>MSFT</c:v>
                </c:pt>
                <c:pt idx="3655">
                  <c:v>MSFT</c:v>
                </c:pt>
                <c:pt idx="3656">
                  <c:v>MSFT</c:v>
                </c:pt>
                <c:pt idx="3657">
                  <c:v>MSFT</c:v>
                </c:pt>
                <c:pt idx="3658">
                  <c:v>MSFT</c:v>
                </c:pt>
                <c:pt idx="3659">
                  <c:v>MSFT</c:v>
                </c:pt>
                <c:pt idx="3660">
                  <c:v>MSFT</c:v>
                </c:pt>
                <c:pt idx="3661">
                  <c:v>MSFT</c:v>
                </c:pt>
                <c:pt idx="3662">
                  <c:v>MSFT</c:v>
                </c:pt>
                <c:pt idx="3663">
                  <c:v>MSFT</c:v>
                </c:pt>
                <c:pt idx="3664">
                  <c:v>MSFT</c:v>
                </c:pt>
                <c:pt idx="3665">
                  <c:v>MSFT</c:v>
                </c:pt>
                <c:pt idx="3666">
                  <c:v>MSFT</c:v>
                </c:pt>
                <c:pt idx="3667">
                  <c:v>MSFT</c:v>
                </c:pt>
                <c:pt idx="3668">
                  <c:v>MSFT</c:v>
                </c:pt>
                <c:pt idx="3669">
                  <c:v>MSFT</c:v>
                </c:pt>
                <c:pt idx="3670">
                  <c:v>MSFT</c:v>
                </c:pt>
                <c:pt idx="3671">
                  <c:v>MSFT</c:v>
                </c:pt>
                <c:pt idx="3672">
                  <c:v>MSFT</c:v>
                </c:pt>
                <c:pt idx="3673">
                  <c:v>MSFT</c:v>
                </c:pt>
                <c:pt idx="3674">
                  <c:v>MSFT</c:v>
                </c:pt>
                <c:pt idx="3675">
                  <c:v>MSFT</c:v>
                </c:pt>
                <c:pt idx="3676">
                  <c:v>MSFT</c:v>
                </c:pt>
                <c:pt idx="3677">
                  <c:v>MSFT</c:v>
                </c:pt>
                <c:pt idx="3678">
                  <c:v>MSFT</c:v>
                </c:pt>
                <c:pt idx="3679">
                  <c:v>MSFT</c:v>
                </c:pt>
                <c:pt idx="3680">
                  <c:v>MSFT</c:v>
                </c:pt>
                <c:pt idx="3681">
                  <c:v>MSFT</c:v>
                </c:pt>
                <c:pt idx="3682">
                  <c:v>MSFT</c:v>
                </c:pt>
                <c:pt idx="3683">
                  <c:v>MSFT</c:v>
                </c:pt>
                <c:pt idx="3684">
                  <c:v>MSFT</c:v>
                </c:pt>
                <c:pt idx="3685">
                  <c:v>MSFT</c:v>
                </c:pt>
                <c:pt idx="3686">
                  <c:v>MSFT</c:v>
                </c:pt>
                <c:pt idx="3687">
                  <c:v>MSFT</c:v>
                </c:pt>
                <c:pt idx="3688">
                  <c:v>MSFT</c:v>
                </c:pt>
                <c:pt idx="3689">
                  <c:v>MSFT</c:v>
                </c:pt>
                <c:pt idx="3690">
                  <c:v>MSFT</c:v>
                </c:pt>
                <c:pt idx="3691">
                  <c:v>MSFT</c:v>
                </c:pt>
                <c:pt idx="3692">
                  <c:v>MSFT</c:v>
                </c:pt>
                <c:pt idx="3693">
                  <c:v>MSFT</c:v>
                </c:pt>
                <c:pt idx="3694">
                  <c:v>MSFT</c:v>
                </c:pt>
                <c:pt idx="3695">
                  <c:v>MSFT</c:v>
                </c:pt>
                <c:pt idx="3696">
                  <c:v>MSFT</c:v>
                </c:pt>
                <c:pt idx="3697">
                  <c:v>MSFT</c:v>
                </c:pt>
                <c:pt idx="3698">
                  <c:v>MSFT</c:v>
                </c:pt>
                <c:pt idx="3699">
                  <c:v>MSFT</c:v>
                </c:pt>
                <c:pt idx="3700">
                  <c:v>MSFT</c:v>
                </c:pt>
                <c:pt idx="3701">
                  <c:v>MSFT</c:v>
                </c:pt>
                <c:pt idx="3702">
                  <c:v>MSFT</c:v>
                </c:pt>
                <c:pt idx="3703">
                  <c:v>MSFT</c:v>
                </c:pt>
                <c:pt idx="3704">
                  <c:v>MSFT</c:v>
                </c:pt>
                <c:pt idx="3705">
                  <c:v>MSFT</c:v>
                </c:pt>
                <c:pt idx="3706">
                  <c:v>MSFT</c:v>
                </c:pt>
                <c:pt idx="3707">
                  <c:v>MSFT</c:v>
                </c:pt>
                <c:pt idx="3708">
                  <c:v>MSFT</c:v>
                </c:pt>
                <c:pt idx="3709">
                  <c:v>MSFT</c:v>
                </c:pt>
                <c:pt idx="3710">
                  <c:v>MSFT</c:v>
                </c:pt>
                <c:pt idx="3711">
                  <c:v>MSFT</c:v>
                </c:pt>
                <c:pt idx="3712">
                  <c:v>MSFT</c:v>
                </c:pt>
                <c:pt idx="3713">
                  <c:v>MSFT</c:v>
                </c:pt>
                <c:pt idx="3714">
                  <c:v>MSFT</c:v>
                </c:pt>
                <c:pt idx="3715">
                  <c:v>MSFT</c:v>
                </c:pt>
                <c:pt idx="3716">
                  <c:v>MSFT</c:v>
                </c:pt>
                <c:pt idx="3717">
                  <c:v>MSFT</c:v>
                </c:pt>
                <c:pt idx="3718">
                  <c:v>MSFT</c:v>
                </c:pt>
                <c:pt idx="3719">
                  <c:v>MSFT</c:v>
                </c:pt>
                <c:pt idx="3720">
                  <c:v>MSFT</c:v>
                </c:pt>
                <c:pt idx="3721">
                  <c:v>MSFT</c:v>
                </c:pt>
                <c:pt idx="3722">
                  <c:v>MSFT</c:v>
                </c:pt>
                <c:pt idx="3723">
                  <c:v>MSFT</c:v>
                </c:pt>
                <c:pt idx="3724">
                  <c:v>MSFT</c:v>
                </c:pt>
                <c:pt idx="3725">
                  <c:v>MSFT</c:v>
                </c:pt>
                <c:pt idx="3726">
                  <c:v>MSFT</c:v>
                </c:pt>
                <c:pt idx="3727">
                  <c:v>MSFT</c:v>
                </c:pt>
                <c:pt idx="3728">
                  <c:v>MSFT</c:v>
                </c:pt>
                <c:pt idx="3729">
                  <c:v>MSFT</c:v>
                </c:pt>
                <c:pt idx="3730">
                  <c:v>MSFT</c:v>
                </c:pt>
                <c:pt idx="3731">
                  <c:v>MSFT</c:v>
                </c:pt>
                <c:pt idx="3732">
                  <c:v>MSFT</c:v>
                </c:pt>
                <c:pt idx="3733">
                  <c:v>MSFT</c:v>
                </c:pt>
                <c:pt idx="3734">
                  <c:v>MSFT</c:v>
                </c:pt>
                <c:pt idx="3735">
                  <c:v>MSFT</c:v>
                </c:pt>
                <c:pt idx="3736">
                  <c:v>MSFT</c:v>
                </c:pt>
                <c:pt idx="3737">
                  <c:v>MSFT</c:v>
                </c:pt>
                <c:pt idx="3738">
                  <c:v>MSFT</c:v>
                </c:pt>
                <c:pt idx="3739">
                  <c:v>MSFT</c:v>
                </c:pt>
                <c:pt idx="3740">
                  <c:v>MSFT</c:v>
                </c:pt>
                <c:pt idx="3741">
                  <c:v>MSFT</c:v>
                </c:pt>
                <c:pt idx="3742">
                  <c:v>MSFT</c:v>
                </c:pt>
                <c:pt idx="3743">
                  <c:v>MSFT</c:v>
                </c:pt>
                <c:pt idx="3744">
                  <c:v>MSFT</c:v>
                </c:pt>
                <c:pt idx="3745">
                  <c:v>MSFT</c:v>
                </c:pt>
                <c:pt idx="3746">
                  <c:v>MSFT</c:v>
                </c:pt>
                <c:pt idx="3747">
                  <c:v>MSFT</c:v>
                </c:pt>
                <c:pt idx="3748">
                  <c:v>MSFT</c:v>
                </c:pt>
                <c:pt idx="3749">
                  <c:v>MSFT</c:v>
                </c:pt>
                <c:pt idx="3750">
                  <c:v>MSFT</c:v>
                </c:pt>
                <c:pt idx="3751">
                  <c:v>MSFT</c:v>
                </c:pt>
                <c:pt idx="3752">
                  <c:v>MSFT</c:v>
                </c:pt>
                <c:pt idx="3753">
                  <c:v>MSFT</c:v>
                </c:pt>
                <c:pt idx="3754">
                  <c:v>MSFT</c:v>
                </c:pt>
                <c:pt idx="3755">
                  <c:v>MSFT</c:v>
                </c:pt>
                <c:pt idx="3756">
                  <c:v>MSFT</c:v>
                </c:pt>
                <c:pt idx="3757">
                  <c:v>MSFT</c:v>
                </c:pt>
                <c:pt idx="3758">
                  <c:v>MSFT</c:v>
                </c:pt>
                <c:pt idx="3759">
                  <c:v>MSFT</c:v>
                </c:pt>
                <c:pt idx="3760">
                  <c:v>MSFT</c:v>
                </c:pt>
                <c:pt idx="3761">
                  <c:v>MSFT</c:v>
                </c:pt>
                <c:pt idx="3762">
                  <c:v>MSFT</c:v>
                </c:pt>
                <c:pt idx="3763">
                  <c:v>MSFT</c:v>
                </c:pt>
                <c:pt idx="3764">
                  <c:v>MSFT</c:v>
                </c:pt>
                <c:pt idx="3765">
                  <c:v>MSFT</c:v>
                </c:pt>
                <c:pt idx="3766">
                  <c:v>MSFT</c:v>
                </c:pt>
                <c:pt idx="3767">
                  <c:v>MSFT</c:v>
                </c:pt>
                <c:pt idx="3768">
                  <c:v>MSFT</c:v>
                </c:pt>
                <c:pt idx="3769">
                  <c:v>MSFT</c:v>
                </c:pt>
                <c:pt idx="3770">
                  <c:v>MSFT</c:v>
                </c:pt>
                <c:pt idx="3771">
                  <c:v>MSFT</c:v>
                </c:pt>
                <c:pt idx="3772">
                  <c:v>MSFT</c:v>
                </c:pt>
                <c:pt idx="3773">
                  <c:v>MSFT</c:v>
                </c:pt>
                <c:pt idx="3774">
                  <c:v>MSFT</c:v>
                </c:pt>
                <c:pt idx="3775">
                  <c:v>MSFT</c:v>
                </c:pt>
                <c:pt idx="3776">
                  <c:v>MSFT</c:v>
                </c:pt>
                <c:pt idx="3777">
                  <c:v>MSFT</c:v>
                </c:pt>
                <c:pt idx="3778">
                  <c:v>MSFT</c:v>
                </c:pt>
                <c:pt idx="3779">
                  <c:v>MSFT</c:v>
                </c:pt>
                <c:pt idx="3780">
                  <c:v>MSFT</c:v>
                </c:pt>
                <c:pt idx="3781">
                  <c:v>MSFT</c:v>
                </c:pt>
                <c:pt idx="3782">
                  <c:v>MSFT</c:v>
                </c:pt>
                <c:pt idx="3783">
                  <c:v>MSFT</c:v>
                </c:pt>
                <c:pt idx="3784">
                  <c:v>MSFT</c:v>
                </c:pt>
                <c:pt idx="3785">
                  <c:v>MSFT</c:v>
                </c:pt>
                <c:pt idx="3786">
                  <c:v>MSFT</c:v>
                </c:pt>
                <c:pt idx="3787">
                  <c:v>MSFT</c:v>
                </c:pt>
                <c:pt idx="3788">
                  <c:v>MSFT</c:v>
                </c:pt>
                <c:pt idx="3789">
                  <c:v>MSFT</c:v>
                </c:pt>
                <c:pt idx="3790">
                  <c:v>MSFT</c:v>
                </c:pt>
                <c:pt idx="3791">
                  <c:v>MSFT</c:v>
                </c:pt>
                <c:pt idx="3792">
                  <c:v>MSFT</c:v>
                </c:pt>
                <c:pt idx="3793">
                  <c:v>MSFT</c:v>
                </c:pt>
                <c:pt idx="3794">
                  <c:v>MSFT</c:v>
                </c:pt>
                <c:pt idx="3795">
                  <c:v>MSFT</c:v>
                </c:pt>
                <c:pt idx="3796">
                  <c:v>MSFT</c:v>
                </c:pt>
                <c:pt idx="3797">
                  <c:v>MSFT</c:v>
                </c:pt>
                <c:pt idx="3798">
                  <c:v>MSFT</c:v>
                </c:pt>
                <c:pt idx="3799">
                  <c:v>MSFT</c:v>
                </c:pt>
                <c:pt idx="3800">
                  <c:v>MSFT</c:v>
                </c:pt>
                <c:pt idx="3801">
                  <c:v>MSFT</c:v>
                </c:pt>
                <c:pt idx="3802">
                  <c:v>MSFT</c:v>
                </c:pt>
                <c:pt idx="3803">
                  <c:v>MSFT</c:v>
                </c:pt>
                <c:pt idx="3804">
                  <c:v>MSFT</c:v>
                </c:pt>
                <c:pt idx="3805">
                  <c:v>MSFT</c:v>
                </c:pt>
                <c:pt idx="3806">
                  <c:v>MSFT</c:v>
                </c:pt>
                <c:pt idx="3807">
                  <c:v>MSFT</c:v>
                </c:pt>
                <c:pt idx="3808">
                  <c:v>MSFT</c:v>
                </c:pt>
                <c:pt idx="3809">
                  <c:v>MSFT</c:v>
                </c:pt>
                <c:pt idx="3810">
                  <c:v>MSFT</c:v>
                </c:pt>
                <c:pt idx="3811">
                  <c:v>MSFT</c:v>
                </c:pt>
                <c:pt idx="3812">
                  <c:v>MSFT</c:v>
                </c:pt>
                <c:pt idx="3813">
                  <c:v>MSFT</c:v>
                </c:pt>
                <c:pt idx="3814">
                  <c:v>MSFT</c:v>
                </c:pt>
                <c:pt idx="3815">
                  <c:v>MSFT</c:v>
                </c:pt>
                <c:pt idx="3816">
                  <c:v>MSFT</c:v>
                </c:pt>
                <c:pt idx="3817">
                  <c:v>MSFT</c:v>
                </c:pt>
                <c:pt idx="3818">
                  <c:v>MSFT</c:v>
                </c:pt>
                <c:pt idx="3819">
                  <c:v>MSFT</c:v>
                </c:pt>
                <c:pt idx="3820">
                  <c:v>MSFT</c:v>
                </c:pt>
                <c:pt idx="3821">
                  <c:v>MSFT</c:v>
                </c:pt>
                <c:pt idx="3822">
                  <c:v>MSFT</c:v>
                </c:pt>
                <c:pt idx="3823">
                  <c:v>MSFT</c:v>
                </c:pt>
                <c:pt idx="3824">
                  <c:v>MSFT</c:v>
                </c:pt>
                <c:pt idx="3825">
                  <c:v>MSFT</c:v>
                </c:pt>
                <c:pt idx="3826">
                  <c:v>MSFT</c:v>
                </c:pt>
                <c:pt idx="3827">
                  <c:v>MSFT</c:v>
                </c:pt>
                <c:pt idx="3828">
                  <c:v>MSFT</c:v>
                </c:pt>
                <c:pt idx="3829">
                  <c:v>MSFT</c:v>
                </c:pt>
                <c:pt idx="3830">
                  <c:v>MSFT</c:v>
                </c:pt>
                <c:pt idx="3831">
                  <c:v>MSFT</c:v>
                </c:pt>
                <c:pt idx="3832">
                  <c:v>MSFT</c:v>
                </c:pt>
                <c:pt idx="3833">
                  <c:v>MSFT</c:v>
                </c:pt>
                <c:pt idx="3834">
                  <c:v>MSFT</c:v>
                </c:pt>
                <c:pt idx="3835">
                  <c:v>MSFT</c:v>
                </c:pt>
                <c:pt idx="3836">
                  <c:v>MSFT</c:v>
                </c:pt>
                <c:pt idx="3837">
                  <c:v>MSFT</c:v>
                </c:pt>
                <c:pt idx="3838">
                  <c:v>MSFT</c:v>
                </c:pt>
                <c:pt idx="3839">
                  <c:v>MSFT</c:v>
                </c:pt>
                <c:pt idx="3840">
                  <c:v>MSFT</c:v>
                </c:pt>
                <c:pt idx="3841">
                  <c:v>MSFT</c:v>
                </c:pt>
                <c:pt idx="3842">
                  <c:v>MSFT</c:v>
                </c:pt>
                <c:pt idx="3843">
                  <c:v>MSFT</c:v>
                </c:pt>
                <c:pt idx="3844">
                  <c:v>MSFT</c:v>
                </c:pt>
                <c:pt idx="3845">
                  <c:v>MSFT</c:v>
                </c:pt>
                <c:pt idx="3846">
                  <c:v>MSFT</c:v>
                </c:pt>
                <c:pt idx="3847">
                  <c:v>MSFT</c:v>
                </c:pt>
                <c:pt idx="3848">
                  <c:v>MSFT</c:v>
                </c:pt>
                <c:pt idx="3849">
                  <c:v>MSFT</c:v>
                </c:pt>
                <c:pt idx="3850">
                  <c:v>MSFT</c:v>
                </c:pt>
                <c:pt idx="3851">
                  <c:v>MSFT</c:v>
                </c:pt>
                <c:pt idx="3852">
                  <c:v>MSFT</c:v>
                </c:pt>
                <c:pt idx="3853">
                  <c:v>MSFT</c:v>
                </c:pt>
                <c:pt idx="3854">
                  <c:v>MSFT</c:v>
                </c:pt>
                <c:pt idx="3855">
                  <c:v>MSFT</c:v>
                </c:pt>
                <c:pt idx="3856">
                  <c:v>MSFT</c:v>
                </c:pt>
                <c:pt idx="3857">
                  <c:v>MSFT</c:v>
                </c:pt>
                <c:pt idx="3858">
                  <c:v>MSFT</c:v>
                </c:pt>
                <c:pt idx="3859">
                  <c:v>MSFT</c:v>
                </c:pt>
                <c:pt idx="3860">
                  <c:v>MSFT</c:v>
                </c:pt>
                <c:pt idx="3861">
                  <c:v>MSFT</c:v>
                </c:pt>
                <c:pt idx="3862">
                  <c:v>MSFT</c:v>
                </c:pt>
                <c:pt idx="3863">
                  <c:v>MSFT</c:v>
                </c:pt>
                <c:pt idx="3864">
                  <c:v>MSFT</c:v>
                </c:pt>
                <c:pt idx="3865">
                  <c:v>MSFT</c:v>
                </c:pt>
                <c:pt idx="3866">
                  <c:v>MSFT</c:v>
                </c:pt>
                <c:pt idx="3867">
                  <c:v>MSFT</c:v>
                </c:pt>
                <c:pt idx="3868">
                  <c:v>MSFT</c:v>
                </c:pt>
                <c:pt idx="3869">
                  <c:v>MSFT</c:v>
                </c:pt>
                <c:pt idx="3870">
                  <c:v>MSFT</c:v>
                </c:pt>
                <c:pt idx="3871">
                  <c:v>MSFT</c:v>
                </c:pt>
                <c:pt idx="3872">
                  <c:v>MSFT</c:v>
                </c:pt>
                <c:pt idx="3873">
                  <c:v>MSFT</c:v>
                </c:pt>
                <c:pt idx="3874">
                  <c:v>MSFT</c:v>
                </c:pt>
                <c:pt idx="3875">
                  <c:v>MSFT</c:v>
                </c:pt>
                <c:pt idx="3876">
                  <c:v>MSFT</c:v>
                </c:pt>
                <c:pt idx="3877">
                  <c:v>MSFT</c:v>
                </c:pt>
                <c:pt idx="3878">
                  <c:v>MSFT</c:v>
                </c:pt>
                <c:pt idx="3879">
                  <c:v>MSFT</c:v>
                </c:pt>
                <c:pt idx="3880">
                  <c:v>MSFT</c:v>
                </c:pt>
                <c:pt idx="3881">
                  <c:v>MSFT</c:v>
                </c:pt>
                <c:pt idx="3882">
                  <c:v>MSFT</c:v>
                </c:pt>
                <c:pt idx="3883">
                  <c:v>MSFT</c:v>
                </c:pt>
                <c:pt idx="3884">
                  <c:v>MSFT</c:v>
                </c:pt>
                <c:pt idx="3885">
                  <c:v>MSFT</c:v>
                </c:pt>
                <c:pt idx="3886">
                  <c:v>MSFT</c:v>
                </c:pt>
                <c:pt idx="3887">
                  <c:v>MSFT</c:v>
                </c:pt>
                <c:pt idx="3888">
                  <c:v>MSFT</c:v>
                </c:pt>
                <c:pt idx="3889">
                  <c:v>MSFT</c:v>
                </c:pt>
                <c:pt idx="3890">
                  <c:v>MSFT</c:v>
                </c:pt>
                <c:pt idx="3891">
                  <c:v>MSFT</c:v>
                </c:pt>
                <c:pt idx="3892">
                  <c:v>MSFT</c:v>
                </c:pt>
                <c:pt idx="3893">
                  <c:v>MSFT</c:v>
                </c:pt>
                <c:pt idx="3894">
                  <c:v>MSFT</c:v>
                </c:pt>
                <c:pt idx="3895">
                  <c:v>MSFT</c:v>
                </c:pt>
                <c:pt idx="3896">
                  <c:v>MSFT</c:v>
                </c:pt>
                <c:pt idx="3897">
                  <c:v>MSFT</c:v>
                </c:pt>
                <c:pt idx="3898">
                  <c:v>MSFT</c:v>
                </c:pt>
                <c:pt idx="3899">
                  <c:v>MSFT</c:v>
                </c:pt>
                <c:pt idx="3900">
                  <c:v>MSFT</c:v>
                </c:pt>
                <c:pt idx="3901">
                  <c:v>MSFT</c:v>
                </c:pt>
                <c:pt idx="3902">
                  <c:v>MSFT</c:v>
                </c:pt>
                <c:pt idx="3903">
                  <c:v>MSFT</c:v>
                </c:pt>
                <c:pt idx="3904">
                  <c:v>MSFT</c:v>
                </c:pt>
                <c:pt idx="3905">
                  <c:v>MSFT</c:v>
                </c:pt>
                <c:pt idx="3906">
                  <c:v>MSFT</c:v>
                </c:pt>
                <c:pt idx="3907">
                  <c:v>MSFT</c:v>
                </c:pt>
                <c:pt idx="3908">
                  <c:v>MSFT</c:v>
                </c:pt>
                <c:pt idx="3909">
                  <c:v>MSFT</c:v>
                </c:pt>
                <c:pt idx="3910">
                  <c:v>MSFT</c:v>
                </c:pt>
                <c:pt idx="3911">
                  <c:v>MSFT</c:v>
                </c:pt>
                <c:pt idx="3912">
                  <c:v>MSFT</c:v>
                </c:pt>
                <c:pt idx="3913">
                  <c:v>MSFT</c:v>
                </c:pt>
                <c:pt idx="3914">
                  <c:v>MSFT</c:v>
                </c:pt>
                <c:pt idx="3915">
                  <c:v>MSFT</c:v>
                </c:pt>
                <c:pt idx="3916">
                  <c:v>MSFT</c:v>
                </c:pt>
                <c:pt idx="3917">
                  <c:v>MSFT</c:v>
                </c:pt>
                <c:pt idx="3918">
                  <c:v>MSFT</c:v>
                </c:pt>
                <c:pt idx="3919">
                  <c:v>MSFT</c:v>
                </c:pt>
                <c:pt idx="3920">
                  <c:v>MSFT</c:v>
                </c:pt>
                <c:pt idx="3921">
                  <c:v>MSFT</c:v>
                </c:pt>
                <c:pt idx="3922">
                  <c:v>MSFT</c:v>
                </c:pt>
                <c:pt idx="3923">
                  <c:v>MSFT</c:v>
                </c:pt>
                <c:pt idx="3924">
                  <c:v>MSFT</c:v>
                </c:pt>
                <c:pt idx="3925">
                  <c:v>MSFT</c:v>
                </c:pt>
                <c:pt idx="3926">
                  <c:v>MSFT</c:v>
                </c:pt>
                <c:pt idx="3927">
                  <c:v>MSFT</c:v>
                </c:pt>
                <c:pt idx="3928">
                  <c:v>MSFT</c:v>
                </c:pt>
                <c:pt idx="3929">
                  <c:v>MSFT</c:v>
                </c:pt>
                <c:pt idx="3930">
                  <c:v>MSFT</c:v>
                </c:pt>
                <c:pt idx="3931">
                  <c:v>MSFT</c:v>
                </c:pt>
                <c:pt idx="3932">
                  <c:v>MSFT</c:v>
                </c:pt>
                <c:pt idx="3933">
                  <c:v>MSFT</c:v>
                </c:pt>
                <c:pt idx="3934">
                  <c:v>MSFT</c:v>
                </c:pt>
                <c:pt idx="3935">
                  <c:v>MSFT</c:v>
                </c:pt>
                <c:pt idx="3936">
                  <c:v>MSFT</c:v>
                </c:pt>
                <c:pt idx="3937">
                  <c:v>MSFT</c:v>
                </c:pt>
                <c:pt idx="3938">
                  <c:v>MSFT</c:v>
                </c:pt>
                <c:pt idx="3939">
                  <c:v>MSFT</c:v>
                </c:pt>
                <c:pt idx="3940">
                  <c:v>MSFT</c:v>
                </c:pt>
                <c:pt idx="3941">
                  <c:v>MSFT</c:v>
                </c:pt>
                <c:pt idx="3942">
                  <c:v>MSFT</c:v>
                </c:pt>
                <c:pt idx="3943">
                  <c:v>MSFT</c:v>
                </c:pt>
                <c:pt idx="3944">
                  <c:v>MSFT</c:v>
                </c:pt>
                <c:pt idx="3945">
                  <c:v>MSFT</c:v>
                </c:pt>
                <c:pt idx="3946">
                  <c:v>MSFT</c:v>
                </c:pt>
                <c:pt idx="3947">
                  <c:v>MSFT</c:v>
                </c:pt>
                <c:pt idx="3948">
                  <c:v>MSFT</c:v>
                </c:pt>
                <c:pt idx="3949">
                  <c:v>MSFT</c:v>
                </c:pt>
                <c:pt idx="3950">
                  <c:v>MSFT</c:v>
                </c:pt>
                <c:pt idx="3951">
                  <c:v>MSFT</c:v>
                </c:pt>
                <c:pt idx="3952">
                  <c:v>MSFT</c:v>
                </c:pt>
                <c:pt idx="3953">
                  <c:v>MSFT</c:v>
                </c:pt>
                <c:pt idx="3954">
                  <c:v>MSFT</c:v>
                </c:pt>
                <c:pt idx="3955">
                  <c:v>MSFT</c:v>
                </c:pt>
                <c:pt idx="3956">
                  <c:v>MSFT</c:v>
                </c:pt>
                <c:pt idx="3957">
                  <c:v>MSFT</c:v>
                </c:pt>
                <c:pt idx="3958">
                  <c:v>MSFT</c:v>
                </c:pt>
                <c:pt idx="3959">
                  <c:v>MSFT</c:v>
                </c:pt>
                <c:pt idx="3960">
                  <c:v>MSFT</c:v>
                </c:pt>
                <c:pt idx="3961">
                  <c:v>MSFT</c:v>
                </c:pt>
                <c:pt idx="3962">
                  <c:v>MSFT</c:v>
                </c:pt>
                <c:pt idx="3963">
                  <c:v>MSFT</c:v>
                </c:pt>
                <c:pt idx="3964">
                  <c:v>MSFT</c:v>
                </c:pt>
                <c:pt idx="3965">
                  <c:v>MSFT</c:v>
                </c:pt>
                <c:pt idx="3966">
                  <c:v>MSFT</c:v>
                </c:pt>
                <c:pt idx="3967">
                  <c:v>MSFT</c:v>
                </c:pt>
                <c:pt idx="3968">
                  <c:v>MSFT</c:v>
                </c:pt>
                <c:pt idx="3969">
                  <c:v>MSFT</c:v>
                </c:pt>
                <c:pt idx="3970">
                  <c:v>MSFT</c:v>
                </c:pt>
                <c:pt idx="3971">
                  <c:v>MSFT</c:v>
                </c:pt>
                <c:pt idx="3972">
                  <c:v>MSFT</c:v>
                </c:pt>
                <c:pt idx="3973">
                  <c:v>MSFT</c:v>
                </c:pt>
                <c:pt idx="3974">
                  <c:v>MSFT</c:v>
                </c:pt>
                <c:pt idx="3975">
                  <c:v>MSFT</c:v>
                </c:pt>
                <c:pt idx="3976">
                  <c:v>MSFT</c:v>
                </c:pt>
                <c:pt idx="3977">
                  <c:v>MSFT</c:v>
                </c:pt>
                <c:pt idx="3978">
                  <c:v>MSFT</c:v>
                </c:pt>
                <c:pt idx="3979">
                  <c:v>MSFT</c:v>
                </c:pt>
                <c:pt idx="3980">
                  <c:v>MSFT</c:v>
                </c:pt>
                <c:pt idx="3981">
                  <c:v>MSFT</c:v>
                </c:pt>
                <c:pt idx="3982">
                  <c:v>MSFT</c:v>
                </c:pt>
                <c:pt idx="3983">
                  <c:v>MSFT</c:v>
                </c:pt>
                <c:pt idx="3984">
                  <c:v>MSFT</c:v>
                </c:pt>
                <c:pt idx="3985">
                  <c:v>MSFT</c:v>
                </c:pt>
                <c:pt idx="3986">
                  <c:v>MSFT</c:v>
                </c:pt>
                <c:pt idx="3987">
                  <c:v>MSFT</c:v>
                </c:pt>
                <c:pt idx="3988">
                  <c:v>MSFT</c:v>
                </c:pt>
                <c:pt idx="3989">
                  <c:v>MSFT</c:v>
                </c:pt>
                <c:pt idx="3990">
                  <c:v>MSFT</c:v>
                </c:pt>
                <c:pt idx="3991">
                  <c:v>MSFT</c:v>
                </c:pt>
                <c:pt idx="3992">
                  <c:v>MSFT</c:v>
                </c:pt>
                <c:pt idx="3993">
                  <c:v>MSFT</c:v>
                </c:pt>
                <c:pt idx="3994">
                  <c:v>MSFT</c:v>
                </c:pt>
                <c:pt idx="3995">
                  <c:v>MSFT</c:v>
                </c:pt>
                <c:pt idx="3996">
                  <c:v>MSFT</c:v>
                </c:pt>
                <c:pt idx="3997">
                  <c:v>MSFT</c:v>
                </c:pt>
                <c:pt idx="3998">
                  <c:v>MSFT</c:v>
                </c:pt>
                <c:pt idx="3999">
                  <c:v>MSFT</c:v>
                </c:pt>
                <c:pt idx="4000">
                  <c:v>MSFT</c:v>
                </c:pt>
                <c:pt idx="4001">
                  <c:v>MSFT</c:v>
                </c:pt>
                <c:pt idx="4002">
                  <c:v>MSFT</c:v>
                </c:pt>
                <c:pt idx="4003">
                  <c:v>MSFT</c:v>
                </c:pt>
                <c:pt idx="4004">
                  <c:v>MSFT</c:v>
                </c:pt>
                <c:pt idx="4005">
                  <c:v>MSFT</c:v>
                </c:pt>
                <c:pt idx="4006">
                  <c:v>MSFT</c:v>
                </c:pt>
                <c:pt idx="4007">
                  <c:v>MSFT</c:v>
                </c:pt>
                <c:pt idx="4008">
                  <c:v>MSFT</c:v>
                </c:pt>
                <c:pt idx="4009">
                  <c:v>MSFT</c:v>
                </c:pt>
                <c:pt idx="4010">
                  <c:v>MSFT</c:v>
                </c:pt>
                <c:pt idx="4011">
                  <c:v>MSFT</c:v>
                </c:pt>
                <c:pt idx="4012">
                  <c:v>MSFT</c:v>
                </c:pt>
                <c:pt idx="4013">
                  <c:v>MSFT</c:v>
                </c:pt>
                <c:pt idx="4014">
                  <c:v>MSFT</c:v>
                </c:pt>
                <c:pt idx="4015">
                  <c:v>MSFT</c:v>
                </c:pt>
                <c:pt idx="4016">
                  <c:v>MSFT</c:v>
                </c:pt>
                <c:pt idx="4017">
                  <c:v>MSFT</c:v>
                </c:pt>
                <c:pt idx="4018">
                  <c:v>MSFT</c:v>
                </c:pt>
                <c:pt idx="4019">
                  <c:v>MSFT</c:v>
                </c:pt>
                <c:pt idx="4020">
                  <c:v>MSFT</c:v>
                </c:pt>
                <c:pt idx="4021">
                  <c:v>MSFT</c:v>
                </c:pt>
                <c:pt idx="4022">
                  <c:v>MSFT</c:v>
                </c:pt>
                <c:pt idx="4023">
                  <c:v>MSFT</c:v>
                </c:pt>
                <c:pt idx="4024">
                  <c:v>MSFT</c:v>
                </c:pt>
                <c:pt idx="4025">
                  <c:v>MSFT</c:v>
                </c:pt>
                <c:pt idx="4026">
                  <c:v>MSFT</c:v>
                </c:pt>
                <c:pt idx="4027">
                  <c:v>MSFT</c:v>
                </c:pt>
                <c:pt idx="4028">
                  <c:v>MSFT</c:v>
                </c:pt>
                <c:pt idx="4029">
                  <c:v>MSFT</c:v>
                </c:pt>
                <c:pt idx="4030">
                  <c:v>MSFT</c:v>
                </c:pt>
                <c:pt idx="4031">
                  <c:v>MSFT</c:v>
                </c:pt>
                <c:pt idx="4032">
                  <c:v>MSFT</c:v>
                </c:pt>
                <c:pt idx="4033">
                  <c:v>MSFT</c:v>
                </c:pt>
                <c:pt idx="4034">
                  <c:v>MSFT</c:v>
                </c:pt>
                <c:pt idx="4035">
                  <c:v>MSFT</c:v>
                </c:pt>
                <c:pt idx="4036">
                  <c:v>MSFT</c:v>
                </c:pt>
                <c:pt idx="4037">
                  <c:v>MSFT</c:v>
                </c:pt>
                <c:pt idx="4038">
                  <c:v>MSFT</c:v>
                </c:pt>
                <c:pt idx="4039">
                  <c:v>MSFT</c:v>
                </c:pt>
                <c:pt idx="4040">
                  <c:v>MSFT</c:v>
                </c:pt>
                <c:pt idx="4041">
                  <c:v>MSFT</c:v>
                </c:pt>
                <c:pt idx="4042">
                  <c:v>MSFT</c:v>
                </c:pt>
                <c:pt idx="4043">
                  <c:v>MSFT</c:v>
                </c:pt>
                <c:pt idx="4044">
                  <c:v>MSFT</c:v>
                </c:pt>
                <c:pt idx="4045">
                  <c:v>MSFT</c:v>
                </c:pt>
                <c:pt idx="4046">
                  <c:v>MSFT</c:v>
                </c:pt>
                <c:pt idx="4047">
                  <c:v>MSFT</c:v>
                </c:pt>
                <c:pt idx="4048">
                  <c:v>MSFT</c:v>
                </c:pt>
                <c:pt idx="4049">
                  <c:v>MSFT</c:v>
                </c:pt>
                <c:pt idx="4050">
                  <c:v>MSFT</c:v>
                </c:pt>
                <c:pt idx="4051">
                  <c:v>MSFT</c:v>
                </c:pt>
                <c:pt idx="4052">
                  <c:v>MSFT</c:v>
                </c:pt>
                <c:pt idx="4053">
                  <c:v>MSFT</c:v>
                </c:pt>
                <c:pt idx="4054">
                  <c:v>MSFT</c:v>
                </c:pt>
                <c:pt idx="4055">
                  <c:v>MSFT</c:v>
                </c:pt>
                <c:pt idx="4056">
                  <c:v>MSFT</c:v>
                </c:pt>
                <c:pt idx="4057">
                  <c:v>MSFT</c:v>
                </c:pt>
                <c:pt idx="4058">
                  <c:v>MSFT</c:v>
                </c:pt>
                <c:pt idx="4059">
                  <c:v>MSFT</c:v>
                </c:pt>
                <c:pt idx="4060">
                  <c:v>MSFT</c:v>
                </c:pt>
                <c:pt idx="4061">
                  <c:v>MSFT</c:v>
                </c:pt>
                <c:pt idx="4062">
                  <c:v>MSFT</c:v>
                </c:pt>
                <c:pt idx="4063">
                  <c:v>MSFT</c:v>
                </c:pt>
                <c:pt idx="4064">
                  <c:v>MSFT</c:v>
                </c:pt>
                <c:pt idx="4065">
                  <c:v>MSFT</c:v>
                </c:pt>
                <c:pt idx="4066">
                  <c:v>MSFT</c:v>
                </c:pt>
                <c:pt idx="4067">
                  <c:v>MSFT</c:v>
                </c:pt>
                <c:pt idx="4068">
                  <c:v>MSFT</c:v>
                </c:pt>
                <c:pt idx="4069">
                  <c:v>MSFT</c:v>
                </c:pt>
                <c:pt idx="4070">
                  <c:v>MSFT</c:v>
                </c:pt>
                <c:pt idx="4071">
                  <c:v>MSFT</c:v>
                </c:pt>
                <c:pt idx="4072">
                  <c:v>MSFT</c:v>
                </c:pt>
                <c:pt idx="4073">
                  <c:v>MSFT</c:v>
                </c:pt>
                <c:pt idx="4074">
                  <c:v>MSFT</c:v>
                </c:pt>
                <c:pt idx="4075">
                  <c:v>MSFT</c:v>
                </c:pt>
                <c:pt idx="4076">
                  <c:v>MSFT</c:v>
                </c:pt>
                <c:pt idx="4077">
                  <c:v>MSFT</c:v>
                </c:pt>
                <c:pt idx="4078">
                  <c:v>MSFT</c:v>
                </c:pt>
                <c:pt idx="4079">
                  <c:v>MSFT</c:v>
                </c:pt>
                <c:pt idx="4080">
                  <c:v>MSFT</c:v>
                </c:pt>
                <c:pt idx="4081">
                  <c:v>MSFT</c:v>
                </c:pt>
                <c:pt idx="4082">
                  <c:v>MSFT</c:v>
                </c:pt>
                <c:pt idx="4083">
                  <c:v>MSFT</c:v>
                </c:pt>
                <c:pt idx="4084">
                  <c:v>MSFT</c:v>
                </c:pt>
                <c:pt idx="4085">
                  <c:v>MSFT</c:v>
                </c:pt>
                <c:pt idx="4086">
                  <c:v>MSFT</c:v>
                </c:pt>
                <c:pt idx="4087">
                  <c:v>MSFT</c:v>
                </c:pt>
                <c:pt idx="4088">
                  <c:v>MSFT</c:v>
                </c:pt>
                <c:pt idx="4089">
                  <c:v>MSFT</c:v>
                </c:pt>
                <c:pt idx="4090">
                  <c:v>MSFT</c:v>
                </c:pt>
                <c:pt idx="4091">
                  <c:v>MSFT</c:v>
                </c:pt>
                <c:pt idx="4092">
                  <c:v>MSFT</c:v>
                </c:pt>
                <c:pt idx="4093">
                  <c:v>MSFT</c:v>
                </c:pt>
                <c:pt idx="4094">
                  <c:v>MSFT</c:v>
                </c:pt>
                <c:pt idx="4095">
                  <c:v>MSFT</c:v>
                </c:pt>
                <c:pt idx="4096">
                  <c:v>MSFT</c:v>
                </c:pt>
                <c:pt idx="4097">
                  <c:v>MSFT</c:v>
                </c:pt>
                <c:pt idx="4098">
                  <c:v>MSFT</c:v>
                </c:pt>
                <c:pt idx="4099">
                  <c:v>MSFT</c:v>
                </c:pt>
                <c:pt idx="4100">
                  <c:v>MSFT</c:v>
                </c:pt>
                <c:pt idx="4101">
                  <c:v>MSFT</c:v>
                </c:pt>
                <c:pt idx="4102">
                  <c:v>MSFT</c:v>
                </c:pt>
                <c:pt idx="4103">
                  <c:v>MSFT</c:v>
                </c:pt>
                <c:pt idx="4104">
                  <c:v>MSFT</c:v>
                </c:pt>
                <c:pt idx="4105">
                  <c:v>MSFT</c:v>
                </c:pt>
                <c:pt idx="4106">
                  <c:v>MSFT</c:v>
                </c:pt>
                <c:pt idx="4107">
                  <c:v>MSFT</c:v>
                </c:pt>
                <c:pt idx="4108">
                  <c:v>MSFT</c:v>
                </c:pt>
                <c:pt idx="4109">
                  <c:v>MSFT</c:v>
                </c:pt>
                <c:pt idx="4110">
                  <c:v>MSFT</c:v>
                </c:pt>
                <c:pt idx="4111">
                  <c:v>MSFT</c:v>
                </c:pt>
                <c:pt idx="4112">
                  <c:v>MSFT</c:v>
                </c:pt>
                <c:pt idx="4113">
                  <c:v>MSFT</c:v>
                </c:pt>
                <c:pt idx="4114">
                  <c:v>MSFT</c:v>
                </c:pt>
                <c:pt idx="4115">
                  <c:v>MSFT</c:v>
                </c:pt>
                <c:pt idx="4116">
                  <c:v>MSFT</c:v>
                </c:pt>
                <c:pt idx="4117">
                  <c:v>MSFT</c:v>
                </c:pt>
                <c:pt idx="4118">
                  <c:v>MSFT</c:v>
                </c:pt>
                <c:pt idx="4119">
                  <c:v>MSFT</c:v>
                </c:pt>
                <c:pt idx="4120">
                  <c:v>MSFT</c:v>
                </c:pt>
                <c:pt idx="4121">
                  <c:v>MSFT</c:v>
                </c:pt>
                <c:pt idx="4122">
                  <c:v>MSFT</c:v>
                </c:pt>
                <c:pt idx="4123">
                  <c:v>MSFT</c:v>
                </c:pt>
                <c:pt idx="4124">
                  <c:v>MSFT</c:v>
                </c:pt>
                <c:pt idx="4125">
                  <c:v>MSFT</c:v>
                </c:pt>
                <c:pt idx="4126">
                  <c:v>MSFT</c:v>
                </c:pt>
                <c:pt idx="4127">
                  <c:v>MSFT</c:v>
                </c:pt>
                <c:pt idx="4128">
                  <c:v>MSFT</c:v>
                </c:pt>
                <c:pt idx="4129">
                  <c:v>MSFT</c:v>
                </c:pt>
                <c:pt idx="4130">
                  <c:v>MSFT</c:v>
                </c:pt>
                <c:pt idx="4131">
                  <c:v>MSFT</c:v>
                </c:pt>
                <c:pt idx="4132">
                  <c:v>MSFT</c:v>
                </c:pt>
                <c:pt idx="4133">
                  <c:v>MSFT</c:v>
                </c:pt>
                <c:pt idx="4134">
                  <c:v>MSFT</c:v>
                </c:pt>
                <c:pt idx="4135">
                  <c:v>MSFT</c:v>
                </c:pt>
                <c:pt idx="4136">
                  <c:v>MSFT</c:v>
                </c:pt>
                <c:pt idx="4137">
                  <c:v>MSFT</c:v>
                </c:pt>
                <c:pt idx="4138">
                  <c:v>MSFT</c:v>
                </c:pt>
                <c:pt idx="4139">
                  <c:v>MSFT</c:v>
                </c:pt>
                <c:pt idx="4140">
                  <c:v>MSFT</c:v>
                </c:pt>
                <c:pt idx="4141">
                  <c:v>MSFT</c:v>
                </c:pt>
                <c:pt idx="4142">
                  <c:v>MSFT</c:v>
                </c:pt>
                <c:pt idx="4143">
                  <c:v>MSFT</c:v>
                </c:pt>
                <c:pt idx="4144">
                  <c:v>MSFT</c:v>
                </c:pt>
                <c:pt idx="4145">
                  <c:v>MSFT</c:v>
                </c:pt>
                <c:pt idx="4146">
                  <c:v>MSFT</c:v>
                </c:pt>
                <c:pt idx="4147">
                  <c:v>MSFT</c:v>
                </c:pt>
                <c:pt idx="4148">
                  <c:v>MSFT</c:v>
                </c:pt>
                <c:pt idx="4149">
                  <c:v>MSFT</c:v>
                </c:pt>
                <c:pt idx="4150">
                  <c:v>MSFT</c:v>
                </c:pt>
                <c:pt idx="4151">
                  <c:v>MSFT</c:v>
                </c:pt>
                <c:pt idx="4152">
                  <c:v>MSFT</c:v>
                </c:pt>
                <c:pt idx="4153">
                  <c:v>MSFT</c:v>
                </c:pt>
                <c:pt idx="4154">
                  <c:v>MSFT</c:v>
                </c:pt>
                <c:pt idx="4155">
                  <c:v>MSFT</c:v>
                </c:pt>
                <c:pt idx="4156">
                  <c:v>MSFT</c:v>
                </c:pt>
                <c:pt idx="4157">
                  <c:v>MSFT</c:v>
                </c:pt>
                <c:pt idx="4158">
                  <c:v>MSFT</c:v>
                </c:pt>
                <c:pt idx="4159">
                  <c:v>MSFT</c:v>
                </c:pt>
                <c:pt idx="4160">
                  <c:v>MSFT</c:v>
                </c:pt>
                <c:pt idx="4161">
                  <c:v>MSFT</c:v>
                </c:pt>
                <c:pt idx="4162">
                  <c:v>MSFT</c:v>
                </c:pt>
                <c:pt idx="4163">
                  <c:v>MSFT</c:v>
                </c:pt>
                <c:pt idx="4164">
                  <c:v>MSFT</c:v>
                </c:pt>
                <c:pt idx="4165">
                  <c:v>MSFT</c:v>
                </c:pt>
                <c:pt idx="4166">
                  <c:v>MSFT</c:v>
                </c:pt>
                <c:pt idx="4167">
                  <c:v>MSFT</c:v>
                </c:pt>
                <c:pt idx="4168">
                  <c:v>MSFT</c:v>
                </c:pt>
                <c:pt idx="4169">
                  <c:v>MSFT</c:v>
                </c:pt>
                <c:pt idx="4170">
                  <c:v>MSFT</c:v>
                </c:pt>
                <c:pt idx="4171">
                  <c:v>MSFT</c:v>
                </c:pt>
                <c:pt idx="4172">
                  <c:v>MSFT</c:v>
                </c:pt>
                <c:pt idx="4173">
                  <c:v>MSFT</c:v>
                </c:pt>
                <c:pt idx="4174">
                  <c:v>MSFT</c:v>
                </c:pt>
                <c:pt idx="4175">
                  <c:v>MSFT</c:v>
                </c:pt>
                <c:pt idx="4176">
                  <c:v>MSFT</c:v>
                </c:pt>
                <c:pt idx="4177">
                  <c:v>MSFT</c:v>
                </c:pt>
                <c:pt idx="4178">
                  <c:v>MSFT</c:v>
                </c:pt>
                <c:pt idx="4179">
                  <c:v>MSFT</c:v>
                </c:pt>
                <c:pt idx="4180">
                  <c:v>MSFT</c:v>
                </c:pt>
                <c:pt idx="4181">
                  <c:v>MSFT</c:v>
                </c:pt>
                <c:pt idx="4182">
                  <c:v>MSFT</c:v>
                </c:pt>
                <c:pt idx="4183">
                  <c:v>MSFT</c:v>
                </c:pt>
                <c:pt idx="4184">
                  <c:v>MSFT</c:v>
                </c:pt>
                <c:pt idx="4185">
                  <c:v>MSFT</c:v>
                </c:pt>
                <c:pt idx="4186">
                  <c:v>MSFT</c:v>
                </c:pt>
                <c:pt idx="4187">
                  <c:v>MSFT</c:v>
                </c:pt>
                <c:pt idx="4188">
                  <c:v>MSFT</c:v>
                </c:pt>
                <c:pt idx="4189">
                  <c:v>MSFT</c:v>
                </c:pt>
                <c:pt idx="4190">
                  <c:v>MSFT</c:v>
                </c:pt>
                <c:pt idx="4191">
                  <c:v>MSFT</c:v>
                </c:pt>
                <c:pt idx="4192">
                  <c:v>MSFT</c:v>
                </c:pt>
                <c:pt idx="4193">
                  <c:v>MSFT</c:v>
                </c:pt>
                <c:pt idx="4194">
                  <c:v>MSFT</c:v>
                </c:pt>
                <c:pt idx="4195">
                  <c:v>MSFT</c:v>
                </c:pt>
                <c:pt idx="4196">
                  <c:v>MSFT</c:v>
                </c:pt>
                <c:pt idx="4197">
                  <c:v>MSFT</c:v>
                </c:pt>
                <c:pt idx="4198">
                  <c:v>MSFT</c:v>
                </c:pt>
                <c:pt idx="4199">
                  <c:v>MSFT</c:v>
                </c:pt>
                <c:pt idx="4200">
                  <c:v>MSFT</c:v>
                </c:pt>
                <c:pt idx="4201">
                  <c:v>MSFT</c:v>
                </c:pt>
                <c:pt idx="4202">
                  <c:v>MSFT</c:v>
                </c:pt>
                <c:pt idx="4203">
                  <c:v>MSFT</c:v>
                </c:pt>
                <c:pt idx="4204">
                  <c:v>MSFT</c:v>
                </c:pt>
                <c:pt idx="4205">
                  <c:v>MSFT</c:v>
                </c:pt>
                <c:pt idx="4206">
                  <c:v>MSFT</c:v>
                </c:pt>
                <c:pt idx="4207">
                  <c:v>MSFT</c:v>
                </c:pt>
                <c:pt idx="4208">
                  <c:v>MSFT</c:v>
                </c:pt>
                <c:pt idx="4209">
                  <c:v>MSFT</c:v>
                </c:pt>
                <c:pt idx="4210">
                  <c:v>MSFT</c:v>
                </c:pt>
                <c:pt idx="4211">
                  <c:v>MSFT</c:v>
                </c:pt>
                <c:pt idx="4212">
                  <c:v>MSFT</c:v>
                </c:pt>
                <c:pt idx="4213">
                  <c:v>MSFT</c:v>
                </c:pt>
                <c:pt idx="4214">
                  <c:v>MSFT</c:v>
                </c:pt>
                <c:pt idx="4215">
                  <c:v>MSFT</c:v>
                </c:pt>
                <c:pt idx="4216">
                  <c:v>MSFT</c:v>
                </c:pt>
                <c:pt idx="4217">
                  <c:v>MSFT</c:v>
                </c:pt>
                <c:pt idx="4218">
                  <c:v>MSFT</c:v>
                </c:pt>
                <c:pt idx="4219">
                  <c:v>MSFT</c:v>
                </c:pt>
                <c:pt idx="4220">
                  <c:v>MSFT</c:v>
                </c:pt>
                <c:pt idx="4221">
                  <c:v>MSFT</c:v>
                </c:pt>
                <c:pt idx="4222">
                  <c:v>MSFT</c:v>
                </c:pt>
                <c:pt idx="4223">
                  <c:v>MSFT</c:v>
                </c:pt>
                <c:pt idx="4224">
                  <c:v>MSFT</c:v>
                </c:pt>
                <c:pt idx="4225">
                  <c:v>MSFT</c:v>
                </c:pt>
                <c:pt idx="4226">
                  <c:v>MSFT</c:v>
                </c:pt>
                <c:pt idx="4227">
                  <c:v>MSFT</c:v>
                </c:pt>
                <c:pt idx="4228">
                  <c:v>MSFT</c:v>
                </c:pt>
                <c:pt idx="4229">
                  <c:v>MSFT</c:v>
                </c:pt>
                <c:pt idx="4230">
                  <c:v>MSFT</c:v>
                </c:pt>
                <c:pt idx="4231">
                  <c:v>MSFT</c:v>
                </c:pt>
                <c:pt idx="4232">
                  <c:v>MSFT</c:v>
                </c:pt>
                <c:pt idx="4233">
                  <c:v>MSFT</c:v>
                </c:pt>
                <c:pt idx="4234">
                  <c:v>MSFT</c:v>
                </c:pt>
                <c:pt idx="4235">
                  <c:v>MSFT</c:v>
                </c:pt>
                <c:pt idx="4236">
                  <c:v>MSFT</c:v>
                </c:pt>
                <c:pt idx="4237">
                  <c:v>MSFT</c:v>
                </c:pt>
                <c:pt idx="4238">
                  <c:v>MSFT</c:v>
                </c:pt>
                <c:pt idx="4239">
                  <c:v>MSFT</c:v>
                </c:pt>
                <c:pt idx="4240">
                  <c:v>MSFT</c:v>
                </c:pt>
                <c:pt idx="4241">
                  <c:v>MSFT</c:v>
                </c:pt>
                <c:pt idx="4242">
                  <c:v>MSFT</c:v>
                </c:pt>
                <c:pt idx="4243">
                  <c:v>MSFT</c:v>
                </c:pt>
                <c:pt idx="4244">
                  <c:v>MSFT</c:v>
                </c:pt>
                <c:pt idx="4245">
                  <c:v>MSFT</c:v>
                </c:pt>
                <c:pt idx="4246">
                  <c:v>MSFT</c:v>
                </c:pt>
                <c:pt idx="4247">
                  <c:v>MSFT</c:v>
                </c:pt>
                <c:pt idx="4248">
                  <c:v>MSFT</c:v>
                </c:pt>
                <c:pt idx="4249">
                  <c:v>MSFT</c:v>
                </c:pt>
                <c:pt idx="4250">
                  <c:v>MSFT</c:v>
                </c:pt>
                <c:pt idx="4251">
                  <c:v>MSFT</c:v>
                </c:pt>
                <c:pt idx="4252">
                  <c:v>MSFT</c:v>
                </c:pt>
                <c:pt idx="4253">
                  <c:v>MSFT</c:v>
                </c:pt>
                <c:pt idx="4254">
                  <c:v>MSFT</c:v>
                </c:pt>
                <c:pt idx="4255">
                  <c:v>MSFT</c:v>
                </c:pt>
                <c:pt idx="4256">
                  <c:v>MSFT</c:v>
                </c:pt>
                <c:pt idx="4257">
                  <c:v>MSFT</c:v>
                </c:pt>
                <c:pt idx="4258">
                  <c:v>MSFT</c:v>
                </c:pt>
                <c:pt idx="4259">
                  <c:v>MSFT</c:v>
                </c:pt>
                <c:pt idx="4260">
                  <c:v>MSFT</c:v>
                </c:pt>
                <c:pt idx="4261">
                  <c:v>MSFT</c:v>
                </c:pt>
                <c:pt idx="4262">
                  <c:v>MSFT</c:v>
                </c:pt>
                <c:pt idx="4263">
                  <c:v>MSFT</c:v>
                </c:pt>
                <c:pt idx="4264">
                  <c:v>MSFT</c:v>
                </c:pt>
                <c:pt idx="4265">
                  <c:v>MSFT</c:v>
                </c:pt>
                <c:pt idx="4266">
                  <c:v>MSFT</c:v>
                </c:pt>
                <c:pt idx="4267">
                  <c:v>MSFT</c:v>
                </c:pt>
                <c:pt idx="4268">
                  <c:v>MSFT</c:v>
                </c:pt>
                <c:pt idx="4269">
                  <c:v>MSFT</c:v>
                </c:pt>
                <c:pt idx="4270">
                  <c:v>MSFT</c:v>
                </c:pt>
                <c:pt idx="4271">
                  <c:v>MSFT</c:v>
                </c:pt>
                <c:pt idx="4272">
                  <c:v>MSFT</c:v>
                </c:pt>
                <c:pt idx="4273">
                  <c:v>MSFT</c:v>
                </c:pt>
                <c:pt idx="4274">
                  <c:v>MSFT</c:v>
                </c:pt>
                <c:pt idx="4275">
                  <c:v>MSFT</c:v>
                </c:pt>
                <c:pt idx="4276">
                  <c:v>MSFT</c:v>
                </c:pt>
                <c:pt idx="4277">
                  <c:v>MSFT</c:v>
                </c:pt>
                <c:pt idx="4278">
                  <c:v>MSFT</c:v>
                </c:pt>
                <c:pt idx="4279">
                  <c:v>MSFT</c:v>
                </c:pt>
                <c:pt idx="4280">
                  <c:v>MSFT</c:v>
                </c:pt>
                <c:pt idx="4281">
                  <c:v>MSFT</c:v>
                </c:pt>
                <c:pt idx="4282">
                  <c:v>MSFT</c:v>
                </c:pt>
                <c:pt idx="4283">
                  <c:v>MSFT</c:v>
                </c:pt>
                <c:pt idx="4284">
                  <c:v>MSFT</c:v>
                </c:pt>
                <c:pt idx="4285">
                  <c:v>MSFT</c:v>
                </c:pt>
                <c:pt idx="4286">
                  <c:v>MSFT</c:v>
                </c:pt>
                <c:pt idx="4287">
                  <c:v>MSFT</c:v>
                </c:pt>
                <c:pt idx="4288">
                  <c:v>MSFT</c:v>
                </c:pt>
                <c:pt idx="4289">
                  <c:v>MSFT</c:v>
                </c:pt>
                <c:pt idx="4290">
                  <c:v>MSFT</c:v>
                </c:pt>
                <c:pt idx="4291">
                  <c:v>MSFT</c:v>
                </c:pt>
                <c:pt idx="4292">
                  <c:v>MSFT</c:v>
                </c:pt>
                <c:pt idx="4293">
                  <c:v>MSFT</c:v>
                </c:pt>
                <c:pt idx="4294">
                  <c:v>MSFT</c:v>
                </c:pt>
                <c:pt idx="4295">
                  <c:v>MSFT</c:v>
                </c:pt>
                <c:pt idx="4296">
                  <c:v>MSFT</c:v>
                </c:pt>
                <c:pt idx="4297">
                  <c:v>MSFT</c:v>
                </c:pt>
                <c:pt idx="4298">
                  <c:v>MSFT</c:v>
                </c:pt>
                <c:pt idx="4299">
                  <c:v>MSFT</c:v>
                </c:pt>
                <c:pt idx="4300">
                  <c:v>MSFT</c:v>
                </c:pt>
                <c:pt idx="4301">
                  <c:v>MSFT</c:v>
                </c:pt>
                <c:pt idx="4302">
                  <c:v>MSFT</c:v>
                </c:pt>
                <c:pt idx="4303">
                  <c:v>MSFT</c:v>
                </c:pt>
                <c:pt idx="4304">
                  <c:v>MSFT</c:v>
                </c:pt>
                <c:pt idx="4305">
                  <c:v>MSFT</c:v>
                </c:pt>
                <c:pt idx="4306">
                  <c:v>MSFT</c:v>
                </c:pt>
                <c:pt idx="4307">
                  <c:v>MSFT</c:v>
                </c:pt>
                <c:pt idx="4308">
                  <c:v>MSFT</c:v>
                </c:pt>
                <c:pt idx="4309">
                  <c:v>MSFT</c:v>
                </c:pt>
                <c:pt idx="4310">
                  <c:v>MSFT</c:v>
                </c:pt>
                <c:pt idx="4311">
                  <c:v>MSFT</c:v>
                </c:pt>
                <c:pt idx="4312">
                  <c:v>MSFT</c:v>
                </c:pt>
                <c:pt idx="4313">
                  <c:v>MSFT</c:v>
                </c:pt>
                <c:pt idx="4314">
                  <c:v>MSFT</c:v>
                </c:pt>
                <c:pt idx="4315">
                  <c:v>MSFT</c:v>
                </c:pt>
                <c:pt idx="4316">
                  <c:v>MSFT</c:v>
                </c:pt>
                <c:pt idx="4317">
                  <c:v>MSFT</c:v>
                </c:pt>
                <c:pt idx="4318">
                  <c:v>MSFT</c:v>
                </c:pt>
                <c:pt idx="4319">
                  <c:v>MSFT</c:v>
                </c:pt>
                <c:pt idx="4320">
                  <c:v>MSFT</c:v>
                </c:pt>
                <c:pt idx="4321">
                  <c:v>MSFT</c:v>
                </c:pt>
                <c:pt idx="4322">
                  <c:v>MSFT</c:v>
                </c:pt>
                <c:pt idx="4323">
                  <c:v>MSFT</c:v>
                </c:pt>
                <c:pt idx="4324">
                  <c:v>MSFT</c:v>
                </c:pt>
                <c:pt idx="4325">
                  <c:v>MSFT</c:v>
                </c:pt>
                <c:pt idx="4326">
                  <c:v>MSFT</c:v>
                </c:pt>
                <c:pt idx="4327">
                  <c:v>MSFT</c:v>
                </c:pt>
                <c:pt idx="4328">
                  <c:v>MSFT</c:v>
                </c:pt>
                <c:pt idx="4329">
                  <c:v>MSFT</c:v>
                </c:pt>
                <c:pt idx="4330">
                  <c:v>MSFT</c:v>
                </c:pt>
                <c:pt idx="4331">
                  <c:v>MSFT</c:v>
                </c:pt>
                <c:pt idx="4332">
                  <c:v>MSFT</c:v>
                </c:pt>
                <c:pt idx="4333">
                  <c:v>MSFT</c:v>
                </c:pt>
                <c:pt idx="4334">
                  <c:v>MSFT</c:v>
                </c:pt>
                <c:pt idx="4335">
                  <c:v>MSFT</c:v>
                </c:pt>
                <c:pt idx="4336">
                  <c:v>MSFT</c:v>
                </c:pt>
                <c:pt idx="4337">
                  <c:v>MSFT</c:v>
                </c:pt>
                <c:pt idx="4338">
                  <c:v>MSFT</c:v>
                </c:pt>
                <c:pt idx="4339">
                  <c:v>MSFT</c:v>
                </c:pt>
                <c:pt idx="4340">
                  <c:v>MSFT</c:v>
                </c:pt>
                <c:pt idx="4341">
                  <c:v>MSFT</c:v>
                </c:pt>
                <c:pt idx="4342">
                  <c:v>MSFT</c:v>
                </c:pt>
                <c:pt idx="4343">
                  <c:v>MSFT</c:v>
                </c:pt>
                <c:pt idx="4344">
                  <c:v>MSFT</c:v>
                </c:pt>
                <c:pt idx="4345">
                  <c:v>MSFT</c:v>
                </c:pt>
                <c:pt idx="4346">
                  <c:v>MSFT</c:v>
                </c:pt>
                <c:pt idx="4347">
                  <c:v>MSFT</c:v>
                </c:pt>
                <c:pt idx="4348">
                  <c:v>MSFT</c:v>
                </c:pt>
                <c:pt idx="4349">
                  <c:v>MSFT</c:v>
                </c:pt>
                <c:pt idx="4350">
                  <c:v>MSFT</c:v>
                </c:pt>
                <c:pt idx="4351">
                  <c:v>MSFT</c:v>
                </c:pt>
                <c:pt idx="4352">
                  <c:v>MSFT</c:v>
                </c:pt>
                <c:pt idx="4353">
                  <c:v>MSFT</c:v>
                </c:pt>
                <c:pt idx="4354">
                  <c:v>MSFT</c:v>
                </c:pt>
                <c:pt idx="4355">
                  <c:v>MSFT</c:v>
                </c:pt>
                <c:pt idx="4356">
                  <c:v>MSFT</c:v>
                </c:pt>
                <c:pt idx="4357">
                  <c:v>MSFT</c:v>
                </c:pt>
                <c:pt idx="4358">
                  <c:v>MSFT</c:v>
                </c:pt>
                <c:pt idx="4359">
                  <c:v>MSFT</c:v>
                </c:pt>
                <c:pt idx="4360">
                  <c:v>MSFT</c:v>
                </c:pt>
                <c:pt idx="4361">
                  <c:v>MSFT</c:v>
                </c:pt>
                <c:pt idx="4362">
                  <c:v>MSFT</c:v>
                </c:pt>
                <c:pt idx="4363">
                  <c:v>MSFT</c:v>
                </c:pt>
                <c:pt idx="4364">
                  <c:v>MSFT</c:v>
                </c:pt>
                <c:pt idx="4365">
                  <c:v>MSFT</c:v>
                </c:pt>
                <c:pt idx="4366">
                  <c:v>MSFT</c:v>
                </c:pt>
                <c:pt idx="4367">
                  <c:v>MSFT</c:v>
                </c:pt>
                <c:pt idx="4368">
                  <c:v>MSFT</c:v>
                </c:pt>
                <c:pt idx="4369">
                  <c:v>MSFT</c:v>
                </c:pt>
                <c:pt idx="4370">
                  <c:v>MSFT</c:v>
                </c:pt>
                <c:pt idx="4371">
                  <c:v>MSFT</c:v>
                </c:pt>
                <c:pt idx="4372">
                  <c:v>MSFT</c:v>
                </c:pt>
                <c:pt idx="4373">
                  <c:v>MSFT</c:v>
                </c:pt>
                <c:pt idx="4374">
                  <c:v>MSFT</c:v>
                </c:pt>
                <c:pt idx="4375">
                  <c:v>MSFT</c:v>
                </c:pt>
                <c:pt idx="4376">
                  <c:v>MSFT</c:v>
                </c:pt>
                <c:pt idx="4377">
                  <c:v>MSFT</c:v>
                </c:pt>
                <c:pt idx="4378">
                  <c:v>MSFT</c:v>
                </c:pt>
                <c:pt idx="4379">
                  <c:v>MSFT</c:v>
                </c:pt>
                <c:pt idx="4380">
                  <c:v>MSFT</c:v>
                </c:pt>
                <c:pt idx="4381">
                  <c:v>MSFT</c:v>
                </c:pt>
                <c:pt idx="4382">
                  <c:v>MSFT</c:v>
                </c:pt>
                <c:pt idx="4383">
                  <c:v>MSFT</c:v>
                </c:pt>
                <c:pt idx="4384">
                  <c:v>MSFT</c:v>
                </c:pt>
                <c:pt idx="4385">
                  <c:v>MSFT</c:v>
                </c:pt>
                <c:pt idx="4386">
                  <c:v>MSFT</c:v>
                </c:pt>
                <c:pt idx="4387">
                  <c:v>MSFT</c:v>
                </c:pt>
                <c:pt idx="4388">
                  <c:v>MSFT</c:v>
                </c:pt>
                <c:pt idx="4389">
                  <c:v>MSFT</c:v>
                </c:pt>
                <c:pt idx="4390">
                  <c:v>MSFT</c:v>
                </c:pt>
                <c:pt idx="4391">
                  <c:v>MSFT</c:v>
                </c:pt>
                <c:pt idx="4392">
                  <c:v>MSFT</c:v>
                </c:pt>
                <c:pt idx="4393">
                  <c:v>MSFT</c:v>
                </c:pt>
                <c:pt idx="4394">
                  <c:v>MSFT</c:v>
                </c:pt>
                <c:pt idx="4395">
                  <c:v>MSFT</c:v>
                </c:pt>
                <c:pt idx="4396">
                  <c:v>MSFT</c:v>
                </c:pt>
                <c:pt idx="4397">
                  <c:v>MSFT</c:v>
                </c:pt>
                <c:pt idx="4398">
                  <c:v>MSFT</c:v>
                </c:pt>
                <c:pt idx="4399">
                  <c:v>MSFT</c:v>
                </c:pt>
                <c:pt idx="4400">
                  <c:v>MSFT</c:v>
                </c:pt>
                <c:pt idx="4401">
                  <c:v>MSFT</c:v>
                </c:pt>
                <c:pt idx="4402">
                  <c:v>MSFT</c:v>
                </c:pt>
                <c:pt idx="4403">
                  <c:v>MSFT</c:v>
                </c:pt>
                <c:pt idx="4404">
                  <c:v>MSFT</c:v>
                </c:pt>
                <c:pt idx="4405">
                  <c:v>MSFT</c:v>
                </c:pt>
                <c:pt idx="4406">
                  <c:v>MSFT</c:v>
                </c:pt>
                <c:pt idx="4407">
                  <c:v>MSFT</c:v>
                </c:pt>
                <c:pt idx="4408">
                  <c:v>MSFT</c:v>
                </c:pt>
                <c:pt idx="4409">
                  <c:v>MSFT</c:v>
                </c:pt>
                <c:pt idx="4410">
                  <c:v>MSFT</c:v>
                </c:pt>
                <c:pt idx="4411">
                  <c:v>MSFT</c:v>
                </c:pt>
                <c:pt idx="4412">
                  <c:v>MSFT</c:v>
                </c:pt>
                <c:pt idx="4413">
                  <c:v>MSFT</c:v>
                </c:pt>
                <c:pt idx="4414">
                  <c:v>MSFT</c:v>
                </c:pt>
                <c:pt idx="4415">
                  <c:v>MSFT</c:v>
                </c:pt>
                <c:pt idx="4416">
                  <c:v>MSFT</c:v>
                </c:pt>
                <c:pt idx="4417">
                  <c:v>MSFT</c:v>
                </c:pt>
                <c:pt idx="4418">
                  <c:v>MSFT</c:v>
                </c:pt>
                <c:pt idx="4419">
                  <c:v>MSFT</c:v>
                </c:pt>
                <c:pt idx="4420">
                  <c:v>MSFT</c:v>
                </c:pt>
                <c:pt idx="4421">
                  <c:v>MSFT</c:v>
                </c:pt>
                <c:pt idx="4422">
                  <c:v>MSFT</c:v>
                </c:pt>
                <c:pt idx="4423">
                  <c:v>MSFT</c:v>
                </c:pt>
                <c:pt idx="4424">
                  <c:v>MSFT</c:v>
                </c:pt>
                <c:pt idx="4425">
                  <c:v>MSFT</c:v>
                </c:pt>
                <c:pt idx="4426">
                  <c:v>MSFT</c:v>
                </c:pt>
                <c:pt idx="4427">
                  <c:v>MSFT</c:v>
                </c:pt>
                <c:pt idx="4428">
                  <c:v>MSFT</c:v>
                </c:pt>
                <c:pt idx="4429">
                  <c:v>MSFT</c:v>
                </c:pt>
                <c:pt idx="4430">
                  <c:v>MSFT</c:v>
                </c:pt>
                <c:pt idx="4431">
                  <c:v>MSFT</c:v>
                </c:pt>
                <c:pt idx="4432">
                  <c:v>MSFT</c:v>
                </c:pt>
                <c:pt idx="4433">
                  <c:v>MSFT</c:v>
                </c:pt>
                <c:pt idx="4434">
                  <c:v>MSFT</c:v>
                </c:pt>
                <c:pt idx="4435">
                  <c:v>MSFT</c:v>
                </c:pt>
                <c:pt idx="4436">
                  <c:v>MSFT</c:v>
                </c:pt>
                <c:pt idx="4437">
                  <c:v>MSFT</c:v>
                </c:pt>
                <c:pt idx="4438">
                  <c:v>MSFT</c:v>
                </c:pt>
                <c:pt idx="4439">
                  <c:v>MSFT</c:v>
                </c:pt>
                <c:pt idx="4440">
                  <c:v>MSFT</c:v>
                </c:pt>
                <c:pt idx="4441">
                  <c:v>MSFT</c:v>
                </c:pt>
                <c:pt idx="4442">
                  <c:v>MSFT</c:v>
                </c:pt>
                <c:pt idx="4443">
                  <c:v>MSFT</c:v>
                </c:pt>
                <c:pt idx="4444">
                  <c:v>MSFT</c:v>
                </c:pt>
                <c:pt idx="4445">
                  <c:v>MSFT</c:v>
                </c:pt>
                <c:pt idx="4446">
                  <c:v>MSFT</c:v>
                </c:pt>
                <c:pt idx="4447">
                  <c:v>MSFT</c:v>
                </c:pt>
                <c:pt idx="4448">
                  <c:v>MSFT</c:v>
                </c:pt>
                <c:pt idx="4449">
                  <c:v>MSFT</c:v>
                </c:pt>
                <c:pt idx="4450">
                  <c:v>MSFT</c:v>
                </c:pt>
                <c:pt idx="4451">
                  <c:v>MSFT</c:v>
                </c:pt>
                <c:pt idx="4452">
                  <c:v>MSFT</c:v>
                </c:pt>
                <c:pt idx="4453">
                  <c:v>MSFT</c:v>
                </c:pt>
                <c:pt idx="4454">
                  <c:v>MSFT</c:v>
                </c:pt>
                <c:pt idx="4455">
                  <c:v>MSFT</c:v>
                </c:pt>
                <c:pt idx="4456">
                  <c:v>MSFT</c:v>
                </c:pt>
                <c:pt idx="4457">
                  <c:v>MSFT</c:v>
                </c:pt>
                <c:pt idx="4458">
                  <c:v>MSFT</c:v>
                </c:pt>
                <c:pt idx="4459">
                  <c:v>MSFT</c:v>
                </c:pt>
                <c:pt idx="4460">
                  <c:v>MSFT</c:v>
                </c:pt>
                <c:pt idx="4461">
                  <c:v>MSFT</c:v>
                </c:pt>
                <c:pt idx="4462">
                  <c:v>MSFT</c:v>
                </c:pt>
                <c:pt idx="4463">
                  <c:v>MSFT</c:v>
                </c:pt>
                <c:pt idx="4464">
                  <c:v>MSFT</c:v>
                </c:pt>
                <c:pt idx="4465">
                  <c:v>MSFT</c:v>
                </c:pt>
                <c:pt idx="4466">
                  <c:v>MSFT</c:v>
                </c:pt>
                <c:pt idx="4467">
                  <c:v>MSFT</c:v>
                </c:pt>
                <c:pt idx="4468">
                  <c:v>MSFT</c:v>
                </c:pt>
                <c:pt idx="4469">
                  <c:v>MSFT</c:v>
                </c:pt>
                <c:pt idx="4470">
                  <c:v>MSFT</c:v>
                </c:pt>
                <c:pt idx="4471">
                  <c:v>MSFT</c:v>
                </c:pt>
                <c:pt idx="4472">
                  <c:v>MSFT</c:v>
                </c:pt>
                <c:pt idx="4473">
                  <c:v>MSFT</c:v>
                </c:pt>
                <c:pt idx="4474">
                  <c:v>MSFT</c:v>
                </c:pt>
                <c:pt idx="4475">
                  <c:v>MSFT</c:v>
                </c:pt>
                <c:pt idx="4476">
                  <c:v>MSFT</c:v>
                </c:pt>
                <c:pt idx="4477">
                  <c:v>MSFT</c:v>
                </c:pt>
                <c:pt idx="4478">
                  <c:v>MSFT</c:v>
                </c:pt>
                <c:pt idx="4479">
                  <c:v>MSFT</c:v>
                </c:pt>
                <c:pt idx="4480">
                  <c:v>MSFT</c:v>
                </c:pt>
                <c:pt idx="4481">
                  <c:v>MSFT</c:v>
                </c:pt>
                <c:pt idx="4482">
                  <c:v>MSFT</c:v>
                </c:pt>
                <c:pt idx="4483">
                  <c:v>MSFT</c:v>
                </c:pt>
                <c:pt idx="4484">
                  <c:v>MSFT</c:v>
                </c:pt>
                <c:pt idx="4485">
                  <c:v>MSFT</c:v>
                </c:pt>
                <c:pt idx="4486">
                  <c:v>MSFT</c:v>
                </c:pt>
                <c:pt idx="4487">
                  <c:v>MSFT</c:v>
                </c:pt>
                <c:pt idx="4488">
                  <c:v>MSFT</c:v>
                </c:pt>
                <c:pt idx="4489">
                  <c:v>MSFT</c:v>
                </c:pt>
                <c:pt idx="4490">
                  <c:v>MSFT</c:v>
                </c:pt>
                <c:pt idx="4491">
                  <c:v>MSFT</c:v>
                </c:pt>
                <c:pt idx="4492">
                  <c:v>MSFT</c:v>
                </c:pt>
                <c:pt idx="4493">
                  <c:v>MSFT</c:v>
                </c:pt>
                <c:pt idx="4494">
                  <c:v>MSFT</c:v>
                </c:pt>
                <c:pt idx="4495">
                  <c:v>MSFT</c:v>
                </c:pt>
                <c:pt idx="4496">
                  <c:v>MSFT</c:v>
                </c:pt>
                <c:pt idx="4497">
                  <c:v>MSFT</c:v>
                </c:pt>
                <c:pt idx="4498">
                  <c:v>MSFT</c:v>
                </c:pt>
                <c:pt idx="4499">
                  <c:v>MSFT</c:v>
                </c:pt>
                <c:pt idx="4500">
                  <c:v>MSFT</c:v>
                </c:pt>
                <c:pt idx="4501">
                  <c:v>MSFT</c:v>
                </c:pt>
                <c:pt idx="4502">
                  <c:v>MSFT</c:v>
                </c:pt>
                <c:pt idx="4503">
                  <c:v>MSFT</c:v>
                </c:pt>
                <c:pt idx="4504">
                  <c:v>MSFT</c:v>
                </c:pt>
                <c:pt idx="4505">
                  <c:v>MSFT</c:v>
                </c:pt>
                <c:pt idx="4506">
                  <c:v>MSFT</c:v>
                </c:pt>
                <c:pt idx="4507">
                  <c:v>MSFT</c:v>
                </c:pt>
                <c:pt idx="4508">
                  <c:v>MSFT</c:v>
                </c:pt>
                <c:pt idx="4509">
                  <c:v>MSFT</c:v>
                </c:pt>
                <c:pt idx="4510">
                  <c:v>MSFT</c:v>
                </c:pt>
                <c:pt idx="4511">
                  <c:v>MSFT</c:v>
                </c:pt>
                <c:pt idx="4512">
                  <c:v>MSFT</c:v>
                </c:pt>
                <c:pt idx="4513">
                  <c:v>MSFT</c:v>
                </c:pt>
                <c:pt idx="4514">
                  <c:v>MSFT</c:v>
                </c:pt>
                <c:pt idx="4515">
                  <c:v>MSFT</c:v>
                </c:pt>
                <c:pt idx="4516">
                  <c:v>MSFT</c:v>
                </c:pt>
                <c:pt idx="4517">
                  <c:v>MSFT</c:v>
                </c:pt>
                <c:pt idx="4518">
                  <c:v>MSFT</c:v>
                </c:pt>
                <c:pt idx="4519">
                  <c:v>MSFT</c:v>
                </c:pt>
                <c:pt idx="4520">
                  <c:v>MSFT</c:v>
                </c:pt>
                <c:pt idx="4521">
                  <c:v>MSFT</c:v>
                </c:pt>
                <c:pt idx="4522">
                  <c:v>MSFT</c:v>
                </c:pt>
                <c:pt idx="4523">
                  <c:v>MSFT</c:v>
                </c:pt>
                <c:pt idx="4524">
                  <c:v>MSFT</c:v>
                </c:pt>
                <c:pt idx="4525">
                  <c:v>MSFT</c:v>
                </c:pt>
                <c:pt idx="4526">
                  <c:v>MSFT</c:v>
                </c:pt>
                <c:pt idx="4527">
                  <c:v>MSFT</c:v>
                </c:pt>
                <c:pt idx="4528">
                  <c:v>MSFT</c:v>
                </c:pt>
                <c:pt idx="4529">
                  <c:v>MSFT</c:v>
                </c:pt>
                <c:pt idx="4530">
                  <c:v>MSFT</c:v>
                </c:pt>
                <c:pt idx="4531">
                  <c:v>MSFT</c:v>
                </c:pt>
                <c:pt idx="4532">
                  <c:v>MSFT</c:v>
                </c:pt>
                <c:pt idx="4533">
                  <c:v>MSFT</c:v>
                </c:pt>
                <c:pt idx="4534">
                  <c:v>MSFT</c:v>
                </c:pt>
                <c:pt idx="4535">
                  <c:v>MSFT</c:v>
                </c:pt>
                <c:pt idx="4536">
                  <c:v>MSFT</c:v>
                </c:pt>
                <c:pt idx="4537">
                  <c:v>MSFT</c:v>
                </c:pt>
                <c:pt idx="4538">
                  <c:v>MSFT</c:v>
                </c:pt>
                <c:pt idx="4539">
                  <c:v>MSFT</c:v>
                </c:pt>
                <c:pt idx="4540">
                  <c:v>MSFT</c:v>
                </c:pt>
                <c:pt idx="4541">
                  <c:v>MSFT</c:v>
                </c:pt>
                <c:pt idx="4542">
                  <c:v>MSFT</c:v>
                </c:pt>
                <c:pt idx="4543">
                  <c:v>MSFT</c:v>
                </c:pt>
                <c:pt idx="4544">
                  <c:v>MSFT</c:v>
                </c:pt>
                <c:pt idx="4545">
                  <c:v>MSFT</c:v>
                </c:pt>
                <c:pt idx="4546">
                  <c:v>MSFT</c:v>
                </c:pt>
                <c:pt idx="4547">
                  <c:v>MSFT</c:v>
                </c:pt>
                <c:pt idx="4548">
                  <c:v>MSFT</c:v>
                </c:pt>
                <c:pt idx="4549">
                  <c:v>MSFT</c:v>
                </c:pt>
                <c:pt idx="4550">
                  <c:v>MSFT</c:v>
                </c:pt>
                <c:pt idx="4551">
                  <c:v>MSFT</c:v>
                </c:pt>
                <c:pt idx="4552">
                  <c:v>MSFT</c:v>
                </c:pt>
                <c:pt idx="4553">
                  <c:v>MSFT</c:v>
                </c:pt>
                <c:pt idx="4554">
                  <c:v>MSFT</c:v>
                </c:pt>
                <c:pt idx="4555">
                  <c:v>MSFT</c:v>
                </c:pt>
                <c:pt idx="4556">
                  <c:v>MSFT</c:v>
                </c:pt>
                <c:pt idx="4557">
                  <c:v>MSFT</c:v>
                </c:pt>
                <c:pt idx="4558">
                  <c:v>MSFT</c:v>
                </c:pt>
                <c:pt idx="4559">
                  <c:v>MSFT</c:v>
                </c:pt>
                <c:pt idx="4560">
                  <c:v>MSFT</c:v>
                </c:pt>
                <c:pt idx="4561">
                  <c:v>MSFT</c:v>
                </c:pt>
                <c:pt idx="4562">
                  <c:v>MSFT</c:v>
                </c:pt>
                <c:pt idx="4563">
                  <c:v>MSFT</c:v>
                </c:pt>
                <c:pt idx="4564">
                  <c:v>MSFT</c:v>
                </c:pt>
                <c:pt idx="4565">
                  <c:v>MSFT</c:v>
                </c:pt>
                <c:pt idx="4566">
                  <c:v>MSFT</c:v>
                </c:pt>
                <c:pt idx="4567">
                  <c:v>MSFT</c:v>
                </c:pt>
                <c:pt idx="4568">
                  <c:v>MSFT</c:v>
                </c:pt>
                <c:pt idx="4569">
                  <c:v>MSFT</c:v>
                </c:pt>
                <c:pt idx="4570">
                  <c:v>MSFT</c:v>
                </c:pt>
                <c:pt idx="4571">
                  <c:v>MSFT</c:v>
                </c:pt>
                <c:pt idx="4572">
                  <c:v>MSFT</c:v>
                </c:pt>
                <c:pt idx="4573">
                  <c:v>MSFT</c:v>
                </c:pt>
                <c:pt idx="4574">
                  <c:v>MSFT</c:v>
                </c:pt>
                <c:pt idx="4575">
                  <c:v>MSFT</c:v>
                </c:pt>
                <c:pt idx="4576">
                  <c:v>MSFT</c:v>
                </c:pt>
                <c:pt idx="4577">
                  <c:v>MSFT</c:v>
                </c:pt>
                <c:pt idx="4578">
                  <c:v>MSFT</c:v>
                </c:pt>
                <c:pt idx="4579">
                  <c:v>MSFT</c:v>
                </c:pt>
                <c:pt idx="4580">
                  <c:v>MSFT</c:v>
                </c:pt>
                <c:pt idx="4581">
                  <c:v>MSFT</c:v>
                </c:pt>
                <c:pt idx="4582">
                  <c:v>MSFT</c:v>
                </c:pt>
                <c:pt idx="4583">
                  <c:v>MSFT</c:v>
                </c:pt>
                <c:pt idx="4584">
                  <c:v>MSFT</c:v>
                </c:pt>
                <c:pt idx="4585">
                  <c:v>MSFT</c:v>
                </c:pt>
                <c:pt idx="4586">
                  <c:v>MSFT</c:v>
                </c:pt>
                <c:pt idx="4587">
                  <c:v>MSFT</c:v>
                </c:pt>
                <c:pt idx="4588">
                  <c:v>MSFT</c:v>
                </c:pt>
                <c:pt idx="4589">
                  <c:v>MSFT</c:v>
                </c:pt>
                <c:pt idx="4590">
                  <c:v>MSFT</c:v>
                </c:pt>
                <c:pt idx="4591">
                  <c:v>MSFT</c:v>
                </c:pt>
                <c:pt idx="4592">
                  <c:v>MSFT</c:v>
                </c:pt>
                <c:pt idx="4593">
                  <c:v>MSFT</c:v>
                </c:pt>
                <c:pt idx="4594">
                  <c:v>MSFT</c:v>
                </c:pt>
                <c:pt idx="4595">
                  <c:v>MSFT</c:v>
                </c:pt>
                <c:pt idx="4596">
                  <c:v>MSFT</c:v>
                </c:pt>
                <c:pt idx="4597">
                  <c:v>MSFT</c:v>
                </c:pt>
                <c:pt idx="4598">
                  <c:v>MSFT</c:v>
                </c:pt>
                <c:pt idx="4599">
                  <c:v>MSFT</c:v>
                </c:pt>
                <c:pt idx="4600">
                  <c:v>MSFT</c:v>
                </c:pt>
                <c:pt idx="4601">
                  <c:v>MSFT</c:v>
                </c:pt>
                <c:pt idx="4602">
                  <c:v>MSFT</c:v>
                </c:pt>
                <c:pt idx="4603">
                  <c:v>MSFT</c:v>
                </c:pt>
                <c:pt idx="4604">
                  <c:v>MSFT</c:v>
                </c:pt>
                <c:pt idx="4605">
                  <c:v>MSFT</c:v>
                </c:pt>
                <c:pt idx="4606">
                  <c:v>MSFT</c:v>
                </c:pt>
                <c:pt idx="4607">
                  <c:v>MSFT</c:v>
                </c:pt>
                <c:pt idx="4608">
                  <c:v>MSFT</c:v>
                </c:pt>
                <c:pt idx="4609">
                  <c:v>MSFT</c:v>
                </c:pt>
                <c:pt idx="4610">
                  <c:v>MSFT</c:v>
                </c:pt>
                <c:pt idx="4611">
                  <c:v>MSFT</c:v>
                </c:pt>
                <c:pt idx="4612">
                  <c:v>MSFT</c:v>
                </c:pt>
                <c:pt idx="4613">
                  <c:v>MSFT</c:v>
                </c:pt>
                <c:pt idx="4614">
                  <c:v>MSFT</c:v>
                </c:pt>
                <c:pt idx="4615">
                  <c:v>MSFT</c:v>
                </c:pt>
                <c:pt idx="4616">
                  <c:v>MSFT</c:v>
                </c:pt>
                <c:pt idx="4617">
                  <c:v>MSFT</c:v>
                </c:pt>
                <c:pt idx="4618">
                  <c:v>MSFT</c:v>
                </c:pt>
                <c:pt idx="4619">
                  <c:v>MSFT</c:v>
                </c:pt>
                <c:pt idx="4620">
                  <c:v>MSFT</c:v>
                </c:pt>
                <c:pt idx="4621">
                  <c:v>MSFT</c:v>
                </c:pt>
                <c:pt idx="4622">
                  <c:v>MSFT</c:v>
                </c:pt>
                <c:pt idx="4623">
                  <c:v>MSFT</c:v>
                </c:pt>
                <c:pt idx="4624">
                  <c:v>MSFT</c:v>
                </c:pt>
                <c:pt idx="4625">
                  <c:v>MSFT</c:v>
                </c:pt>
                <c:pt idx="4626">
                  <c:v>MSFT</c:v>
                </c:pt>
                <c:pt idx="4627">
                  <c:v>MSFT</c:v>
                </c:pt>
                <c:pt idx="4628">
                  <c:v>MSFT</c:v>
                </c:pt>
                <c:pt idx="4629">
                  <c:v>MSFT</c:v>
                </c:pt>
                <c:pt idx="4630">
                  <c:v>MSFT</c:v>
                </c:pt>
                <c:pt idx="4631">
                  <c:v>MSFT</c:v>
                </c:pt>
                <c:pt idx="4632">
                  <c:v>MSFT</c:v>
                </c:pt>
                <c:pt idx="4633">
                  <c:v>MSFT</c:v>
                </c:pt>
                <c:pt idx="4634">
                  <c:v>MSFT</c:v>
                </c:pt>
                <c:pt idx="4635">
                  <c:v>MSFT</c:v>
                </c:pt>
                <c:pt idx="4636">
                  <c:v>MSFT</c:v>
                </c:pt>
                <c:pt idx="4637">
                  <c:v>MSFT</c:v>
                </c:pt>
                <c:pt idx="4638">
                  <c:v>MSFT</c:v>
                </c:pt>
                <c:pt idx="4639">
                  <c:v>MSFT</c:v>
                </c:pt>
                <c:pt idx="4640">
                  <c:v>MSFT</c:v>
                </c:pt>
                <c:pt idx="4641">
                  <c:v>MSFT</c:v>
                </c:pt>
                <c:pt idx="4642">
                  <c:v>MSFT</c:v>
                </c:pt>
                <c:pt idx="4643">
                  <c:v>MSFT</c:v>
                </c:pt>
                <c:pt idx="4644">
                  <c:v>MSFT</c:v>
                </c:pt>
                <c:pt idx="4645">
                  <c:v>MSFT</c:v>
                </c:pt>
                <c:pt idx="4646">
                  <c:v>MSFT</c:v>
                </c:pt>
                <c:pt idx="4647">
                  <c:v>MSFT</c:v>
                </c:pt>
                <c:pt idx="4648">
                  <c:v>MSFT</c:v>
                </c:pt>
                <c:pt idx="4649">
                  <c:v>MSFT</c:v>
                </c:pt>
                <c:pt idx="4650">
                  <c:v>MSFT</c:v>
                </c:pt>
                <c:pt idx="4651">
                  <c:v>MSFT</c:v>
                </c:pt>
                <c:pt idx="4652">
                  <c:v>MSFT</c:v>
                </c:pt>
                <c:pt idx="4653">
                  <c:v>MSFT</c:v>
                </c:pt>
                <c:pt idx="4654">
                  <c:v>MSFT</c:v>
                </c:pt>
                <c:pt idx="4655">
                  <c:v>MSFT</c:v>
                </c:pt>
                <c:pt idx="4656">
                  <c:v>MSFT</c:v>
                </c:pt>
                <c:pt idx="4657">
                  <c:v>MSFT</c:v>
                </c:pt>
                <c:pt idx="4658">
                  <c:v>MSFT</c:v>
                </c:pt>
                <c:pt idx="4659">
                  <c:v>MSFT</c:v>
                </c:pt>
                <c:pt idx="4660">
                  <c:v>MSFT</c:v>
                </c:pt>
                <c:pt idx="4661">
                  <c:v>MSFT</c:v>
                </c:pt>
                <c:pt idx="4662">
                  <c:v>MSFT</c:v>
                </c:pt>
                <c:pt idx="4663">
                  <c:v>MSFT</c:v>
                </c:pt>
                <c:pt idx="4664">
                  <c:v>MSFT</c:v>
                </c:pt>
                <c:pt idx="4665">
                  <c:v>MSFT</c:v>
                </c:pt>
                <c:pt idx="4666">
                  <c:v>MSFT</c:v>
                </c:pt>
                <c:pt idx="4667">
                  <c:v>MSFT</c:v>
                </c:pt>
                <c:pt idx="4668">
                  <c:v>MSFT</c:v>
                </c:pt>
                <c:pt idx="4669">
                  <c:v>MSFT</c:v>
                </c:pt>
                <c:pt idx="4670">
                  <c:v>MSFT</c:v>
                </c:pt>
                <c:pt idx="4671">
                  <c:v>MSFT</c:v>
                </c:pt>
                <c:pt idx="4672">
                  <c:v>MSFT</c:v>
                </c:pt>
                <c:pt idx="4673">
                  <c:v>MSFT</c:v>
                </c:pt>
                <c:pt idx="4674">
                  <c:v>MSFT</c:v>
                </c:pt>
                <c:pt idx="4675">
                  <c:v>MSFT</c:v>
                </c:pt>
                <c:pt idx="4676">
                  <c:v>MSFT</c:v>
                </c:pt>
                <c:pt idx="4677">
                  <c:v>MSFT</c:v>
                </c:pt>
                <c:pt idx="4678">
                  <c:v>MSFT</c:v>
                </c:pt>
                <c:pt idx="4679">
                  <c:v>MSFT</c:v>
                </c:pt>
                <c:pt idx="4680">
                  <c:v>MSFT</c:v>
                </c:pt>
                <c:pt idx="4681">
                  <c:v>MSFT</c:v>
                </c:pt>
                <c:pt idx="4682">
                  <c:v>MSFT</c:v>
                </c:pt>
                <c:pt idx="4683">
                  <c:v>MSFT</c:v>
                </c:pt>
                <c:pt idx="4684">
                  <c:v>MSFT</c:v>
                </c:pt>
                <c:pt idx="4685">
                  <c:v>MSFT</c:v>
                </c:pt>
                <c:pt idx="4686">
                  <c:v>MSFT</c:v>
                </c:pt>
                <c:pt idx="4687">
                  <c:v>MSFT</c:v>
                </c:pt>
                <c:pt idx="4688">
                  <c:v>MSFT</c:v>
                </c:pt>
                <c:pt idx="4689">
                  <c:v>MSFT</c:v>
                </c:pt>
                <c:pt idx="4690">
                  <c:v>MSFT</c:v>
                </c:pt>
                <c:pt idx="4691">
                  <c:v>MSFT</c:v>
                </c:pt>
                <c:pt idx="4692">
                  <c:v>MSFT</c:v>
                </c:pt>
                <c:pt idx="4693">
                  <c:v>MSFT</c:v>
                </c:pt>
                <c:pt idx="4694">
                  <c:v>MSFT</c:v>
                </c:pt>
                <c:pt idx="4695">
                  <c:v>MSFT</c:v>
                </c:pt>
                <c:pt idx="4696">
                  <c:v>MSFT</c:v>
                </c:pt>
                <c:pt idx="4697">
                  <c:v>MSFT</c:v>
                </c:pt>
                <c:pt idx="4698">
                  <c:v>MSFT</c:v>
                </c:pt>
                <c:pt idx="4699">
                  <c:v>MSFT</c:v>
                </c:pt>
                <c:pt idx="4700">
                  <c:v>MSFT</c:v>
                </c:pt>
                <c:pt idx="4701">
                  <c:v>MSFT</c:v>
                </c:pt>
                <c:pt idx="4702">
                  <c:v>MSFT</c:v>
                </c:pt>
                <c:pt idx="4703">
                  <c:v>MSFT</c:v>
                </c:pt>
                <c:pt idx="4704">
                  <c:v>MSFT</c:v>
                </c:pt>
                <c:pt idx="4705">
                  <c:v>MSFT</c:v>
                </c:pt>
                <c:pt idx="4706">
                  <c:v>MSFT</c:v>
                </c:pt>
                <c:pt idx="4707">
                  <c:v>MSFT</c:v>
                </c:pt>
                <c:pt idx="4708">
                  <c:v>MSFT</c:v>
                </c:pt>
                <c:pt idx="4709">
                  <c:v>MSFT</c:v>
                </c:pt>
                <c:pt idx="4710">
                  <c:v>MSFT</c:v>
                </c:pt>
                <c:pt idx="4711">
                  <c:v>MSFT</c:v>
                </c:pt>
                <c:pt idx="4712">
                  <c:v>MSFT</c:v>
                </c:pt>
                <c:pt idx="4713">
                  <c:v>MSFT</c:v>
                </c:pt>
                <c:pt idx="4714">
                  <c:v>MSFT</c:v>
                </c:pt>
                <c:pt idx="4715">
                  <c:v>MSFT</c:v>
                </c:pt>
                <c:pt idx="4716">
                  <c:v>MSFT</c:v>
                </c:pt>
                <c:pt idx="4717">
                  <c:v>MSFT</c:v>
                </c:pt>
                <c:pt idx="4718">
                  <c:v>MSFT</c:v>
                </c:pt>
                <c:pt idx="4719">
                  <c:v>MSFT</c:v>
                </c:pt>
                <c:pt idx="4720">
                  <c:v>MSFT</c:v>
                </c:pt>
                <c:pt idx="4721">
                  <c:v>MSFT</c:v>
                </c:pt>
                <c:pt idx="4722">
                  <c:v>MSFT</c:v>
                </c:pt>
                <c:pt idx="4723">
                  <c:v>MSFT</c:v>
                </c:pt>
                <c:pt idx="4724">
                  <c:v>MSFT</c:v>
                </c:pt>
                <c:pt idx="4725">
                  <c:v>MSFT</c:v>
                </c:pt>
                <c:pt idx="4726">
                  <c:v>MSFT</c:v>
                </c:pt>
                <c:pt idx="4727">
                  <c:v>MSFT</c:v>
                </c:pt>
                <c:pt idx="4728">
                  <c:v>MSFT</c:v>
                </c:pt>
                <c:pt idx="4729">
                  <c:v>MSFT</c:v>
                </c:pt>
                <c:pt idx="4730">
                  <c:v>MSFT</c:v>
                </c:pt>
                <c:pt idx="4731">
                  <c:v>MSFT</c:v>
                </c:pt>
                <c:pt idx="4732">
                  <c:v>MSFT</c:v>
                </c:pt>
                <c:pt idx="4733">
                  <c:v>MSFT</c:v>
                </c:pt>
                <c:pt idx="4734">
                  <c:v>MSFT</c:v>
                </c:pt>
                <c:pt idx="4735">
                  <c:v>MSFT</c:v>
                </c:pt>
                <c:pt idx="4736">
                  <c:v>MSFT</c:v>
                </c:pt>
                <c:pt idx="4737">
                  <c:v>MSFT</c:v>
                </c:pt>
                <c:pt idx="4738">
                  <c:v>MSFT</c:v>
                </c:pt>
                <c:pt idx="4739">
                  <c:v>MSFT</c:v>
                </c:pt>
                <c:pt idx="4740">
                  <c:v>MSFT</c:v>
                </c:pt>
                <c:pt idx="4741">
                  <c:v>MSFT</c:v>
                </c:pt>
                <c:pt idx="4742">
                  <c:v>MSFT</c:v>
                </c:pt>
                <c:pt idx="4743">
                  <c:v>MSFT</c:v>
                </c:pt>
                <c:pt idx="4744">
                  <c:v>MSFT</c:v>
                </c:pt>
                <c:pt idx="4745">
                  <c:v>MSFT</c:v>
                </c:pt>
                <c:pt idx="4746">
                  <c:v>MSFT</c:v>
                </c:pt>
                <c:pt idx="4747">
                  <c:v>MSFT</c:v>
                </c:pt>
                <c:pt idx="4748">
                  <c:v>MSFT</c:v>
                </c:pt>
                <c:pt idx="4749">
                  <c:v>MSFT</c:v>
                </c:pt>
                <c:pt idx="4750">
                  <c:v>MSFT</c:v>
                </c:pt>
                <c:pt idx="4751">
                  <c:v>MSFT</c:v>
                </c:pt>
                <c:pt idx="4752">
                  <c:v>MSFT</c:v>
                </c:pt>
                <c:pt idx="4753">
                  <c:v>MSFT</c:v>
                </c:pt>
                <c:pt idx="4754">
                  <c:v>MSFT</c:v>
                </c:pt>
                <c:pt idx="4755">
                  <c:v>MSFT</c:v>
                </c:pt>
                <c:pt idx="4756">
                  <c:v>MSFT</c:v>
                </c:pt>
                <c:pt idx="4757">
                  <c:v>MSFT</c:v>
                </c:pt>
                <c:pt idx="4758">
                  <c:v>MSFT</c:v>
                </c:pt>
                <c:pt idx="4759">
                  <c:v>MSFT</c:v>
                </c:pt>
                <c:pt idx="4760">
                  <c:v>MSFT</c:v>
                </c:pt>
                <c:pt idx="4761">
                  <c:v>MSFT</c:v>
                </c:pt>
                <c:pt idx="4762">
                  <c:v>MSFT</c:v>
                </c:pt>
                <c:pt idx="4763">
                  <c:v>MSFT</c:v>
                </c:pt>
                <c:pt idx="4764">
                  <c:v>MSFT</c:v>
                </c:pt>
                <c:pt idx="4765">
                  <c:v>MSFT</c:v>
                </c:pt>
                <c:pt idx="4766">
                  <c:v>MSFT</c:v>
                </c:pt>
                <c:pt idx="4767">
                  <c:v>MSFT</c:v>
                </c:pt>
                <c:pt idx="4768">
                  <c:v>MSFT</c:v>
                </c:pt>
                <c:pt idx="4769">
                  <c:v>MSFT</c:v>
                </c:pt>
                <c:pt idx="4770">
                  <c:v>MSFT</c:v>
                </c:pt>
                <c:pt idx="4771">
                  <c:v>MSFT</c:v>
                </c:pt>
                <c:pt idx="4772">
                  <c:v>MSFT</c:v>
                </c:pt>
                <c:pt idx="4773">
                  <c:v>MSFT</c:v>
                </c:pt>
                <c:pt idx="4774">
                  <c:v>MSFT</c:v>
                </c:pt>
                <c:pt idx="4775">
                  <c:v>MSFT</c:v>
                </c:pt>
                <c:pt idx="4776">
                  <c:v>MSFT</c:v>
                </c:pt>
                <c:pt idx="4777">
                  <c:v>MSFT</c:v>
                </c:pt>
                <c:pt idx="4778">
                  <c:v>MSFT</c:v>
                </c:pt>
                <c:pt idx="4779">
                  <c:v>MSFT</c:v>
                </c:pt>
                <c:pt idx="4780">
                  <c:v>MSFT</c:v>
                </c:pt>
                <c:pt idx="4781">
                  <c:v>MSFT</c:v>
                </c:pt>
                <c:pt idx="4782">
                  <c:v>MSFT</c:v>
                </c:pt>
                <c:pt idx="4783">
                  <c:v>MSFT</c:v>
                </c:pt>
                <c:pt idx="4784">
                  <c:v>MSFT</c:v>
                </c:pt>
                <c:pt idx="4785">
                  <c:v>MSFT</c:v>
                </c:pt>
                <c:pt idx="4786">
                  <c:v>MSFT</c:v>
                </c:pt>
                <c:pt idx="4787">
                  <c:v>MSFT</c:v>
                </c:pt>
                <c:pt idx="4788">
                  <c:v>MSFT</c:v>
                </c:pt>
                <c:pt idx="4789">
                  <c:v>MSFT</c:v>
                </c:pt>
                <c:pt idx="4790">
                  <c:v>MSFT</c:v>
                </c:pt>
                <c:pt idx="4791">
                  <c:v>MSFT</c:v>
                </c:pt>
                <c:pt idx="4792">
                  <c:v>MSFT</c:v>
                </c:pt>
                <c:pt idx="4793">
                  <c:v>MSFT</c:v>
                </c:pt>
                <c:pt idx="4794">
                  <c:v>MSFT</c:v>
                </c:pt>
                <c:pt idx="4795">
                  <c:v>MSFT</c:v>
                </c:pt>
                <c:pt idx="4796">
                  <c:v>MSFT</c:v>
                </c:pt>
                <c:pt idx="4797">
                  <c:v>MSFT</c:v>
                </c:pt>
                <c:pt idx="4798">
                  <c:v>MSFT</c:v>
                </c:pt>
                <c:pt idx="4799">
                  <c:v>MSFT</c:v>
                </c:pt>
                <c:pt idx="4800">
                  <c:v>MSFT</c:v>
                </c:pt>
                <c:pt idx="4801">
                  <c:v>MSFT</c:v>
                </c:pt>
                <c:pt idx="4802">
                  <c:v>MSFT</c:v>
                </c:pt>
                <c:pt idx="4803">
                  <c:v>MSFT</c:v>
                </c:pt>
                <c:pt idx="4804">
                  <c:v>MSFT</c:v>
                </c:pt>
                <c:pt idx="4805">
                  <c:v>MSFT</c:v>
                </c:pt>
                <c:pt idx="4806">
                  <c:v>MSFT</c:v>
                </c:pt>
                <c:pt idx="4807">
                  <c:v>MSFT</c:v>
                </c:pt>
                <c:pt idx="4808">
                  <c:v>MSFT</c:v>
                </c:pt>
                <c:pt idx="4809">
                  <c:v>MSFT</c:v>
                </c:pt>
                <c:pt idx="4810">
                  <c:v>MSFT</c:v>
                </c:pt>
                <c:pt idx="4811">
                  <c:v>MSFT</c:v>
                </c:pt>
                <c:pt idx="4812">
                  <c:v>MSFT</c:v>
                </c:pt>
                <c:pt idx="4813">
                  <c:v>MSFT</c:v>
                </c:pt>
                <c:pt idx="4814">
                  <c:v>MSFT</c:v>
                </c:pt>
                <c:pt idx="4815">
                  <c:v>MSFT</c:v>
                </c:pt>
                <c:pt idx="4816">
                  <c:v>MSFT</c:v>
                </c:pt>
                <c:pt idx="4817">
                  <c:v>MSFT</c:v>
                </c:pt>
                <c:pt idx="4818">
                  <c:v>MSFT</c:v>
                </c:pt>
                <c:pt idx="4819">
                  <c:v>MSFT</c:v>
                </c:pt>
                <c:pt idx="4820">
                  <c:v>MSFT</c:v>
                </c:pt>
                <c:pt idx="4821">
                  <c:v>MSFT</c:v>
                </c:pt>
                <c:pt idx="4822">
                  <c:v>MSFT</c:v>
                </c:pt>
                <c:pt idx="4823">
                  <c:v>MSFT</c:v>
                </c:pt>
                <c:pt idx="4824">
                  <c:v>MSFT</c:v>
                </c:pt>
                <c:pt idx="4825">
                  <c:v>MSFT</c:v>
                </c:pt>
                <c:pt idx="4826">
                  <c:v>MSFT</c:v>
                </c:pt>
                <c:pt idx="4827">
                  <c:v>MSFT</c:v>
                </c:pt>
                <c:pt idx="4828">
                  <c:v>MSFT</c:v>
                </c:pt>
                <c:pt idx="4829">
                  <c:v>MSFT</c:v>
                </c:pt>
                <c:pt idx="4830">
                  <c:v>MSFT</c:v>
                </c:pt>
                <c:pt idx="4831">
                  <c:v>MSFT</c:v>
                </c:pt>
                <c:pt idx="4832">
                  <c:v>MSFT</c:v>
                </c:pt>
                <c:pt idx="4833">
                  <c:v>MSFT</c:v>
                </c:pt>
                <c:pt idx="4834">
                  <c:v>MSFT</c:v>
                </c:pt>
                <c:pt idx="4835">
                  <c:v>MSFT</c:v>
                </c:pt>
                <c:pt idx="4836">
                  <c:v>MSFT</c:v>
                </c:pt>
                <c:pt idx="4837">
                  <c:v>MSFT</c:v>
                </c:pt>
                <c:pt idx="4838">
                  <c:v>MSFT</c:v>
                </c:pt>
                <c:pt idx="4839">
                  <c:v>MSFT</c:v>
                </c:pt>
                <c:pt idx="4840">
                  <c:v>MSFT</c:v>
                </c:pt>
                <c:pt idx="4841">
                  <c:v>MSFT</c:v>
                </c:pt>
                <c:pt idx="4842">
                  <c:v>MSFT</c:v>
                </c:pt>
                <c:pt idx="4843">
                  <c:v>MSFT</c:v>
                </c:pt>
                <c:pt idx="4844">
                  <c:v>MSFT</c:v>
                </c:pt>
                <c:pt idx="4845">
                  <c:v>MSFT</c:v>
                </c:pt>
                <c:pt idx="4846">
                  <c:v>MSFT</c:v>
                </c:pt>
                <c:pt idx="4847">
                  <c:v>MSFT</c:v>
                </c:pt>
                <c:pt idx="4848">
                  <c:v>MSFT</c:v>
                </c:pt>
                <c:pt idx="4849">
                  <c:v>MSFT</c:v>
                </c:pt>
                <c:pt idx="4850">
                  <c:v>MSFT</c:v>
                </c:pt>
                <c:pt idx="4851">
                  <c:v>MSFT</c:v>
                </c:pt>
                <c:pt idx="4852">
                  <c:v>MSFT</c:v>
                </c:pt>
                <c:pt idx="4853">
                  <c:v>MSFT</c:v>
                </c:pt>
                <c:pt idx="4854">
                  <c:v>MSFT</c:v>
                </c:pt>
                <c:pt idx="4855">
                  <c:v>MSFT</c:v>
                </c:pt>
                <c:pt idx="4856">
                  <c:v>MSFT</c:v>
                </c:pt>
                <c:pt idx="4857">
                  <c:v>MSFT</c:v>
                </c:pt>
                <c:pt idx="4858">
                  <c:v>MSFT</c:v>
                </c:pt>
                <c:pt idx="4859">
                  <c:v>MSFT</c:v>
                </c:pt>
                <c:pt idx="4860">
                  <c:v>MSFT</c:v>
                </c:pt>
                <c:pt idx="4861">
                  <c:v>MSFT</c:v>
                </c:pt>
                <c:pt idx="4862">
                  <c:v>MSFT</c:v>
                </c:pt>
                <c:pt idx="4863">
                  <c:v>MSFT</c:v>
                </c:pt>
                <c:pt idx="4864">
                  <c:v>MSFT</c:v>
                </c:pt>
                <c:pt idx="4865">
                  <c:v>MSFT</c:v>
                </c:pt>
                <c:pt idx="4866">
                  <c:v>MSFT</c:v>
                </c:pt>
                <c:pt idx="4867">
                  <c:v>MSFT</c:v>
                </c:pt>
                <c:pt idx="4868">
                  <c:v>MSFT</c:v>
                </c:pt>
                <c:pt idx="4869">
                  <c:v>MSFT</c:v>
                </c:pt>
                <c:pt idx="4870">
                  <c:v>MSFT</c:v>
                </c:pt>
                <c:pt idx="4871">
                  <c:v>MSFT</c:v>
                </c:pt>
                <c:pt idx="4872">
                  <c:v>MSFT</c:v>
                </c:pt>
                <c:pt idx="4873">
                  <c:v>MSFT</c:v>
                </c:pt>
                <c:pt idx="4874">
                  <c:v>MSFT</c:v>
                </c:pt>
                <c:pt idx="4875">
                  <c:v>MSFT</c:v>
                </c:pt>
                <c:pt idx="4876">
                  <c:v>MSFT</c:v>
                </c:pt>
                <c:pt idx="4877">
                  <c:v>MSFT</c:v>
                </c:pt>
                <c:pt idx="4878">
                  <c:v>MSFT</c:v>
                </c:pt>
                <c:pt idx="4879">
                  <c:v>MSFT</c:v>
                </c:pt>
                <c:pt idx="4880">
                  <c:v>MSFT</c:v>
                </c:pt>
                <c:pt idx="4881">
                  <c:v>MSFT</c:v>
                </c:pt>
                <c:pt idx="4882">
                  <c:v>MSFT</c:v>
                </c:pt>
                <c:pt idx="4883">
                  <c:v>MSFT</c:v>
                </c:pt>
                <c:pt idx="4884">
                  <c:v>MSFT</c:v>
                </c:pt>
                <c:pt idx="4885">
                  <c:v>MSFT</c:v>
                </c:pt>
                <c:pt idx="4886">
                  <c:v>MSFT</c:v>
                </c:pt>
                <c:pt idx="4887">
                  <c:v>MSFT</c:v>
                </c:pt>
                <c:pt idx="4888">
                  <c:v>MSFT</c:v>
                </c:pt>
                <c:pt idx="4889">
                  <c:v>MSFT</c:v>
                </c:pt>
                <c:pt idx="4890">
                  <c:v>MSFT</c:v>
                </c:pt>
                <c:pt idx="4891">
                  <c:v>MSFT</c:v>
                </c:pt>
                <c:pt idx="4892">
                  <c:v>MSFT</c:v>
                </c:pt>
                <c:pt idx="4893">
                  <c:v>MSFT</c:v>
                </c:pt>
                <c:pt idx="4894">
                  <c:v>MSFT</c:v>
                </c:pt>
                <c:pt idx="4895">
                  <c:v>MSFT</c:v>
                </c:pt>
                <c:pt idx="4896">
                  <c:v>MSFT</c:v>
                </c:pt>
                <c:pt idx="4897">
                  <c:v>MSFT</c:v>
                </c:pt>
                <c:pt idx="4898">
                  <c:v>MSFT</c:v>
                </c:pt>
                <c:pt idx="4899">
                  <c:v>MSFT</c:v>
                </c:pt>
                <c:pt idx="4900">
                  <c:v>MSFT</c:v>
                </c:pt>
                <c:pt idx="4901">
                  <c:v>MSFT</c:v>
                </c:pt>
                <c:pt idx="4902">
                  <c:v>MSFT</c:v>
                </c:pt>
                <c:pt idx="4903">
                  <c:v>MSFT</c:v>
                </c:pt>
                <c:pt idx="4904">
                  <c:v>MSFT</c:v>
                </c:pt>
                <c:pt idx="4905">
                  <c:v>MSFT</c:v>
                </c:pt>
                <c:pt idx="4906">
                  <c:v>MSFT</c:v>
                </c:pt>
                <c:pt idx="4907">
                  <c:v>MSFT</c:v>
                </c:pt>
                <c:pt idx="4908">
                  <c:v>MSFT</c:v>
                </c:pt>
                <c:pt idx="4909">
                  <c:v>MSFT</c:v>
                </c:pt>
                <c:pt idx="4910">
                  <c:v>MSFT</c:v>
                </c:pt>
                <c:pt idx="4911">
                  <c:v>MSFT</c:v>
                </c:pt>
                <c:pt idx="4912">
                  <c:v>MSFT</c:v>
                </c:pt>
                <c:pt idx="4913">
                  <c:v>MSFT</c:v>
                </c:pt>
                <c:pt idx="4914">
                  <c:v>MSFT</c:v>
                </c:pt>
                <c:pt idx="4915">
                  <c:v>MSFT</c:v>
                </c:pt>
                <c:pt idx="4916">
                  <c:v>MSFT</c:v>
                </c:pt>
                <c:pt idx="4917">
                  <c:v>MSFT</c:v>
                </c:pt>
                <c:pt idx="4918">
                  <c:v>MSFT</c:v>
                </c:pt>
                <c:pt idx="4919">
                  <c:v>MSFT</c:v>
                </c:pt>
                <c:pt idx="4920">
                  <c:v>MSFT</c:v>
                </c:pt>
                <c:pt idx="4921">
                  <c:v>MSFT</c:v>
                </c:pt>
                <c:pt idx="4922">
                  <c:v>MSFT</c:v>
                </c:pt>
                <c:pt idx="4923">
                  <c:v>MSFT</c:v>
                </c:pt>
                <c:pt idx="4924">
                  <c:v>MSFT</c:v>
                </c:pt>
                <c:pt idx="4925">
                  <c:v>MSFT</c:v>
                </c:pt>
                <c:pt idx="4926">
                  <c:v>MSFT</c:v>
                </c:pt>
                <c:pt idx="4927">
                  <c:v>MSFT</c:v>
                </c:pt>
                <c:pt idx="4928">
                  <c:v>MSFT</c:v>
                </c:pt>
                <c:pt idx="4929">
                  <c:v>MSFT</c:v>
                </c:pt>
                <c:pt idx="4930">
                  <c:v>MSFT</c:v>
                </c:pt>
                <c:pt idx="4931">
                  <c:v>MSFT</c:v>
                </c:pt>
                <c:pt idx="4932">
                  <c:v>MSFT</c:v>
                </c:pt>
                <c:pt idx="4933">
                  <c:v>MSFT</c:v>
                </c:pt>
                <c:pt idx="4934">
                  <c:v>MSFT</c:v>
                </c:pt>
                <c:pt idx="4935">
                  <c:v>MSFT</c:v>
                </c:pt>
                <c:pt idx="4936">
                  <c:v>MSFT</c:v>
                </c:pt>
                <c:pt idx="4937">
                  <c:v>MSFT</c:v>
                </c:pt>
                <c:pt idx="4938">
                  <c:v>MSFT</c:v>
                </c:pt>
                <c:pt idx="4939">
                  <c:v>MSFT</c:v>
                </c:pt>
                <c:pt idx="4940">
                  <c:v>MSFT</c:v>
                </c:pt>
                <c:pt idx="4941">
                  <c:v>MSFT</c:v>
                </c:pt>
                <c:pt idx="4942">
                  <c:v>MSFT</c:v>
                </c:pt>
                <c:pt idx="4943">
                  <c:v>MSFT</c:v>
                </c:pt>
                <c:pt idx="4944">
                  <c:v>MSFT</c:v>
                </c:pt>
                <c:pt idx="4945">
                  <c:v>MSFT</c:v>
                </c:pt>
                <c:pt idx="4946">
                  <c:v>MSFT</c:v>
                </c:pt>
                <c:pt idx="4947">
                  <c:v>MSFT</c:v>
                </c:pt>
                <c:pt idx="4948">
                  <c:v>MSFT</c:v>
                </c:pt>
                <c:pt idx="4949">
                  <c:v>MSFT</c:v>
                </c:pt>
                <c:pt idx="4950">
                  <c:v>MSFT</c:v>
                </c:pt>
                <c:pt idx="4951">
                  <c:v>MSFT</c:v>
                </c:pt>
                <c:pt idx="4952">
                  <c:v>MSFT</c:v>
                </c:pt>
                <c:pt idx="4953">
                  <c:v>MSFT</c:v>
                </c:pt>
                <c:pt idx="4954">
                  <c:v>MSFT</c:v>
                </c:pt>
                <c:pt idx="4955">
                  <c:v>MSFT</c:v>
                </c:pt>
                <c:pt idx="4956">
                  <c:v>MSFT</c:v>
                </c:pt>
                <c:pt idx="4957">
                  <c:v>MSFT</c:v>
                </c:pt>
                <c:pt idx="4958">
                  <c:v>MSFT</c:v>
                </c:pt>
                <c:pt idx="4959">
                  <c:v>MSFT</c:v>
                </c:pt>
                <c:pt idx="4960">
                  <c:v>MSFT</c:v>
                </c:pt>
                <c:pt idx="4961">
                  <c:v>MSFT</c:v>
                </c:pt>
                <c:pt idx="4962">
                  <c:v>MSFT</c:v>
                </c:pt>
                <c:pt idx="4963">
                  <c:v>MSFT</c:v>
                </c:pt>
                <c:pt idx="4964">
                  <c:v>MSFT</c:v>
                </c:pt>
                <c:pt idx="4965">
                  <c:v>MSFT</c:v>
                </c:pt>
                <c:pt idx="4966">
                  <c:v>MSFT</c:v>
                </c:pt>
                <c:pt idx="4967">
                  <c:v>MSFT</c:v>
                </c:pt>
                <c:pt idx="4968">
                  <c:v>MSFT</c:v>
                </c:pt>
                <c:pt idx="4969">
                  <c:v>MSFT</c:v>
                </c:pt>
                <c:pt idx="4970">
                  <c:v>MSFT</c:v>
                </c:pt>
                <c:pt idx="4971">
                  <c:v>MSFT</c:v>
                </c:pt>
                <c:pt idx="4972">
                  <c:v>MSFT</c:v>
                </c:pt>
                <c:pt idx="4973">
                  <c:v>MSFT</c:v>
                </c:pt>
                <c:pt idx="4974">
                  <c:v>MSFT</c:v>
                </c:pt>
                <c:pt idx="4975">
                  <c:v>MSFT</c:v>
                </c:pt>
                <c:pt idx="4976">
                  <c:v>MSFT</c:v>
                </c:pt>
                <c:pt idx="4977">
                  <c:v>MSFT</c:v>
                </c:pt>
                <c:pt idx="4978">
                  <c:v>MSFT</c:v>
                </c:pt>
                <c:pt idx="4979">
                  <c:v>MSFT</c:v>
                </c:pt>
                <c:pt idx="4980">
                  <c:v>MSFT</c:v>
                </c:pt>
                <c:pt idx="4981">
                  <c:v>MSFT</c:v>
                </c:pt>
                <c:pt idx="4982">
                  <c:v>MSFT</c:v>
                </c:pt>
                <c:pt idx="4983">
                  <c:v>MSFT</c:v>
                </c:pt>
                <c:pt idx="4984">
                  <c:v>MSFT</c:v>
                </c:pt>
                <c:pt idx="4985">
                  <c:v>MSFT</c:v>
                </c:pt>
                <c:pt idx="4986">
                  <c:v>MSFT</c:v>
                </c:pt>
                <c:pt idx="4987">
                  <c:v>MSFT</c:v>
                </c:pt>
                <c:pt idx="4988">
                  <c:v>MSFT</c:v>
                </c:pt>
                <c:pt idx="4989">
                  <c:v>MSFT</c:v>
                </c:pt>
                <c:pt idx="4990">
                  <c:v>MSFT</c:v>
                </c:pt>
                <c:pt idx="4991">
                  <c:v>MSFT</c:v>
                </c:pt>
                <c:pt idx="4992">
                  <c:v>MSFT</c:v>
                </c:pt>
                <c:pt idx="4993">
                  <c:v>MSFT</c:v>
                </c:pt>
                <c:pt idx="4994">
                  <c:v>MSFT</c:v>
                </c:pt>
                <c:pt idx="4995">
                  <c:v>MSFT</c:v>
                </c:pt>
                <c:pt idx="4996">
                  <c:v>MSFT</c:v>
                </c:pt>
                <c:pt idx="4997">
                  <c:v>MSFT</c:v>
                </c:pt>
                <c:pt idx="4998">
                  <c:v>MSFT</c:v>
                </c:pt>
                <c:pt idx="4999">
                  <c:v>MSFT</c:v>
                </c:pt>
                <c:pt idx="5000">
                  <c:v>MSFT</c:v>
                </c:pt>
                <c:pt idx="5001">
                  <c:v>MSFT</c:v>
                </c:pt>
                <c:pt idx="5002">
                  <c:v>MSFT</c:v>
                </c:pt>
                <c:pt idx="5003">
                  <c:v>MSFT</c:v>
                </c:pt>
                <c:pt idx="5004">
                  <c:v>MSFT</c:v>
                </c:pt>
                <c:pt idx="5005">
                  <c:v>MSFT</c:v>
                </c:pt>
                <c:pt idx="5006">
                  <c:v>MSFT</c:v>
                </c:pt>
                <c:pt idx="5007">
                  <c:v>MSFT</c:v>
                </c:pt>
                <c:pt idx="5008">
                  <c:v>MSFT</c:v>
                </c:pt>
                <c:pt idx="5009">
                  <c:v>MSFT</c:v>
                </c:pt>
                <c:pt idx="5010">
                  <c:v>MSFT</c:v>
                </c:pt>
                <c:pt idx="5011">
                  <c:v>MSFT</c:v>
                </c:pt>
                <c:pt idx="5012">
                  <c:v>MSFT</c:v>
                </c:pt>
                <c:pt idx="5013">
                  <c:v>MSFT</c:v>
                </c:pt>
                <c:pt idx="5014">
                  <c:v>MSFT</c:v>
                </c:pt>
                <c:pt idx="5015">
                  <c:v>MSFT</c:v>
                </c:pt>
                <c:pt idx="5016">
                  <c:v>MSFT</c:v>
                </c:pt>
                <c:pt idx="5017">
                  <c:v>MSFT</c:v>
                </c:pt>
                <c:pt idx="5018">
                  <c:v>MSFT</c:v>
                </c:pt>
                <c:pt idx="5019">
                  <c:v>MSFT</c:v>
                </c:pt>
                <c:pt idx="5020">
                  <c:v>MSFT</c:v>
                </c:pt>
                <c:pt idx="5021">
                  <c:v>MSFT</c:v>
                </c:pt>
                <c:pt idx="5022">
                  <c:v>MSFT</c:v>
                </c:pt>
                <c:pt idx="5023">
                  <c:v>MSFT</c:v>
                </c:pt>
                <c:pt idx="5024">
                  <c:v>MSFT</c:v>
                </c:pt>
                <c:pt idx="5025">
                  <c:v>MSFT</c:v>
                </c:pt>
                <c:pt idx="5026">
                  <c:v>MSFT</c:v>
                </c:pt>
                <c:pt idx="5027">
                  <c:v>MSFT</c:v>
                </c:pt>
                <c:pt idx="5028">
                  <c:v>MSFT</c:v>
                </c:pt>
                <c:pt idx="5029">
                  <c:v>MSFT</c:v>
                </c:pt>
                <c:pt idx="5030">
                  <c:v>MSFT</c:v>
                </c:pt>
                <c:pt idx="5031">
                  <c:v>MSFT</c:v>
                </c:pt>
                <c:pt idx="5032">
                  <c:v>MSFT</c:v>
                </c:pt>
                <c:pt idx="5033">
                  <c:v>MSFT</c:v>
                </c:pt>
                <c:pt idx="5034">
                  <c:v>MSFT</c:v>
                </c:pt>
                <c:pt idx="5035">
                  <c:v>MSFT</c:v>
                </c:pt>
                <c:pt idx="5036">
                  <c:v>MSFT</c:v>
                </c:pt>
                <c:pt idx="5037">
                  <c:v>MSFT</c:v>
                </c:pt>
                <c:pt idx="5038">
                  <c:v>MSFT</c:v>
                </c:pt>
                <c:pt idx="5039">
                  <c:v>MSFT</c:v>
                </c:pt>
                <c:pt idx="5040">
                  <c:v>MSFT</c:v>
                </c:pt>
                <c:pt idx="5041">
                  <c:v>MSFT</c:v>
                </c:pt>
                <c:pt idx="5042">
                  <c:v>MSFT</c:v>
                </c:pt>
                <c:pt idx="5043">
                  <c:v>MSFT</c:v>
                </c:pt>
                <c:pt idx="5044">
                  <c:v>MSFT</c:v>
                </c:pt>
                <c:pt idx="5045">
                  <c:v>MSFT</c:v>
                </c:pt>
                <c:pt idx="5046">
                  <c:v>MSFT</c:v>
                </c:pt>
                <c:pt idx="5047">
                  <c:v>MSFT</c:v>
                </c:pt>
                <c:pt idx="5048">
                  <c:v>MSFT</c:v>
                </c:pt>
                <c:pt idx="5049">
                  <c:v>MSFT</c:v>
                </c:pt>
                <c:pt idx="5050">
                  <c:v>MSFT</c:v>
                </c:pt>
                <c:pt idx="5051">
                  <c:v>MSFT</c:v>
                </c:pt>
                <c:pt idx="5052">
                  <c:v>MSFT</c:v>
                </c:pt>
                <c:pt idx="5053">
                  <c:v>MSFT</c:v>
                </c:pt>
                <c:pt idx="5054">
                  <c:v>MSFT</c:v>
                </c:pt>
                <c:pt idx="5055">
                  <c:v>MSFT</c:v>
                </c:pt>
                <c:pt idx="5056">
                  <c:v>MSFT</c:v>
                </c:pt>
                <c:pt idx="5057">
                  <c:v>MSFT</c:v>
                </c:pt>
                <c:pt idx="5058">
                  <c:v>MSFT</c:v>
                </c:pt>
                <c:pt idx="5059">
                  <c:v>MSFT</c:v>
                </c:pt>
                <c:pt idx="5060">
                  <c:v>MSFT</c:v>
                </c:pt>
                <c:pt idx="5061">
                  <c:v>MSFT</c:v>
                </c:pt>
                <c:pt idx="5062">
                  <c:v>MSFT</c:v>
                </c:pt>
                <c:pt idx="5063">
                  <c:v>MSFT</c:v>
                </c:pt>
                <c:pt idx="5064">
                  <c:v>MSFT</c:v>
                </c:pt>
                <c:pt idx="5065">
                  <c:v>MSFT</c:v>
                </c:pt>
                <c:pt idx="5066">
                  <c:v>MSFT</c:v>
                </c:pt>
                <c:pt idx="5067">
                  <c:v>MSFT</c:v>
                </c:pt>
                <c:pt idx="5068">
                  <c:v>MSFT</c:v>
                </c:pt>
                <c:pt idx="5069">
                  <c:v>MSFT</c:v>
                </c:pt>
                <c:pt idx="5070">
                  <c:v>MSFT</c:v>
                </c:pt>
                <c:pt idx="5071">
                  <c:v>MSFT</c:v>
                </c:pt>
                <c:pt idx="5072">
                  <c:v>MSFT</c:v>
                </c:pt>
                <c:pt idx="5073">
                  <c:v>MSFT</c:v>
                </c:pt>
                <c:pt idx="5074">
                  <c:v>MSFT</c:v>
                </c:pt>
                <c:pt idx="5075">
                  <c:v>MSFT</c:v>
                </c:pt>
                <c:pt idx="5076">
                  <c:v>MSFT</c:v>
                </c:pt>
                <c:pt idx="5077">
                  <c:v>MSFT</c:v>
                </c:pt>
                <c:pt idx="5078">
                  <c:v>MSFT</c:v>
                </c:pt>
                <c:pt idx="5079">
                  <c:v>MSFT</c:v>
                </c:pt>
                <c:pt idx="5080">
                  <c:v>MSFT</c:v>
                </c:pt>
                <c:pt idx="5081">
                  <c:v>MSFT</c:v>
                </c:pt>
                <c:pt idx="5082">
                  <c:v>MSFT</c:v>
                </c:pt>
                <c:pt idx="5083">
                  <c:v>MSFT</c:v>
                </c:pt>
                <c:pt idx="5084">
                  <c:v>MSFT</c:v>
                </c:pt>
                <c:pt idx="5085">
                  <c:v>MSFT</c:v>
                </c:pt>
                <c:pt idx="5086">
                  <c:v>MSFT</c:v>
                </c:pt>
                <c:pt idx="5087">
                  <c:v>MSFT</c:v>
                </c:pt>
                <c:pt idx="5088">
                  <c:v>MSFT</c:v>
                </c:pt>
                <c:pt idx="5089">
                  <c:v>MSFT</c:v>
                </c:pt>
                <c:pt idx="5090">
                  <c:v>MSFT</c:v>
                </c:pt>
                <c:pt idx="5091">
                  <c:v>MSFT</c:v>
                </c:pt>
                <c:pt idx="5092">
                  <c:v>MSFT</c:v>
                </c:pt>
                <c:pt idx="5093">
                  <c:v>MSFT</c:v>
                </c:pt>
                <c:pt idx="5094">
                  <c:v>MSFT</c:v>
                </c:pt>
                <c:pt idx="5095">
                  <c:v>MSFT</c:v>
                </c:pt>
                <c:pt idx="5096">
                  <c:v>MSFT</c:v>
                </c:pt>
                <c:pt idx="5097">
                  <c:v>MSFT</c:v>
                </c:pt>
                <c:pt idx="5098">
                  <c:v>MSFT</c:v>
                </c:pt>
                <c:pt idx="5099">
                  <c:v>MSFT</c:v>
                </c:pt>
                <c:pt idx="5100">
                  <c:v>MSFT</c:v>
                </c:pt>
                <c:pt idx="5101">
                  <c:v>MSFT</c:v>
                </c:pt>
                <c:pt idx="5102">
                  <c:v>MSFT</c:v>
                </c:pt>
                <c:pt idx="5103">
                  <c:v>MSFT</c:v>
                </c:pt>
                <c:pt idx="5104">
                  <c:v>MSFT</c:v>
                </c:pt>
                <c:pt idx="5105">
                  <c:v>MSFT</c:v>
                </c:pt>
                <c:pt idx="5106">
                  <c:v>MSFT</c:v>
                </c:pt>
                <c:pt idx="5107">
                  <c:v>MSFT</c:v>
                </c:pt>
                <c:pt idx="5108">
                  <c:v>MSFT</c:v>
                </c:pt>
                <c:pt idx="5109">
                  <c:v>MSFT</c:v>
                </c:pt>
                <c:pt idx="5110">
                  <c:v>MSFT</c:v>
                </c:pt>
                <c:pt idx="5111">
                  <c:v>MSFT</c:v>
                </c:pt>
                <c:pt idx="5112">
                  <c:v>MSFT</c:v>
                </c:pt>
                <c:pt idx="5113">
                  <c:v>MSFT</c:v>
                </c:pt>
                <c:pt idx="5114">
                  <c:v>MSFT</c:v>
                </c:pt>
                <c:pt idx="5115">
                  <c:v>MSFT</c:v>
                </c:pt>
                <c:pt idx="5116">
                  <c:v>MSFT</c:v>
                </c:pt>
                <c:pt idx="5117">
                  <c:v>MSFT</c:v>
                </c:pt>
                <c:pt idx="5118">
                  <c:v>MSFT</c:v>
                </c:pt>
                <c:pt idx="5119">
                  <c:v>MSFT</c:v>
                </c:pt>
                <c:pt idx="5120">
                  <c:v>MSFT</c:v>
                </c:pt>
                <c:pt idx="5121">
                  <c:v>MSFT</c:v>
                </c:pt>
                <c:pt idx="5122">
                  <c:v>MSFT</c:v>
                </c:pt>
                <c:pt idx="5123">
                  <c:v>MSFT</c:v>
                </c:pt>
                <c:pt idx="5124">
                  <c:v>MSFT</c:v>
                </c:pt>
                <c:pt idx="5125">
                  <c:v>MSFT</c:v>
                </c:pt>
                <c:pt idx="5126">
                  <c:v>MSFT</c:v>
                </c:pt>
                <c:pt idx="5127">
                  <c:v>MSFT</c:v>
                </c:pt>
                <c:pt idx="5128">
                  <c:v>MSFT</c:v>
                </c:pt>
                <c:pt idx="5129">
                  <c:v>MSFT</c:v>
                </c:pt>
                <c:pt idx="5130">
                  <c:v>MSFT</c:v>
                </c:pt>
                <c:pt idx="5131">
                  <c:v>MSFT</c:v>
                </c:pt>
                <c:pt idx="5132">
                  <c:v>MSFT</c:v>
                </c:pt>
                <c:pt idx="5133">
                  <c:v>MSFT</c:v>
                </c:pt>
                <c:pt idx="5134">
                  <c:v>MSFT</c:v>
                </c:pt>
                <c:pt idx="5135">
                  <c:v>MSFT</c:v>
                </c:pt>
                <c:pt idx="5136">
                  <c:v>MSFT</c:v>
                </c:pt>
                <c:pt idx="5137">
                  <c:v>MSFT</c:v>
                </c:pt>
                <c:pt idx="5138">
                  <c:v>MSFT</c:v>
                </c:pt>
                <c:pt idx="5139">
                  <c:v>MSFT</c:v>
                </c:pt>
                <c:pt idx="5140">
                  <c:v>MSFT</c:v>
                </c:pt>
                <c:pt idx="5141">
                  <c:v>PRHSX</c:v>
                </c:pt>
                <c:pt idx="5142">
                  <c:v>PRHSX</c:v>
                </c:pt>
                <c:pt idx="5143">
                  <c:v>PRHSX</c:v>
                </c:pt>
                <c:pt idx="5144">
                  <c:v>PRHSX</c:v>
                </c:pt>
                <c:pt idx="5145">
                  <c:v>PRHSX</c:v>
                </c:pt>
                <c:pt idx="5146">
                  <c:v>PRHSX</c:v>
                </c:pt>
                <c:pt idx="5147">
                  <c:v>PRHSX</c:v>
                </c:pt>
                <c:pt idx="5148">
                  <c:v>PRHSX</c:v>
                </c:pt>
                <c:pt idx="5149">
                  <c:v>PRHSX</c:v>
                </c:pt>
                <c:pt idx="5150">
                  <c:v>PRHSX</c:v>
                </c:pt>
                <c:pt idx="5151">
                  <c:v>PRHSX</c:v>
                </c:pt>
                <c:pt idx="5152">
                  <c:v>PRHSX</c:v>
                </c:pt>
                <c:pt idx="5153">
                  <c:v>PRHSX</c:v>
                </c:pt>
                <c:pt idx="5154">
                  <c:v>PRHSX</c:v>
                </c:pt>
                <c:pt idx="5155">
                  <c:v>PRHSX</c:v>
                </c:pt>
                <c:pt idx="5156">
                  <c:v>PRHSX</c:v>
                </c:pt>
                <c:pt idx="5157">
                  <c:v>PRHSX</c:v>
                </c:pt>
                <c:pt idx="5158">
                  <c:v>PRHSX</c:v>
                </c:pt>
                <c:pt idx="5159">
                  <c:v>PRHSX</c:v>
                </c:pt>
                <c:pt idx="5160">
                  <c:v>PRHSX</c:v>
                </c:pt>
                <c:pt idx="5161">
                  <c:v>PRHSX</c:v>
                </c:pt>
                <c:pt idx="5162">
                  <c:v>PRHSX</c:v>
                </c:pt>
                <c:pt idx="5163">
                  <c:v>PRHSX</c:v>
                </c:pt>
                <c:pt idx="5164">
                  <c:v>PRHSX</c:v>
                </c:pt>
                <c:pt idx="5165">
                  <c:v>PRHSX</c:v>
                </c:pt>
                <c:pt idx="5166">
                  <c:v>PRHSX</c:v>
                </c:pt>
                <c:pt idx="5167">
                  <c:v>PRHSX</c:v>
                </c:pt>
                <c:pt idx="5168">
                  <c:v>PRHSX</c:v>
                </c:pt>
                <c:pt idx="5169">
                  <c:v>PRHSX</c:v>
                </c:pt>
                <c:pt idx="5170">
                  <c:v>PRHSX</c:v>
                </c:pt>
                <c:pt idx="5171">
                  <c:v>PRHSX</c:v>
                </c:pt>
                <c:pt idx="5172">
                  <c:v>PRHSX</c:v>
                </c:pt>
                <c:pt idx="5173">
                  <c:v>PRHSX</c:v>
                </c:pt>
                <c:pt idx="5174">
                  <c:v>PRHSX</c:v>
                </c:pt>
                <c:pt idx="5175">
                  <c:v>PRHSX</c:v>
                </c:pt>
                <c:pt idx="5176">
                  <c:v>PRHSX</c:v>
                </c:pt>
                <c:pt idx="5177">
                  <c:v>PRHSX</c:v>
                </c:pt>
                <c:pt idx="5178">
                  <c:v>PRHSX</c:v>
                </c:pt>
                <c:pt idx="5179">
                  <c:v>PRHSX</c:v>
                </c:pt>
                <c:pt idx="5180">
                  <c:v>PRHSX</c:v>
                </c:pt>
                <c:pt idx="5181">
                  <c:v>PRHSX</c:v>
                </c:pt>
                <c:pt idx="5182">
                  <c:v>PRHSX</c:v>
                </c:pt>
                <c:pt idx="5183">
                  <c:v>PRHSX</c:v>
                </c:pt>
                <c:pt idx="5184">
                  <c:v>PRHSX</c:v>
                </c:pt>
                <c:pt idx="5185">
                  <c:v>PRHSX</c:v>
                </c:pt>
                <c:pt idx="5186">
                  <c:v>PRHSX</c:v>
                </c:pt>
                <c:pt idx="5187">
                  <c:v>PRHSX</c:v>
                </c:pt>
                <c:pt idx="5188">
                  <c:v>PRHSX</c:v>
                </c:pt>
                <c:pt idx="5189">
                  <c:v>PRHSX</c:v>
                </c:pt>
                <c:pt idx="5190">
                  <c:v>PRHSX</c:v>
                </c:pt>
                <c:pt idx="5191">
                  <c:v>PRHSX</c:v>
                </c:pt>
                <c:pt idx="5192">
                  <c:v>PRHSX</c:v>
                </c:pt>
                <c:pt idx="5193">
                  <c:v>PRHSX</c:v>
                </c:pt>
                <c:pt idx="5194">
                  <c:v>PRHSX</c:v>
                </c:pt>
                <c:pt idx="5195">
                  <c:v>PRHSX</c:v>
                </c:pt>
                <c:pt idx="5196">
                  <c:v>PRHSX</c:v>
                </c:pt>
                <c:pt idx="5197">
                  <c:v>PRHSX</c:v>
                </c:pt>
                <c:pt idx="5198">
                  <c:v>PRHSX</c:v>
                </c:pt>
                <c:pt idx="5199">
                  <c:v>PRHSX</c:v>
                </c:pt>
                <c:pt idx="5200">
                  <c:v>PRHSX</c:v>
                </c:pt>
                <c:pt idx="5201">
                  <c:v>PRHSX</c:v>
                </c:pt>
                <c:pt idx="5202">
                  <c:v>PRHSX</c:v>
                </c:pt>
                <c:pt idx="5203">
                  <c:v>PRHSX</c:v>
                </c:pt>
                <c:pt idx="5204">
                  <c:v>PRHSX</c:v>
                </c:pt>
                <c:pt idx="5205">
                  <c:v>PRHSX</c:v>
                </c:pt>
                <c:pt idx="5206">
                  <c:v>PRHSX</c:v>
                </c:pt>
                <c:pt idx="5207">
                  <c:v>PRHSX</c:v>
                </c:pt>
                <c:pt idx="5208">
                  <c:v>PRHSX</c:v>
                </c:pt>
                <c:pt idx="5209">
                  <c:v>PRHSX</c:v>
                </c:pt>
                <c:pt idx="5210">
                  <c:v>PRHSX</c:v>
                </c:pt>
                <c:pt idx="5211">
                  <c:v>PRHSX</c:v>
                </c:pt>
                <c:pt idx="5212">
                  <c:v>PRHSX</c:v>
                </c:pt>
                <c:pt idx="5213">
                  <c:v>PRHSX</c:v>
                </c:pt>
                <c:pt idx="5214">
                  <c:v>PRHSX</c:v>
                </c:pt>
                <c:pt idx="5215">
                  <c:v>PRHSX</c:v>
                </c:pt>
                <c:pt idx="5216">
                  <c:v>PRHSX</c:v>
                </c:pt>
                <c:pt idx="5217">
                  <c:v>PRHSX</c:v>
                </c:pt>
                <c:pt idx="5218">
                  <c:v>PRHSX</c:v>
                </c:pt>
                <c:pt idx="5219">
                  <c:v>PRHSX</c:v>
                </c:pt>
                <c:pt idx="5220">
                  <c:v>PRHSX</c:v>
                </c:pt>
                <c:pt idx="5221">
                  <c:v>PRHSX</c:v>
                </c:pt>
                <c:pt idx="5222">
                  <c:v>PRHSX</c:v>
                </c:pt>
                <c:pt idx="5223">
                  <c:v>PRHSX</c:v>
                </c:pt>
                <c:pt idx="5224">
                  <c:v>PRHSX</c:v>
                </c:pt>
                <c:pt idx="5225">
                  <c:v>PRHSX</c:v>
                </c:pt>
                <c:pt idx="5226">
                  <c:v>PRHSX</c:v>
                </c:pt>
                <c:pt idx="5227">
                  <c:v>PRHSX</c:v>
                </c:pt>
                <c:pt idx="5228">
                  <c:v>PRHSX</c:v>
                </c:pt>
                <c:pt idx="5229">
                  <c:v>PRHSX</c:v>
                </c:pt>
                <c:pt idx="5230">
                  <c:v>PRHSX</c:v>
                </c:pt>
                <c:pt idx="5231">
                  <c:v>PRHSX</c:v>
                </c:pt>
                <c:pt idx="5232">
                  <c:v>PRHSX</c:v>
                </c:pt>
                <c:pt idx="5233">
                  <c:v>PRHSX</c:v>
                </c:pt>
                <c:pt idx="5234">
                  <c:v>PRHSX</c:v>
                </c:pt>
                <c:pt idx="5235">
                  <c:v>PRHSX</c:v>
                </c:pt>
                <c:pt idx="5236">
                  <c:v>PRHSX</c:v>
                </c:pt>
                <c:pt idx="5237">
                  <c:v>PRHSX</c:v>
                </c:pt>
                <c:pt idx="5238">
                  <c:v>PRHSX</c:v>
                </c:pt>
                <c:pt idx="5239">
                  <c:v>PRHSX</c:v>
                </c:pt>
                <c:pt idx="5240">
                  <c:v>PRHSX</c:v>
                </c:pt>
                <c:pt idx="5241">
                  <c:v>PRHSX</c:v>
                </c:pt>
                <c:pt idx="5242">
                  <c:v>PRHSX</c:v>
                </c:pt>
                <c:pt idx="5243">
                  <c:v>PRHSX</c:v>
                </c:pt>
                <c:pt idx="5244">
                  <c:v>PRHSX</c:v>
                </c:pt>
                <c:pt idx="5245">
                  <c:v>PRHSX</c:v>
                </c:pt>
                <c:pt idx="5246">
                  <c:v>PRHSX</c:v>
                </c:pt>
                <c:pt idx="5247">
                  <c:v>PRHSX</c:v>
                </c:pt>
                <c:pt idx="5248">
                  <c:v>PRHSX</c:v>
                </c:pt>
                <c:pt idx="5249">
                  <c:v>PRHSX</c:v>
                </c:pt>
                <c:pt idx="5250">
                  <c:v>PRHSX</c:v>
                </c:pt>
                <c:pt idx="5251">
                  <c:v>PRHSX</c:v>
                </c:pt>
                <c:pt idx="5252">
                  <c:v>PRHSX</c:v>
                </c:pt>
                <c:pt idx="5253">
                  <c:v>PRHSX</c:v>
                </c:pt>
                <c:pt idx="5254">
                  <c:v>PRHSX</c:v>
                </c:pt>
                <c:pt idx="5255">
                  <c:v>PRHSX</c:v>
                </c:pt>
                <c:pt idx="5256">
                  <c:v>PRHSX</c:v>
                </c:pt>
                <c:pt idx="5257">
                  <c:v>PRHSX</c:v>
                </c:pt>
                <c:pt idx="5258">
                  <c:v>PRHSX</c:v>
                </c:pt>
                <c:pt idx="5259">
                  <c:v>PRHSX</c:v>
                </c:pt>
                <c:pt idx="5260">
                  <c:v>PRHSX</c:v>
                </c:pt>
                <c:pt idx="5261">
                  <c:v>PRHSX</c:v>
                </c:pt>
                <c:pt idx="5262">
                  <c:v>PRHSX</c:v>
                </c:pt>
                <c:pt idx="5263">
                  <c:v>PRHSX</c:v>
                </c:pt>
                <c:pt idx="5264">
                  <c:v>PRHSX</c:v>
                </c:pt>
                <c:pt idx="5265">
                  <c:v>PRHSX</c:v>
                </c:pt>
                <c:pt idx="5266">
                  <c:v>PRHSX</c:v>
                </c:pt>
                <c:pt idx="5267">
                  <c:v>PRHSX</c:v>
                </c:pt>
                <c:pt idx="5268">
                  <c:v>PRHSX</c:v>
                </c:pt>
                <c:pt idx="5269">
                  <c:v>PRHSX</c:v>
                </c:pt>
                <c:pt idx="5270">
                  <c:v>PRHSX</c:v>
                </c:pt>
                <c:pt idx="5271">
                  <c:v>PRHSX</c:v>
                </c:pt>
                <c:pt idx="5272">
                  <c:v>PRHSX</c:v>
                </c:pt>
                <c:pt idx="5273">
                  <c:v>PRHSX</c:v>
                </c:pt>
                <c:pt idx="5274">
                  <c:v>PRHSX</c:v>
                </c:pt>
                <c:pt idx="5275">
                  <c:v>PRHSX</c:v>
                </c:pt>
                <c:pt idx="5276">
                  <c:v>PRHSX</c:v>
                </c:pt>
                <c:pt idx="5277">
                  <c:v>PRHSX</c:v>
                </c:pt>
                <c:pt idx="5278">
                  <c:v>PRHSX</c:v>
                </c:pt>
                <c:pt idx="5279">
                  <c:v>PRHSX</c:v>
                </c:pt>
                <c:pt idx="5280">
                  <c:v>PRHSX</c:v>
                </c:pt>
                <c:pt idx="5281">
                  <c:v>PRHSX</c:v>
                </c:pt>
                <c:pt idx="5282">
                  <c:v>PRHSX</c:v>
                </c:pt>
                <c:pt idx="5283">
                  <c:v>PRHSX</c:v>
                </c:pt>
                <c:pt idx="5284">
                  <c:v>PRHSX</c:v>
                </c:pt>
                <c:pt idx="5285">
                  <c:v>PRHSX</c:v>
                </c:pt>
                <c:pt idx="5286">
                  <c:v>PRHSX</c:v>
                </c:pt>
                <c:pt idx="5287">
                  <c:v>PRHSX</c:v>
                </c:pt>
                <c:pt idx="5288">
                  <c:v>PRHSX</c:v>
                </c:pt>
                <c:pt idx="5289">
                  <c:v>PRHSX</c:v>
                </c:pt>
                <c:pt idx="5290">
                  <c:v>PRHSX</c:v>
                </c:pt>
                <c:pt idx="5291">
                  <c:v>PRHSX</c:v>
                </c:pt>
                <c:pt idx="5292">
                  <c:v>PRHSX</c:v>
                </c:pt>
                <c:pt idx="5293">
                  <c:v>PRHSX</c:v>
                </c:pt>
                <c:pt idx="5294">
                  <c:v>PRHSX</c:v>
                </c:pt>
                <c:pt idx="5295">
                  <c:v>PRHSX</c:v>
                </c:pt>
                <c:pt idx="5296">
                  <c:v>PRHSX</c:v>
                </c:pt>
                <c:pt idx="5297">
                  <c:v>PRHSX</c:v>
                </c:pt>
                <c:pt idx="5298">
                  <c:v>PRHSX</c:v>
                </c:pt>
                <c:pt idx="5299">
                  <c:v>PRHSX</c:v>
                </c:pt>
                <c:pt idx="5300">
                  <c:v>PRHSX</c:v>
                </c:pt>
                <c:pt idx="5301">
                  <c:v>PRHSX</c:v>
                </c:pt>
                <c:pt idx="5302">
                  <c:v>PRHSX</c:v>
                </c:pt>
                <c:pt idx="5303">
                  <c:v>PRHSX</c:v>
                </c:pt>
                <c:pt idx="5304">
                  <c:v>PRHSX</c:v>
                </c:pt>
                <c:pt idx="5305">
                  <c:v>PRHSX</c:v>
                </c:pt>
                <c:pt idx="5306">
                  <c:v>PRHSX</c:v>
                </c:pt>
                <c:pt idx="5307">
                  <c:v>PRHSX</c:v>
                </c:pt>
                <c:pt idx="5308">
                  <c:v>PRHSX</c:v>
                </c:pt>
                <c:pt idx="5309">
                  <c:v>PRHSX</c:v>
                </c:pt>
                <c:pt idx="5310">
                  <c:v>PRHSX</c:v>
                </c:pt>
                <c:pt idx="5311">
                  <c:v>PRHSX</c:v>
                </c:pt>
                <c:pt idx="5312">
                  <c:v>PRHSX</c:v>
                </c:pt>
                <c:pt idx="5313">
                  <c:v>PRHSX</c:v>
                </c:pt>
                <c:pt idx="5314">
                  <c:v>PRHSX</c:v>
                </c:pt>
                <c:pt idx="5315">
                  <c:v>PRHSX</c:v>
                </c:pt>
                <c:pt idx="5316">
                  <c:v>PRHSX</c:v>
                </c:pt>
                <c:pt idx="5317">
                  <c:v>PRHSX</c:v>
                </c:pt>
                <c:pt idx="5318">
                  <c:v>PRHSX</c:v>
                </c:pt>
                <c:pt idx="5319">
                  <c:v>PRHSX</c:v>
                </c:pt>
                <c:pt idx="5320">
                  <c:v>PRHSX</c:v>
                </c:pt>
                <c:pt idx="5321">
                  <c:v>PRHSX</c:v>
                </c:pt>
                <c:pt idx="5322">
                  <c:v>PRHSX</c:v>
                </c:pt>
                <c:pt idx="5323">
                  <c:v>PRHSX</c:v>
                </c:pt>
                <c:pt idx="5324">
                  <c:v>PRHSX</c:v>
                </c:pt>
                <c:pt idx="5325">
                  <c:v>PRHSX</c:v>
                </c:pt>
                <c:pt idx="5326">
                  <c:v>PRHSX</c:v>
                </c:pt>
                <c:pt idx="5327">
                  <c:v>PRHSX</c:v>
                </c:pt>
                <c:pt idx="5328">
                  <c:v>PRHSX</c:v>
                </c:pt>
                <c:pt idx="5329">
                  <c:v>PRHSX</c:v>
                </c:pt>
                <c:pt idx="5330">
                  <c:v>PRHSX</c:v>
                </c:pt>
                <c:pt idx="5331">
                  <c:v>PRHSX</c:v>
                </c:pt>
                <c:pt idx="5332">
                  <c:v>PRHSX</c:v>
                </c:pt>
                <c:pt idx="5333">
                  <c:v>PRHSX</c:v>
                </c:pt>
                <c:pt idx="5334">
                  <c:v>PRHSX</c:v>
                </c:pt>
                <c:pt idx="5335">
                  <c:v>PRHSX</c:v>
                </c:pt>
                <c:pt idx="5336">
                  <c:v>PRHSX</c:v>
                </c:pt>
                <c:pt idx="5337">
                  <c:v>PRHSX</c:v>
                </c:pt>
                <c:pt idx="5338">
                  <c:v>PRHSX</c:v>
                </c:pt>
                <c:pt idx="5339">
                  <c:v>PRHSX</c:v>
                </c:pt>
                <c:pt idx="5340">
                  <c:v>PRHSX</c:v>
                </c:pt>
                <c:pt idx="5341">
                  <c:v>PRHSX</c:v>
                </c:pt>
                <c:pt idx="5342">
                  <c:v>PRHSX</c:v>
                </c:pt>
                <c:pt idx="5343">
                  <c:v>PRHSX</c:v>
                </c:pt>
                <c:pt idx="5344">
                  <c:v>PRHSX</c:v>
                </c:pt>
                <c:pt idx="5345">
                  <c:v>PRHSX</c:v>
                </c:pt>
                <c:pt idx="5346">
                  <c:v>PRHSX</c:v>
                </c:pt>
                <c:pt idx="5347">
                  <c:v>PRHSX</c:v>
                </c:pt>
                <c:pt idx="5348">
                  <c:v>PRHSX</c:v>
                </c:pt>
                <c:pt idx="5349">
                  <c:v>PRHSX</c:v>
                </c:pt>
                <c:pt idx="5350">
                  <c:v>PRHSX</c:v>
                </c:pt>
                <c:pt idx="5351">
                  <c:v>PRHSX</c:v>
                </c:pt>
                <c:pt idx="5352">
                  <c:v>PRHSX</c:v>
                </c:pt>
                <c:pt idx="5353">
                  <c:v>PRHSX</c:v>
                </c:pt>
                <c:pt idx="5354">
                  <c:v>PRHSX</c:v>
                </c:pt>
                <c:pt idx="5355">
                  <c:v>PRHSX</c:v>
                </c:pt>
                <c:pt idx="5356">
                  <c:v>PRHSX</c:v>
                </c:pt>
                <c:pt idx="5357">
                  <c:v>PRHSX</c:v>
                </c:pt>
                <c:pt idx="5358">
                  <c:v>PRHSX</c:v>
                </c:pt>
                <c:pt idx="5359">
                  <c:v>PRHSX</c:v>
                </c:pt>
                <c:pt idx="5360">
                  <c:v>PRHSX</c:v>
                </c:pt>
                <c:pt idx="5361">
                  <c:v>PRHSX</c:v>
                </c:pt>
                <c:pt idx="5362">
                  <c:v>PRHSX</c:v>
                </c:pt>
                <c:pt idx="5363">
                  <c:v>PRHSX</c:v>
                </c:pt>
                <c:pt idx="5364">
                  <c:v>PRHSX</c:v>
                </c:pt>
                <c:pt idx="5365">
                  <c:v>PRHSX</c:v>
                </c:pt>
                <c:pt idx="5366">
                  <c:v>PRHSX</c:v>
                </c:pt>
                <c:pt idx="5367">
                  <c:v>PRHSX</c:v>
                </c:pt>
                <c:pt idx="5368">
                  <c:v>PRHSX</c:v>
                </c:pt>
                <c:pt idx="5369">
                  <c:v>PRHSX</c:v>
                </c:pt>
                <c:pt idx="5370">
                  <c:v>PRHSX</c:v>
                </c:pt>
                <c:pt idx="5371">
                  <c:v>PRHSX</c:v>
                </c:pt>
                <c:pt idx="5372">
                  <c:v>PRHSX</c:v>
                </c:pt>
                <c:pt idx="5373">
                  <c:v>PRHSX</c:v>
                </c:pt>
                <c:pt idx="5374">
                  <c:v>PRHSX</c:v>
                </c:pt>
                <c:pt idx="5375">
                  <c:v>PRHSX</c:v>
                </c:pt>
                <c:pt idx="5376">
                  <c:v>PRHSX</c:v>
                </c:pt>
                <c:pt idx="5377">
                  <c:v>PRHSX</c:v>
                </c:pt>
                <c:pt idx="5378">
                  <c:v>PRHSX</c:v>
                </c:pt>
                <c:pt idx="5379">
                  <c:v>PRHSX</c:v>
                </c:pt>
                <c:pt idx="5380">
                  <c:v>PRHSX</c:v>
                </c:pt>
                <c:pt idx="5381">
                  <c:v>PRHSX</c:v>
                </c:pt>
                <c:pt idx="5382">
                  <c:v>PRHSX</c:v>
                </c:pt>
                <c:pt idx="5383">
                  <c:v>PRHSX</c:v>
                </c:pt>
                <c:pt idx="5384">
                  <c:v>PRHSX</c:v>
                </c:pt>
                <c:pt idx="5385">
                  <c:v>PRHSX</c:v>
                </c:pt>
                <c:pt idx="5386">
                  <c:v>PRHSX</c:v>
                </c:pt>
                <c:pt idx="5387">
                  <c:v>PRHSX</c:v>
                </c:pt>
                <c:pt idx="5388">
                  <c:v>PRHSX</c:v>
                </c:pt>
                <c:pt idx="5389">
                  <c:v>PRHSX</c:v>
                </c:pt>
                <c:pt idx="5390">
                  <c:v>PRHSX</c:v>
                </c:pt>
                <c:pt idx="5391">
                  <c:v>PRHSX</c:v>
                </c:pt>
                <c:pt idx="5392">
                  <c:v>PRHSX</c:v>
                </c:pt>
                <c:pt idx="5393">
                  <c:v>PRHSX</c:v>
                </c:pt>
                <c:pt idx="5394">
                  <c:v>PRHSX</c:v>
                </c:pt>
                <c:pt idx="5395">
                  <c:v>PRHSX</c:v>
                </c:pt>
                <c:pt idx="5396">
                  <c:v>PRHSX</c:v>
                </c:pt>
                <c:pt idx="5397">
                  <c:v>PRHSX</c:v>
                </c:pt>
                <c:pt idx="5398">
                  <c:v>PRHSX</c:v>
                </c:pt>
                <c:pt idx="5399">
                  <c:v>PRHSX</c:v>
                </c:pt>
                <c:pt idx="5400">
                  <c:v>PRHSX</c:v>
                </c:pt>
                <c:pt idx="5401">
                  <c:v>PRHSX</c:v>
                </c:pt>
                <c:pt idx="5402">
                  <c:v>PRHSX</c:v>
                </c:pt>
                <c:pt idx="5403">
                  <c:v>PRHSX</c:v>
                </c:pt>
                <c:pt idx="5404">
                  <c:v>PRHSX</c:v>
                </c:pt>
                <c:pt idx="5405">
                  <c:v>PRHSX</c:v>
                </c:pt>
                <c:pt idx="5406">
                  <c:v>PRHSX</c:v>
                </c:pt>
                <c:pt idx="5407">
                  <c:v>PRHSX</c:v>
                </c:pt>
                <c:pt idx="5408">
                  <c:v>PRHSX</c:v>
                </c:pt>
                <c:pt idx="5409">
                  <c:v>PRHSX</c:v>
                </c:pt>
                <c:pt idx="5410">
                  <c:v>PRHSX</c:v>
                </c:pt>
                <c:pt idx="5411">
                  <c:v>PRHSX</c:v>
                </c:pt>
                <c:pt idx="5412">
                  <c:v>PRHSX</c:v>
                </c:pt>
                <c:pt idx="5413">
                  <c:v>PRHSX</c:v>
                </c:pt>
                <c:pt idx="5414">
                  <c:v>PRHSX</c:v>
                </c:pt>
                <c:pt idx="5415">
                  <c:v>PRHSX</c:v>
                </c:pt>
                <c:pt idx="5416">
                  <c:v>PRHSX</c:v>
                </c:pt>
                <c:pt idx="5417">
                  <c:v>PRHSX</c:v>
                </c:pt>
                <c:pt idx="5418">
                  <c:v>PRHSX</c:v>
                </c:pt>
                <c:pt idx="5419">
                  <c:v>PRHSX</c:v>
                </c:pt>
                <c:pt idx="5420">
                  <c:v>PRHSX</c:v>
                </c:pt>
                <c:pt idx="5421">
                  <c:v>PRHSX</c:v>
                </c:pt>
                <c:pt idx="5422">
                  <c:v>PRHSX</c:v>
                </c:pt>
                <c:pt idx="5423">
                  <c:v>PRHSX</c:v>
                </c:pt>
                <c:pt idx="5424">
                  <c:v>PRHSX</c:v>
                </c:pt>
                <c:pt idx="5425">
                  <c:v>PRHSX</c:v>
                </c:pt>
                <c:pt idx="5426">
                  <c:v>PRHSX</c:v>
                </c:pt>
                <c:pt idx="5427">
                  <c:v>PRHSX</c:v>
                </c:pt>
                <c:pt idx="5428">
                  <c:v>PRHSX</c:v>
                </c:pt>
                <c:pt idx="5429">
                  <c:v>PRHSX</c:v>
                </c:pt>
                <c:pt idx="5430">
                  <c:v>PRHSX</c:v>
                </c:pt>
                <c:pt idx="5431">
                  <c:v>PRHSX</c:v>
                </c:pt>
                <c:pt idx="5432">
                  <c:v>PRHSX</c:v>
                </c:pt>
                <c:pt idx="5433">
                  <c:v>PRHSX</c:v>
                </c:pt>
                <c:pt idx="5434">
                  <c:v>PRHSX</c:v>
                </c:pt>
                <c:pt idx="5435">
                  <c:v>PRHSX</c:v>
                </c:pt>
                <c:pt idx="5436">
                  <c:v>PRHSX</c:v>
                </c:pt>
                <c:pt idx="5437">
                  <c:v>PRHSX</c:v>
                </c:pt>
                <c:pt idx="5438">
                  <c:v>PRHSX</c:v>
                </c:pt>
                <c:pt idx="5439">
                  <c:v>PRHSX</c:v>
                </c:pt>
                <c:pt idx="5440">
                  <c:v>PRHSX</c:v>
                </c:pt>
                <c:pt idx="5441">
                  <c:v>PRHSX</c:v>
                </c:pt>
                <c:pt idx="5442">
                  <c:v>PRHSX</c:v>
                </c:pt>
                <c:pt idx="5443">
                  <c:v>PRHSX</c:v>
                </c:pt>
                <c:pt idx="5444">
                  <c:v>PRHSX</c:v>
                </c:pt>
                <c:pt idx="5445">
                  <c:v>PRHSX</c:v>
                </c:pt>
                <c:pt idx="5446">
                  <c:v>PRHSX</c:v>
                </c:pt>
                <c:pt idx="5447">
                  <c:v>PRHSX</c:v>
                </c:pt>
                <c:pt idx="5448">
                  <c:v>PRHSX</c:v>
                </c:pt>
                <c:pt idx="5449">
                  <c:v>PRHSX</c:v>
                </c:pt>
                <c:pt idx="5450">
                  <c:v>PRHSX</c:v>
                </c:pt>
                <c:pt idx="5451">
                  <c:v>PRHSX</c:v>
                </c:pt>
                <c:pt idx="5452">
                  <c:v>PRHSX</c:v>
                </c:pt>
                <c:pt idx="5453">
                  <c:v>PRHSX</c:v>
                </c:pt>
                <c:pt idx="5454">
                  <c:v>PRHSX</c:v>
                </c:pt>
                <c:pt idx="5455">
                  <c:v>PRHSX</c:v>
                </c:pt>
                <c:pt idx="5456">
                  <c:v>PRHSX</c:v>
                </c:pt>
                <c:pt idx="5457">
                  <c:v>PRHSX</c:v>
                </c:pt>
                <c:pt idx="5458">
                  <c:v>PRHSX</c:v>
                </c:pt>
                <c:pt idx="5459">
                  <c:v>PRHSX</c:v>
                </c:pt>
                <c:pt idx="5460">
                  <c:v>PRHSX</c:v>
                </c:pt>
                <c:pt idx="5461">
                  <c:v>PRHSX</c:v>
                </c:pt>
                <c:pt idx="5462">
                  <c:v>PRHSX</c:v>
                </c:pt>
                <c:pt idx="5463">
                  <c:v>PRHSX</c:v>
                </c:pt>
                <c:pt idx="5464">
                  <c:v>PRHSX</c:v>
                </c:pt>
                <c:pt idx="5465">
                  <c:v>PRHSX</c:v>
                </c:pt>
                <c:pt idx="5466">
                  <c:v>PRHSX</c:v>
                </c:pt>
                <c:pt idx="5467">
                  <c:v>PRHSX</c:v>
                </c:pt>
                <c:pt idx="5468">
                  <c:v>PRHSX</c:v>
                </c:pt>
                <c:pt idx="5469">
                  <c:v>PRHSX</c:v>
                </c:pt>
                <c:pt idx="5470">
                  <c:v>PRHSX</c:v>
                </c:pt>
                <c:pt idx="5471">
                  <c:v>PRHSX</c:v>
                </c:pt>
                <c:pt idx="5472">
                  <c:v>PRHSX</c:v>
                </c:pt>
                <c:pt idx="5473">
                  <c:v>PRHSX</c:v>
                </c:pt>
                <c:pt idx="5474">
                  <c:v>PRHSX</c:v>
                </c:pt>
                <c:pt idx="5475">
                  <c:v>PRHSX</c:v>
                </c:pt>
                <c:pt idx="5476">
                  <c:v>PRHSX</c:v>
                </c:pt>
                <c:pt idx="5477">
                  <c:v>PRHSX</c:v>
                </c:pt>
                <c:pt idx="5478">
                  <c:v>PRHSX</c:v>
                </c:pt>
                <c:pt idx="5479">
                  <c:v>PRHSX</c:v>
                </c:pt>
                <c:pt idx="5480">
                  <c:v>PRHSX</c:v>
                </c:pt>
                <c:pt idx="5481">
                  <c:v>PRHSX</c:v>
                </c:pt>
                <c:pt idx="5482">
                  <c:v>PRHSX</c:v>
                </c:pt>
                <c:pt idx="5483">
                  <c:v>PRHSX</c:v>
                </c:pt>
                <c:pt idx="5484">
                  <c:v>PRHSX</c:v>
                </c:pt>
                <c:pt idx="5485">
                  <c:v>PRHSX</c:v>
                </c:pt>
                <c:pt idx="5486">
                  <c:v>PRHSX</c:v>
                </c:pt>
                <c:pt idx="5487">
                  <c:v>PRHSX</c:v>
                </c:pt>
                <c:pt idx="5488">
                  <c:v>PRHSX</c:v>
                </c:pt>
                <c:pt idx="5489">
                  <c:v>PRHSX</c:v>
                </c:pt>
                <c:pt idx="5490">
                  <c:v>PRHSX</c:v>
                </c:pt>
                <c:pt idx="5491">
                  <c:v>PRHSX</c:v>
                </c:pt>
                <c:pt idx="5492">
                  <c:v>PRHSX</c:v>
                </c:pt>
                <c:pt idx="5493">
                  <c:v>PRHSX</c:v>
                </c:pt>
                <c:pt idx="5494">
                  <c:v>PRHSX</c:v>
                </c:pt>
                <c:pt idx="5495">
                  <c:v>PRHSX</c:v>
                </c:pt>
                <c:pt idx="5496">
                  <c:v>PRHSX</c:v>
                </c:pt>
                <c:pt idx="5497">
                  <c:v>PRHSX</c:v>
                </c:pt>
                <c:pt idx="5498">
                  <c:v>PRHSX</c:v>
                </c:pt>
                <c:pt idx="5499">
                  <c:v>PRHSX</c:v>
                </c:pt>
                <c:pt idx="5500">
                  <c:v>PRHSX</c:v>
                </c:pt>
                <c:pt idx="5501">
                  <c:v>PRHSX</c:v>
                </c:pt>
                <c:pt idx="5502">
                  <c:v>PRHSX</c:v>
                </c:pt>
                <c:pt idx="5503">
                  <c:v>PRHSX</c:v>
                </c:pt>
                <c:pt idx="5504">
                  <c:v>PRHSX</c:v>
                </c:pt>
                <c:pt idx="5505">
                  <c:v>PRHSX</c:v>
                </c:pt>
                <c:pt idx="5506">
                  <c:v>PRHSX</c:v>
                </c:pt>
                <c:pt idx="5507">
                  <c:v>PRHSX</c:v>
                </c:pt>
                <c:pt idx="5508">
                  <c:v>PRHSX</c:v>
                </c:pt>
                <c:pt idx="5509">
                  <c:v>PRHSX</c:v>
                </c:pt>
                <c:pt idx="5510">
                  <c:v>PRHSX</c:v>
                </c:pt>
                <c:pt idx="5511">
                  <c:v>PRHSX</c:v>
                </c:pt>
                <c:pt idx="5512">
                  <c:v>PRHSX</c:v>
                </c:pt>
                <c:pt idx="5513">
                  <c:v>PRHSX</c:v>
                </c:pt>
                <c:pt idx="5514">
                  <c:v>PRHSX</c:v>
                </c:pt>
                <c:pt idx="5515">
                  <c:v>PRHSX</c:v>
                </c:pt>
                <c:pt idx="5516">
                  <c:v>PRHSX</c:v>
                </c:pt>
                <c:pt idx="5517">
                  <c:v>PRHSX</c:v>
                </c:pt>
                <c:pt idx="5518">
                  <c:v>PRHSX</c:v>
                </c:pt>
                <c:pt idx="5519">
                  <c:v>PRHSX</c:v>
                </c:pt>
                <c:pt idx="5520">
                  <c:v>PRHSX</c:v>
                </c:pt>
                <c:pt idx="5521">
                  <c:v>PRHSX</c:v>
                </c:pt>
                <c:pt idx="5522">
                  <c:v>PRHSX</c:v>
                </c:pt>
                <c:pt idx="5523">
                  <c:v>PRHSX</c:v>
                </c:pt>
                <c:pt idx="5524">
                  <c:v>PRHSX</c:v>
                </c:pt>
                <c:pt idx="5525">
                  <c:v>PRHSX</c:v>
                </c:pt>
                <c:pt idx="5526">
                  <c:v>PRHSX</c:v>
                </c:pt>
                <c:pt idx="5527">
                  <c:v>PRHSX</c:v>
                </c:pt>
                <c:pt idx="5528">
                  <c:v>PRHSX</c:v>
                </c:pt>
                <c:pt idx="5529">
                  <c:v>PRHSX</c:v>
                </c:pt>
                <c:pt idx="5530">
                  <c:v>PRHSX</c:v>
                </c:pt>
                <c:pt idx="5531">
                  <c:v>PRHSX</c:v>
                </c:pt>
                <c:pt idx="5532">
                  <c:v>PRHSX</c:v>
                </c:pt>
                <c:pt idx="5533">
                  <c:v>PRHSX</c:v>
                </c:pt>
                <c:pt idx="5534">
                  <c:v>PRHSX</c:v>
                </c:pt>
                <c:pt idx="5535">
                  <c:v>PRHSX</c:v>
                </c:pt>
                <c:pt idx="5536">
                  <c:v>PRHSX</c:v>
                </c:pt>
                <c:pt idx="5537">
                  <c:v>PRHSX</c:v>
                </c:pt>
                <c:pt idx="5538">
                  <c:v>PRHSX</c:v>
                </c:pt>
                <c:pt idx="5539">
                  <c:v>PRHSX</c:v>
                </c:pt>
                <c:pt idx="5540">
                  <c:v>PRHSX</c:v>
                </c:pt>
                <c:pt idx="5541">
                  <c:v>PRHSX</c:v>
                </c:pt>
                <c:pt idx="5542">
                  <c:v>PRHSX</c:v>
                </c:pt>
                <c:pt idx="5543">
                  <c:v>PRHSX</c:v>
                </c:pt>
                <c:pt idx="5544">
                  <c:v>PRHSX</c:v>
                </c:pt>
                <c:pt idx="5545">
                  <c:v>PRHSX</c:v>
                </c:pt>
                <c:pt idx="5546">
                  <c:v>PRHSX</c:v>
                </c:pt>
                <c:pt idx="5547">
                  <c:v>PRHSX</c:v>
                </c:pt>
                <c:pt idx="5548">
                  <c:v>PRHSX</c:v>
                </c:pt>
                <c:pt idx="5549">
                  <c:v>PRHSX</c:v>
                </c:pt>
                <c:pt idx="5550">
                  <c:v>PRHSX</c:v>
                </c:pt>
                <c:pt idx="5551">
                  <c:v>PRHSX</c:v>
                </c:pt>
                <c:pt idx="5552">
                  <c:v>PRHSX</c:v>
                </c:pt>
                <c:pt idx="5553">
                  <c:v>PRHSX</c:v>
                </c:pt>
                <c:pt idx="5554">
                  <c:v>PRHSX</c:v>
                </c:pt>
                <c:pt idx="5555">
                  <c:v>PRHSX</c:v>
                </c:pt>
                <c:pt idx="5556">
                  <c:v>PRHSX</c:v>
                </c:pt>
                <c:pt idx="5557">
                  <c:v>PRHSX</c:v>
                </c:pt>
                <c:pt idx="5558">
                  <c:v>PRHSX</c:v>
                </c:pt>
                <c:pt idx="5559">
                  <c:v>PRHSX</c:v>
                </c:pt>
                <c:pt idx="5560">
                  <c:v>PRHSX</c:v>
                </c:pt>
                <c:pt idx="5561">
                  <c:v>PRHSX</c:v>
                </c:pt>
                <c:pt idx="5562">
                  <c:v>PRHSX</c:v>
                </c:pt>
                <c:pt idx="5563">
                  <c:v>PRHSX</c:v>
                </c:pt>
                <c:pt idx="5564">
                  <c:v>PRHSX</c:v>
                </c:pt>
                <c:pt idx="5565">
                  <c:v>PRHSX</c:v>
                </c:pt>
                <c:pt idx="5566">
                  <c:v>PRHSX</c:v>
                </c:pt>
                <c:pt idx="5567">
                  <c:v>PRHSX</c:v>
                </c:pt>
                <c:pt idx="5568">
                  <c:v>PRHSX</c:v>
                </c:pt>
                <c:pt idx="5569">
                  <c:v>PRHSX</c:v>
                </c:pt>
                <c:pt idx="5570">
                  <c:v>PRHSX</c:v>
                </c:pt>
                <c:pt idx="5571">
                  <c:v>PRHSX</c:v>
                </c:pt>
                <c:pt idx="5572">
                  <c:v>PRHSX</c:v>
                </c:pt>
                <c:pt idx="5573">
                  <c:v>PRHSX</c:v>
                </c:pt>
                <c:pt idx="5574">
                  <c:v>PRHSX</c:v>
                </c:pt>
                <c:pt idx="5575">
                  <c:v>PRHSX</c:v>
                </c:pt>
                <c:pt idx="5576">
                  <c:v>PRHSX</c:v>
                </c:pt>
                <c:pt idx="5577">
                  <c:v>PRHSX</c:v>
                </c:pt>
                <c:pt idx="5578">
                  <c:v>PRHSX</c:v>
                </c:pt>
                <c:pt idx="5579">
                  <c:v>PRHSX</c:v>
                </c:pt>
                <c:pt idx="5580">
                  <c:v>PRHSX</c:v>
                </c:pt>
                <c:pt idx="5581">
                  <c:v>PRHSX</c:v>
                </c:pt>
                <c:pt idx="5582">
                  <c:v>PRHSX</c:v>
                </c:pt>
                <c:pt idx="5583">
                  <c:v>PRHSX</c:v>
                </c:pt>
                <c:pt idx="5584">
                  <c:v>PRHSX</c:v>
                </c:pt>
                <c:pt idx="5585">
                  <c:v>PRHSX</c:v>
                </c:pt>
                <c:pt idx="5586">
                  <c:v>PRHSX</c:v>
                </c:pt>
                <c:pt idx="5587">
                  <c:v>PRHSX</c:v>
                </c:pt>
                <c:pt idx="5588">
                  <c:v>PRHSX</c:v>
                </c:pt>
                <c:pt idx="5589">
                  <c:v>PRHSX</c:v>
                </c:pt>
                <c:pt idx="5590">
                  <c:v>PRHSX</c:v>
                </c:pt>
                <c:pt idx="5591">
                  <c:v>PRHSX</c:v>
                </c:pt>
                <c:pt idx="5592">
                  <c:v>PRHSX</c:v>
                </c:pt>
                <c:pt idx="5593">
                  <c:v>PRHSX</c:v>
                </c:pt>
                <c:pt idx="5594">
                  <c:v>PRHSX</c:v>
                </c:pt>
                <c:pt idx="5595">
                  <c:v>PRHSX</c:v>
                </c:pt>
                <c:pt idx="5596">
                  <c:v>PRHSX</c:v>
                </c:pt>
                <c:pt idx="5597">
                  <c:v>PRHSX</c:v>
                </c:pt>
                <c:pt idx="5598">
                  <c:v>PRHSX</c:v>
                </c:pt>
                <c:pt idx="5599">
                  <c:v>PRHSX</c:v>
                </c:pt>
                <c:pt idx="5600">
                  <c:v>PRHSX</c:v>
                </c:pt>
                <c:pt idx="5601">
                  <c:v>PRHSX</c:v>
                </c:pt>
                <c:pt idx="5602">
                  <c:v>PRHSX</c:v>
                </c:pt>
                <c:pt idx="5603">
                  <c:v>PRHSX</c:v>
                </c:pt>
                <c:pt idx="5604">
                  <c:v>PRHSX</c:v>
                </c:pt>
                <c:pt idx="5605">
                  <c:v>PRHSX</c:v>
                </c:pt>
                <c:pt idx="5606">
                  <c:v>PRHSX</c:v>
                </c:pt>
                <c:pt idx="5607">
                  <c:v>PRHSX</c:v>
                </c:pt>
                <c:pt idx="5608">
                  <c:v>PRHSX</c:v>
                </c:pt>
                <c:pt idx="5609">
                  <c:v>PRHSX</c:v>
                </c:pt>
                <c:pt idx="5610">
                  <c:v>PRHSX</c:v>
                </c:pt>
                <c:pt idx="5611">
                  <c:v>PRHSX</c:v>
                </c:pt>
                <c:pt idx="5612">
                  <c:v>PRHSX</c:v>
                </c:pt>
                <c:pt idx="5613">
                  <c:v>PRHSX</c:v>
                </c:pt>
                <c:pt idx="5614">
                  <c:v>PRHSX</c:v>
                </c:pt>
                <c:pt idx="5615">
                  <c:v>PRHSX</c:v>
                </c:pt>
                <c:pt idx="5616">
                  <c:v>PRHSX</c:v>
                </c:pt>
                <c:pt idx="5617">
                  <c:v>PRHSX</c:v>
                </c:pt>
                <c:pt idx="5618">
                  <c:v>PRHSX</c:v>
                </c:pt>
                <c:pt idx="5619">
                  <c:v>PRHSX</c:v>
                </c:pt>
                <c:pt idx="5620">
                  <c:v>PRHSX</c:v>
                </c:pt>
                <c:pt idx="5621">
                  <c:v>PRHSX</c:v>
                </c:pt>
                <c:pt idx="5622">
                  <c:v>PRHSX</c:v>
                </c:pt>
                <c:pt idx="5623">
                  <c:v>PRHSX</c:v>
                </c:pt>
                <c:pt idx="5624">
                  <c:v>PRHSX</c:v>
                </c:pt>
                <c:pt idx="5625">
                  <c:v>PRHSX</c:v>
                </c:pt>
                <c:pt idx="5626">
                  <c:v>PRHSX</c:v>
                </c:pt>
                <c:pt idx="5627">
                  <c:v>PRHSX</c:v>
                </c:pt>
                <c:pt idx="5628">
                  <c:v>PRHSX</c:v>
                </c:pt>
                <c:pt idx="5629">
                  <c:v>PRHSX</c:v>
                </c:pt>
                <c:pt idx="5630">
                  <c:v>PRHSX</c:v>
                </c:pt>
                <c:pt idx="5631">
                  <c:v>PRHSX</c:v>
                </c:pt>
                <c:pt idx="5632">
                  <c:v>PRHSX</c:v>
                </c:pt>
                <c:pt idx="5633">
                  <c:v>PRHSX</c:v>
                </c:pt>
                <c:pt idx="5634">
                  <c:v>PRHSX</c:v>
                </c:pt>
                <c:pt idx="5635">
                  <c:v>PRHSX</c:v>
                </c:pt>
                <c:pt idx="5636">
                  <c:v>PRHSX</c:v>
                </c:pt>
                <c:pt idx="5637">
                  <c:v>PRHSX</c:v>
                </c:pt>
                <c:pt idx="5638">
                  <c:v>PRHSX</c:v>
                </c:pt>
                <c:pt idx="5639">
                  <c:v>PRHSX</c:v>
                </c:pt>
                <c:pt idx="5640">
                  <c:v>PRHSX</c:v>
                </c:pt>
                <c:pt idx="5641">
                  <c:v>PRHSX</c:v>
                </c:pt>
                <c:pt idx="5642">
                  <c:v>PRHSX</c:v>
                </c:pt>
                <c:pt idx="5643">
                  <c:v>PRHSX</c:v>
                </c:pt>
                <c:pt idx="5644">
                  <c:v>PRHSX</c:v>
                </c:pt>
                <c:pt idx="5645">
                  <c:v>PRHSX</c:v>
                </c:pt>
                <c:pt idx="5646">
                  <c:v>PRHSX</c:v>
                </c:pt>
                <c:pt idx="5647">
                  <c:v>PRHSX</c:v>
                </c:pt>
                <c:pt idx="5648">
                  <c:v>PRHSX</c:v>
                </c:pt>
                <c:pt idx="5649">
                  <c:v>PRHSX</c:v>
                </c:pt>
                <c:pt idx="5650">
                  <c:v>PRHSX</c:v>
                </c:pt>
                <c:pt idx="5651">
                  <c:v>PRHSX</c:v>
                </c:pt>
                <c:pt idx="5652">
                  <c:v>PRHSX</c:v>
                </c:pt>
                <c:pt idx="5653">
                  <c:v>PRHSX</c:v>
                </c:pt>
                <c:pt idx="5654">
                  <c:v>PRHSX</c:v>
                </c:pt>
                <c:pt idx="5655">
                  <c:v>PRHSX</c:v>
                </c:pt>
                <c:pt idx="5656">
                  <c:v>PRHSX</c:v>
                </c:pt>
                <c:pt idx="5657">
                  <c:v>PRHSX</c:v>
                </c:pt>
                <c:pt idx="5658">
                  <c:v>PRHSX</c:v>
                </c:pt>
                <c:pt idx="5659">
                  <c:v>PRHSX</c:v>
                </c:pt>
                <c:pt idx="5660">
                  <c:v>PRHSX</c:v>
                </c:pt>
                <c:pt idx="5661">
                  <c:v>PRHSX</c:v>
                </c:pt>
                <c:pt idx="5662">
                  <c:v>PRHSX</c:v>
                </c:pt>
                <c:pt idx="5663">
                  <c:v>PRHSX</c:v>
                </c:pt>
                <c:pt idx="5664">
                  <c:v>PRHSX</c:v>
                </c:pt>
                <c:pt idx="5665">
                  <c:v>PRHSX</c:v>
                </c:pt>
                <c:pt idx="5666">
                  <c:v>PRHSX</c:v>
                </c:pt>
                <c:pt idx="5667">
                  <c:v>PRHSX</c:v>
                </c:pt>
                <c:pt idx="5668">
                  <c:v>PRHSX</c:v>
                </c:pt>
                <c:pt idx="5669">
                  <c:v>PRHSX</c:v>
                </c:pt>
                <c:pt idx="5670">
                  <c:v>PRHSX</c:v>
                </c:pt>
                <c:pt idx="5671">
                  <c:v>PRHSX</c:v>
                </c:pt>
                <c:pt idx="5672">
                  <c:v>PRHSX</c:v>
                </c:pt>
                <c:pt idx="5673">
                  <c:v>PRHSX</c:v>
                </c:pt>
                <c:pt idx="5674">
                  <c:v>PRHSX</c:v>
                </c:pt>
                <c:pt idx="5675">
                  <c:v>PRHSX</c:v>
                </c:pt>
                <c:pt idx="5676">
                  <c:v>PRHSX</c:v>
                </c:pt>
                <c:pt idx="5677">
                  <c:v>PRHSX</c:v>
                </c:pt>
                <c:pt idx="5678">
                  <c:v>PRHSX</c:v>
                </c:pt>
                <c:pt idx="5679">
                  <c:v>PRHSX</c:v>
                </c:pt>
                <c:pt idx="5680">
                  <c:v>PRHSX</c:v>
                </c:pt>
                <c:pt idx="5681">
                  <c:v>PRHSX</c:v>
                </c:pt>
                <c:pt idx="5682">
                  <c:v>PRHSX</c:v>
                </c:pt>
                <c:pt idx="5683">
                  <c:v>PRHSX</c:v>
                </c:pt>
                <c:pt idx="5684">
                  <c:v>PRHSX</c:v>
                </c:pt>
                <c:pt idx="5685">
                  <c:v>PRHSX</c:v>
                </c:pt>
                <c:pt idx="5686">
                  <c:v>PRHSX</c:v>
                </c:pt>
                <c:pt idx="5687">
                  <c:v>PRHSX</c:v>
                </c:pt>
                <c:pt idx="5688">
                  <c:v>PRHSX</c:v>
                </c:pt>
                <c:pt idx="5689">
                  <c:v>PRHSX</c:v>
                </c:pt>
                <c:pt idx="5690">
                  <c:v>PRHSX</c:v>
                </c:pt>
                <c:pt idx="5691">
                  <c:v>PRHSX</c:v>
                </c:pt>
                <c:pt idx="5692">
                  <c:v>PRHSX</c:v>
                </c:pt>
                <c:pt idx="5693">
                  <c:v>PRHSX</c:v>
                </c:pt>
                <c:pt idx="5694">
                  <c:v>PRHSX</c:v>
                </c:pt>
                <c:pt idx="5695">
                  <c:v>PRHSX</c:v>
                </c:pt>
                <c:pt idx="5696">
                  <c:v>PRHSX</c:v>
                </c:pt>
                <c:pt idx="5697">
                  <c:v>PRHSX</c:v>
                </c:pt>
                <c:pt idx="5698">
                  <c:v>PRHSX</c:v>
                </c:pt>
                <c:pt idx="5699">
                  <c:v>PRHSX</c:v>
                </c:pt>
                <c:pt idx="5700">
                  <c:v>PRHSX</c:v>
                </c:pt>
                <c:pt idx="5701">
                  <c:v>PRHSX</c:v>
                </c:pt>
                <c:pt idx="5702">
                  <c:v>PRHSX</c:v>
                </c:pt>
                <c:pt idx="5703">
                  <c:v>PRHSX</c:v>
                </c:pt>
                <c:pt idx="5704">
                  <c:v>PRHSX</c:v>
                </c:pt>
                <c:pt idx="5705">
                  <c:v>PRHSX</c:v>
                </c:pt>
                <c:pt idx="5706">
                  <c:v>PRHSX</c:v>
                </c:pt>
                <c:pt idx="5707">
                  <c:v>PRHSX</c:v>
                </c:pt>
                <c:pt idx="5708">
                  <c:v>PRHSX</c:v>
                </c:pt>
                <c:pt idx="5709">
                  <c:v>PRHSX</c:v>
                </c:pt>
                <c:pt idx="5710">
                  <c:v>PRHSX</c:v>
                </c:pt>
                <c:pt idx="5711">
                  <c:v>PRHSX</c:v>
                </c:pt>
                <c:pt idx="5712">
                  <c:v>PRHSX</c:v>
                </c:pt>
                <c:pt idx="5713">
                  <c:v>PRHSX</c:v>
                </c:pt>
                <c:pt idx="5714">
                  <c:v>PRHSX</c:v>
                </c:pt>
                <c:pt idx="5715">
                  <c:v>PRHSX</c:v>
                </c:pt>
                <c:pt idx="5716">
                  <c:v>PRHSX</c:v>
                </c:pt>
                <c:pt idx="5717">
                  <c:v>PRHSX</c:v>
                </c:pt>
                <c:pt idx="5718">
                  <c:v>PRHSX</c:v>
                </c:pt>
                <c:pt idx="5719">
                  <c:v>PRHSX</c:v>
                </c:pt>
                <c:pt idx="5720">
                  <c:v>PRHSX</c:v>
                </c:pt>
                <c:pt idx="5721">
                  <c:v>PRHSX</c:v>
                </c:pt>
                <c:pt idx="5722">
                  <c:v>PRHSX</c:v>
                </c:pt>
                <c:pt idx="5723">
                  <c:v>PRHSX</c:v>
                </c:pt>
                <c:pt idx="5724">
                  <c:v>PRHSX</c:v>
                </c:pt>
                <c:pt idx="5725">
                  <c:v>PRHSX</c:v>
                </c:pt>
                <c:pt idx="5726">
                  <c:v>PRHSX</c:v>
                </c:pt>
                <c:pt idx="5727">
                  <c:v>PRHSX</c:v>
                </c:pt>
                <c:pt idx="5728">
                  <c:v>PRHSX</c:v>
                </c:pt>
                <c:pt idx="5729">
                  <c:v>PRHSX</c:v>
                </c:pt>
                <c:pt idx="5730">
                  <c:v>PRHSX</c:v>
                </c:pt>
                <c:pt idx="5731">
                  <c:v>PRHSX</c:v>
                </c:pt>
                <c:pt idx="5732">
                  <c:v>PRHSX</c:v>
                </c:pt>
                <c:pt idx="5733">
                  <c:v>PRHSX</c:v>
                </c:pt>
                <c:pt idx="5734">
                  <c:v>PRHSX</c:v>
                </c:pt>
                <c:pt idx="5735">
                  <c:v>PRHSX</c:v>
                </c:pt>
                <c:pt idx="5736">
                  <c:v>PRHSX</c:v>
                </c:pt>
                <c:pt idx="5737">
                  <c:v>PRHSX</c:v>
                </c:pt>
                <c:pt idx="5738">
                  <c:v>PRHSX</c:v>
                </c:pt>
                <c:pt idx="5739">
                  <c:v>PRHSX</c:v>
                </c:pt>
                <c:pt idx="5740">
                  <c:v>PRHSX</c:v>
                </c:pt>
                <c:pt idx="5741">
                  <c:v>PRHSX</c:v>
                </c:pt>
                <c:pt idx="5742">
                  <c:v>PRHSX</c:v>
                </c:pt>
                <c:pt idx="5743">
                  <c:v>PRHSX</c:v>
                </c:pt>
                <c:pt idx="5744">
                  <c:v>PRHSX</c:v>
                </c:pt>
                <c:pt idx="5745">
                  <c:v>PRHSX</c:v>
                </c:pt>
                <c:pt idx="5746">
                  <c:v>PRHSX</c:v>
                </c:pt>
                <c:pt idx="5747">
                  <c:v>PRHSX</c:v>
                </c:pt>
                <c:pt idx="5748">
                  <c:v>PRHSX</c:v>
                </c:pt>
                <c:pt idx="5749">
                  <c:v>PRHSX</c:v>
                </c:pt>
                <c:pt idx="5750">
                  <c:v>PRHSX</c:v>
                </c:pt>
                <c:pt idx="5751">
                  <c:v>PRHSX</c:v>
                </c:pt>
                <c:pt idx="5752">
                  <c:v>PRHSX</c:v>
                </c:pt>
                <c:pt idx="5753">
                  <c:v>PRHSX</c:v>
                </c:pt>
                <c:pt idx="5754">
                  <c:v>PRHSX</c:v>
                </c:pt>
                <c:pt idx="5755">
                  <c:v>PRHSX</c:v>
                </c:pt>
                <c:pt idx="5756">
                  <c:v>PRHSX</c:v>
                </c:pt>
                <c:pt idx="5757">
                  <c:v>PRHSX</c:v>
                </c:pt>
                <c:pt idx="5758">
                  <c:v>PRHSX</c:v>
                </c:pt>
                <c:pt idx="5759">
                  <c:v>PRHSX</c:v>
                </c:pt>
                <c:pt idx="5760">
                  <c:v>PRHSX</c:v>
                </c:pt>
                <c:pt idx="5761">
                  <c:v>PRHSX</c:v>
                </c:pt>
                <c:pt idx="5762">
                  <c:v>PRHSX</c:v>
                </c:pt>
                <c:pt idx="5763">
                  <c:v>PRHSX</c:v>
                </c:pt>
                <c:pt idx="5764">
                  <c:v>PRHSX</c:v>
                </c:pt>
                <c:pt idx="5765">
                  <c:v>PRHSX</c:v>
                </c:pt>
                <c:pt idx="5766">
                  <c:v>PRHSX</c:v>
                </c:pt>
                <c:pt idx="5767">
                  <c:v>PRHSX</c:v>
                </c:pt>
                <c:pt idx="5768">
                  <c:v>PRHSX</c:v>
                </c:pt>
                <c:pt idx="5769">
                  <c:v>PRHSX</c:v>
                </c:pt>
                <c:pt idx="5770">
                  <c:v>PRHSX</c:v>
                </c:pt>
                <c:pt idx="5771">
                  <c:v>PRHSX</c:v>
                </c:pt>
                <c:pt idx="5772">
                  <c:v>PRHSX</c:v>
                </c:pt>
                <c:pt idx="5773">
                  <c:v>PRHSX</c:v>
                </c:pt>
                <c:pt idx="5774">
                  <c:v>PRHSX</c:v>
                </c:pt>
                <c:pt idx="5775">
                  <c:v>PRHSX</c:v>
                </c:pt>
                <c:pt idx="5776">
                  <c:v>PRHSX</c:v>
                </c:pt>
                <c:pt idx="5777">
                  <c:v>PRHSX</c:v>
                </c:pt>
                <c:pt idx="5778">
                  <c:v>PRHSX</c:v>
                </c:pt>
                <c:pt idx="5779">
                  <c:v>PRHSX</c:v>
                </c:pt>
                <c:pt idx="5780">
                  <c:v>PRHSX</c:v>
                </c:pt>
                <c:pt idx="5781">
                  <c:v>PRHSX</c:v>
                </c:pt>
                <c:pt idx="5782">
                  <c:v>PRHSX</c:v>
                </c:pt>
                <c:pt idx="5783">
                  <c:v>PRHSX</c:v>
                </c:pt>
                <c:pt idx="5784">
                  <c:v>PRHSX</c:v>
                </c:pt>
                <c:pt idx="5785">
                  <c:v>PRHSX</c:v>
                </c:pt>
                <c:pt idx="5786">
                  <c:v>PRHSX</c:v>
                </c:pt>
                <c:pt idx="5787">
                  <c:v>PRHSX</c:v>
                </c:pt>
                <c:pt idx="5788">
                  <c:v>PRHSX</c:v>
                </c:pt>
                <c:pt idx="5789">
                  <c:v>PRHSX</c:v>
                </c:pt>
                <c:pt idx="5790">
                  <c:v>PRHSX</c:v>
                </c:pt>
                <c:pt idx="5791">
                  <c:v>PRHSX</c:v>
                </c:pt>
                <c:pt idx="5792">
                  <c:v>PRHSX</c:v>
                </c:pt>
                <c:pt idx="5793">
                  <c:v>PRHSX</c:v>
                </c:pt>
                <c:pt idx="5794">
                  <c:v>PRHSX</c:v>
                </c:pt>
                <c:pt idx="5795">
                  <c:v>PRHSX</c:v>
                </c:pt>
                <c:pt idx="5796">
                  <c:v>PRHSX</c:v>
                </c:pt>
                <c:pt idx="5797">
                  <c:v>PRHSX</c:v>
                </c:pt>
                <c:pt idx="5798">
                  <c:v>PRHSX</c:v>
                </c:pt>
                <c:pt idx="5799">
                  <c:v>PRHSX</c:v>
                </c:pt>
                <c:pt idx="5800">
                  <c:v>PRHSX</c:v>
                </c:pt>
                <c:pt idx="5801">
                  <c:v>PRHSX</c:v>
                </c:pt>
                <c:pt idx="5802">
                  <c:v>PRHSX</c:v>
                </c:pt>
                <c:pt idx="5803">
                  <c:v>PRHSX</c:v>
                </c:pt>
                <c:pt idx="5804">
                  <c:v>PRHSX</c:v>
                </c:pt>
                <c:pt idx="5805">
                  <c:v>PRHSX</c:v>
                </c:pt>
                <c:pt idx="5806">
                  <c:v>PRHSX</c:v>
                </c:pt>
                <c:pt idx="5807">
                  <c:v>PRHSX</c:v>
                </c:pt>
                <c:pt idx="5808">
                  <c:v>PRHSX</c:v>
                </c:pt>
                <c:pt idx="5809">
                  <c:v>PRHSX</c:v>
                </c:pt>
                <c:pt idx="5810">
                  <c:v>PRHSX</c:v>
                </c:pt>
                <c:pt idx="5811">
                  <c:v>PRHSX</c:v>
                </c:pt>
                <c:pt idx="5812">
                  <c:v>PRHSX</c:v>
                </c:pt>
                <c:pt idx="5813">
                  <c:v>PRHSX</c:v>
                </c:pt>
                <c:pt idx="5814">
                  <c:v>PRHSX</c:v>
                </c:pt>
                <c:pt idx="5815">
                  <c:v>PRHSX</c:v>
                </c:pt>
                <c:pt idx="5816">
                  <c:v>PRHSX</c:v>
                </c:pt>
                <c:pt idx="5817">
                  <c:v>PRHSX</c:v>
                </c:pt>
                <c:pt idx="5818">
                  <c:v>PRHSX</c:v>
                </c:pt>
                <c:pt idx="5819">
                  <c:v>PRHSX</c:v>
                </c:pt>
                <c:pt idx="5820">
                  <c:v>PRHSX</c:v>
                </c:pt>
                <c:pt idx="5821">
                  <c:v>PRHSX</c:v>
                </c:pt>
                <c:pt idx="5822">
                  <c:v>PRHSX</c:v>
                </c:pt>
                <c:pt idx="5823">
                  <c:v>PRHSX</c:v>
                </c:pt>
                <c:pt idx="5824">
                  <c:v>PRHSX</c:v>
                </c:pt>
                <c:pt idx="5825">
                  <c:v>PRHSX</c:v>
                </c:pt>
                <c:pt idx="5826">
                  <c:v>PRHSX</c:v>
                </c:pt>
                <c:pt idx="5827">
                  <c:v>PRHSX</c:v>
                </c:pt>
                <c:pt idx="5828">
                  <c:v>PRHSX</c:v>
                </c:pt>
                <c:pt idx="5829">
                  <c:v>PRHSX</c:v>
                </c:pt>
                <c:pt idx="5830">
                  <c:v>PRHSX</c:v>
                </c:pt>
                <c:pt idx="5831">
                  <c:v>PRHSX</c:v>
                </c:pt>
                <c:pt idx="5832">
                  <c:v>PRHSX</c:v>
                </c:pt>
                <c:pt idx="5833">
                  <c:v>PRHSX</c:v>
                </c:pt>
                <c:pt idx="5834">
                  <c:v>PRHSX</c:v>
                </c:pt>
                <c:pt idx="5835">
                  <c:v>PRHSX</c:v>
                </c:pt>
                <c:pt idx="5836">
                  <c:v>PRHSX</c:v>
                </c:pt>
                <c:pt idx="5837">
                  <c:v>PRHSX</c:v>
                </c:pt>
                <c:pt idx="5838">
                  <c:v>PRHSX</c:v>
                </c:pt>
                <c:pt idx="5839">
                  <c:v>PRHSX</c:v>
                </c:pt>
                <c:pt idx="5840">
                  <c:v>PRHSX</c:v>
                </c:pt>
                <c:pt idx="5841">
                  <c:v>PRHSX</c:v>
                </c:pt>
                <c:pt idx="5842">
                  <c:v>PRHSX</c:v>
                </c:pt>
                <c:pt idx="5843">
                  <c:v>PRHSX</c:v>
                </c:pt>
                <c:pt idx="5844">
                  <c:v>PRHSX</c:v>
                </c:pt>
                <c:pt idx="5845">
                  <c:v>PRHSX</c:v>
                </c:pt>
                <c:pt idx="5846">
                  <c:v>PRHSX</c:v>
                </c:pt>
                <c:pt idx="5847">
                  <c:v>PRHSX</c:v>
                </c:pt>
                <c:pt idx="5848">
                  <c:v>PRHSX</c:v>
                </c:pt>
                <c:pt idx="5849">
                  <c:v>PRHSX</c:v>
                </c:pt>
                <c:pt idx="5850">
                  <c:v>PRHSX</c:v>
                </c:pt>
                <c:pt idx="5851">
                  <c:v>PRHSX</c:v>
                </c:pt>
                <c:pt idx="5852">
                  <c:v>PRHSX</c:v>
                </c:pt>
                <c:pt idx="5853">
                  <c:v>PRHSX</c:v>
                </c:pt>
                <c:pt idx="5854">
                  <c:v>PRHSX</c:v>
                </c:pt>
                <c:pt idx="5855">
                  <c:v>PRHSX</c:v>
                </c:pt>
                <c:pt idx="5856">
                  <c:v>PRHSX</c:v>
                </c:pt>
                <c:pt idx="5857">
                  <c:v>PRHSX</c:v>
                </c:pt>
                <c:pt idx="5858">
                  <c:v>PRHSX</c:v>
                </c:pt>
                <c:pt idx="5859">
                  <c:v>PRHSX</c:v>
                </c:pt>
                <c:pt idx="5860">
                  <c:v>PRHSX</c:v>
                </c:pt>
                <c:pt idx="5861">
                  <c:v>PRHSX</c:v>
                </c:pt>
                <c:pt idx="5862">
                  <c:v>PRHSX</c:v>
                </c:pt>
                <c:pt idx="5863">
                  <c:v>PRHSX</c:v>
                </c:pt>
                <c:pt idx="5864">
                  <c:v>PRHSX</c:v>
                </c:pt>
                <c:pt idx="5865">
                  <c:v>PRHSX</c:v>
                </c:pt>
                <c:pt idx="5866">
                  <c:v>PRHSX</c:v>
                </c:pt>
                <c:pt idx="5867">
                  <c:v>PRHSX</c:v>
                </c:pt>
                <c:pt idx="5868">
                  <c:v>PRHSX</c:v>
                </c:pt>
                <c:pt idx="5869">
                  <c:v>PRHSX</c:v>
                </c:pt>
                <c:pt idx="5870">
                  <c:v>PRHSX</c:v>
                </c:pt>
                <c:pt idx="5871">
                  <c:v>PRHSX</c:v>
                </c:pt>
                <c:pt idx="5872">
                  <c:v>PRHSX</c:v>
                </c:pt>
                <c:pt idx="5873">
                  <c:v>PRHSX</c:v>
                </c:pt>
                <c:pt idx="5874">
                  <c:v>PRHSX</c:v>
                </c:pt>
                <c:pt idx="5875">
                  <c:v>PRHSX</c:v>
                </c:pt>
                <c:pt idx="5876">
                  <c:v>PRHSX</c:v>
                </c:pt>
                <c:pt idx="5877">
                  <c:v>PRHSX</c:v>
                </c:pt>
                <c:pt idx="5878">
                  <c:v>PRHSX</c:v>
                </c:pt>
                <c:pt idx="5879">
                  <c:v>PRHSX</c:v>
                </c:pt>
                <c:pt idx="5880">
                  <c:v>PRHSX</c:v>
                </c:pt>
                <c:pt idx="5881">
                  <c:v>PRHSX</c:v>
                </c:pt>
                <c:pt idx="5882">
                  <c:v>PRHSX</c:v>
                </c:pt>
                <c:pt idx="5883">
                  <c:v>PRHSX</c:v>
                </c:pt>
                <c:pt idx="5884">
                  <c:v>PRHSX</c:v>
                </c:pt>
                <c:pt idx="5885">
                  <c:v>PRHSX</c:v>
                </c:pt>
                <c:pt idx="5886">
                  <c:v>PRHSX</c:v>
                </c:pt>
                <c:pt idx="5887">
                  <c:v>PRHSX</c:v>
                </c:pt>
                <c:pt idx="5888">
                  <c:v>PRHSX</c:v>
                </c:pt>
                <c:pt idx="5889">
                  <c:v>PRHSX</c:v>
                </c:pt>
                <c:pt idx="5890">
                  <c:v>PRHSX</c:v>
                </c:pt>
                <c:pt idx="5891">
                  <c:v>PRHSX</c:v>
                </c:pt>
                <c:pt idx="5892">
                  <c:v>PRHSX</c:v>
                </c:pt>
                <c:pt idx="5893">
                  <c:v>PRHSX</c:v>
                </c:pt>
                <c:pt idx="5894">
                  <c:v>PRHSX</c:v>
                </c:pt>
                <c:pt idx="5895">
                  <c:v>PRHSX</c:v>
                </c:pt>
                <c:pt idx="5896">
                  <c:v>PRHSX</c:v>
                </c:pt>
                <c:pt idx="5897">
                  <c:v>PRHSX</c:v>
                </c:pt>
                <c:pt idx="5898">
                  <c:v>PRHSX</c:v>
                </c:pt>
                <c:pt idx="5899">
                  <c:v>PRHSX</c:v>
                </c:pt>
                <c:pt idx="5900">
                  <c:v>PRHSX</c:v>
                </c:pt>
                <c:pt idx="5901">
                  <c:v>PRHSX</c:v>
                </c:pt>
                <c:pt idx="5902">
                  <c:v>PRHSX</c:v>
                </c:pt>
                <c:pt idx="5903">
                  <c:v>PRHSX</c:v>
                </c:pt>
                <c:pt idx="5904">
                  <c:v>PRHSX</c:v>
                </c:pt>
                <c:pt idx="5905">
                  <c:v>PRHSX</c:v>
                </c:pt>
                <c:pt idx="5906">
                  <c:v>PRHSX</c:v>
                </c:pt>
                <c:pt idx="5907">
                  <c:v>PRHSX</c:v>
                </c:pt>
                <c:pt idx="5908">
                  <c:v>PRHSX</c:v>
                </c:pt>
                <c:pt idx="5909">
                  <c:v>PRHSX</c:v>
                </c:pt>
                <c:pt idx="5910">
                  <c:v>PRHSX</c:v>
                </c:pt>
                <c:pt idx="5911">
                  <c:v>PRHSX</c:v>
                </c:pt>
                <c:pt idx="5912">
                  <c:v>PRHSX</c:v>
                </c:pt>
                <c:pt idx="5913">
                  <c:v>PRHSX</c:v>
                </c:pt>
                <c:pt idx="5914">
                  <c:v>PRHSX</c:v>
                </c:pt>
                <c:pt idx="5915">
                  <c:v>PRHSX</c:v>
                </c:pt>
                <c:pt idx="5916">
                  <c:v>PRHSX</c:v>
                </c:pt>
                <c:pt idx="5917">
                  <c:v>PRHSX</c:v>
                </c:pt>
                <c:pt idx="5918">
                  <c:v>PRHSX</c:v>
                </c:pt>
                <c:pt idx="5919">
                  <c:v>PRHSX</c:v>
                </c:pt>
                <c:pt idx="5920">
                  <c:v>PRHSX</c:v>
                </c:pt>
                <c:pt idx="5921">
                  <c:v>PRHSX</c:v>
                </c:pt>
                <c:pt idx="5922">
                  <c:v>PRHSX</c:v>
                </c:pt>
                <c:pt idx="5923">
                  <c:v>PRHSX</c:v>
                </c:pt>
                <c:pt idx="5924">
                  <c:v>PRHSX</c:v>
                </c:pt>
                <c:pt idx="5925">
                  <c:v>PRHSX</c:v>
                </c:pt>
                <c:pt idx="5926">
                  <c:v>PRHSX</c:v>
                </c:pt>
                <c:pt idx="5927">
                  <c:v>PRHSX</c:v>
                </c:pt>
                <c:pt idx="5928">
                  <c:v>PRHSX</c:v>
                </c:pt>
                <c:pt idx="5929">
                  <c:v>PRHSX</c:v>
                </c:pt>
                <c:pt idx="5930">
                  <c:v>PRHSX</c:v>
                </c:pt>
                <c:pt idx="5931">
                  <c:v>PRHSX</c:v>
                </c:pt>
                <c:pt idx="5932">
                  <c:v>PRHSX</c:v>
                </c:pt>
                <c:pt idx="5933">
                  <c:v>PRHSX</c:v>
                </c:pt>
                <c:pt idx="5934">
                  <c:v>PRHSX</c:v>
                </c:pt>
                <c:pt idx="5935">
                  <c:v>PRHSX</c:v>
                </c:pt>
                <c:pt idx="5936">
                  <c:v>PRHSX</c:v>
                </c:pt>
                <c:pt idx="5937">
                  <c:v>PRHSX</c:v>
                </c:pt>
                <c:pt idx="5938">
                  <c:v>PRHSX</c:v>
                </c:pt>
                <c:pt idx="5939">
                  <c:v>PRHSX</c:v>
                </c:pt>
                <c:pt idx="5940">
                  <c:v>PRHSX</c:v>
                </c:pt>
                <c:pt idx="5941">
                  <c:v>PRHSX</c:v>
                </c:pt>
                <c:pt idx="5942">
                  <c:v>PRHSX</c:v>
                </c:pt>
                <c:pt idx="5943">
                  <c:v>PRHSX</c:v>
                </c:pt>
                <c:pt idx="5944">
                  <c:v>PRHSX</c:v>
                </c:pt>
                <c:pt idx="5945">
                  <c:v>PRHSX</c:v>
                </c:pt>
                <c:pt idx="5946">
                  <c:v>PRHSX</c:v>
                </c:pt>
                <c:pt idx="5947">
                  <c:v>PRHSX</c:v>
                </c:pt>
                <c:pt idx="5948">
                  <c:v>PRHSX</c:v>
                </c:pt>
                <c:pt idx="5949">
                  <c:v>PRHSX</c:v>
                </c:pt>
                <c:pt idx="5950">
                  <c:v>PRHSX</c:v>
                </c:pt>
                <c:pt idx="5951">
                  <c:v>PRHSX</c:v>
                </c:pt>
                <c:pt idx="5952">
                  <c:v>PRHSX</c:v>
                </c:pt>
                <c:pt idx="5953">
                  <c:v>PRHSX</c:v>
                </c:pt>
                <c:pt idx="5954">
                  <c:v>PRHSX</c:v>
                </c:pt>
                <c:pt idx="5955">
                  <c:v>PRHSX</c:v>
                </c:pt>
                <c:pt idx="5956">
                  <c:v>PRHSX</c:v>
                </c:pt>
                <c:pt idx="5957">
                  <c:v>PRHSX</c:v>
                </c:pt>
                <c:pt idx="5958">
                  <c:v>PRHSX</c:v>
                </c:pt>
                <c:pt idx="5959">
                  <c:v>PRHSX</c:v>
                </c:pt>
                <c:pt idx="5960">
                  <c:v>PRHSX</c:v>
                </c:pt>
                <c:pt idx="5961">
                  <c:v>PRHSX</c:v>
                </c:pt>
                <c:pt idx="5962">
                  <c:v>PRHSX</c:v>
                </c:pt>
                <c:pt idx="5963">
                  <c:v>PRHSX</c:v>
                </c:pt>
                <c:pt idx="5964">
                  <c:v>PRHSX</c:v>
                </c:pt>
                <c:pt idx="5965">
                  <c:v>PRHSX</c:v>
                </c:pt>
                <c:pt idx="5966">
                  <c:v>PRHSX</c:v>
                </c:pt>
                <c:pt idx="5967">
                  <c:v>PRHSX</c:v>
                </c:pt>
                <c:pt idx="5968">
                  <c:v>PRHSX</c:v>
                </c:pt>
                <c:pt idx="5969">
                  <c:v>PRHSX</c:v>
                </c:pt>
                <c:pt idx="5970">
                  <c:v>PRHSX</c:v>
                </c:pt>
                <c:pt idx="5971">
                  <c:v>PRHSX</c:v>
                </c:pt>
                <c:pt idx="5972">
                  <c:v>PRHSX</c:v>
                </c:pt>
                <c:pt idx="5973">
                  <c:v>PRHSX</c:v>
                </c:pt>
                <c:pt idx="5974">
                  <c:v>PRHSX</c:v>
                </c:pt>
                <c:pt idx="5975">
                  <c:v>PRHSX</c:v>
                </c:pt>
                <c:pt idx="5976">
                  <c:v>PRHSX</c:v>
                </c:pt>
                <c:pt idx="5977">
                  <c:v>PRHSX</c:v>
                </c:pt>
                <c:pt idx="5978">
                  <c:v>PRHSX</c:v>
                </c:pt>
                <c:pt idx="5979">
                  <c:v>PRHSX</c:v>
                </c:pt>
                <c:pt idx="5980">
                  <c:v>PRHSX</c:v>
                </c:pt>
                <c:pt idx="5981">
                  <c:v>PRHSX</c:v>
                </c:pt>
                <c:pt idx="5982">
                  <c:v>PRHSX</c:v>
                </c:pt>
                <c:pt idx="5983">
                  <c:v>PRHSX</c:v>
                </c:pt>
                <c:pt idx="5984">
                  <c:v>PRHSX</c:v>
                </c:pt>
                <c:pt idx="5985">
                  <c:v>PRHSX</c:v>
                </c:pt>
                <c:pt idx="5986">
                  <c:v>PRHSX</c:v>
                </c:pt>
                <c:pt idx="5987">
                  <c:v>PRHSX</c:v>
                </c:pt>
                <c:pt idx="5988">
                  <c:v>PRHSX</c:v>
                </c:pt>
                <c:pt idx="5989">
                  <c:v>PRHSX</c:v>
                </c:pt>
                <c:pt idx="5990">
                  <c:v>PRHSX</c:v>
                </c:pt>
                <c:pt idx="5991">
                  <c:v>PRHSX</c:v>
                </c:pt>
                <c:pt idx="5992">
                  <c:v>PRHSX</c:v>
                </c:pt>
                <c:pt idx="5993">
                  <c:v>PRHSX</c:v>
                </c:pt>
                <c:pt idx="5994">
                  <c:v>PRHSX</c:v>
                </c:pt>
                <c:pt idx="5995">
                  <c:v>PRHSX</c:v>
                </c:pt>
                <c:pt idx="5996">
                  <c:v>PRHSX</c:v>
                </c:pt>
                <c:pt idx="5997">
                  <c:v>PRHSX</c:v>
                </c:pt>
                <c:pt idx="5998">
                  <c:v>PRHSX</c:v>
                </c:pt>
                <c:pt idx="5999">
                  <c:v>PRHSX</c:v>
                </c:pt>
                <c:pt idx="6000">
                  <c:v>PRHSX</c:v>
                </c:pt>
                <c:pt idx="6001">
                  <c:v>PRHSX</c:v>
                </c:pt>
                <c:pt idx="6002">
                  <c:v>PRHSX</c:v>
                </c:pt>
                <c:pt idx="6003">
                  <c:v>PRHSX</c:v>
                </c:pt>
                <c:pt idx="6004">
                  <c:v>PRHSX</c:v>
                </c:pt>
                <c:pt idx="6005">
                  <c:v>PRHSX</c:v>
                </c:pt>
                <c:pt idx="6006">
                  <c:v>PRHSX</c:v>
                </c:pt>
                <c:pt idx="6007">
                  <c:v>PRHSX</c:v>
                </c:pt>
                <c:pt idx="6008">
                  <c:v>PRHSX</c:v>
                </c:pt>
                <c:pt idx="6009">
                  <c:v>PRHSX</c:v>
                </c:pt>
                <c:pt idx="6010">
                  <c:v>PRHSX</c:v>
                </c:pt>
                <c:pt idx="6011">
                  <c:v>PRHSX</c:v>
                </c:pt>
                <c:pt idx="6012">
                  <c:v>PRHSX</c:v>
                </c:pt>
                <c:pt idx="6013">
                  <c:v>PRHSX</c:v>
                </c:pt>
                <c:pt idx="6014">
                  <c:v>PRHSX</c:v>
                </c:pt>
                <c:pt idx="6015">
                  <c:v>PRHSX</c:v>
                </c:pt>
                <c:pt idx="6016">
                  <c:v>PRHSX</c:v>
                </c:pt>
                <c:pt idx="6017">
                  <c:v>PRHSX</c:v>
                </c:pt>
                <c:pt idx="6018">
                  <c:v>PRHSX</c:v>
                </c:pt>
                <c:pt idx="6019">
                  <c:v>PRHSX</c:v>
                </c:pt>
                <c:pt idx="6020">
                  <c:v>PRHSX</c:v>
                </c:pt>
                <c:pt idx="6021">
                  <c:v>PRHSX</c:v>
                </c:pt>
                <c:pt idx="6022">
                  <c:v>PRHSX</c:v>
                </c:pt>
                <c:pt idx="6023">
                  <c:v>PRHSX</c:v>
                </c:pt>
                <c:pt idx="6024">
                  <c:v>PRHSX</c:v>
                </c:pt>
                <c:pt idx="6025">
                  <c:v>PRHSX</c:v>
                </c:pt>
                <c:pt idx="6026">
                  <c:v>PRHSX</c:v>
                </c:pt>
                <c:pt idx="6027">
                  <c:v>PRHSX</c:v>
                </c:pt>
                <c:pt idx="6028">
                  <c:v>PRHSX</c:v>
                </c:pt>
                <c:pt idx="6029">
                  <c:v>PRHSX</c:v>
                </c:pt>
                <c:pt idx="6030">
                  <c:v>PRHSX</c:v>
                </c:pt>
                <c:pt idx="6031">
                  <c:v>PRHSX</c:v>
                </c:pt>
                <c:pt idx="6032">
                  <c:v>PRHSX</c:v>
                </c:pt>
                <c:pt idx="6033">
                  <c:v>PRHSX</c:v>
                </c:pt>
                <c:pt idx="6034">
                  <c:v>PRHSX</c:v>
                </c:pt>
                <c:pt idx="6035">
                  <c:v>PRHSX</c:v>
                </c:pt>
                <c:pt idx="6036">
                  <c:v>PRHSX</c:v>
                </c:pt>
                <c:pt idx="6037">
                  <c:v>PRHSX</c:v>
                </c:pt>
                <c:pt idx="6038">
                  <c:v>PRHSX</c:v>
                </c:pt>
                <c:pt idx="6039">
                  <c:v>PRHSX</c:v>
                </c:pt>
                <c:pt idx="6040">
                  <c:v>PRHSX</c:v>
                </c:pt>
                <c:pt idx="6041">
                  <c:v>PRHSX</c:v>
                </c:pt>
                <c:pt idx="6042">
                  <c:v>PRHSX</c:v>
                </c:pt>
                <c:pt idx="6043">
                  <c:v>PRHSX</c:v>
                </c:pt>
                <c:pt idx="6044">
                  <c:v>PRHSX</c:v>
                </c:pt>
                <c:pt idx="6045">
                  <c:v>PRHSX</c:v>
                </c:pt>
                <c:pt idx="6046">
                  <c:v>PRHSX</c:v>
                </c:pt>
                <c:pt idx="6047">
                  <c:v>PRHSX</c:v>
                </c:pt>
                <c:pt idx="6048">
                  <c:v>PRHSX</c:v>
                </c:pt>
                <c:pt idx="6049">
                  <c:v>PRHSX</c:v>
                </c:pt>
                <c:pt idx="6050">
                  <c:v>PRHSX</c:v>
                </c:pt>
                <c:pt idx="6051">
                  <c:v>PRHSX</c:v>
                </c:pt>
                <c:pt idx="6052">
                  <c:v>PRHSX</c:v>
                </c:pt>
                <c:pt idx="6053">
                  <c:v>PRHSX</c:v>
                </c:pt>
                <c:pt idx="6054">
                  <c:v>PRHSX</c:v>
                </c:pt>
                <c:pt idx="6055">
                  <c:v>PRHSX</c:v>
                </c:pt>
                <c:pt idx="6056">
                  <c:v>PRHSX</c:v>
                </c:pt>
                <c:pt idx="6057">
                  <c:v>PRHSX</c:v>
                </c:pt>
                <c:pt idx="6058">
                  <c:v>PRHSX</c:v>
                </c:pt>
                <c:pt idx="6059">
                  <c:v>PRHSX</c:v>
                </c:pt>
                <c:pt idx="6060">
                  <c:v>PRHSX</c:v>
                </c:pt>
                <c:pt idx="6061">
                  <c:v>PRHSX</c:v>
                </c:pt>
                <c:pt idx="6062">
                  <c:v>PRHSX</c:v>
                </c:pt>
                <c:pt idx="6063">
                  <c:v>PRHSX</c:v>
                </c:pt>
                <c:pt idx="6064">
                  <c:v>PRHSX</c:v>
                </c:pt>
                <c:pt idx="6065">
                  <c:v>PRHSX</c:v>
                </c:pt>
                <c:pt idx="6066">
                  <c:v>PRHSX</c:v>
                </c:pt>
                <c:pt idx="6067">
                  <c:v>PRHSX</c:v>
                </c:pt>
                <c:pt idx="6068">
                  <c:v>PRHSX</c:v>
                </c:pt>
                <c:pt idx="6069">
                  <c:v>PRHSX</c:v>
                </c:pt>
                <c:pt idx="6070">
                  <c:v>PRHSX</c:v>
                </c:pt>
                <c:pt idx="6071">
                  <c:v>PRHSX</c:v>
                </c:pt>
                <c:pt idx="6072">
                  <c:v>PRHSX</c:v>
                </c:pt>
                <c:pt idx="6073">
                  <c:v>PRHSX</c:v>
                </c:pt>
                <c:pt idx="6074">
                  <c:v>PRHSX</c:v>
                </c:pt>
                <c:pt idx="6075">
                  <c:v>PRHSX</c:v>
                </c:pt>
                <c:pt idx="6076">
                  <c:v>PRHSX</c:v>
                </c:pt>
                <c:pt idx="6077">
                  <c:v>PRHSX</c:v>
                </c:pt>
                <c:pt idx="6078">
                  <c:v>PRHSX</c:v>
                </c:pt>
                <c:pt idx="6079">
                  <c:v>PRHSX</c:v>
                </c:pt>
                <c:pt idx="6080">
                  <c:v>PRHSX</c:v>
                </c:pt>
                <c:pt idx="6081">
                  <c:v>PRHSX</c:v>
                </c:pt>
                <c:pt idx="6082">
                  <c:v>PRHSX</c:v>
                </c:pt>
                <c:pt idx="6083">
                  <c:v>PRHSX</c:v>
                </c:pt>
                <c:pt idx="6084">
                  <c:v>PRHSX</c:v>
                </c:pt>
                <c:pt idx="6085">
                  <c:v>PRHSX</c:v>
                </c:pt>
                <c:pt idx="6086">
                  <c:v>PRHSX</c:v>
                </c:pt>
                <c:pt idx="6087">
                  <c:v>PRHSX</c:v>
                </c:pt>
                <c:pt idx="6088">
                  <c:v>PRHSX</c:v>
                </c:pt>
                <c:pt idx="6089">
                  <c:v>PRHSX</c:v>
                </c:pt>
                <c:pt idx="6090">
                  <c:v>PRHSX</c:v>
                </c:pt>
                <c:pt idx="6091">
                  <c:v>PRHSX</c:v>
                </c:pt>
                <c:pt idx="6092">
                  <c:v>PRHSX</c:v>
                </c:pt>
                <c:pt idx="6093">
                  <c:v>PRHSX</c:v>
                </c:pt>
                <c:pt idx="6094">
                  <c:v>PRHSX</c:v>
                </c:pt>
                <c:pt idx="6095">
                  <c:v>PRHSX</c:v>
                </c:pt>
                <c:pt idx="6096">
                  <c:v>PRHSX</c:v>
                </c:pt>
                <c:pt idx="6097">
                  <c:v>PRHSX</c:v>
                </c:pt>
                <c:pt idx="6098">
                  <c:v>PRHSX</c:v>
                </c:pt>
                <c:pt idx="6099">
                  <c:v>PRHSX</c:v>
                </c:pt>
                <c:pt idx="6100">
                  <c:v>PRHSX</c:v>
                </c:pt>
                <c:pt idx="6101">
                  <c:v>PRHSX</c:v>
                </c:pt>
                <c:pt idx="6102">
                  <c:v>PRHSX</c:v>
                </c:pt>
                <c:pt idx="6103">
                  <c:v>PRHSX</c:v>
                </c:pt>
                <c:pt idx="6104">
                  <c:v>PRHSX</c:v>
                </c:pt>
                <c:pt idx="6105">
                  <c:v>PRHSX</c:v>
                </c:pt>
                <c:pt idx="6106">
                  <c:v>PRHSX</c:v>
                </c:pt>
                <c:pt idx="6107">
                  <c:v>PRHSX</c:v>
                </c:pt>
                <c:pt idx="6108">
                  <c:v>PRHSX</c:v>
                </c:pt>
                <c:pt idx="6109">
                  <c:v>PRHSX</c:v>
                </c:pt>
                <c:pt idx="6110">
                  <c:v>PRHSX</c:v>
                </c:pt>
                <c:pt idx="6111">
                  <c:v>PRHSX</c:v>
                </c:pt>
                <c:pt idx="6112">
                  <c:v>PRHSX</c:v>
                </c:pt>
                <c:pt idx="6113">
                  <c:v>PRHSX</c:v>
                </c:pt>
                <c:pt idx="6114">
                  <c:v>PRHSX</c:v>
                </c:pt>
                <c:pt idx="6115">
                  <c:v>PRHSX</c:v>
                </c:pt>
                <c:pt idx="6116">
                  <c:v>PRHSX</c:v>
                </c:pt>
                <c:pt idx="6117">
                  <c:v>PRHSX</c:v>
                </c:pt>
                <c:pt idx="6118">
                  <c:v>PRHSX</c:v>
                </c:pt>
                <c:pt idx="6119">
                  <c:v>PRHSX</c:v>
                </c:pt>
                <c:pt idx="6120">
                  <c:v>PRHSX</c:v>
                </c:pt>
                <c:pt idx="6121">
                  <c:v>PRHSX</c:v>
                </c:pt>
                <c:pt idx="6122">
                  <c:v>PRHSX</c:v>
                </c:pt>
                <c:pt idx="6123">
                  <c:v>PRHSX</c:v>
                </c:pt>
                <c:pt idx="6124">
                  <c:v>PRHSX</c:v>
                </c:pt>
                <c:pt idx="6125">
                  <c:v>PRHSX</c:v>
                </c:pt>
                <c:pt idx="6126">
                  <c:v>PRHSX</c:v>
                </c:pt>
                <c:pt idx="6127">
                  <c:v>PRHSX</c:v>
                </c:pt>
                <c:pt idx="6128">
                  <c:v>PRHSX</c:v>
                </c:pt>
                <c:pt idx="6129">
                  <c:v>PRHSX</c:v>
                </c:pt>
                <c:pt idx="6130">
                  <c:v>PRHSX</c:v>
                </c:pt>
                <c:pt idx="6131">
                  <c:v>PRHSX</c:v>
                </c:pt>
                <c:pt idx="6132">
                  <c:v>PRHSX</c:v>
                </c:pt>
                <c:pt idx="6133">
                  <c:v>PRHSX</c:v>
                </c:pt>
                <c:pt idx="6134">
                  <c:v>PRHSX</c:v>
                </c:pt>
                <c:pt idx="6135">
                  <c:v>PRHSX</c:v>
                </c:pt>
                <c:pt idx="6136">
                  <c:v>PRHSX</c:v>
                </c:pt>
                <c:pt idx="6137">
                  <c:v>PRHSX</c:v>
                </c:pt>
                <c:pt idx="6138">
                  <c:v>PRHSX</c:v>
                </c:pt>
                <c:pt idx="6139">
                  <c:v>PRHSX</c:v>
                </c:pt>
                <c:pt idx="6140">
                  <c:v>PRHSX</c:v>
                </c:pt>
                <c:pt idx="6141">
                  <c:v>PRHSX</c:v>
                </c:pt>
                <c:pt idx="6142">
                  <c:v>PRHSX</c:v>
                </c:pt>
                <c:pt idx="6143">
                  <c:v>PRHSX</c:v>
                </c:pt>
                <c:pt idx="6144">
                  <c:v>PRHSX</c:v>
                </c:pt>
                <c:pt idx="6145">
                  <c:v>PRHSX</c:v>
                </c:pt>
                <c:pt idx="6146">
                  <c:v>PRHSX</c:v>
                </c:pt>
                <c:pt idx="6147">
                  <c:v>PRHSX</c:v>
                </c:pt>
                <c:pt idx="6148">
                  <c:v>PRHSX</c:v>
                </c:pt>
                <c:pt idx="6149">
                  <c:v>PRHSX</c:v>
                </c:pt>
                <c:pt idx="6150">
                  <c:v>PRHSX</c:v>
                </c:pt>
                <c:pt idx="6151">
                  <c:v>PRHSX</c:v>
                </c:pt>
                <c:pt idx="6152">
                  <c:v>PRHSX</c:v>
                </c:pt>
                <c:pt idx="6153">
                  <c:v>PRHSX</c:v>
                </c:pt>
                <c:pt idx="6154">
                  <c:v>PRHSX</c:v>
                </c:pt>
                <c:pt idx="6155">
                  <c:v>PRHSX</c:v>
                </c:pt>
                <c:pt idx="6156">
                  <c:v>PRHSX</c:v>
                </c:pt>
                <c:pt idx="6157">
                  <c:v>PRHSX</c:v>
                </c:pt>
                <c:pt idx="6158">
                  <c:v>PRHSX</c:v>
                </c:pt>
                <c:pt idx="6159">
                  <c:v>PRHSX</c:v>
                </c:pt>
                <c:pt idx="6160">
                  <c:v>PRHSX</c:v>
                </c:pt>
                <c:pt idx="6161">
                  <c:v>PRHSX</c:v>
                </c:pt>
                <c:pt idx="6162">
                  <c:v>PRHSX</c:v>
                </c:pt>
                <c:pt idx="6163">
                  <c:v>PRHSX</c:v>
                </c:pt>
                <c:pt idx="6164">
                  <c:v>PRHSX</c:v>
                </c:pt>
                <c:pt idx="6165">
                  <c:v>PRHSX</c:v>
                </c:pt>
                <c:pt idx="6166">
                  <c:v>PRHSX</c:v>
                </c:pt>
                <c:pt idx="6167">
                  <c:v>PRHSX</c:v>
                </c:pt>
                <c:pt idx="6168">
                  <c:v>PRHSX</c:v>
                </c:pt>
                <c:pt idx="6169">
                  <c:v>PRHSX</c:v>
                </c:pt>
                <c:pt idx="6170">
                  <c:v>PRHSX</c:v>
                </c:pt>
                <c:pt idx="6171">
                  <c:v>PRHSX</c:v>
                </c:pt>
                <c:pt idx="6172">
                  <c:v>PRHSX</c:v>
                </c:pt>
                <c:pt idx="6173">
                  <c:v>PRHSX</c:v>
                </c:pt>
                <c:pt idx="6174">
                  <c:v>PRHSX</c:v>
                </c:pt>
                <c:pt idx="6175">
                  <c:v>PRHSX</c:v>
                </c:pt>
                <c:pt idx="6176">
                  <c:v>PRHSX</c:v>
                </c:pt>
                <c:pt idx="6177">
                  <c:v>PRHSX</c:v>
                </c:pt>
                <c:pt idx="6178">
                  <c:v>PRHSX</c:v>
                </c:pt>
                <c:pt idx="6179">
                  <c:v>PRHSX</c:v>
                </c:pt>
                <c:pt idx="6180">
                  <c:v>PRHSX</c:v>
                </c:pt>
                <c:pt idx="6181">
                  <c:v>PRHSX</c:v>
                </c:pt>
                <c:pt idx="6182">
                  <c:v>PRHSX</c:v>
                </c:pt>
                <c:pt idx="6183">
                  <c:v>PRHSX</c:v>
                </c:pt>
                <c:pt idx="6184">
                  <c:v>PRHSX</c:v>
                </c:pt>
                <c:pt idx="6185">
                  <c:v>PRHSX</c:v>
                </c:pt>
                <c:pt idx="6186">
                  <c:v>PRHSX</c:v>
                </c:pt>
                <c:pt idx="6187">
                  <c:v>PRHSX</c:v>
                </c:pt>
                <c:pt idx="6188">
                  <c:v>PRHSX</c:v>
                </c:pt>
                <c:pt idx="6189">
                  <c:v>PRHSX</c:v>
                </c:pt>
                <c:pt idx="6190">
                  <c:v>PRHSX</c:v>
                </c:pt>
                <c:pt idx="6191">
                  <c:v>PRHSX</c:v>
                </c:pt>
                <c:pt idx="6192">
                  <c:v>PRHSX</c:v>
                </c:pt>
                <c:pt idx="6193">
                  <c:v>PRHSX</c:v>
                </c:pt>
                <c:pt idx="6194">
                  <c:v>PRHSX</c:v>
                </c:pt>
                <c:pt idx="6195">
                  <c:v>PRHSX</c:v>
                </c:pt>
                <c:pt idx="6196">
                  <c:v>PRHSX</c:v>
                </c:pt>
                <c:pt idx="6197">
                  <c:v>PRHSX</c:v>
                </c:pt>
                <c:pt idx="6198">
                  <c:v>PRHSX</c:v>
                </c:pt>
                <c:pt idx="6199">
                  <c:v>PRHSX</c:v>
                </c:pt>
                <c:pt idx="6200">
                  <c:v>PRHSX</c:v>
                </c:pt>
                <c:pt idx="6201">
                  <c:v>PRHSX</c:v>
                </c:pt>
                <c:pt idx="6202">
                  <c:v>PRHSX</c:v>
                </c:pt>
                <c:pt idx="6203">
                  <c:v>PRHSX</c:v>
                </c:pt>
                <c:pt idx="6204">
                  <c:v>PRHSX</c:v>
                </c:pt>
                <c:pt idx="6205">
                  <c:v>PRHSX</c:v>
                </c:pt>
                <c:pt idx="6206">
                  <c:v>PRHSX</c:v>
                </c:pt>
                <c:pt idx="6207">
                  <c:v>PRHSX</c:v>
                </c:pt>
                <c:pt idx="6208">
                  <c:v>PRHSX</c:v>
                </c:pt>
                <c:pt idx="6209">
                  <c:v>PRHSX</c:v>
                </c:pt>
                <c:pt idx="6210">
                  <c:v>PRHSX</c:v>
                </c:pt>
                <c:pt idx="6211">
                  <c:v>PRHSX</c:v>
                </c:pt>
                <c:pt idx="6212">
                  <c:v>PRHSX</c:v>
                </c:pt>
                <c:pt idx="6213">
                  <c:v>PRHSX</c:v>
                </c:pt>
                <c:pt idx="6214">
                  <c:v>PRHSX</c:v>
                </c:pt>
                <c:pt idx="6215">
                  <c:v>PRHSX</c:v>
                </c:pt>
                <c:pt idx="6216">
                  <c:v>PRHSX</c:v>
                </c:pt>
                <c:pt idx="6217">
                  <c:v>PRHSX</c:v>
                </c:pt>
                <c:pt idx="6218">
                  <c:v>PRHSX</c:v>
                </c:pt>
                <c:pt idx="6219">
                  <c:v>PRHSX</c:v>
                </c:pt>
                <c:pt idx="6220">
                  <c:v>PRHSX</c:v>
                </c:pt>
                <c:pt idx="6221">
                  <c:v>PRHSX</c:v>
                </c:pt>
                <c:pt idx="6222">
                  <c:v>PRHSX</c:v>
                </c:pt>
                <c:pt idx="6223">
                  <c:v>PRHSX</c:v>
                </c:pt>
                <c:pt idx="6224">
                  <c:v>PRHSX</c:v>
                </c:pt>
                <c:pt idx="6225">
                  <c:v>PRHSX</c:v>
                </c:pt>
                <c:pt idx="6226">
                  <c:v>PRHSX</c:v>
                </c:pt>
                <c:pt idx="6227">
                  <c:v>PRHSX</c:v>
                </c:pt>
                <c:pt idx="6228">
                  <c:v>PRHSX</c:v>
                </c:pt>
                <c:pt idx="6229">
                  <c:v>PRHSX</c:v>
                </c:pt>
                <c:pt idx="6230">
                  <c:v>PRHSX</c:v>
                </c:pt>
                <c:pt idx="6231">
                  <c:v>PRHSX</c:v>
                </c:pt>
                <c:pt idx="6232">
                  <c:v>PRHSX</c:v>
                </c:pt>
                <c:pt idx="6233">
                  <c:v>PRHSX</c:v>
                </c:pt>
                <c:pt idx="6234">
                  <c:v>PRHSX</c:v>
                </c:pt>
                <c:pt idx="6235">
                  <c:v>PRHSX</c:v>
                </c:pt>
                <c:pt idx="6236">
                  <c:v>PRHSX</c:v>
                </c:pt>
                <c:pt idx="6237">
                  <c:v>PRHSX</c:v>
                </c:pt>
                <c:pt idx="6238">
                  <c:v>PRHSX</c:v>
                </c:pt>
                <c:pt idx="6239">
                  <c:v>PRHSX</c:v>
                </c:pt>
                <c:pt idx="6240">
                  <c:v>PRHSX</c:v>
                </c:pt>
                <c:pt idx="6241">
                  <c:v>PRHSX</c:v>
                </c:pt>
                <c:pt idx="6242">
                  <c:v>PRHSX</c:v>
                </c:pt>
                <c:pt idx="6243">
                  <c:v>PRHSX</c:v>
                </c:pt>
                <c:pt idx="6244">
                  <c:v>PRHSX</c:v>
                </c:pt>
                <c:pt idx="6245">
                  <c:v>PRHSX</c:v>
                </c:pt>
                <c:pt idx="6246">
                  <c:v>PRHSX</c:v>
                </c:pt>
                <c:pt idx="6247">
                  <c:v>PRHSX</c:v>
                </c:pt>
                <c:pt idx="6248">
                  <c:v>PRHSX</c:v>
                </c:pt>
                <c:pt idx="6249">
                  <c:v>PRHSX</c:v>
                </c:pt>
                <c:pt idx="6250">
                  <c:v>PRHSX</c:v>
                </c:pt>
                <c:pt idx="6251">
                  <c:v>PRHSX</c:v>
                </c:pt>
                <c:pt idx="6252">
                  <c:v>PRHSX</c:v>
                </c:pt>
                <c:pt idx="6253">
                  <c:v>PRHSX</c:v>
                </c:pt>
                <c:pt idx="6254">
                  <c:v>PRHSX</c:v>
                </c:pt>
                <c:pt idx="6255">
                  <c:v>PRHSX</c:v>
                </c:pt>
                <c:pt idx="6256">
                  <c:v>PRHSX</c:v>
                </c:pt>
                <c:pt idx="6257">
                  <c:v>PRHSX</c:v>
                </c:pt>
                <c:pt idx="6258">
                  <c:v>PRHSX</c:v>
                </c:pt>
                <c:pt idx="6259">
                  <c:v>PRHSX</c:v>
                </c:pt>
                <c:pt idx="6260">
                  <c:v>PRHSX</c:v>
                </c:pt>
                <c:pt idx="6261">
                  <c:v>PRHSX</c:v>
                </c:pt>
                <c:pt idx="6262">
                  <c:v>PRHSX</c:v>
                </c:pt>
                <c:pt idx="6263">
                  <c:v>PRHSX</c:v>
                </c:pt>
                <c:pt idx="6264">
                  <c:v>PRHSX</c:v>
                </c:pt>
                <c:pt idx="6265">
                  <c:v>PRHSX</c:v>
                </c:pt>
                <c:pt idx="6266">
                  <c:v>PRHSX</c:v>
                </c:pt>
                <c:pt idx="6267">
                  <c:v>PRHSX</c:v>
                </c:pt>
                <c:pt idx="6268">
                  <c:v>PRHSX</c:v>
                </c:pt>
                <c:pt idx="6269">
                  <c:v>PRHSX</c:v>
                </c:pt>
                <c:pt idx="6270">
                  <c:v>PRHSX</c:v>
                </c:pt>
                <c:pt idx="6271">
                  <c:v>PRHSX</c:v>
                </c:pt>
                <c:pt idx="6272">
                  <c:v>PRHSX</c:v>
                </c:pt>
                <c:pt idx="6273">
                  <c:v>PRHSX</c:v>
                </c:pt>
                <c:pt idx="6274">
                  <c:v>PRHSX</c:v>
                </c:pt>
                <c:pt idx="6275">
                  <c:v>PRHSX</c:v>
                </c:pt>
                <c:pt idx="6276">
                  <c:v>PRHSX</c:v>
                </c:pt>
                <c:pt idx="6277">
                  <c:v>PRHSX</c:v>
                </c:pt>
                <c:pt idx="6278">
                  <c:v>PRHSX</c:v>
                </c:pt>
                <c:pt idx="6279">
                  <c:v>PRHSX</c:v>
                </c:pt>
                <c:pt idx="6280">
                  <c:v>PRHSX</c:v>
                </c:pt>
                <c:pt idx="6281">
                  <c:v>PRHSX</c:v>
                </c:pt>
                <c:pt idx="6282">
                  <c:v>PRHSX</c:v>
                </c:pt>
                <c:pt idx="6283">
                  <c:v>PRHSX</c:v>
                </c:pt>
                <c:pt idx="6284">
                  <c:v>PRHSX</c:v>
                </c:pt>
                <c:pt idx="6285">
                  <c:v>PRHSX</c:v>
                </c:pt>
                <c:pt idx="6286">
                  <c:v>PRHSX</c:v>
                </c:pt>
                <c:pt idx="6287">
                  <c:v>PRHSX</c:v>
                </c:pt>
                <c:pt idx="6288">
                  <c:v>PRHSX</c:v>
                </c:pt>
                <c:pt idx="6289">
                  <c:v>PRHSX</c:v>
                </c:pt>
                <c:pt idx="6290">
                  <c:v>PRHSX</c:v>
                </c:pt>
                <c:pt idx="6291">
                  <c:v>PRHSX</c:v>
                </c:pt>
                <c:pt idx="6292">
                  <c:v>PRHSX</c:v>
                </c:pt>
                <c:pt idx="6293">
                  <c:v>PRHSX</c:v>
                </c:pt>
                <c:pt idx="6294">
                  <c:v>PRHSX</c:v>
                </c:pt>
                <c:pt idx="6295">
                  <c:v>PRHSX</c:v>
                </c:pt>
                <c:pt idx="6296">
                  <c:v>PRHSX</c:v>
                </c:pt>
                <c:pt idx="6297">
                  <c:v>PRHSX</c:v>
                </c:pt>
                <c:pt idx="6298">
                  <c:v>PRHSX</c:v>
                </c:pt>
                <c:pt idx="6299">
                  <c:v>PRHSX</c:v>
                </c:pt>
                <c:pt idx="6300">
                  <c:v>PRHSX</c:v>
                </c:pt>
                <c:pt idx="6301">
                  <c:v>PRHSX</c:v>
                </c:pt>
                <c:pt idx="6302">
                  <c:v>PRHSX</c:v>
                </c:pt>
                <c:pt idx="6303">
                  <c:v>PRHSX</c:v>
                </c:pt>
                <c:pt idx="6304">
                  <c:v>PRHSX</c:v>
                </c:pt>
                <c:pt idx="6305">
                  <c:v>PRHSX</c:v>
                </c:pt>
                <c:pt idx="6306">
                  <c:v>PRHSX</c:v>
                </c:pt>
                <c:pt idx="6307">
                  <c:v>PRHSX</c:v>
                </c:pt>
                <c:pt idx="6308">
                  <c:v>PRHSX</c:v>
                </c:pt>
                <c:pt idx="6309">
                  <c:v>PRHSX</c:v>
                </c:pt>
                <c:pt idx="6310">
                  <c:v>PRHSX</c:v>
                </c:pt>
                <c:pt idx="6311">
                  <c:v>PRHSX</c:v>
                </c:pt>
                <c:pt idx="6312">
                  <c:v>PRHSX</c:v>
                </c:pt>
                <c:pt idx="6313">
                  <c:v>PRHSX</c:v>
                </c:pt>
                <c:pt idx="6314">
                  <c:v>PRHSX</c:v>
                </c:pt>
                <c:pt idx="6315">
                  <c:v>PRHSX</c:v>
                </c:pt>
                <c:pt idx="6316">
                  <c:v>PRHSX</c:v>
                </c:pt>
                <c:pt idx="6317">
                  <c:v>PRHSX</c:v>
                </c:pt>
                <c:pt idx="6318">
                  <c:v>PRHSX</c:v>
                </c:pt>
                <c:pt idx="6319">
                  <c:v>PRHSX</c:v>
                </c:pt>
                <c:pt idx="6320">
                  <c:v>PRHSX</c:v>
                </c:pt>
                <c:pt idx="6321">
                  <c:v>PRHSX</c:v>
                </c:pt>
                <c:pt idx="6322">
                  <c:v>PRHSX</c:v>
                </c:pt>
                <c:pt idx="6323">
                  <c:v>PRHSX</c:v>
                </c:pt>
                <c:pt idx="6324">
                  <c:v>PRHSX</c:v>
                </c:pt>
                <c:pt idx="6325">
                  <c:v>PRHSX</c:v>
                </c:pt>
                <c:pt idx="6326">
                  <c:v>PRHSX</c:v>
                </c:pt>
                <c:pt idx="6327">
                  <c:v>PRHSX</c:v>
                </c:pt>
                <c:pt idx="6328">
                  <c:v>PRHSX</c:v>
                </c:pt>
                <c:pt idx="6329">
                  <c:v>PRHSX</c:v>
                </c:pt>
                <c:pt idx="6330">
                  <c:v>PRHSX</c:v>
                </c:pt>
                <c:pt idx="6331">
                  <c:v>PRHSX</c:v>
                </c:pt>
                <c:pt idx="6332">
                  <c:v>PRHSX</c:v>
                </c:pt>
                <c:pt idx="6333">
                  <c:v>PRHSX</c:v>
                </c:pt>
                <c:pt idx="6334">
                  <c:v>PRHSX</c:v>
                </c:pt>
                <c:pt idx="6335">
                  <c:v>PRHSX</c:v>
                </c:pt>
                <c:pt idx="6336">
                  <c:v>PRHSX</c:v>
                </c:pt>
                <c:pt idx="6337">
                  <c:v>PRHSX</c:v>
                </c:pt>
                <c:pt idx="6338">
                  <c:v>PRHSX</c:v>
                </c:pt>
                <c:pt idx="6339">
                  <c:v>PRHSX</c:v>
                </c:pt>
                <c:pt idx="6340">
                  <c:v>PRHSX</c:v>
                </c:pt>
                <c:pt idx="6341">
                  <c:v>PRHSX</c:v>
                </c:pt>
                <c:pt idx="6342">
                  <c:v>PRHSX</c:v>
                </c:pt>
                <c:pt idx="6343">
                  <c:v>PRHSX</c:v>
                </c:pt>
                <c:pt idx="6344">
                  <c:v>PRHSX</c:v>
                </c:pt>
                <c:pt idx="6345">
                  <c:v>PRHSX</c:v>
                </c:pt>
                <c:pt idx="6346">
                  <c:v>PRHSX</c:v>
                </c:pt>
                <c:pt idx="6347">
                  <c:v>PRHSX</c:v>
                </c:pt>
                <c:pt idx="6348">
                  <c:v>PRHSX</c:v>
                </c:pt>
                <c:pt idx="6349">
                  <c:v>PRHSX</c:v>
                </c:pt>
                <c:pt idx="6350">
                  <c:v>PRHSX</c:v>
                </c:pt>
                <c:pt idx="6351">
                  <c:v>PRHSX</c:v>
                </c:pt>
                <c:pt idx="6352">
                  <c:v>PRHSX</c:v>
                </c:pt>
                <c:pt idx="6353">
                  <c:v>PRHSX</c:v>
                </c:pt>
                <c:pt idx="6354">
                  <c:v>PRHSX</c:v>
                </c:pt>
                <c:pt idx="6355">
                  <c:v>PRHSX</c:v>
                </c:pt>
                <c:pt idx="6356">
                  <c:v>PRHSX</c:v>
                </c:pt>
                <c:pt idx="6357">
                  <c:v>PRHSX</c:v>
                </c:pt>
                <c:pt idx="6358">
                  <c:v>PRHSX</c:v>
                </c:pt>
                <c:pt idx="6359">
                  <c:v>PRHSX</c:v>
                </c:pt>
                <c:pt idx="6360">
                  <c:v>PRHSX</c:v>
                </c:pt>
                <c:pt idx="6361">
                  <c:v>PRHSX</c:v>
                </c:pt>
                <c:pt idx="6362">
                  <c:v>PRHSX</c:v>
                </c:pt>
                <c:pt idx="6363">
                  <c:v>PRHSX</c:v>
                </c:pt>
                <c:pt idx="6364">
                  <c:v>PRHSX</c:v>
                </c:pt>
                <c:pt idx="6365">
                  <c:v>PRHSX</c:v>
                </c:pt>
                <c:pt idx="6366">
                  <c:v>PRHSX</c:v>
                </c:pt>
                <c:pt idx="6367">
                  <c:v>PRHSX</c:v>
                </c:pt>
                <c:pt idx="6368">
                  <c:v>PRHSX</c:v>
                </c:pt>
                <c:pt idx="6369">
                  <c:v>PRHSX</c:v>
                </c:pt>
                <c:pt idx="6370">
                  <c:v>PRHSX</c:v>
                </c:pt>
                <c:pt idx="6371">
                  <c:v>PRHSX</c:v>
                </c:pt>
                <c:pt idx="6372">
                  <c:v>PRHSX</c:v>
                </c:pt>
                <c:pt idx="6373">
                  <c:v>PRHSX</c:v>
                </c:pt>
                <c:pt idx="6374">
                  <c:v>PRHSX</c:v>
                </c:pt>
                <c:pt idx="6375">
                  <c:v>PRHSX</c:v>
                </c:pt>
                <c:pt idx="6376">
                  <c:v>PRHSX</c:v>
                </c:pt>
                <c:pt idx="6377">
                  <c:v>PRHSX</c:v>
                </c:pt>
                <c:pt idx="6378">
                  <c:v>PRHSX</c:v>
                </c:pt>
                <c:pt idx="6379">
                  <c:v>PRHSX</c:v>
                </c:pt>
                <c:pt idx="6380">
                  <c:v>PRHSX</c:v>
                </c:pt>
                <c:pt idx="6381">
                  <c:v>PRHSX</c:v>
                </c:pt>
                <c:pt idx="6382">
                  <c:v>PRHSX</c:v>
                </c:pt>
                <c:pt idx="6383">
                  <c:v>PRHSX</c:v>
                </c:pt>
                <c:pt idx="6384">
                  <c:v>PRHSX</c:v>
                </c:pt>
                <c:pt idx="6385">
                  <c:v>PRHSX</c:v>
                </c:pt>
                <c:pt idx="6386">
                  <c:v>PRHSX</c:v>
                </c:pt>
                <c:pt idx="6387">
                  <c:v>PRHSX</c:v>
                </c:pt>
                <c:pt idx="6388">
                  <c:v>PRHSX</c:v>
                </c:pt>
                <c:pt idx="6389">
                  <c:v>PRHSX</c:v>
                </c:pt>
                <c:pt idx="6390">
                  <c:v>PRHSX</c:v>
                </c:pt>
                <c:pt idx="6391">
                  <c:v>PRHSX</c:v>
                </c:pt>
                <c:pt idx="6392">
                  <c:v>PRHSX</c:v>
                </c:pt>
                <c:pt idx="6393">
                  <c:v>PRHSX</c:v>
                </c:pt>
                <c:pt idx="6394">
                  <c:v>PRHSX</c:v>
                </c:pt>
                <c:pt idx="6395">
                  <c:v>PRHSX</c:v>
                </c:pt>
                <c:pt idx="6396">
                  <c:v>PRHSX</c:v>
                </c:pt>
                <c:pt idx="6397">
                  <c:v>PRHSX</c:v>
                </c:pt>
                <c:pt idx="6398">
                  <c:v>PRHSX</c:v>
                </c:pt>
                <c:pt idx="6399">
                  <c:v>PRHSX</c:v>
                </c:pt>
                <c:pt idx="6400">
                  <c:v>PRHSX</c:v>
                </c:pt>
                <c:pt idx="6401">
                  <c:v>PRHSX</c:v>
                </c:pt>
                <c:pt idx="6402">
                  <c:v>PRHSX</c:v>
                </c:pt>
                <c:pt idx="6403">
                  <c:v>PRHSX</c:v>
                </c:pt>
                <c:pt idx="6404">
                  <c:v>PRHSX</c:v>
                </c:pt>
                <c:pt idx="6405">
                  <c:v>PRHSX</c:v>
                </c:pt>
                <c:pt idx="6406">
                  <c:v>PRHSX</c:v>
                </c:pt>
                <c:pt idx="6407">
                  <c:v>PRHSX</c:v>
                </c:pt>
                <c:pt idx="6408">
                  <c:v>PRHSX</c:v>
                </c:pt>
                <c:pt idx="6409">
                  <c:v>PRHSX</c:v>
                </c:pt>
                <c:pt idx="6410">
                  <c:v>PRHSX</c:v>
                </c:pt>
                <c:pt idx="6411">
                  <c:v>PRHSX</c:v>
                </c:pt>
                <c:pt idx="6412">
                  <c:v>PRHSX</c:v>
                </c:pt>
                <c:pt idx="6413">
                  <c:v>PRHSX</c:v>
                </c:pt>
                <c:pt idx="6414">
                  <c:v>PRHSX</c:v>
                </c:pt>
                <c:pt idx="6415">
                  <c:v>PRHSX</c:v>
                </c:pt>
                <c:pt idx="6416">
                  <c:v>PRHSX</c:v>
                </c:pt>
                <c:pt idx="6417">
                  <c:v>PRHSX</c:v>
                </c:pt>
                <c:pt idx="6418">
                  <c:v>PRHSX</c:v>
                </c:pt>
                <c:pt idx="6419">
                  <c:v>PRHSX</c:v>
                </c:pt>
                <c:pt idx="6420">
                  <c:v>PRHSX</c:v>
                </c:pt>
                <c:pt idx="6421">
                  <c:v>PRHSX</c:v>
                </c:pt>
                <c:pt idx="6422">
                  <c:v>PRHSX</c:v>
                </c:pt>
                <c:pt idx="6423">
                  <c:v>PRHSX</c:v>
                </c:pt>
                <c:pt idx="6424">
                  <c:v>PRHSX</c:v>
                </c:pt>
                <c:pt idx="6425">
                  <c:v>PRHSX</c:v>
                </c:pt>
                <c:pt idx="6426">
                  <c:v>PRHSX</c:v>
                </c:pt>
                <c:pt idx="6427">
                  <c:v>PRHSX</c:v>
                </c:pt>
                <c:pt idx="6428">
                  <c:v>PRHSX</c:v>
                </c:pt>
                <c:pt idx="6429">
                  <c:v>PRHSX</c:v>
                </c:pt>
                <c:pt idx="6430">
                  <c:v>PRHSX</c:v>
                </c:pt>
                <c:pt idx="6431">
                  <c:v>PRHSX</c:v>
                </c:pt>
                <c:pt idx="6432">
                  <c:v>PRHSX</c:v>
                </c:pt>
                <c:pt idx="6433">
                  <c:v>PRHSX</c:v>
                </c:pt>
                <c:pt idx="6434">
                  <c:v>PRHSX</c:v>
                </c:pt>
                <c:pt idx="6435">
                  <c:v>PRHSX</c:v>
                </c:pt>
                <c:pt idx="6436">
                  <c:v>PRHSX</c:v>
                </c:pt>
                <c:pt idx="6437">
                  <c:v>PRHSX</c:v>
                </c:pt>
                <c:pt idx="6438">
                  <c:v>PRHSX</c:v>
                </c:pt>
                <c:pt idx="6439">
                  <c:v>PRHSX</c:v>
                </c:pt>
                <c:pt idx="6440">
                  <c:v>PRHSX</c:v>
                </c:pt>
                <c:pt idx="6441">
                  <c:v>PRHSX</c:v>
                </c:pt>
                <c:pt idx="6442">
                  <c:v>PRHSX</c:v>
                </c:pt>
                <c:pt idx="6443">
                  <c:v>PRHSX</c:v>
                </c:pt>
                <c:pt idx="6444">
                  <c:v>PRHSX</c:v>
                </c:pt>
                <c:pt idx="6445">
                  <c:v>PRHSX</c:v>
                </c:pt>
                <c:pt idx="6446">
                  <c:v>PRHSX</c:v>
                </c:pt>
                <c:pt idx="6447">
                  <c:v>PRHSX</c:v>
                </c:pt>
                <c:pt idx="6448">
                  <c:v>PRHSX</c:v>
                </c:pt>
                <c:pt idx="6449">
                  <c:v>PRHSX</c:v>
                </c:pt>
                <c:pt idx="6450">
                  <c:v>PRHSX</c:v>
                </c:pt>
                <c:pt idx="6451">
                  <c:v>PRHSX</c:v>
                </c:pt>
                <c:pt idx="6452">
                  <c:v>PRHSX</c:v>
                </c:pt>
                <c:pt idx="6453">
                  <c:v>PRHSX</c:v>
                </c:pt>
                <c:pt idx="6454">
                  <c:v>PRHSX</c:v>
                </c:pt>
                <c:pt idx="6455">
                  <c:v>PRHSX</c:v>
                </c:pt>
                <c:pt idx="6456">
                  <c:v>PRHSX</c:v>
                </c:pt>
                <c:pt idx="6457">
                  <c:v>PRHSX</c:v>
                </c:pt>
                <c:pt idx="6458">
                  <c:v>PRHSX</c:v>
                </c:pt>
                <c:pt idx="6459">
                  <c:v>PRHSX</c:v>
                </c:pt>
                <c:pt idx="6460">
                  <c:v>PRHSX</c:v>
                </c:pt>
                <c:pt idx="6461">
                  <c:v>PRHSX</c:v>
                </c:pt>
                <c:pt idx="6462">
                  <c:v>PRHSX</c:v>
                </c:pt>
                <c:pt idx="6463">
                  <c:v>PRHSX</c:v>
                </c:pt>
                <c:pt idx="6464">
                  <c:v>PRHSX</c:v>
                </c:pt>
                <c:pt idx="6465">
                  <c:v>PRHSX</c:v>
                </c:pt>
                <c:pt idx="6466">
                  <c:v>PRHSX</c:v>
                </c:pt>
                <c:pt idx="6467">
                  <c:v>PRHSX</c:v>
                </c:pt>
                <c:pt idx="6468">
                  <c:v>PRHSX</c:v>
                </c:pt>
                <c:pt idx="6469">
                  <c:v>PRHSX</c:v>
                </c:pt>
                <c:pt idx="6470">
                  <c:v>PRHSX</c:v>
                </c:pt>
                <c:pt idx="6471">
                  <c:v>PRHSX</c:v>
                </c:pt>
                <c:pt idx="6472">
                  <c:v>PRHSX</c:v>
                </c:pt>
                <c:pt idx="6473">
                  <c:v>PRHSX</c:v>
                </c:pt>
                <c:pt idx="6474">
                  <c:v>PRHSX</c:v>
                </c:pt>
                <c:pt idx="6475">
                  <c:v>PRHSX</c:v>
                </c:pt>
                <c:pt idx="6476">
                  <c:v>PRHSX</c:v>
                </c:pt>
                <c:pt idx="6477">
                  <c:v>PRHSX</c:v>
                </c:pt>
                <c:pt idx="6478">
                  <c:v>PRHSX</c:v>
                </c:pt>
                <c:pt idx="6479">
                  <c:v>PRHSX</c:v>
                </c:pt>
                <c:pt idx="6480">
                  <c:v>PRHSX</c:v>
                </c:pt>
                <c:pt idx="6481">
                  <c:v>PRHSX</c:v>
                </c:pt>
                <c:pt idx="6482">
                  <c:v>PRHSX</c:v>
                </c:pt>
                <c:pt idx="6483">
                  <c:v>PRHSX</c:v>
                </c:pt>
                <c:pt idx="6484">
                  <c:v>PRHSX</c:v>
                </c:pt>
                <c:pt idx="6485">
                  <c:v>PRHSX</c:v>
                </c:pt>
                <c:pt idx="6486">
                  <c:v>PRHSX</c:v>
                </c:pt>
                <c:pt idx="6487">
                  <c:v>PRHSX</c:v>
                </c:pt>
                <c:pt idx="6488">
                  <c:v>PRHSX</c:v>
                </c:pt>
                <c:pt idx="6489">
                  <c:v>PRHSX</c:v>
                </c:pt>
                <c:pt idx="6490">
                  <c:v>PRHSX</c:v>
                </c:pt>
                <c:pt idx="6491">
                  <c:v>PRHSX</c:v>
                </c:pt>
                <c:pt idx="6492">
                  <c:v>PRHSX</c:v>
                </c:pt>
                <c:pt idx="6493">
                  <c:v>PRHSX</c:v>
                </c:pt>
                <c:pt idx="6494">
                  <c:v>PRHSX</c:v>
                </c:pt>
                <c:pt idx="6495">
                  <c:v>PRHSX</c:v>
                </c:pt>
                <c:pt idx="6496">
                  <c:v>PRHSX</c:v>
                </c:pt>
                <c:pt idx="6497">
                  <c:v>PRHSX</c:v>
                </c:pt>
                <c:pt idx="6498">
                  <c:v>PRHSX</c:v>
                </c:pt>
                <c:pt idx="6499">
                  <c:v>PRHSX</c:v>
                </c:pt>
                <c:pt idx="6500">
                  <c:v>PRHSX</c:v>
                </c:pt>
                <c:pt idx="6501">
                  <c:v>PRHSX</c:v>
                </c:pt>
                <c:pt idx="6502">
                  <c:v>PRHSX</c:v>
                </c:pt>
                <c:pt idx="6503">
                  <c:v>PRHSX</c:v>
                </c:pt>
                <c:pt idx="6504">
                  <c:v>PRHSX</c:v>
                </c:pt>
                <c:pt idx="6505">
                  <c:v>PRHSX</c:v>
                </c:pt>
                <c:pt idx="6506">
                  <c:v>PRHSX</c:v>
                </c:pt>
                <c:pt idx="6507">
                  <c:v>PRHSX</c:v>
                </c:pt>
                <c:pt idx="6508">
                  <c:v>PRHSX</c:v>
                </c:pt>
                <c:pt idx="6509">
                  <c:v>PRHSX</c:v>
                </c:pt>
                <c:pt idx="6510">
                  <c:v>PRHSX</c:v>
                </c:pt>
                <c:pt idx="6511">
                  <c:v>PRHSX</c:v>
                </c:pt>
                <c:pt idx="6512">
                  <c:v>PRHSX</c:v>
                </c:pt>
                <c:pt idx="6513">
                  <c:v>PRHSX</c:v>
                </c:pt>
                <c:pt idx="6514">
                  <c:v>PRHSX</c:v>
                </c:pt>
                <c:pt idx="6515">
                  <c:v>PRHSX</c:v>
                </c:pt>
                <c:pt idx="6516">
                  <c:v>PRHSX</c:v>
                </c:pt>
                <c:pt idx="6517">
                  <c:v>PRHSX</c:v>
                </c:pt>
                <c:pt idx="6518">
                  <c:v>PRHSX</c:v>
                </c:pt>
                <c:pt idx="6519">
                  <c:v>PRHSX</c:v>
                </c:pt>
                <c:pt idx="6520">
                  <c:v>PRHSX</c:v>
                </c:pt>
                <c:pt idx="6521">
                  <c:v>PRHSX</c:v>
                </c:pt>
                <c:pt idx="6522">
                  <c:v>PRHSX</c:v>
                </c:pt>
                <c:pt idx="6523">
                  <c:v>PRHSX</c:v>
                </c:pt>
                <c:pt idx="6524">
                  <c:v>PRHSX</c:v>
                </c:pt>
                <c:pt idx="6525">
                  <c:v>PRHSX</c:v>
                </c:pt>
                <c:pt idx="6526">
                  <c:v>PRHSX</c:v>
                </c:pt>
                <c:pt idx="6527">
                  <c:v>PRHSX</c:v>
                </c:pt>
                <c:pt idx="6528">
                  <c:v>PRHSX</c:v>
                </c:pt>
                <c:pt idx="6529">
                  <c:v>PRHSX</c:v>
                </c:pt>
                <c:pt idx="6530">
                  <c:v>PRHSX</c:v>
                </c:pt>
                <c:pt idx="6531">
                  <c:v>PRHSX</c:v>
                </c:pt>
                <c:pt idx="6532">
                  <c:v>PRHSX</c:v>
                </c:pt>
                <c:pt idx="6533">
                  <c:v>PRHSX</c:v>
                </c:pt>
                <c:pt idx="6534">
                  <c:v>PRHSX</c:v>
                </c:pt>
                <c:pt idx="6535">
                  <c:v>PRHSX</c:v>
                </c:pt>
                <c:pt idx="6536">
                  <c:v>PRHSX</c:v>
                </c:pt>
                <c:pt idx="6537">
                  <c:v>PRHSX</c:v>
                </c:pt>
                <c:pt idx="6538">
                  <c:v>PRHSX</c:v>
                </c:pt>
                <c:pt idx="6539">
                  <c:v>PRHSX</c:v>
                </c:pt>
                <c:pt idx="6540">
                  <c:v>PRHSX</c:v>
                </c:pt>
                <c:pt idx="6541">
                  <c:v>PRHSX</c:v>
                </c:pt>
                <c:pt idx="6542">
                  <c:v>PRHSX</c:v>
                </c:pt>
                <c:pt idx="6543">
                  <c:v>PRHSX</c:v>
                </c:pt>
                <c:pt idx="6544">
                  <c:v>PRHSX</c:v>
                </c:pt>
                <c:pt idx="6545">
                  <c:v>PRHSX</c:v>
                </c:pt>
                <c:pt idx="6546">
                  <c:v>PRHSX</c:v>
                </c:pt>
                <c:pt idx="6547">
                  <c:v>PRHSX</c:v>
                </c:pt>
                <c:pt idx="6548">
                  <c:v>PRHSX</c:v>
                </c:pt>
                <c:pt idx="6549">
                  <c:v>PRHSX</c:v>
                </c:pt>
                <c:pt idx="6550">
                  <c:v>PRHSX</c:v>
                </c:pt>
                <c:pt idx="6551">
                  <c:v>PRHSX</c:v>
                </c:pt>
                <c:pt idx="6552">
                  <c:v>PRHSX</c:v>
                </c:pt>
                <c:pt idx="6553">
                  <c:v>PRHSX</c:v>
                </c:pt>
                <c:pt idx="6554">
                  <c:v>PRHSX</c:v>
                </c:pt>
                <c:pt idx="6555">
                  <c:v>PRHSX</c:v>
                </c:pt>
                <c:pt idx="6556">
                  <c:v>PRHSX</c:v>
                </c:pt>
                <c:pt idx="6557">
                  <c:v>PRHSX</c:v>
                </c:pt>
                <c:pt idx="6558">
                  <c:v>PRHSX</c:v>
                </c:pt>
                <c:pt idx="6559">
                  <c:v>PRHSX</c:v>
                </c:pt>
                <c:pt idx="6560">
                  <c:v>PRHSX</c:v>
                </c:pt>
                <c:pt idx="6561">
                  <c:v>PRHSX</c:v>
                </c:pt>
                <c:pt idx="6562">
                  <c:v>PRHSX</c:v>
                </c:pt>
                <c:pt idx="6563">
                  <c:v>PRHSX</c:v>
                </c:pt>
                <c:pt idx="6564">
                  <c:v>PRHSX</c:v>
                </c:pt>
                <c:pt idx="6565">
                  <c:v>PRHSX</c:v>
                </c:pt>
                <c:pt idx="6566">
                  <c:v>PRHSX</c:v>
                </c:pt>
                <c:pt idx="6567">
                  <c:v>PRHSX</c:v>
                </c:pt>
                <c:pt idx="6568">
                  <c:v>PRHSX</c:v>
                </c:pt>
                <c:pt idx="6569">
                  <c:v>PRHSX</c:v>
                </c:pt>
                <c:pt idx="6570">
                  <c:v>PRHSX</c:v>
                </c:pt>
                <c:pt idx="6571">
                  <c:v>PRHSX</c:v>
                </c:pt>
                <c:pt idx="6572">
                  <c:v>PRHSX</c:v>
                </c:pt>
                <c:pt idx="6573">
                  <c:v>PRHSX</c:v>
                </c:pt>
                <c:pt idx="6574">
                  <c:v>PRHSX</c:v>
                </c:pt>
                <c:pt idx="6575">
                  <c:v>PRHSX</c:v>
                </c:pt>
                <c:pt idx="6576">
                  <c:v>PRHSX</c:v>
                </c:pt>
                <c:pt idx="6577">
                  <c:v>PRHSX</c:v>
                </c:pt>
                <c:pt idx="6578">
                  <c:v>PRHSX</c:v>
                </c:pt>
                <c:pt idx="6579">
                  <c:v>PRHSX</c:v>
                </c:pt>
                <c:pt idx="6580">
                  <c:v>PRHSX</c:v>
                </c:pt>
                <c:pt idx="6581">
                  <c:v>PRHSX</c:v>
                </c:pt>
                <c:pt idx="6582">
                  <c:v>PRHSX</c:v>
                </c:pt>
                <c:pt idx="6583">
                  <c:v>PRHSX</c:v>
                </c:pt>
                <c:pt idx="6584">
                  <c:v>PRHSX</c:v>
                </c:pt>
                <c:pt idx="6585">
                  <c:v>PRHSX</c:v>
                </c:pt>
                <c:pt idx="6586">
                  <c:v>PRHSX</c:v>
                </c:pt>
                <c:pt idx="6587">
                  <c:v>PRHSX</c:v>
                </c:pt>
                <c:pt idx="6588">
                  <c:v>PRHSX</c:v>
                </c:pt>
                <c:pt idx="6589">
                  <c:v>PRHSX</c:v>
                </c:pt>
                <c:pt idx="6590">
                  <c:v>PRHSX</c:v>
                </c:pt>
                <c:pt idx="6591">
                  <c:v>PRHSX</c:v>
                </c:pt>
                <c:pt idx="6592">
                  <c:v>PRHSX</c:v>
                </c:pt>
                <c:pt idx="6593">
                  <c:v>PRHSX</c:v>
                </c:pt>
                <c:pt idx="6594">
                  <c:v>PRHSX</c:v>
                </c:pt>
                <c:pt idx="6595">
                  <c:v>PRHSX</c:v>
                </c:pt>
                <c:pt idx="6596">
                  <c:v>PRHSX</c:v>
                </c:pt>
                <c:pt idx="6597">
                  <c:v>PRHSX</c:v>
                </c:pt>
                <c:pt idx="6598">
                  <c:v>PRHSX</c:v>
                </c:pt>
                <c:pt idx="6599">
                  <c:v>PRHSX</c:v>
                </c:pt>
                <c:pt idx="6600">
                  <c:v>PRHSX</c:v>
                </c:pt>
                <c:pt idx="6601">
                  <c:v>PRHSX</c:v>
                </c:pt>
                <c:pt idx="6602">
                  <c:v>PRHSX</c:v>
                </c:pt>
                <c:pt idx="6603">
                  <c:v>PRHSX</c:v>
                </c:pt>
                <c:pt idx="6604">
                  <c:v>PRHSX</c:v>
                </c:pt>
                <c:pt idx="6605">
                  <c:v>PRHSX</c:v>
                </c:pt>
                <c:pt idx="6606">
                  <c:v>PRHSX</c:v>
                </c:pt>
                <c:pt idx="6607">
                  <c:v>PRHSX</c:v>
                </c:pt>
                <c:pt idx="6608">
                  <c:v>PRHSX</c:v>
                </c:pt>
                <c:pt idx="6609">
                  <c:v>PRHSX</c:v>
                </c:pt>
                <c:pt idx="6610">
                  <c:v>PRHSX</c:v>
                </c:pt>
                <c:pt idx="6611">
                  <c:v>PRHSX</c:v>
                </c:pt>
                <c:pt idx="6612">
                  <c:v>PRHSX</c:v>
                </c:pt>
                <c:pt idx="6613">
                  <c:v>PRHSX</c:v>
                </c:pt>
                <c:pt idx="6614">
                  <c:v>PRHSX</c:v>
                </c:pt>
                <c:pt idx="6615">
                  <c:v>PRHSX</c:v>
                </c:pt>
                <c:pt idx="6616">
                  <c:v>PRHSX</c:v>
                </c:pt>
                <c:pt idx="6617">
                  <c:v>PRHSX</c:v>
                </c:pt>
                <c:pt idx="6618">
                  <c:v>PRHSX</c:v>
                </c:pt>
                <c:pt idx="6619">
                  <c:v>PRHSX</c:v>
                </c:pt>
                <c:pt idx="6620">
                  <c:v>PRHSX</c:v>
                </c:pt>
                <c:pt idx="6621">
                  <c:v>PRHSX</c:v>
                </c:pt>
                <c:pt idx="6622">
                  <c:v>PRHSX</c:v>
                </c:pt>
                <c:pt idx="6623">
                  <c:v>PRHSX</c:v>
                </c:pt>
                <c:pt idx="6624">
                  <c:v>PRHSX</c:v>
                </c:pt>
                <c:pt idx="6625">
                  <c:v>PRHSX</c:v>
                </c:pt>
                <c:pt idx="6626">
                  <c:v>PRHSX</c:v>
                </c:pt>
                <c:pt idx="6627">
                  <c:v>PRHSX</c:v>
                </c:pt>
                <c:pt idx="6628">
                  <c:v>PRHSX</c:v>
                </c:pt>
                <c:pt idx="6629">
                  <c:v>PRHSX</c:v>
                </c:pt>
                <c:pt idx="6630">
                  <c:v>PRHSX</c:v>
                </c:pt>
                <c:pt idx="6631">
                  <c:v>PRHSX</c:v>
                </c:pt>
                <c:pt idx="6632">
                  <c:v>PRHSX</c:v>
                </c:pt>
                <c:pt idx="6633">
                  <c:v>PRHSX</c:v>
                </c:pt>
                <c:pt idx="6634">
                  <c:v>PRHSX</c:v>
                </c:pt>
                <c:pt idx="6635">
                  <c:v>PRHSX</c:v>
                </c:pt>
                <c:pt idx="6636">
                  <c:v>PRHSX</c:v>
                </c:pt>
                <c:pt idx="6637">
                  <c:v>PRHSX</c:v>
                </c:pt>
                <c:pt idx="6638">
                  <c:v>PRHSX</c:v>
                </c:pt>
                <c:pt idx="6639">
                  <c:v>PRHSX</c:v>
                </c:pt>
                <c:pt idx="6640">
                  <c:v>PRHSX</c:v>
                </c:pt>
                <c:pt idx="6641">
                  <c:v>PRHSX</c:v>
                </c:pt>
                <c:pt idx="6642">
                  <c:v>PRHSX</c:v>
                </c:pt>
                <c:pt idx="6643">
                  <c:v>PRHSX</c:v>
                </c:pt>
                <c:pt idx="6644">
                  <c:v>PRHSX</c:v>
                </c:pt>
                <c:pt idx="6645">
                  <c:v>PRHSX</c:v>
                </c:pt>
                <c:pt idx="6646">
                  <c:v>PRHSX</c:v>
                </c:pt>
                <c:pt idx="6647">
                  <c:v>PRHSX</c:v>
                </c:pt>
                <c:pt idx="6648">
                  <c:v>PRHSX</c:v>
                </c:pt>
                <c:pt idx="6649">
                  <c:v>PRHSX</c:v>
                </c:pt>
                <c:pt idx="6650">
                  <c:v>PRHSX</c:v>
                </c:pt>
                <c:pt idx="6651">
                  <c:v>PRHSX</c:v>
                </c:pt>
                <c:pt idx="6652">
                  <c:v>PRHSX</c:v>
                </c:pt>
                <c:pt idx="6653">
                  <c:v>PRHSX</c:v>
                </c:pt>
                <c:pt idx="6654">
                  <c:v>PRHSX</c:v>
                </c:pt>
                <c:pt idx="6655">
                  <c:v>PRHSX</c:v>
                </c:pt>
                <c:pt idx="6656">
                  <c:v>PRHSX</c:v>
                </c:pt>
                <c:pt idx="6657">
                  <c:v>PRHSX</c:v>
                </c:pt>
                <c:pt idx="6658">
                  <c:v>PRHSX</c:v>
                </c:pt>
                <c:pt idx="6659">
                  <c:v>PRHSX</c:v>
                </c:pt>
                <c:pt idx="6660">
                  <c:v>PRHSX</c:v>
                </c:pt>
                <c:pt idx="6661">
                  <c:v>PRHSX</c:v>
                </c:pt>
                <c:pt idx="6662">
                  <c:v>PRHSX</c:v>
                </c:pt>
                <c:pt idx="6663">
                  <c:v>PRHSX</c:v>
                </c:pt>
                <c:pt idx="6664">
                  <c:v>PRHSX</c:v>
                </c:pt>
                <c:pt idx="6665">
                  <c:v>PRHSX</c:v>
                </c:pt>
                <c:pt idx="6666">
                  <c:v>PRHSX</c:v>
                </c:pt>
                <c:pt idx="6667">
                  <c:v>PRHSX</c:v>
                </c:pt>
                <c:pt idx="6668">
                  <c:v>PRHSX</c:v>
                </c:pt>
                <c:pt idx="6669">
                  <c:v>PRHSX</c:v>
                </c:pt>
                <c:pt idx="6670">
                  <c:v>PRHSX</c:v>
                </c:pt>
                <c:pt idx="6671">
                  <c:v>PRHSX</c:v>
                </c:pt>
                <c:pt idx="6672">
                  <c:v>PRHSX</c:v>
                </c:pt>
                <c:pt idx="6673">
                  <c:v>PRHSX</c:v>
                </c:pt>
                <c:pt idx="6674">
                  <c:v>PRHSX</c:v>
                </c:pt>
                <c:pt idx="6675">
                  <c:v>PRHSX</c:v>
                </c:pt>
                <c:pt idx="6676">
                  <c:v>PRHSX</c:v>
                </c:pt>
                <c:pt idx="6677">
                  <c:v>PRHSX</c:v>
                </c:pt>
                <c:pt idx="6678">
                  <c:v>PRHSX</c:v>
                </c:pt>
                <c:pt idx="6679">
                  <c:v>PRHSX</c:v>
                </c:pt>
                <c:pt idx="6680">
                  <c:v>PRHSX</c:v>
                </c:pt>
                <c:pt idx="6681">
                  <c:v>PRHSX</c:v>
                </c:pt>
                <c:pt idx="6682">
                  <c:v>PRHSX</c:v>
                </c:pt>
                <c:pt idx="6683">
                  <c:v>PRHSX</c:v>
                </c:pt>
                <c:pt idx="6684">
                  <c:v>PRHSX</c:v>
                </c:pt>
                <c:pt idx="6685">
                  <c:v>PRHSX</c:v>
                </c:pt>
                <c:pt idx="6686">
                  <c:v>PRHSX</c:v>
                </c:pt>
                <c:pt idx="6687">
                  <c:v>PRHSX</c:v>
                </c:pt>
                <c:pt idx="6688">
                  <c:v>PRHSX</c:v>
                </c:pt>
                <c:pt idx="6689">
                  <c:v>PRHSX</c:v>
                </c:pt>
                <c:pt idx="6690">
                  <c:v>PRHSX</c:v>
                </c:pt>
                <c:pt idx="6691">
                  <c:v>PRHSX</c:v>
                </c:pt>
                <c:pt idx="6692">
                  <c:v>PRHSX</c:v>
                </c:pt>
                <c:pt idx="6693">
                  <c:v>PRHSX</c:v>
                </c:pt>
                <c:pt idx="6694">
                  <c:v>PRHSX</c:v>
                </c:pt>
                <c:pt idx="6695">
                  <c:v>PRHSX</c:v>
                </c:pt>
                <c:pt idx="6696">
                  <c:v>PRHSX</c:v>
                </c:pt>
                <c:pt idx="6697">
                  <c:v>PRHSX</c:v>
                </c:pt>
                <c:pt idx="6698">
                  <c:v>PRHSX</c:v>
                </c:pt>
                <c:pt idx="6699">
                  <c:v>PRHSX</c:v>
                </c:pt>
                <c:pt idx="6700">
                  <c:v>PRHSX</c:v>
                </c:pt>
                <c:pt idx="6701">
                  <c:v>PRHSX</c:v>
                </c:pt>
                <c:pt idx="6702">
                  <c:v>PRHSX</c:v>
                </c:pt>
                <c:pt idx="6703">
                  <c:v>PRHSX</c:v>
                </c:pt>
                <c:pt idx="6704">
                  <c:v>PRHSX</c:v>
                </c:pt>
                <c:pt idx="6705">
                  <c:v>PRHSX</c:v>
                </c:pt>
                <c:pt idx="6706">
                  <c:v>PRHSX</c:v>
                </c:pt>
                <c:pt idx="6707">
                  <c:v>PRHSX</c:v>
                </c:pt>
                <c:pt idx="6708">
                  <c:v>PRHSX</c:v>
                </c:pt>
                <c:pt idx="6709">
                  <c:v>PRHSX</c:v>
                </c:pt>
                <c:pt idx="6710">
                  <c:v>PRHSX</c:v>
                </c:pt>
                <c:pt idx="6711">
                  <c:v>PRHSX</c:v>
                </c:pt>
                <c:pt idx="6712">
                  <c:v>PRHSX</c:v>
                </c:pt>
                <c:pt idx="6713">
                  <c:v>PRHSX</c:v>
                </c:pt>
                <c:pt idx="6714">
                  <c:v>PRHSX</c:v>
                </c:pt>
                <c:pt idx="6715">
                  <c:v>PRHSX</c:v>
                </c:pt>
                <c:pt idx="6716">
                  <c:v>PRHSX</c:v>
                </c:pt>
                <c:pt idx="6717">
                  <c:v>PRHSX</c:v>
                </c:pt>
                <c:pt idx="6718">
                  <c:v>PRHSX</c:v>
                </c:pt>
                <c:pt idx="6719">
                  <c:v>PRHSX</c:v>
                </c:pt>
                <c:pt idx="6720">
                  <c:v>PRHSX</c:v>
                </c:pt>
                <c:pt idx="6721">
                  <c:v>PRHSX</c:v>
                </c:pt>
                <c:pt idx="6722">
                  <c:v>PRHSX</c:v>
                </c:pt>
                <c:pt idx="6723">
                  <c:v>PRHSX</c:v>
                </c:pt>
                <c:pt idx="6724">
                  <c:v>PRHSX</c:v>
                </c:pt>
                <c:pt idx="6725">
                  <c:v>PRHSX</c:v>
                </c:pt>
                <c:pt idx="6726">
                  <c:v>PRHSX</c:v>
                </c:pt>
                <c:pt idx="6727">
                  <c:v>PRHSX</c:v>
                </c:pt>
                <c:pt idx="6728">
                  <c:v>PRHSX</c:v>
                </c:pt>
                <c:pt idx="6729">
                  <c:v>PRHSX</c:v>
                </c:pt>
                <c:pt idx="6730">
                  <c:v>PRHSX</c:v>
                </c:pt>
                <c:pt idx="6731">
                  <c:v>PRHSX</c:v>
                </c:pt>
                <c:pt idx="6732">
                  <c:v>PRHSX</c:v>
                </c:pt>
                <c:pt idx="6733">
                  <c:v>PRHSX</c:v>
                </c:pt>
                <c:pt idx="6734">
                  <c:v>PRHSX</c:v>
                </c:pt>
                <c:pt idx="6735">
                  <c:v>PRHSX</c:v>
                </c:pt>
                <c:pt idx="6736">
                  <c:v>PRHSX</c:v>
                </c:pt>
                <c:pt idx="6737">
                  <c:v>PRHSX</c:v>
                </c:pt>
                <c:pt idx="6738">
                  <c:v>PRHSX</c:v>
                </c:pt>
                <c:pt idx="6739">
                  <c:v>PRHSX</c:v>
                </c:pt>
                <c:pt idx="6740">
                  <c:v>PRHSX</c:v>
                </c:pt>
                <c:pt idx="6741">
                  <c:v>PRHSX</c:v>
                </c:pt>
                <c:pt idx="6742">
                  <c:v>PRHSX</c:v>
                </c:pt>
                <c:pt idx="6743">
                  <c:v>PRHSX</c:v>
                </c:pt>
                <c:pt idx="6744">
                  <c:v>PRHSX</c:v>
                </c:pt>
                <c:pt idx="6745">
                  <c:v>PRHSX</c:v>
                </c:pt>
                <c:pt idx="6746">
                  <c:v>PRHSX</c:v>
                </c:pt>
                <c:pt idx="6747">
                  <c:v>PRHSX</c:v>
                </c:pt>
                <c:pt idx="6748">
                  <c:v>PRHSX</c:v>
                </c:pt>
                <c:pt idx="6749">
                  <c:v>PRHSX</c:v>
                </c:pt>
                <c:pt idx="6750">
                  <c:v>PRHSX</c:v>
                </c:pt>
                <c:pt idx="6751">
                  <c:v>PRHSX</c:v>
                </c:pt>
                <c:pt idx="6752">
                  <c:v>PRHSX</c:v>
                </c:pt>
                <c:pt idx="6753">
                  <c:v>PRHSX</c:v>
                </c:pt>
                <c:pt idx="6754">
                  <c:v>PRHSX</c:v>
                </c:pt>
                <c:pt idx="6755">
                  <c:v>PRHSX</c:v>
                </c:pt>
                <c:pt idx="6756">
                  <c:v>PRHSX</c:v>
                </c:pt>
                <c:pt idx="6757">
                  <c:v>PRHSX</c:v>
                </c:pt>
                <c:pt idx="6758">
                  <c:v>PRHSX</c:v>
                </c:pt>
                <c:pt idx="6759">
                  <c:v>PRHSX</c:v>
                </c:pt>
                <c:pt idx="6760">
                  <c:v>PRHSX</c:v>
                </c:pt>
                <c:pt idx="6761">
                  <c:v>PRHSX</c:v>
                </c:pt>
                <c:pt idx="6762">
                  <c:v>PRHSX</c:v>
                </c:pt>
                <c:pt idx="6763">
                  <c:v>PRHSX</c:v>
                </c:pt>
                <c:pt idx="6764">
                  <c:v>PRHSX</c:v>
                </c:pt>
                <c:pt idx="6765">
                  <c:v>PRHSX</c:v>
                </c:pt>
                <c:pt idx="6766">
                  <c:v>PRHSX</c:v>
                </c:pt>
                <c:pt idx="6767">
                  <c:v>PRHSX</c:v>
                </c:pt>
                <c:pt idx="6768">
                  <c:v>PRHSX</c:v>
                </c:pt>
                <c:pt idx="6769">
                  <c:v>PRHSX</c:v>
                </c:pt>
                <c:pt idx="6770">
                  <c:v>VTSAX</c:v>
                </c:pt>
                <c:pt idx="6771">
                  <c:v>VTSAX</c:v>
                </c:pt>
                <c:pt idx="6772">
                  <c:v>VTSAX</c:v>
                </c:pt>
                <c:pt idx="6773">
                  <c:v>VTSAX</c:v>
                </c:pt>
                <c:pt idx="6774">
                  <c:v>VTSAX</c:v>
                </c:pt>
                <c:pt idx="6775">
                  <c:v>VTSAX</c:v>
                </c:pt>
                <c:pt idx="6776">
                  <c:v>VTSAX</c:v>
                </c:pt>
                <c:pt idx="6777">
                  <c:v>VTSAX</c:v>
                </c:pt>
                <c:pt idx="6778">
                  <c:v>VTSAX</c:v>
                </c:pt>
                <c:pt idx="6779">
                  <c:v>VTSAX</c:v>
                </c:pt>
                <c:pt idx="6780">
                  <c:v>VTSAX</c:v>
                </c:pt>
                <c:pt idx="6781">
                  <c:v>VTSAX</c:v>
                </c:pt>
                <c:pt idx="6782">
                  <c:v>VTSAX</c:v>
                </c:pt>
                <c:pt idx="6783">
                  <c:v>VTSAX</c:v>
                </c:pt>
                <c:pt idx="6784">
                  <c:v>VTSAX</c:v>
                </c:pt>
                <c:pt idx="6785">
                  <c:v>VTSAX</c:v>
                </c:pt>
                <c:pt idx="6786">
                  <c:v>VTSAX</c:v>
                </c:pt>
                <c:pt idx="6787">
                  <c:v>VTSAX</c:v>
                </c:pt>
                <c:pt idx="6788">
                  <c:v>VTSAX</c:v>
                </c:pt>
                <c:pt idx="6789">
                  <c:v>VTSAX</c:v>
                </c:pt>
                <c:pt idx="6790">
                  <c:v>VTSAX</c:v>
                </c:pt>
                <c:pt idx="6791">
                  <c:v>VTSAX</c:v>
                </c:pt>
                <c:pt idx="6792">
                  <c:v>VTSAX</c:v>
                </c:pt>
                <c:pt idx="6793">
                  <c:v>VTSAX</c:v>
                </c:pt>
                <c:pt idx="6794">
                  <c:v>VTSAX</c:v>
                </c:pt>
                <c:pt idx="6795">
                  <c:v>VTSAX</c:v>
                </c:pt>
                <c:pt idx="6796">
                  <c:v>VTSAX</c:v>
                </c:pt>
                <c:pt idx="6797">
                  <c:v>VTSAX</c:v>
                </c:pt>
                <c:pt idx="6798">
                  <c:v>VTSAX</c:v>
                </c:pt>
                <c:pt idx="6799">
                  <c:v>VTSAX</c:v>
                </c:pt>
                <c:pt idx="6800">
                  <c:v>VTSAX</c:v>
                </c:pt>
                <c:pt idx="6801">
                  <c:v>VTSAX</c:v>
                </c:pt>
                <c:pt idx="6802">
                  <c:v>VTSAX</c:v>
                </c:pt>
                <c:pt idx="6803">
                  <c:v>VTSAX</c:v>
                </c:pt>
                <c:pt idx="6804">
                  <c:v>VTSAX</c:v>
                </c:pt>
                <c:pt idx="6805">
                  <c:v>VTSAX</c:v>
                </c:pt>
                <c:pt idx="6806">
                  <c:v>VTSAX</c:v>
                </c:pt>
                <c:pt idx="6807">
                  <c:v>VTSAX</c:v>
                </c:pt>
                <c:pt idx="6808">
                  <c:v>VTSAX</c:v>
                </c:pt>
                <c:pt idx="6809">
                  <c:v>VTSAX</c:v>
                </c:pt>
                <c:pt idx="6810">
                  <c:v>VTSAX</c:v>
                </c:pt>
                <c:pt idx="6811">
                  <c:v>VTSAX</c:v>
                </c:pt>
                <c:pt idx="6812">
                  <c:v>VTSAX</c:v>
                </c:pt>
                <c:pt idx="6813">
                  <c:v>VTSAX</c:v>
                </c:pt>
                <c:pt idx="6814">
                  <c:v>VTSAX</c:v>
                </c:pt>
                <c:pt idx="6815">
                  <c:v>VTSAX</c:v>
                </c:pt>
                <c:pt idx="6816">
                  <c:v>VTSAX</c:v>
                </c:pt>
                <c:pt idx="6817">
                  <c:v>VTSAX</c:v>
                </c:pt>
                <c:pt idx="6818">
                  <c:v>VTSAX</c:v>
                </c:pt>
                <c:pt idx="6819">
                  <c:v>VTSAX</c:v>
                </c:pt>
                <c:pt idx="6820">
                  <c:v>VTSAX</c:v>
                </c:pt>
                <c:pt idx="6821">
                  <c:v>VTSAX</c:v>
                </c:pt>
                <c:pt idx="6822">
                  <c:v>VTSAX</c:v>
                </c:pt>
                <c:pt idx="6823">
                  <c:v>VTSAX</c:v>
                </c:pt>
                <c:pt idx="6824">
                  <c:v>VTSAX</c:v>
                </c:pt>
                <c:pt idx="6825">
                  <c:v>VTSAX</c:v>
                </c:pt>
                <c:pt idx="6826">
                  <c:v>VTSAX</c:v>
                </c:pt>
                <c:pt idx="6827">
                  <c:v>VTSAX</c:v>
                </c:pt>
                <c:pt idx="6828">
                  <c:v>VTSAX</c:v>
                </c:pt>
                <c:pt idx="6829">
                  <c:v>VTSAX</c:v>
                </c:pt>
                <c:pt idx="6830">
                  <c:v>VTSAX</c:v>
                </c:pt>
                <c:pt idx="6831">
                  <c:v>VTSAX</c:v>
                </c:pt>
                <c:pt idx="6832">
                  <c:v>VTSAX</c:v>
                </c:pt>
                <c:pt idx="6833">
                  <c:v>VTSAX</c:v>
                </c:pt>
                <c:pt idx="6834">
                  <c:v>VTSAX</c:v>
                </c:pt>
                <c:pt idx="6835">
                  <c:v>VTSAX</c:v>
                </c:pt>
                <c:pt idx="6836">
                  <c:v>VTSAX</c:v>
                </c:pt>
                <c:pt idx="6837">
                  <c:v>VTSAX</c:v>
                </c:pt>
                <c:pt idx="6838">
                  <c:v>VTSAX</c:v>
                </c:pt>
                <c:pt idx="6839">
                  <c:v>VTSAX</c:v>
                </c:pt>
                <c:pt idx="6840">
                  <c:v>VTSAX</c:v>
                </c:pt>
                <c:pt idx="6841">
                  <c:v>VTSAX</c:v>
                </c:pt>
                <c:pt idx="6842">
                  <c:v>VTSAX</c:v>
                </c:pt>
                <c:pt idx="6843">
                  <c:v>VTSAX</c:v>
                </c:pt>
                <c:pt idx="6844">
                  <c:v>VTSAX</c:v>
                </c:pt>
                <c:pt idx="6845">
                  <c:v>VTSAX</c:v>
                </c:pt>
                <c:pt idx="6846">
                  <c:v>VTSAX</c:v>
                </c:pt>
                <c:pt idx="6847">
                  <c:v>VTSAX</c:v>
                </c:pt>
                <c:pt idx="6848">
                  <c:v>VTSAX</c:v>
                </c:pt>
                <c:pt idx="6849">
                  <c:v>VTSAX</c:v>
                </c:pt>
                <c:pt idx="6850">
                  <c:v>VTSAX</c:v>
                </c:pt>
                <c:pt idx="6851">
                  <c:v>VTSAX</c:v>
                </c:pt>
                <c:pt idx="6852">
                  <c:v>VTSAX</c:v>
                </c:pt>
                <c:pt idx="6853">
                  <c:v>VTSAX</c:v>
                </c:pt>
                <c:pt idx="6854">
                  <c:v>VTSAX</c:v>
                </c:pt>
                <c:pt idx="6855">
                  <c:v>VTSAX</c:v>
                </c:pt>
                <c:pt idx="6856">
                  <c:v>VTSAX</c:v>
                </c:pt>
                <c:pt idx="6857">
                  <c:v>VTSAX</c:v>
                </c:pt>
                <c:pt idx="6858">
                  <c:v>VTSAX</c:v>
                </c:pt>
                <c:pt idx="6859">
                  <c:v>VTSAX</c:v>
                </c:pt>
                <c:pt idx="6860">
                  <c:v>VTSAX</c:v>
                </c:pt>
                <c:pt idx="6861">
                  <c:v>VTSAX</c:v>
                </c:pt>
                <c:pt idx="6862">
                  <c:v>VTSAX</c:v>
                </c:pt>
                <c:pt idx="6863">
                  <c:v>VTSAX</c:v>
                </c:pt>
                <c:pt idx="6864">
                  <c:v>VTSAX</c:v>
                </c:pt>
                <c:pt idx="6865">
                  <c:v>VTSAX</c:v>
                </c:pt>
                <c:pt idx="6866">
                  <c:v>VTSAX</c:v>
                </c:pt>
                <c:pt idx="6867">
                  <c:v>VTSAX</c:v>
                </c:pt>
                <c:pt idx="6868">
                  <c:v>VTSAX</c:v>
                </c:pt>
                <c:pt idx="6869">
                  <c:v>VTSAX</c:v>
                </c:pt>
                <c:pt idx="6870">
                  <c:v>VTSAX</c:v>
                </c:pt>
                <c:pt idx="6871">
                  <c:v>VTSAX</c:v>
                </c:pt>
                <c:pt idx="6872">
                  <c:v>VTSAX</c:v>
                </c:pt>
                <c:pt idx="6873">
                  <c:v>VTSAX</c:v>
                </c:pt>
                <c:pt idx="6874">
                  <c:v>VTSAX</c:v>
                </c:pt>
                <c:pt idx="6875">
                  <c:v>VTSAX</c:v>
                </c:pt>
                <c:pt idx="6876">
                  <c:v>VTSAX</c:v>
                </c:pt>
                <c:pt idx="6877">
                  <c:v>VTSAX</c:v>
                </c:pt>
                <c:pt idx="6878">
                  <c:v>VTSAX</c:v>
                </c:pt>
                <c:pt idx="6879">
                  <c:v>VTSAX</c:v>
                </c:pt>
                <c:pt idx="6880">
                  <c:v>VTSAX</c:v>
                </c:pt>
                <c:pt idx="6881">
                  <c:v>VTSAX</c:v>
                </c:pt>
                <c:pt idx="6882">
                  <c:v>VTSAX</c:v>
                </c:pt>
                <c:pt idx="6883">
                  <c:v>VTSAX</c:v>
                </c:pt>
                <c:pt idx="6884">
                  <c:v>VTSAX</c:v>
                </c:pt>
                <c:pt idx="6885">
                  <c:v>VTSAX</c:v>
                </c:pt>
                <c:pt idx="6886">
                  <c:v>VTSAX</c:v>
                </c:pt>
                <c:pt idx="6887">
                  <c:v>VTSAX</c:v>
                </c:pt>
                <c:pt idx="6888">
                  <c:v>VTSAX</c:v>
                </c:pt>
                <c:pt idx="6889">
                  <c:v>VTSAX</c:v>
                </c:pt>
                <c:pt idx="6890">
                  <c:v>VTSAX</c:v>
                </c:pt>
                <c:pt idx="6891">
                  <c:v>VTSAX</c:v>
                </c:pt>
                <c:pt idx="6892">
                  <c:v>VTSAX</c:v>
                </c:pt>
                <c:pt idx="6893">
                  <c:v>VTSAX</c:v>
                </c:pt>
                <c:pt idx="6894">
                  <c:v>VTSAX</c:v>
                </c:pt>
                <c:pt idx="6895">
                  <c:v>VTSAX</c:v>
                </c:pt>
                <c:pt idx="6896">
                  <c:v>VTSAX</c:v>
                </c:pt>
                <c:pt idx="6897">
                  <c:v>VTSAX</c:v>
                </c:pt>
                <c:pt idx="6898">
                  <c:v>VTSAX</c:v>
                </c:pt>
                <c:pt idx="6899">
                  <c:v>VTSAX</c:v>
                </c:pt>
                <c:pt idx="6900">
                  <c:v>VTSAX</c:v>
                </c:pt>
                <c:pt idx="6901">
                  <c:v>VTSAX</c:v>
                </c:pt>
                <c:pt idx="6902">
                  <c:v>VTSAX</c:v>
                </c:pt>
                <c:pt idx="6903">
                  <c:v>VTSAX</c:v>
                </c:pt>
                <c:pt idx="6904">
                  <c:v>VTSAX</c:v>
                </c:pt>
                <c:pt idx="6905">
                  <c:v>VTSAX</c:v>
                </c:pt>
                <c:pt idx="6906">
                  <c:v>VTSAX</c:v>
                </c:pt>
                <c:pt idx="6907">
                  <c:v>VTSAX</c:v>
                </c:pt>
                <c:pt idx="6908">
                  <c:v>VTSAX</c:v>
                </c:pt>
                <c:pt idx="6909">
                  <c:v>VTSAX</c:v>
                </c:pt>
                <c:pt idx="6910">
                  <c:v>VTSAX</c:v>
                </c:pt>
                <c:pt idx="6911">
                  <c:v>VTSAX</c:v>
                </c:pt>
                <c:pt idx="6912">
                  <c:v>VTSAX</c:v>
                </c:pt>
                <c:pt idx="6913">
                  <c:v>VTSAX</c:v>
                </c:pt>
                <c:pt idx="6914">
                  <c:v>VTSAX</c:v>
                </c:pt>
                <c:pt idx="6915">
                  <c:v>VTSAX</c:v>
                </c:pt>
                <c:pt idx="6916">
                  <c:v>VTSAX</c:v>
                </c:pt>
                <c:pt idx="6917">
                  <c:v>VTSAX</c:v>
                </c:pt>
                <c:pt idx="6918">
                  <c:v>VTSAX</c:v>
                </c:pt>
                <c:pt idx="6919">
                  <c:v>VTSAX</c:v>
                </c:pt>
                <c:pt idx="6920">
                  <c:v>VTSAX</c:v>
                </c:pt>
                <c:pt idx="6921">
                  <c:v>VTSAX</c:v>
                </c:pt>
                <c:pt idx="6922">
                  <c:v>VTSAX</c:v>
                </c:pt>
                <c:pt idx="6923">
                  <c:v>VTSAX</c:v>
                </c:pt>
                <c:pt idx="6924">
                  <c:v>VTSAX</c:v>
                </c:pt>
                <c:pt idx="6925">
                  <c:v>VTSAX</c:v>
                </c:pt>
                <c:pt idx="6926">
                  <c:v>VTSAX</c:v>
                </c:pt>
                <c:pt idx="6927">
                  <c:v>VTSAX</c:v>
                </c:pt>
                <c:pt idx="6928">
                  <c:v>VTSAX</c:v>
                </c:pt>
                <c:pt idx="6929">
                  <c:v>VTSAX</c:v>
                </c:pt>
                <c:pt idx="6930">
                  <c:v>VTSAX</c:v>
                </c:pt>
                <c:pt idx="6931">
                  <c:v>VTSAX</c:v>
                </c:pt>
                <c:pt idx="6932">
                  <c:v>VTSAX</c:v>
                </c:pt>
                <c:pt idx="6933">
                  <c:v>VTSAX</c:v>
                </c:pt>
                <c:pt idx="6934">
                  <c:v>VTSAX</c:v>
                </c:pt>
                <c:pt idx="6935">
                  <c:v>VTSAX</c:v>
                </c:pt>
                <c:pt idx="6936">
                  <c:v>VTSAX</c:v>
                </c:pt>
                <c:pt idx="6937">
                  <c:v>VTSAX</c:v>
                </c:pt>
                <c:pt idx="6938">
                  <c:v>VTSAX</c:v>
                </c:pt>
                <c:pt idx="6939">
                  <c:v>VTSAX</c:v>
                </c:pt>
                <c:pt idx="6940">
                  <c:v>VTSAX</c:v>
                </c:pt>
                <c:pt idx="6941">
                  <c:v>VTSAX</c:v>
                </c:pt>
                <c:pt idx="6942">
                  <c:v>VTSAX</c:v>
                </c:pt>
                <c:pt idx="6943">
                  <c:v>VTSAX</c:v>
                </c:pt>
                <c:pt idx="6944">
                  <c:v>VTSAX</c:v>
                </c:pt>
                <c:pt idx="6945">
                  <c:v>VTSAX</c:v>
                </c:pt>
                <c:pt idx="6946">
                  <c:v>VTSAX</c:v>
                </c:pt>
                <c:pt idx="6947">
                  <c:v>VTSAX</c:v>
                </c:pt>
                <c:pt idx="6948">
                  <c:v>VTSAX</c:v>
                </c:pt>
                <c:pt idx="6949">
                  <c:v>VTSAX</c:v>
                </c:pt>
                <c:pt idx="6950">
                  <c:v>VTSAX</c:v>
                </c:pt>
                <c:pt idx="6951">
                  <c:v>VTSAX</c:v>
                </c:pt>
                <c:pt idx="6952">
                  <c:v>VTSAX</c:v>
                </c:pt>
                <c:pt idx="6953">
                  <c:v>VTSAX</c:v>
                </c:pt>
                <c:pt idx="6954">
                  <c:v>VTSAX</c:v>
                </c:pt>
                <c:pt idx="6955">
                  <c:v>VTSAX</c:v>
                </c:pt>
                <c:pt idx="6956">
                  <c:v>VTSAX</c:v>
                </c:pt>
                <c:pt idx="6957">
                  <c:v>VTSAX</c:v>
                </c:pt>
                <c:pt idx="6958">
                  <c:v>VTSAX</c:v>
                </c:pt>
                <c:pt idx="6959">
                  <c:v>VTSAX</c:v>
                </c:pt>
                <c:pt idx="6960">
                  <c:v>VTSAX</c:v>
                </c:pt>
                <c:pt idx="6961">
                  <c:v>VTSAX</c:v>
                </c:pt>
                <c:pt idx="6962">
                  <c:v>VTSAX</c:v>
                </c:pt>
                <c:pt idx="6963">
                  <c:v>VTSAX</c:v>
                </c:pt>
                <c:pt idx="6964">
                  <c:v>VTSAX</c:v>
                </c:pt>
                <c:pt idx="6965">
                  <c:v>VTSAX</c:v>
                </c:pt>
                <c:pt idx="6966">
                  <c:v>VTSAX</c:v>
                </c:pt>
                <c:pt idx="6967">
                  <c:v>VTSAX</c:v>
                </c:pt>
                <c:pt idx="6968">
                  <c:v>VTSAX</c:v>
                </c:pt>
                <c:pt idx="6969">
                  <c:v>VTSAX</c:v>
                </c:pt>
                <c:pt idx="6970">
                  <c:v>VTSAX</c:v>
                </c:pt>
                <c:pt idx="6971">
                  <c:v>VTSAX</c:v>
                </c:pt>
                <c:pt idx="6972">
                  <c:v>VTSAX</c:v>
                </c:pt>
                <c:pt idx="6973">
                  <c:v>VTSAX</c:v>
                </c:pt>
                <c:pt idx="6974">
                  <c:v>VTSAX</c:v>
                </c:pt>
                <c:pt idx="6975">
                  <c:v>VTSAX</c:v>
                </c:pt>
                <c:pt idx="6976">
                  <c:v>VTSAX</c:v>
                </c:pt>
                <c:pt idx="6977">
                  <c:v>VTSAX</c:v>
                </c:pt>
                <c:pt idx="6978">
                  <c:v>VTSAX</c:v>
                </c:pt>
                <c:pt idx="6979">
                  <c:v>VTSAX</c:v>
                </c:pt>
                <c:pt idx="6980">
                  <c:v>VTSAX</c:v>
                </c:pt>
                <c:pt idx="6981">
                  <c:v>VTSAX</c:v>
                </c:pt>
                <c:pt idx="6982">
                  <c:v>VTSAX</c:v>
                </c:pt>
                <c:pt idx="6983">
                  <c:v>VTSAX</c:v>
                </c:pt>
                <c:pt idx="6984">
                  <c:v>VTSAX</c:v>
                </c:pt>
                <c:pt idx="6985">
                  <c:v>VTSAX</c:v>
                </c:pt>
                <c:pt idx="6986">
                  <c:v>VTSAX</c:v>
                </c:pt>
                <c:pt idx="6987">
                  <c:v>VTSAX</c:v>
                </c:pt>
                <c:pt idx="6988">
                  <c:v>VTSAX</c:v>
                </c:pt>
                <c:pt idx="6989">
                  <c:v>VTSAX</c:v>
                </c:pt>
                <c:pt idx="6990">
                  <c:v>VTSAX</c:v>
                </c:pt>
                <c:pt idx="6991">
                  <c:v>VTSAX</c:v>
                </c:pt>
                <c:pt idx="6992">
                  <c:v>VTSAX</c:v>
                </c:pt>
                <c:pt idx="6993">
                  <c:v>VTSAX</c:v>
                </c:pt>
                <c:pt idx="6994">
                  <c:v>VTSAX</c:v>
                </c:pt>
                <c:pt idx="6995">
                  <c:v>VTSAX</c:v>
                </c:pt>
                <c:pt idx="6996">
                  <c:v>VTSAX</c:v>
                </c:pt>
                <c:pt idx="6997">
                  <c:v>VTSAX</c:v>
                </c:pt>
                <c:pt idx="6998">
                  <c:v>VTSAX</c:v>
                </c:pt>
                <c:pt idx="6999">
                  <c:v>VTSAX</c:v>
                </c:pt>
                <c:pt idx="7000">
                  <c:v>VTSAX</c:v>
                </c:pt>
                <c:pt idx="7001">
                  <c:v>VTSAX</c:v>
                </c:pt>
                <c:pt idx="7002">
                  <c:v>VTSAX</c:v>
                </c:pt>
                <c:pt idx="7003">
                  <c:v>VTSAX</c:v>
                </c:pt>
                <c:pt idx="7004">
                  <c:v>VTSAX</c:v>
                </c:pt>
                <c:pt idx="7005">
                  <c:v>VTSAX</c:v>
                </c:pt>
                <c:pt idx="7006">
                  <c:v>VTSAX</c:v>
                </c:pt>
                <c:pt idx="7007">
                  <c:v>VTSAX</c:v>
                </c:pt>
                <c:pt idx="7008">
                  <c:v>VTSAX</c:v>
                </c:pt>
                <c:pt idx="7009">
                  <c:v>VTSAX</c:v>
                </c:pt>
                <c:pt idx="7010">
                  <c:v>VTSAX</c:v>
                </c:pt>
                <c:pt idx="7011">
                  <c:v>VTSAX</c:v>
                </c:pt>
                <c:pt idx="7012">
                  <c:v>VTSAX</c:v>
                </c:pt>
                <c:pt idx="7013">
                  <c:v>VTSAX</c:v>
                </c:pt>
                <c:pt idx="7014">
                  <c:v>VTSAX</c:v>
                </c:pt>
                <c:pt idx="7015">
                  <c:v>VTSAX</c:v>
                </c:pt>
                <c:pt idx="7016">
                  <c:v>VTSAX</c:v>
                </c:pt>
                <c:pt idx="7017">
                  <c:v>VTSAX</c:v>
                </c:pt>
                <c:pt idx="7018">
                  <c:v>VTSAX</c:v>
                </c:pt>
                <c:pt idx="7019">
                  <c:v>VTSAX</c:v>
                </c:pt>
                <c:pt idx="7020">
                  <c:v>VTSAX</c:v>
                </c:pt>
                <c:pt idx="7021">
                  <c:v>VTSAX</c:v>
                </c:pt>
                <c:pt idx="7022">
                  <c:v>VTSAX</c:v>
                </c:pt>
                <c:pt idx="7023">
                  <c:v>VTSAX</c:v>
                </c:pt>
                <c:pt idx="7024">
                  <c:v>VTSAX</c:v>
                </c:pt>
                <c:pt idx="7025">
                  <c:v>VTSAX</c:v>
                </c:pt>
                <c:pt idx="7026">
                  <c:v>VTSAX</c:v>
                </c:pt>
                <c:pt idx="7027">
                  <c:v>VTSAX</c:v>
                </c:pt>
                <c:pt idx="7028">
                  <c:v>VTSAX</c:v>
                </c:pt>
                <c:pt idx="7029">
                  <c:v>VTSAX</c:v>
                </c:pt>
                <c:pt idx="7030">
                  <c:v>VTSAX</c:v>
                </c:pt>
                <c:pt idx="7031">
                  <c:v>VTSAX</c:v>
                </c:pt>
                <c:pt idx="7032">
                  <c:v>VTSAX</c:v>
                </c:pt>
                <c:pt idx="7033">
                  <c:v>VTSAX</c:v>
                </c:pt>
                <c:pt idx="7034">
                  <c:v>VTSAX</c:v>
                </c:pt>
                <c:pt idx="7035">
                  <c:v>VTSAX</c:v>
                </c:pt>
                <c:pt idx="7036">
                  <c:v>VTSAX</c:v>
                </c:pt>
                <c:pt idx="7037">
                  <c:v>VTSAX</c:v>
                </c:pt>
                <c:pt idx="7038">
                  <c:v>VTSAX</c:v>
                </c:pt>
                <c:pt idx="7039">
                  <c:v>VTSAX</c:v>
                </c:pt>
                <c:pt idx="7040">
                  <c:v>VTSAX</c:v>
                </c:pt>
                <c:pt idx="7041">
                  <c:v>VTSAX</c:v>
                </c:pt>
                <c:pt idx="7042">
                  <c:v>VTSAX</c:v>
                </c:pt>
                <c:pt idx="7043">
                  <c:v>VTSAX</c:v>
                </c:pt>
                <c:pt idx="7044">
                  <c:v>VTSAX</c:v>
                </c:pt>
                <c:pt idx="7045">
                  <c:v>VTSAX</c:v>
                </c:pt>
                <c:pt idx="7046">
                  <c:v>VTSAX</c:v>
                </c:pt>
                <c:pt idx="7047">
                  <c:v>VTSAX</c:v>
                </c:pt>
                <c:pt idx="7048">
                  <c:v>VTSAX</c:v>
                </c:pt>
                <c:pt idx="7049">
                  <c:v>VTSAX</c:v>
                </c:pt>
                <c:pt idx="7050">
                  <c:v>VTSAX</c:v>
                </c:pt>
                <c:pt idx="7051">
                  <c:v>VTSAX</c:v>
                </c:pt>
                <c:pt idx="7052">
                  <c:v>VTSAX</c:v>
                </c:pt>
                <c:pt idx="7053">
                  <c:v>VTSAX</c:v>
                </c:pt>
                <c:pt idx="7054">
                  <c:v>VTSAX</c:v>
                </c:pt>
                <c:pt idx="7055">
                  <c:v>VTSAX</c:v>
                </c:pt>
                <c:pt idx="7056">
                  <c:v>VTSAX</c:v>
                </c:pt>
                <c:pt idx="7057">
                  <c:v>VTSAX</c:v>
                </c:pt>
                <c:pt idx="7058">
                  <c:v>VTSAX</c:v>
                </c:pt>
                <c:pt idx="7059">
                  <c:v>VTSAX</c:v>
                </c:pt>
                <c:pt idx="7060">
                  <c:v>VTSAX</c:v>
                </c:pt>
                <c:pt idx="7061">
                  <c:v>VTSAX</c:v>
                </c:pt>
                <c:pt idx="7062">
                  <c:v>VTSAX</c:v>
                </c:pt>
                <c:pt idx="7063">
                  <c:v>VTSAX</c:v>
                </c:pt>
                <c:pt idx="7064">
                  <c:v>VTSAX</c:v>
                </c:pt>
                <c:pt idx="7065">
                  <c:v>VTSAX</c:v>
                </c:pt>
                <c:pt idx="7066">
                  <c:v>VTSAX</c:v>
                </c:pt>
                <c:pt idx="7067">
                  <c:v>VTSAX</c:v>
                </c:pt>
                <c:pt idx="7068">
                  <c:v>VTSAX</c:v>
                </c:pt>
                <c:pt idx="7069">
                  <c:v>VTSAX</c:v>
                </c:pt>
                <c:pt idx="7070">
                  <c:v>VTSAX</c:v>
                </c:pt>
                <c:pt idx="7071">
                  <c:v>VTSAX</c:v>
                </c:pt>
                <c:pt idx="7072">
                  <c:v>VTSAX</c:v>
                </c:pt>
                <c:pt idx="7073">
                  <c:v>VTSAX</c:v>
                </c:pt>
                <c:pt idx="7074">
                  <c:v>VTSAX</c:v>
                </c:pt>
                <c:pt idx="7075">
                  <c:v>VTSAX</c:v>
                </c:pt>
                <c:pt idx="7076">
                  <c:v>VTSAX</c:v>
                </c:pt>
                <c:pt idx="7077">
                  <c:v>VTSAX</c:v>
                </c:pt>
                <c:pt idx="7078">
                  <c:v>VTSAX</c:v>
                </c:pt>
                <c:pt idx="7079">
                  <c:v>VTSAX</c:v>
                </c:pt>
                <c:pt idx="7080">
                  <c:v>VTSAX</c:v>
                </c:pt>
                <c:pt idx="7081">
                  <c:v>VTSAX</c:v>
                </c:pt>
                <c:pt idx="7082">
                  <c:v>VTSAX</c:v>
                </c:pt>
                <c:pt idx="7083">
                  <c:v>VTSAX</c:v>
                </c:pt>
                <c:pt idx="7084">
                  <c:v>VTSAX</c:v>
                </c:pt>
                <c:pt idx="7085">
                  <c:v>VTSAX</c:v>
                </c:pt>
                <c:pt idx="7086">
                  <c:v>VTSAX</c:v>
                </c:pt>
                <c:pt idx="7087">
                  <c:v>VTSAX</c:v>
                </c:pt>
                <c:pt idx="7088">
                  <c:v>VTSAX</c:v>
                </c:pt>
                <c:pt idx="7089">
                  <c:v>VTSAX</c:v>
                </c:pt>
                <c:pt idx="7090">
                  <c:v>VTSAX</c:v>
                </c:pt>
                <c:pt idx="7091">
                  <c:v>VTSAX</c:v>
                </c:pt>
                <c:pt idx="7092">
                  <c:v>VTSAX</c:v>
                </c:pt>
                <c:pt idx="7093">
                  <c:v>VTSAX</c:v>
                </c:pt>
                <c:pt idx="7094">
                  <c:v>VTSAX</c:v>
                </c:pt>
                <c:pt idx="7095">
                  <c:v>VTSAX</c:v>
                </c:pt>
                <c:pt idx="7096">
                  <c:v>VTSAX</c:v>
                </c:pt>
                <c:pt idx="7097">
                  <c:v>VTSAX</c:v>
                </c:pt>
                <c:pt idx="7098">
                  <c:v>VTSAX</c:v>
                </c:pt>
                <c:pt idx="7099">
                  <c:v>VTSAX</c:v>
                </c:pt>
                <c:pt idx="7100">
                  <c:v>VTSAX</c:v>
                </c:pt>
                <c:pt idx="7101">
                  <c:v>VTSAX</c:v>
                </c:pt>
                <c:pt idx="7102">
                  <c:v>VTSAX</c:v>
                </c:pt>
                <c:pt idx="7103">
                  <c:v>VTSAX</c:v>
                </c:pt>
                <c:pt idx="7104">
                  <c:v>VTSAX</c:v>
                </c:pt>
                <c:pt idx="7105">
                  <c:v>VTSAX</c:v>
                </c:pt>
                <c:pt idx="7106">
                  <c:v>VTSAX</c:v>
                </c:pt>
                <c:pt idx="7107">
                  <c:v>VTSAX</c:v>
                </c:pt>
                <c:pt idx="7108">
                  <c:v>VTSAX</c:v>
                </c:pt>
                <c:pt idx="7109">
                  <c:v>VTSAX</c:v>
                </c:pt>
                <c:pt idx="7110">
                  <c:v>VTSAX</c:v>
                </c:pt>
                <c:pt idx="7111">
                  <c:v>VTSAX</c:v>
                </c:pt>
                <c:pt idx="7112">
                  <c:v>VTSAX</c:v>
                </c:pt>
                <c:pt idx="7113">
                  <c:v>VTSAX</c:v>
                </c:pt>
                <c:pt idx="7114">
                  <c:v>VTSAX</c:v>
                </c:pt>
                <c:pt idx="7115">
                  <c:v>VTSAX</c:v>
                </c:pt>
                <c:pt idx="7116">
                  <c:v>VTSAX</c:v>
                </c:pt>
                <c:pt idx="7117">
                  <c:v>VTSAX</c:v>
                </c:pt>
                <c:pt idx="7118">
                  <c:v>VTSAX</c:v>
                </c:pt>
                <c:pt idx="7119">
                  <c:v>VTSAX</c:v>
                </c:pt>
                <c:pt idx="7120">
                  <c:v>VTSAX</c:v>
                </c:pt>
                <c:pt idx="7121">
                  <c:v>VTSAX</c:v>
                </c:pt>
                <c:pt idx="7122">
                  <c:v>VTSAX</c:v>
                </c:pt>
                <c:pt idx="7123">
                  <c:v>VTSAX</c:v>
                </c:pt>
                <c:pt idx="7124">
                  <c:v>VTSAX</c:v>
                </c:pt>
                <c:pt idx="7125">
                  <c:v>VTSAX</c:v>
                </c:pt>
                <c:pt idx="7126">
                  <c:v>VTSAX</c:v>
                </c:pt>
                <c:pt idx="7127">
                  <c:v>VTSAX</c:v>
                </c:pt>
                <c:pt idx="7128">
                  <c:v>VTSAX</c:v>
                </c:pt>
                <c:pt idx="7129">
                  <c:v>VTSAX</c:v>
                </c:pt>
                <c:pt idx="7130">
                  <c:v>VTSAX</c:v>
                </c:pt>
                <c:pt idx="7131">
                  <c:v>VTSAX</c:v>
                </c:pt>
                <c:pt idx="7132">
                  <c:v>VTSAX</c:v>
                </c:pt>
                <c:pt idx="7133">
                  <c:v>VTSAX</c:v>
                </c:pt>
                <c:pt idx="7134">
                  <c:v>VTSAX</c:v>
                </c:pt>
                <c:pt idx="7135">
                  <c:v>VTSAX</c:v>
                </c:pt>
                <c:pt idx="7136">
                  <c:v>VTSAX</c:v>
                </c:pt>
                <c:pt idx="7137">
                  <c:v>VTSAX</c:v>
                </c:pt>
                <c:pt idx="7138">
                  <c:v>VTSAX</c:v>
                </c:pt>
                <c:pt idx="7139">
                  <c:v>VTSAX</c:v>
                </c:pt>
                <c:pt idx="7140">
                  <c:v>VTSAX</c:v>
                </c:pt>
                <c:pt idx="7141">
                  <c:v>VTSAX</c:v>
                </c:pt>
                <c:pt idx="7142">
                  <c:v>VTSAX</c:v>
                </c:pt>
                <c:pt idx="7143">
                  <c:v>VTSAX</c:v>
                </c:pt>
                <c:pt idx="7144">
                  <c:v>VTSAX</c:v>
                </c:pt>
                <c:pt idx="7145">
                  <c:v>VTSAX</c:v>
                </c:pt>
                <c:pt idx="7146">
                  <c:v>VTSAX</c:v>
                </c:pt>
                <c:pt idx="7147">
                  <c:v>VTSAX</c:v>
                </c:pt>
                <c:pt idx="7148">
                  <c:v>VTSAX</c:v>
                </c:pt>
                <c:pt idx="7149">
                  <c:v>VTSAX</c:v>
                </c:pt>
                <c:pt idx="7150">
                  <c:v>VTSAX</c:v>
                </c:pt>
                <c:pt idx="7151">
                  <c:v>VTSAX</c:v>
                </c:pt>
                <c:pt idx="7152">
                  <c:v>VTSAX</c:v>
                </c:pt>
                <c:pt idx="7153">
                  <c:v>VTSAX</c:v>
                </c:pt>
                <c:pt idx="7154">
                  <c:v>VTSAX</c:v>
                </c:pt>
                <c:pt idx="7155">
                  <c:v>VTSAX</c:v>
                </c:pt>
                <c:pt idx="7156">
                  <c:v>VTSAX</c:v>
                </c:pt>
                <c:pt idx="7157">
                  <c:v>VTSAX</c:v>
                </c:pt>
                <c:pt idx="7158">
                  <c:v>VTSAX</c:v>
                </c:pt>
                <c:pt idx="7159">
                  <c:v>VTSAX</c:v>
                </c:pt>
                <c:pt idx="7160">
                  <c:v>VTSAX</c:v>
                </c:pt>
                <c:pt idx="7161">
                  <c:v>VTSAX</c:v>
                </c:pt>
                <c:pt idx="7162">
                  <c:v>VTSAX</c:v>
                </c:pt>
                <c:pt idx="7163">
                  <c:v>VTSAX</c:v>
                </c:pt>
                <c:pt idx="7164">
                  <c:v>VTSAX</c:v>
                </c:pt>
                <c:pt idx="7165">
                  <c:v>VTSAX</c:v>
                </c:pt>
                <c:pt idx="7166">
                  <c:v>VTSAX</c:v>
                </c:pt>
                <c:pt idx="7167">
                  <c:v>VTSAX</c:v>
                </c:pt>
                <c:pt idx="7168">
                  <c:v>VTSAX</c:v>
                </c:pt>
                <c:pt idx="7169">
                  <c:v>VTSAX</c:v>
                </c:pt>
                <c:pt idx="7170">
                  <c:v>VTSAX</c:v>
                </c:pt>
                <c:pt idx="7171">
                  <c:v>VTSAX</c:v>
                </c:pt>
                <c:pt idx="7172">
                  <c:v>VTSAX</c:v>
                </c:pt>
                <c:pt idx="7173">
                  <c:v>VTSAX</c:v>
                </c:pt>
                <c:pt idx="7174">
                  <c:v>VTSAX</c:v>
                </c:pt>
                <c:pt idx="7175">
                  <c:v>VTSAX</c:v>
                </c:pt>
                <c:pt idx="7176">
                  <c:v>VTSAX</c:v>
                </c:pt>
                <c:pt idx="7177">
                  <c:v>VTSAX</c:v>
                </c:pt>
                <c:pt idx="7178">
                  <c:v>VTSAX</c:v>
                </c:pt>
                <c:pt idx="7179">
                  <c:v>VTSAX</c:v>
                </c:pt>
                <c:pt idx="7180">
                  <c:v>VTSAX</c:v>
                </c:pt>
                <c:pt idx="7181">
                  <c:v>VTSAX</c:v>
                </c:pt>
                <c:pt idx="7182">
                  <c:v>VTSAX</c:v>
                </c:pt>
                <c:pt idx="7183">
                  <c:v>VTSAX</c:v>
                </c:pt>
                <c:pt idx="7184">
                  <c:v>VTSAX</c:v>
                </c:pt>
                <c:pt idx="7185">
                  <c:v>VTSAX</c:v>
                </c:pt>
                <c:pt idx="7186">
                  <c:v>VTSAX</c:v>
                </c:pt>
                <c:pt idx="7187">
                  <c:v>VTSAX</c:v>
                </c:pt>
                <c:pt idx="7188">
                  <c:v>VTSAX</c:v>
                </c:pt>
                <c:pt idx="7189">
                  <c:v>VTSAX</c:v>
                </c:pt>
                <c:pt idx="7190">
                  <c:v>VTSAX</c:v>
                </c:pt>
                <c:pt idx="7191">
                  <c:v>VTSAX</c:v>
                </c:pt>
                <c:pt idx="7192">
                  <c:v>VTSAX</c:v>
                </c:pt>
                <c:pt idx="7193">
                  <c:v>VTSAX</c:v>
                </c:pt>
                <c:pt idx="7194">
                  <c:v>VTSAX</c:v>
                </c:pt>
                <c:pt idx="7195">
                  <c:v>VTSAX</c:v>
                </c:pt>
                <c:pt idx="7196">
                  <c:v>VTSAX</c:v>
                </c:pt>
                <c:pt idx="7197">
                  <c:v>VTSAX</c:v>
                </c:pt>
                <c:pt idx="7198">
                  <c:v>VTSAX</c:v>
                </c:pt>
                <c:pt idx="7199">
                  <c:v>VTSAX</c:v>
                </c:pt>
                <c:pt idx="7200">
                  <c:v>VTSAX</c:v>
                </c:pt>
                <c:pt idx="7201">
                  <c:v>VTSAX</c:v>
                </c:pt>
                <c:pt idx="7202">
                  <c:v>VTSAX</c:v>
                </c:pt>
                <c:pt idx="7203">
                  <c:v>VTSAX</c:v>
                </c:pt>
                <c:pt idx="7204">
                  <c:v>VTSAX</c:v>
                </c:pt>
                <c:pt idx="7205">
                  <c:v>VTSAX</c:v>
                </c:pt>
                <c:pt idx="7206">
                  <c:v>VTSAX</c:v>
                </c:pt>
                <c:pt idx="7207">
                  <c:v>VTSAX</c:v>
                </c:pt>
                <c:pt idx="7208">
                  <c:v>VTSAX</c:v>
                </c:pt>
                <c:pt idx="7209">
                  <c:v>VTSAX</c:v>
                </c:pt>
                <c:pt idx="7210">
                  <c:v>VTSAX</c:v>
                </c:pt>
                <c:pt idx="7211">
                  <c:v>VTSAX</c:v>
                </c:pt>
                <c:pt idx="7212">
                  <c:v>VTSAX</c:v>
                </c:pt>
                <c:pt idx="7213">
                  <c:v>VTSAX</c:v>
                </c:pt>
                <c:pt idx="7214">
                  <c:v>VTSAX</c:v>
                </c:pt>
                <c:pt idx="7215">
                  <c:v>VTSAX</c:v>
                </c:pt>
                <c:pt idx="7216">
                  <c:v>VTSAX</c:v>
                </c:pt>
                <c:pt idx="7217">
                  <c:v>VTSAX</c:v>
                </c:pt>
                <c:pt idx="7218">
                  <c:v>VTSAX</c:v>
                </c:pt>
                <c:pt idx="7219">
                  <c:v>VTSAX</c:v>
                </c:pt>
                <c:pt idx="7220">
                  <c:v>VTSAX</c:v>
                </c:pt>
                <c:pt idx="7221">
                  <c:v>VTSAX</c:v>
                </c:pt>
                <c:pt idx="7222">
                  <c:v>VTSAX</c:v>
                </c:pt>
                <c:pt idx="7223">
                  <c:v>VTSAX</c:v>
                </c:pt>
                <c:pt idx="7224">
                  <c:v>VTSAX</c:v>
                </c:pt>
                <c:pt idx="7225">
                  <c:v>VTSAX</c:v>
                </c:pt>
                <c:pt idx="7226">
                  <c:v>VTSAX</c:v>
                </c:pt>
                <c:pt idx="7227">
                  <c:v>VTSAX</c:v>
                </c:pt>
                <c:pt idx="7228">
                  <c:v>VTSAX</c:v>
                </c:pt>
                <c:pt idx="7229">
                  <c:v>VTSAX</c:v>
                </c:pt>
                <c:pt idx="7230">
                  <c:v>VTSAX</c:v>
                </c:pt>
                <c:pt idx="7231">
                  <c:v>VTSAX</c:v>
                </c:pt>
                <c:pt idx="7232">
                  <c:v>VTSAX</c:v>
                </c:pt>
                <c:pt idx="7233">
                  <c:v>VTSAX</c:v>
                </c:pt>
                <c:pt idx="7234">
                  <c:v>VTSAX</c:v>
                </c:pt>
                <c:pt idx="7235">
                  <c:v>VTSAX</c:v>
                </c:pt>
                <c:pt idx="7236">
                  <c:v>VTSAX</c:v>
                </c:pt>
                <c:pt idx="7237">
                  <c:v>VTSAX</c:v>
                </c:pt>
                <c:pt idx="7238">
                  <c:v>VTSAX</c:v>
                </c:pt>
                <c:pt idx="7239">
                  <c:v>VTSAX</c:v>
                </c:pt>
                <c:pt idx="7240">
                  <c:v>VTSAX</c:v>
                </c:pt>
                <c:pt idx="7241">
                  <c:v>VTSAX</c:v>
                </c:pt>
                <c:pt idx="7242">
                  <c:v>VTSAX</c:v>
                </c:pt>
                <c:pt idx="7243">
                  <c:v>VTSAX</c:v>
                </c:pt>
                <c:pt idx="7244">
                  <c:v>VTSAX</c:v>
                </c:pt>
                <c:pt idx="7245">
                  <c:v>VTSAX</c:v>
                </c:pt>
                <c:pt idx="7246">
                  <c:v>VTSAX</c:v>
                </c:pt>
                <c:pt idx="7247">
                  <c:v>VTSAX</c:v>
                </c:pt>
                <c:pt idx="7248">
                  <c:v>VTSAX</c:v>
                </c:pt>
                <c:pt idx="7249">
                  <c:v>VTSAX</c:v>
                </c:pt>
                <c:pt idx="7250">
                  <c:v>VTSAX</c:v>
                </c:pt>
                <c:pt idx="7251">
                  <c:v>VTSAX</c:v>
                </c:pt>
                <c:pt idx="7252">
                  <c:v>VTSAX</c:v>
                </c:pt>
                <c:pt idx="7253">
                  <c:v>VTSAX</c:v>
                </c:pt>
                <c:pt idx="7254">
                  <c:v>VTSAX</c:v>
                </c:pt>
                <c:pt idx="7255">
                  <c:v>VTSAX</c:v>
                </c:pt>
                <c:pt idx="7256">
                  <c:v>VTSAX</c:v>
                </c:pt>
                <c:pt idx="7257">
                  <c:v>VTSAX</c:v>
                </c:pt>
                <c:pt idx="7258">
                  <c:v>VTSAX</c:v>
                </c:pt>
                <c:pt idx="7259">
                  <c:v>VTSAX</c:v>
                </c:pt>
                <c:pt idx="7260">
                  <c:v>VTSAX</c:v>
                </c:pt>
                <c:pt idx="7261">
                  <c:v>VTSAX</c:v>
                </c:pt>
                <c:pt idx="7262">
                  <c:v>VTSAX</c:v>
                </c:pt>
                <c:pt idx="7263">
                  <c:v>VTSAX</c:v>
                </c:pt>
                <c:pt idx="7264">
                  <c:v>VTSAX</c:v>
                </c:pt>
                <c:pt idx="7265">
                  <c:v>VTSAX</c:v>
                </c:pt>
                <c:pt idx="7266">
                  <c:v>VTSAX</c:v>
                </c:pt>
                <c:pt idx="7267">
                  <c:v>VTSAX</c:v>
                </c:pt>
                <c:pt idx="7268">
                  <c:v>VTSAX</c:v>
                </c:pt>
                <c:pt idx="7269">
                  <c:v>VTSAX</c:v>
                </c:pt>
                <c:pt idx="7270">
                  <c:v>VTSAX</c:v>
                </c:pt>
                <c:pt idx="7271">
                  <c:v>VTSAX</c:v>
                </c:pt>
                <c:pt idx="7272">
                  <c:v>VTSAX</c:v>
                </c:pt>
                <c:pt idx="7273">
                  <c:v>VTSAX</c:v>
                </c:pt>
                <c:pt idx="7274">
                  <c:v>VTSAX</c:v>
                </c:pt>
                <c:pt idx="7275">
                  <c:v>VTSAX</c:v>
                </c:pt>
                <c:pt idx="7276">
                  <c:v>VTSAX</c:v>
                </c:pt>
                <c:pt idx="7277">
                  <c:v>VTSAX</c:v>
                </c:pt>
                <c:pt idx="7278">
                  <c:v>VTSAX</c:v>
                </c:pt>
                <c:pt idx="7279">
                  <c:v>VTSAX</c:v>
                </c:pt>
                <c:pt idx="7280">
                  <c:v>VTSAX</c:v>
                </c:pt>
                <c:pt idx="7281">
                  <c:v>VTSAX</c:v>
                </c:pt>
                <c:pt idx="7282">
                  <c:v>VTSAX</c:v>
                </c:pt>
                <c:pt idx="7283">
                  <c:v>VTSAX</c:v>
                </c:pt>
                <c:pt idx="7284">
                  <c:v>VTSAX</c:v>
                </c:pt>
                <c:pt idx="7285">
                  <c:v>VTSAX</c:v>
                </c:pt>
                <c:pt idx="7286">
                  <c:v>VTSAX</c:v>
                </c:pt>
                <c:pt idx="7287">
                  <c:v>VTSAX</c:v>
                </c:pt>
                <c:pt idx="7288">
                  <c:v>VTSAX</c:v>
                </c:pt>
                <c:pt idx="7289">
                  <c:v>VTSAX</c:v>
                </c:pt>
                <c:pt idx="7290">
                  <c:v>VTSAX</c:v>
                </c:pt>
                <c:pt idx="7291">
                  <c:v>VTSAX</c:v>
                </c:pt>
                <c:pt idx="7292">
                  <c:v>VTSAX</c:v>
                </c:pt>
                <c:pt idx="7293">
                  <c:v>VTSAX</c:v>
                </c:pt>
                <c:pt idx="7294">
                  <c:v>VTSAX</c:v>
                </c:pt>
                <c:pt idx="7295">
                  <c:v>VTSAX</c:v>
                </c:pt>
                <c:pt idx="7296">
                  <c:v>VTSAX</c:v>
                </c:pt>
                <c:pt idx="7297">
                  <c:v>VTSAX</c:v>
                </c:pt>
                <c:pt idx="7298">
                  <c:v>VTSAX</c:v>
                </c:pt>
                <c:pt idx="7299">
                  <c:v>VTSAX</c:v>
                </c:pt>
                <c:pt idx="7300">
                  <c:v>VTSAX</c:v>
                </c:pt>
                <c:pt idx="7301">
                  <c:v>VTSAX</c:v>
                </c:pt>
                <c:pt idx="7302">
                  <c:v>VTSAX</c:v>
                </c:pt>
                <c:pt idx="7303">
                  <c:v>VTSAX</c:v>
                </c:pt>
                <c:pt idx="7304">
                  <c:v>VTSAX</c:v>
                </c:pt>
                <c:pt idx="7305">
                  <c:v>VTSAX</c:v>
                </c:pt>
                <c:pt idx="7306">
                  <c:v>VTSAX</c:v>
                </c:pt>
                <c:pt idx="7307">
                  <c:v>VTSAX</c:v>
                </c:pt>
                <c:pt idx="7308">
                  <c:v>VTSAX</c:v>
                </c:pt>
                <c:pt idx="7309">
                  <c:v>VTSAX</c:v>
                </c:pt>
                <c:pt idx="7310">
                  <c:v>VTSAX</c:v>
                </c:pt>
                <c:pt idx="7311">
                  <c:v>VTSAX</c:v>
                </c:pt>
                <c:pt idx="7312">
                  <c:v>VTSAX</c:v>
                </c:pt>
                <c:pt idx="7313">
                  <c:v>VTSAX</c:v>
                </c:pt>
                <c:pt idx="7314">
                  <c:v>VTSAX</c:v>
                </c:pt>
                <c:pt idx="7315">
                  <c:v>VTSAX</c:v>
                </c:pt>
                <c:pt idx="7316">
                  <c:v>VTSAX</c:v>
                </c:pt>
                <c:pt idx="7317">
                  <c:v>VTSAX</c:v>
                </c:pt>
                <c:pt idx="7318">
                  <c:v>VTSAX</c:v>
                </c:pt>
                <c:pt idx="7319">
                  <c:v>VTSAX</c:v>
                </c:pt>
                <c:pt idx="7320">
                  <c:v>VTSAX</c:v>
                </c:pt>
                <c:pt idx="7321">
                  <c:v>VTSAX</c:v>
                </c:pt>
                <c:pt idx="7322">
                  <c:v>VTSAX</c:v>
                </c:pt>
                <c:pt idx="7323">
                  <c:v>VTSAX</c:v>
                </c:pt>
                <c:pt idx="7324">
                  <c:v>VTSAX</c:v>
                </c:pt>
                <c:pt idx="7325">
                  <c:v>VTSAX</c:v>
                </c:pt>
                <c:pt idx="7326">
                  <c:v>VTSAX</c:v>
                </c:pt>
                <c:pt idx="7327">
                  <c:v>VTSAX</c:v>
                </c:pt>
                <c:pt idx="7328">
                  <c:v>VTSAX</c:v>
                </c:pt>
                <c:pt idx="7329">
                  <c:v>VTSAX</c:v>
                </c:pt>
                <c:pt idx="7330">
                  <c:v>VTSAX</c:v>
                </c:pt>
                <c:pt idx="7331">
                  <c:v>VTSAX</c:v>
                </c:pt>
                <c:pt idx="7332">
                  <c:v>VTSAX</c:v>
                </c:pt>
                <c:pt idx="7333">
                  <c:v>VTSAX</c:v>
                </c:pt>
                <c:pt idx="7334">
                  <c:v>VTSAX</c:v>
                </c:pt>
                <c:pt idx="7335">
                  <c:v>VTSAX</c:v>
                </c:pt>
                <c:pt idx="7336">
                  <c:v>VTSAX</c:v>
                </c:pt>
                <c:pt idx="7337">
                  <c:v>VTSAX</c:v>
                </c:pt>
                <c:pt idx="7338">
                  <c:v>VTSAX</c:v>
                </c:pt>
                <c:pt idx="7339">
                  <c:v>VTSAX</c:v>
                </c:pt>
                <c:pt idx="7340">
                  <c:v>VTSAX</c:v>
                </c:pt>
                <c:pt idx="7341">
                  <c:v>VTSAX</c:v>
                </c:pt>
                <c:pt idx="7342">
                  <c:v>VTSAX</c:v>
                </c:pt>
                <c:pt idx="7343">
                  <c:v>VTSAX</c:v>
                </c:pt>
                <c:pt idx="7344">
                  <c:v>VTSAX</c:v>
                </c:pt>
                <c:pt idx="7345">
                  <c:v>VTSAX</c:v>
                </c:pt>
                <c:pt idx="7346">
                  <c:v>VTSAX</c:v>
                </c:pt>
                <c:pt idx="7347">
                  <c:v>VTSAX</c:v>
                </c:pt>
                <c:pt idx="7348">
                  <c:v>VTSAX</c:v>
                </c:pt>
                <c:pt idx="7349">
                  <c:v>VTSAX</c:v>
                </c:pt>
                <c:pt idx="7350">
                  <c:v>VTSAX</c:v>
                </c:pt>
                <c:pt idx="7351">
                  <c:v>VTSAX</c:v>
                </c:pt>
                <c:pt idx="7352">
                  <c:v>VTSAX</c:v>
                </c:pt>
                <c:pt idx="7353">
                  <c:v>VTSAX</c:v>
                </c:pt>
                <c:pt idx="7354">
                  <c:v>VTSAX</c:v>
                </c:pt>
                <c:pt idx="7355">
                  <c:v>VTSAX</c:v>
                </c:pt>
                <c:pt idx="7356">
                  <c:v>VTSAX</c:v>
                </c:pt>
                <c:pt idx="7357">
                  <c:v>VTSAX</c:v>
                </c:pt>
                <c:pt idx="7358">
                  <c:v>VTSAX</c:v>
                </c:pt>
                <c:pt idx="7359">
                  <c:v>VTSAX</c:v>
                </c:pt>
                <c:pt idx="7360">
                  <c:v>VTSAX</c:v>
                </c:pt>
                <c:pt idx="7361">
                  <c:v>VTSAX</c:v>
                </c:pt>
                <c:pt idx="7362">
                  <c:v>VTSAX</c:v>
                </c:pt>
                <c:pt idx="7363">
                  <c:v>VTSAX</c:v>
                </c:pt>
                <c:pt idx="7364">
                  <c:v>VTSAX</c:v>
                </c:pt>
                <c:pt idx="7365">
                  <c:v>VTSAX</c:v>
                </c:pt>
                <c:pt idx="7366">
                  <c:v>VTSAX</c:v>
                </c:pt>
                <c:pt idx="7367">
                  <c:v>VTSAX</c:v>
                </c:pt>
                <c:pt idx="7368">
                  <c:v>VTSAX</c:v>
                </c:pt>
                <c:pt idx="7369">
                  <c:v>VTSAX</c:v>
                </c:pt>
                <c:pt idx="7370">
                  <c:v>VTSAX</c:v>
                </c:pt>
                <c:pt idx="7371">
                  <c:v>VTSAX</c:v>
                </c:pt>
                <c:pt idx="7372">
                  <c:v>VTSAX</c:v>
                </c:pt>
                <c:pt idx="7373">
                  <c:v>VTSAX</c:v>
                </c:pt>
                <c:pt idx="7374">
                  <c:v>VTSAX</c:v>
                </c:pt>
                <c:pt idx="7375">
                  <c:v>VTSAX</c:v>
                </c:pt>
                <c:pt idx="7376">
                  <c:v>VTSAX</c:v>
                </c:pt>
                <c:pt idx="7377">
                  <c:v>VTSAX</c:v>
                </c:pt>
                <c:pt idx="7378">
                  <c:v>VTSAX</c:v>
                </c:pt>
                <c:pt idx="7379">
                  <c:v>VTSAX</c:v>
                </c:pt>
                <c:pt idx="7380">
                  <c:v>VTSAX</c:v>
                </c:pt>
                <c:pt idx="7381">
                  <c:v>VTSAX</c:v>
                </c:pt>
                <c:pt idx="7382">
                  <c:v>VTSAX</c:v>
                </c:pt>
                <c:pt idx="7383">
                  <c:v>VTSAX</c:v>
                </c:pt>
                <c:pt idx="7384">
                  <c:v>VTSAX</c:v>
                </c:pt>
                <c:pt idx="7385">
                  <c:v>VTSAX</c:v>
                </c:pt>
                <c:pt idx="7386">
                  <c:v>VTSAX</c:v>
                </c:pt>
                <c:pt idx="7387">
                  <c:v>VTSAX</c:v>
                </c:pt>
                <c:pt idx="7388">
                  <c:v>VTSAX</c:v>
                </c:pt>
                <c:pt idx="7389">
                  <c:v>VTSAX</c:v>
                </c:pt>
                <c:pt idx="7390">
                  <c:v>VTSAX</c:v>
                </c:pt>
                <c:pt idx="7391">
                  <c:v>VTSAX</c:v>
                </c:pt>
                <c:pt idx="7392">
                  <c:v>VTSAX</c:v>
                </c:pt>
                <c:pt idx="7393">
                  <c:v>VTSAX</c:v>
                </c:pt>
                <c:pt idx="7394">
                  <c:v>VTSAX</c:v>
                </c:pt>
                <c:pt idx="7395">
                  <c:v>VTSAX</c:v>
                </c:pt>
                <c:pt idx="7396">
                  <c:v>VTSAX</c:v>
                </c:pt>
                <c:pt idx="7397">
                  <c:v>VTSAX</c:v>
                </c:pt>
                <c:pt idx="7398">
                  <c:v>VTSAX</c:v>
                </c:pt>
                <c:pt idx="7399">
                  <c:v>VTSAX</c:v>
                </c:pt>
                <c:pt idx="7400">
                  <c:v>VTSAX</c:v>
                </c:pt>
                <c:pt idx="7401">
                  <c:v>VTSAX</c:v>
                </c:pt>
                <c:pt idx="7402">
                  <c:v>VTSAX</c:v>
                </c:pt>
                <c:pt idx="7403">
                  <c:v>VTSAX</c:v>
                </c:pt>
                <c:pt idx="7404">
                  <c:v>VTSAX</c:v>
                </c:pt>
                <c:pt idx="7405">
                  <c:v>VTSAX</c:v>
                </c:pt>
                <c:pt idx="7406">
                  <c:v>VTSAX</c:v>
                </c:pt>
                <c:pt idx="7407">
                  <c:v>VTSAX</c:v>
                </c:pt>
                <c:pt idx="7408">
                  <c:v>VTSAX</c:v>
                </c:pt>
                <c:pt idx="7409">
                  <c:v>VTSAX</c:v>
                </c:pt>
                <c:pt idx="7410">
                  <c:v>VTSAX</c:v>
                </c:pt>
                <c:pt idx="7411">
                  <c:v>VTSAX</c:v>
                </c:pt>
                <c:pt idx="7412">
                  <c:v>VTSAX</c:v>
                </c:pt>
                <c:pt idx="7413">
                  <c:v>VTSAX</c:v>
                </c:pt>
                <c:pt idx="7414">
                  <c:v>VTSAX</c:v>
                </c:pt>
                <c:pt idx="7415">
                  <c:v>VTSAX</c:v>
                </c:pt>
                <c:pt idx="7416">
                  <c:v>VTSAX</c:v>
                </c:pt>
                <c:pt idx="7417">
                  <c:v>VTSAX</c:v>
                </c:pt>
                <c:pt idx="7418">
                  <c:v>VTSAX</c:v>
                </c:pt>
                <c:pt idx="7419">
                  <c:v>VTSAX</c:v>
                </c:pt>
                <c:pt idx="7420">
                  <c:v>VTSAX</c:v>
                </c:pt>
                <c:pt idx="7421">
                  <c:v>VTSAX</c:v>
                </c:pt>
                <c:pt idx="7422">
                  <c:v>VTSAX</c:v>
                </c:pt>
                <c:pt idx="7423">
                  <c:v>VTSAX</c:v>
                </c:pt>
                <c:pt idx="7424">
                  <c:v>VTSAX</c:v>
                </c:pt>
                <c:pt idx="7425">
                  <c:v>VTSAX</c:v>
                </c:pt>
                <c:pt idx="7426">
                  <c:v>VTSAX</c:v>
                </c:pt>
                <c:pt idx="7427">
                  <c:v>VTSAX</c:v>
                </c:pt>
                <c:pt idx="7428">
                  <c:v>VTSAX</c:v>
                </c:pt>
                <c:pt idx="7429">
                  <c:v>VTSAX</c:v>
                </c:pt>
                <c:pt idx="7430">
                  <c:v>VTSAX</c:v>
                </c:pt>
                <c:pt idx="7431">
                  <c:v>VTSAX</c:v>
                </c:pt>
                <c:pt idx="7432">
                  <c:v>VTSAX</c:v>
                </c:pt>
                <c:pt idx="7433">
                  <c:v>VTSAX</c:v>
                </c:pt>
                <c:pt idx="7434">
                  <c:v>VTSAX</c:v>
                </c:pt>
                <c:pt idx="7435">
                  <c:v>VTSAX</c:v>
                </c:pt>
                <c:pt idx="7436">
                  <c:v>VTSAX</c:v>
                </c:pt>
                <c:pt idx="7437">
                  <c:v>VTSAX</c:v>
                </c:pt>
                <c:pt idx="7438">
                  <c:v>VTSAX</c:v>
                </c:pt>
                <c:pt idx="7439">
                  <c:v>VTSAX</c:v>
                </c:pt>
                <c:pt idx="7440">
                  <c:v>VTSAX</c:v>
                </c:pt>
                <c:pt idx="7441">
                  <c:v>VTSAX</c:v>
                </c:pt>
                <c:pt idx="7442">
                  <c:v>VTSAX</c:v>
                </c:pt>
                <c:pt idx="7443">
                  <c:v>VTSAX</c:v>
                </c:pt>
                <c:pt idx="7444">
                  <c:v>VTSAX</c:v>
                </c:pt>
                <c:pt idx="7445">
                  <c:v>VTSAX</c:v>
                </c:pt>
                <c:pt idx="7446">
                  <c:v>VTSAX</c:v>
                </c:pt>
                <c:pt idx="7447">
                  <c:v>VTSAX</c:v>
                </c:pt>
                <c:pt idx="7448">
                  <c:v>VTSAX</c:v>
                </c:pt>
                <c:pt idx="7449">
                  <c:v>VTSAX</c:v>
                </c:pt>
                <c:pt idx="7450">
                  <c:v>VTSAX</c:v>
                </c:pt>
                <c:pt idx="7451">
                  <c:v>VTSAX</c:v>
                </c:pt>
                <c:pt idx="7452">
                  <c:v>VTSAX</c:v>
                </c:pt>
                <c:pt idx="7453">
                  <c:v>VTSAX</c:v>
                </c:pt>
                <c:pt idx="7454">
                  <c:v>VTSAX</c:v>
                </c:pt>
                <c:pt idx="7455">
                  <c:v>VTSAX</c:v>
                </c:pt>
                <c:pt idx="7456">
                  <c:v>VTSAX</c:v>
                </c:pt>
                <c:pt idx="7457">
                  <c:v>VTSAX</c:v>
                </c:pt>
                <c:pt idx="7458">
                  <c:v>VTSAX</c:v>
                </c:pt>
                <c:pt idx="7459">
                  <c:v>VTSAX</c:v>
                </c:pt>
                <c:pt idx="7460">
                  <c:v>VTSAX</c:v>
                </c:pt>
                <c:pt idx="7461">
                  <c:v>VTSAX</c:v>
                </c:pt>
                <c:pt idx="7462">
                  <c:v>VTSAX</c:v>
                </c:pt>
                <c:pt idx="7463">
                  <c:v>VTSAX</c:v>
                </c:pt>
                <c:pt idx="7464">
                  <c:v>VTSAX</c:v>
                </c:pt>
                <c:pt idx="7465">
                  <c:v>VTSAX</c:v>
                </c:pt>
                <c:pt idx="7466">
                  <c:v>VTSAX</c:v>
                </c:pt>
                <c:pt idx="7467">
                  <c:v>VTSAX</c:v>
                </c:pt>
                <c:pt idx="7468">
                  <c:v>VTSAX</c:v>
                </c:pt>
                <c:pt idx="7469">
                  <c:v>VTSAX</c:v>
                </c:pt>
                <c:pt idx="7470">
                  <c:v>VTSAX</c:v>
                </c:pt>
                <c:pt idx="7471">
                  <c:v>VTSAX</c:v>
                </c:pt>
                <c:pt idx="7472">
                  <c:v>VTSAX</c:v>
                </c:pt>
                <c:pt idx="7473">
                  <c:v>VTSAX</c:v>
                </c:pt>
                <c:pt idx="7474">
                  <c:v>VTSAX</c:v>
                </c:pt>
                <c:pt idx="7475">
                  <c:v>VTSAX</c:v>
                </c:pt>
                <c:pt idx="7476">
                  <c:v>VTSAX</c:v>
                </c:pt>
                <c:pt idx="7477">
                  <c:v>VTSAX</c:v>
                </c:pt>
                <c:pt idx="7478">
                  <c:v>VTSAX</c:v>
                </c:pt>
                <c:pt idx="7479">
                  <c:v>VTSAX</c:v>
                </c:pt>
                <c:pt idx="7480">
                  <c:v>VTSAX</c:v>
                </c:pt>
                <c:pt idx="7481">
                  <c:v>VTSAX</c:v>
                </c:pt>
                <c:pt idx="7482">
                  <c:v>VTSAX</c:v>
                </c:pt>
                <c:pt idx="7483">
                  <c:v>VTSAX</c:v>
                </c:pt>
                <c:pt idx="7484">
                  <c:v>VTSAX</c:v>
                </c:pt>
                <c:pt idx="7485">
                  <c:v>VTSAX</c:v>
                </c:pt>
                <c:pt idx="7486">
                  <c:v>VTSAX</c:v>
                </c:pt>
                <c:pt idx="7487">
                  <c:v>VTSAX</c:v>
                </c:pt>
                <c:pt idx="7488">
                  <c:v>VTSAX</c:v>
                </c:pt>
                <c:pt idx="7489">
                  <c:v>VTSAX</c:v>
                </c:pt>
                <c:pt idx="7490">
                  <c:v>VTSAX</c:v>
                </c:pt>
                <c:pt idx="7491">
                  <c:v>VTSAX</c:v>
                </c:pt>
                <c:pt idx="7492">
                  <c:v>VTSAX</c:v>
                </c:pt>
                <c:pt idx="7493">
                  <c:v>VTSAX</c:v>
                </c:pt>
                <c:pt idx="7494">
                  <c:v>VTSAX</c:v>
                </c:pt>
                <c:pt idx="7495">
                  <c:v>VTSAX</c:v>
                </c:pt>
                <c:pt idx="7496">
                  <c:v>VTSAX</c:v>
                </c:pt>
                <c:pt idx="7497">
                  <c:v>VTSAX</c:v>
                </c:pt>
                <c:pt idx="7498">
                  <c:v>VTSAX</c:v>
                </c:pt>
                <c:pt idx="7499">
                  <c:v>VTSAX</c:v>
                </c:pt>
                <c:pt idx="7500">
                  <c:v>VTSAX</c:v>
                </c:pt>
                <c:pt idx="7501">
                  <c:v>VTSAX</c:v>
                </c:pt>
                <c:pt idx="7502">
                  <c:v>VTSAX</c:v>
                </c:pt>
                <c:pt idx="7503">
                  <c:v>VTSAX</c:v>
                </c:pt>
                <c:pt idx="7504">
                  <c:v>VTSAX</c:v>
                </c:pt>
                <c:pt idx="7505">
                  <c:v>VTSAX</c:v>
                </c:pt>
                <c:pt idx="7506">
                  <c:v>VTSAX</c:v>
                </c:pt>
                <c:pt idx="7507">
                  <c:v>VTSAX</c:v>
                </c:pt>
                <c:pt idx="7508">
                  <c:v>VTSAX</c:v>
                </c:pt>
                <c:pt idx="7509">
                  <c:v>VTSAX</c:v>
                </c:pt>
                <c:pt idx="7510">
                  <c:v>VTSAX</c:v>
                </c:pt>
                <c:pt idx="7511">
                  <c:v>VTSAX</c:v>
                </c:pt>
                <c:pt idx="7512">
                  <c:v>VTSAX</c:v>
                </c:pt>
                <c:pt idx="7513">
                  <c:v>VTSAX</c:v>
                </c:pt>
                <c:pt idx="7514">
                  <c:v>VTSAX</c:v>
                </c:pt>
                <c:pt idx="7515">
                  <c:v>VTSAX</c:v>
                </c:pt>
                <c:pt idx="7516">
                  <c:v>VTSAX</c:v>
                </c:pt>
                <c:pt idx="7517">
                  <c:v>VTSAX</c:v>
                </c:pt>
                <c:pt idx="7518">
                  <c:v>VTSAX</c:v>
                </c:pt>
                <c:pt idx="7519">
                  <c:v>VTSAX</c:v>
                </c:pt>
                <c:pt idx="7520">
                  <c:v>VTSAX</c:v>
                </c:pt>
                <c:pt idx="7521">
                  <c:v>VTSAX</c:v>
                </c:pt>
                <c:pt idx="7522">
                  <c:v>VTSAX</c:v>
                </c:pt>
                <c:pt idx="7523">
                  <c:v>VTSAX</c:v>
                </c:pt>
                <c:pt idx="7524">
                  <c:v>VTSAX</c:v>
                </c:pt>
                <c:pt idx="7525">
                  <c:v>VTSAX</c:v>
                </c:pt>
                <c:pt idx="7526">
                  <c:v>VTSAX</c:v>
                </c:pt>
                <c:pt idx="7527">
                  <c:v>VTSAX</c:v>
                </c:pt>
                <c:pt idx="7528">
                  <c:v>VTSAX</c:v>
                </c:pt>
                <c:pt idx="7529">
                  <c:v>VTSAX</c:v>
                </c:pt>
                <c:pt idx="7530">
                  <c:v>VTSAX</c:v>
                </c:pt>
                <c:pt idx="7531">
                  <c:v>VTSAX</c:v>
                </c:pt>
                <c:pt idx="7532">
                  <c:v>VTSAX</c:v>
                </c:pt>
                <c:pt idx="7533">
                  <c:v>VTSAX</c:v>
                </c:pt>
                <c:pt idx="7534">
                  <c:v>VTSAX</c:v>
                </c:pt>
                <c:pt idx="7535">
                  <c:v>VTSAX</c:v>
                </c:pt>
                <c:pt idx="7536">
                  <c:v>VTSAX</c:v>
                </c:pt>
                <c:pt idx="7537">
                  <c:v>VTSAX</c:v>
                </c:pt>
                <c:pt idx="7538">
                  <c:v>VTSAX</c:v>
                </c:pt>
                <c:pt idx="7539">
                  <c:v>VTSAX</c:v>
                </c:pt>
                <c:pt idx="7540">
                  <c:v>VTSAX</c:v>
                </c:pt>
                <c:pt idx="7541">
                  <c:v>VTSAX</c:v>
                </c:pt>
                <c:pt idx="7542">
                  <c:v>VTSAX</c:v>
                </c:pt>
                <c:pt idx="7543">
                  <c:v>VTSAX</c:v>
                </c:pt>
                <c:pt idx="7544">
                  <c:v>VTSAX</c:v>
                </c:pt>
                <c:pt idx="7545">
                  <c:v>VTSAX</c:v>
                </c:pt>
                <c:pt idx="7546">
                  <c:v>VTSAX</c:v>
                </c:pt>
                <c:pt idx="7547">
                  <c:v>VTSAX</c:v>
                </c:pt>
                <c:pt idx="7548">
                  <c:v>VTSAX</c:v>
                </c:pt>
                <c:pt idx="7549">
                  <c:v>VTSAX</c:v>
                </c:pt>
                <c:pt idx="7550">
                  <c:v>VTSAX</c:v>
                </c:pt>
                <c:pt idx="7551">
                  <c:v>VTSAX</c:v>
                </c:pt>
                <c:pt idx="7552">
                  <c:v>VTSAX</c:v>
                </c:pt>
                <c:pt idx="7553">
                  <c:v>VTSAX</c:v>
                </c:pt>
                <c:pt idx="7554">
                  <c:v>VTSAX</c:v>
                </c:pt>
                <c:pt idx="7555">
                  <c:v>VTSAX</c:v>
                </c:pt>
                <c:pt idx="7556">
                  <c:v>VTSAX</c:v>
                </c:pt>
                <c:pt idx="7557">
                  <c:v>VTSAX</c:v>
                </c:pt>
                <c:pt idx="7558">
                  <c:v>VTSAX</c:v>
                </c:pt>
                <c:pt idx="7559">
                  <c:v>VTSAX</c:v>
                </c:pt>
                <c:pt idx="7560">
                  <c:v>VTSAX</c:v>
                </c:pt>
                <c:pt idx="7561">
                  <c:v>VTSAX</c:v>
                </c:pt>
                <c:pt idx="7562">
                  <c:v>VTSAX</c:v>
                </c:pt>
                <c:pt idx="7563">
                  <c:v>VTSAX</c:v>
                </c:pt>
                <c:pt idx="7564">
                  <c:v>VTSAX</c:v>
                </c:pt>
                <c:pt idx="7565">
                  <c:v>VTSAX</c:v>
                </c:pt>
                <c:pt idx="7566">
                  <c:v>VTSAX</c:v>
                </c:pt>
                <c:pt idx="7567">
                  <c:v>VTSAX</c:v>
                </c:pt>
                <c:pt idx="7568">
                  <c:v>VTSAX</c:v>
                </c:pt>
                <c:pt idx="7569">
                  <c:v>VTSAX</c:v>
                </c:pt>
                <c:pt idx="7570">
                  <c:v>VTSAX</c:v>
                </c:pt>
                <c:pt idx="7571">
                  <c:v>VTSAX</c:v>
                </c:pt>
                <c:pt idx="7572">
                  <c:v>VTSAX</c:v>
                </c:pt>
                <c:pt idx="7573">
                  <c:v>VTSAX</c:v>
                </c:pt>
                <c:pt idx="7574">
                  <c:v>VTSAX</c:v>
                </c:pt>
                <c:pt idx="7575">
                  <c:v>VTSAX</c:v>
                </c:pt>
                <c:pt idx="7576">
                  <c:v>VTSAX</c:v>
                </c:pt>
                <c:pt idx="7577">
                  <c:v>VTSAX</c:v>
                </c:pt>
                <c:pt idx="7578">
                  <c:v>VTSAX</c:v>
                </c:pt>
                <c:pt idx="7579">
                  <c:v>VTSAX</c:v>
                </c:pt>
                <c:pt idx="7580">
                  <c:v>VTSAX</c:v>
                </c:pt>
                <c:pt idx="7581">
                  <c:v>VTSAX</c:v>
                </c:pt>
                <c:pt idx="7582">
                  <c:v>VTSAX</c:v>
                </c:pt>
                <c:pt idx="7583">
                  <c:v>VTSAX</c:v>
                </c:pt>
                <c:pt idx="7584">
                  <c:v>VTSAX</c:v>
                </c:pt>
                <c:pt idx="7585">
                  <c:v>VTSAX</c:v>
                </c:pt>
                <c:pt idx="7586">
                  <c:v>VTSAX</c:v>
                </c:pt>
                <c:pt idx="7587">
                  <c:v>VTSAX</c:v>
                </c:pt>
                <c:pt idx="7588">
                  <c:v>VTSAX</c:v>
                </c:pt>
                <c:pt idx="7589">
                  <c:v>VTSAX</c:v>
                </c:pt>
                <c:pt idx="7590">
                  <c:v>VTSAX</c:v>
                </c:pt>
                <c:pt idx="7591">
                  <c:v>VTSAX</c:v>
                </c:pt>
                <c:pt idx="7592">
                  <c:v>VTSAX</c:v>
                </c:pt>
                <c:pt idx="7593">
                  <c:v>VTSAX</c:v>
                </c:pt>
                <c:pt idx="7594">
                  <c:v>VTSAX</c:v>
                </c:pt>
                <c:pt idx="7595">
                  <c:v>VTSAX</c:v>
                </c:pt>
                <c:pt idx="7596">
                  <c:v>VTSAX</c:v>
                </c:pt>
                <c:pt idx="7597">
                  <c:v>VTSAX</c:v>
                </c:pt>
                <c:pt idx="7598">
                  <c:v>VTSAX</c:v>
                </c:pt>
                <c:pt idx="7599">
                  <c:v>VTSAX</c:v>
                </c:pt>
                <c:pt idx="7600">
                  <c:v>VTSAX</c:v>
                </c:pt>
                <c:pt idx="7601">
                  <c:v>VTSAX</c:v>
                </c:pt>
                <c:pt idx="7602">
                  <c:v>VTSAX</c:v>
                </c:pt>
                <c:pt idx="7603">
                  <c:v>VTSAX</c:v>
                </c:pt>
                <c:pt idx="7604">
                  <c:v>VTSAX</c:v>
                </c:pt>
                <c:pt idx="7605">
                  <c:v>VTSAX</c:v>
                </c:pt>
                <c:pt idx="7606">
                  <c:v>VTSAX</c:v>
                </c:pt>
                <c:pt idx="7607">
                  <c:v>VTSAX</c:v>
                </c:pt>
                <c:pt idx="7608">
                  <c:v>VTSAX</c:v>
                </c:pt>
                <c:pt idx="7609">
                  <c:v>VTSAX</c:v>
                </c:pt>
                <c:pt idx="7610">
                  <c:v>VTSAX</c:v>
                </c:pt>
                <c:pt idx="7611">
                  <c:v>VTSAX</c:v>
                </c:pt>
                <c:pt idx="7612">
                  <c:v>VTSAX</c:v>
                </c:pt>
                <c:pt idx="7613">
                  <c:v>VTSAX</c:v>
                </c:pt>
                <c:pt idx="7614">
                  <c:v>VTSAX</c:v>
                </c:pt>
                <c:pt idx="7615">
                  <c:v>VTSAX</c:v>
                </c:pt>
                <c:pt idx="7616">
                  <c:v>VTSAX</c:v>
                </c:pt>
                <c:pt idx="7617">
                  <c:v>VTSAX</c:v>
                </c:pt>
                <c:pt idx="7618">
                  <c:v>VTSAX</c:v>
                </c:pt>
                <c:pt idx="7619">
                  <c:v>VTSAX</c:v>
                </c:pt>
                <c:pt idx="7620">
                  <c:v>VTSAX</c:v>
                </c:pt>
                <c:pt idx="7621">
                  <c:v>VTSAX</c:v>
                </c:pt>
                <c:pt idx="7622">
                  <c:v>VTSAX</c:v>
                </c:pt>
                <c:pt idx="7623">
                  <c:v>VTSAX</c:v>
                </c:pt>
                <c:pt idx="7624">
                  <c:v>VTSAX</c:v>
                </c:pt>
                <c:pt idx="7625">
                  <c:v>VTSAX</c:v>
                </c:pt>
                <c:pt idx="7626">
                  <c:v>VTSAX</c:v>
                </c:pt>
                <c:pt idx="7627">
                  <c:v>VTSAX</c:v>
                </c:pt>
                <c:pt idx="7628">
                  <c:v>VTSAX</c:v>
                </c:pt>
                <c:pt idx="7629">
                  <c:v>VTSAX</c:v>
                </c:pt>
                <c:pt idx="7630">
                  <c:v>VTSAX</c:v>
                </c:pt>
                <c:pt idx="7631">
                  <c:v>VTSAX</c:v>
                </c:pt>
                <c:pt idx="7632">
                  <c:v>VTSAX</c:v>
                </c:pt>
                <c:pt idx="7633">
                  <c:v>VTSAX</c:v>
                </c:pt>
                <c:pt idx="7634">
                  <c:v>VTSAX</c:v>
                </c:pt>
                <c:pt idx="7635">
                  <c:v>VTSAX</c:v>
                </c:pt>
                <c:pt idx="7636">
                  <c:v>VTSAX</c:v>
                </c:pt>
                <c:pt idx="7637">
                  <c:v>VTSAX</c:v>
                </c:pt>
                <c:pt idx="7638">
                  <c:v>VTSAX</c:v>
                </c:pt>
                <c:pt idx="7639">
                  <c:v>VTSAX</c:v>
                </c:pt>
                <c:pt idx="7640">
                  <c:v>VTSAX</c:v>
                </c:pt>
                <c:pt idx="7641">
                  <c:v>VTSAX</c:v>
                </c:pt>
                <c:pt idx="7642">
                  <c:v>VTSAX</c:v>
                </c:pt>
                <c:pt idx="7643">
                  <c:v>VTSAX</c:v>
                </c:pt>
                <c:pt idx="7644">
                  <c:v>VTSAX</c:v>
                </c:pt>
                <c:pt idx="7645">
                  <c:v>VTSAX</c:v>
                </c:pt>
                <c:pt idx="7646">
                  <c:v>VTSAX</c:v>
                </c:pt>
                <c:pt idx="7647">
                  <c:v>VTSAX</c:v>
                </c:pt>
                <c:pt idx="7648">
                  <c:v>VTSAX</c:v>
                </c:pt>
                <c:pt idx="7649">
                  <c:v>VTSAX</c:v>
                </c:pt>
                <c:pt idx="7650">
                  <c:v>VTSAX</c:v>
                </c:pt>
                <c:pt idx="7651">
                  <c:v>VTSAX</c:v>
                </c:pt>
                <c:pt idx="7652">
                  <c:v>VTSAX</c:v>
                </c:pt>
                <c:pt idx="7653">
                  <c:v>VTSAX</c:v>
                </c:pt>
                <c:pt idx="7654">
                  <c:v>VTSAX</c:v>
                </c:pt>
                <c:pt idx="7655">
                  <c:v>VTSAX</c:v>
                </c:pt>
                <c:pt idx="7656">
                  <c:v>VTSAX</c:v>
                </c:pt>
                <c:pt idx="7657">
                  <c:v>VTSAX</c:v>
                </c:pt>
                <c:pt idx="7658">
                  <c:v>VTSAX</c:v>
                </c:pt>
                <c:pt idx="7659">
                  <c:v>VTSAX</c:v>
                </c:pt>
                <c:pt idx="7660">
                  <c:v>VTSAX</c:v>
                </c:pt>
                <c:pt idx="7661">
                  <c:v>VTSAX</c:v>
                </c:pt>
                <c:pt idx="7662">
                  <c:v>VTSAX</c:v>
                </c:pt>
                <c:pt idx="7663">
                  <c:v>VTSAX</c:v>
                </c:pt>
                <c:pt idx="7664">
                  <c:v>VTSAX</c:v>
                </c:pt>
                <c:pt idx="7665">
                  <c:v>VTSAX</c:v>
                </c:pt>
                <c:pt idx="7666">
                  <c:v>VTSAX</c:v>
                </c:pt>
                <c:pt idx="7667">
                  <c:v>VTSAX</c:v>
                </c:pt>
                <c:pt idx="7668">
                  <c:v>VTSAX</c:v>
                </c:pt>
                <c:pt idx="7669">
                  <c:v>VTSAX</c:v>
                </c:pt>
                <c:pt idx="7670">
                  <c:v>VTSAX</c:v>
                </c:pt>
                <c:pt idx="7671">
                  <c:v>VTSAX</c:v>
                </c:pt>
                <c:pt idx="7672">
                  <c:v>VTSAX</c:v>
                </c:pt>
                <c:pt idx="7673">
                  <c:v>VTSAX</c:v>
                </c:pt>
                <c:pt idx="7674">
                  <c:v>VTSAX</c:v>
                </c:pt>
                <c:pt idx="7675">
                  <c:v>VTSAX</c:v>
                </c:pt>
                <c:pt idx="7676">
                  <c:v>VTSAX</c:v>
                </c:pt>
                <c:pt idx="7677">
                  <c:v>VTSAX</c:v>
                </c:pt>
                <c:pt idx="7678">
                  <c:v>VTSAX</c:v>
                </c:pt>
                <c:pt idx="7679">
                  <c:v>VTSAX</c:v>
                </c:pt>
                <c:pt idx="7680">
                  <c:v>VTSAX</c:v>
                </c:pt>
                <c:pt idx="7681">
                  <c:v>VTSAX</c:v>
                </c:pt>
                <c:pt idx="7682">
                  <c:v>VTSAX</c:v>
                </c:pt>
                <c:pt idx="7683">
                  <c:v>VTSAX</c:v>
                </c:pt>
                <c:pt idx="7684">
                  <c:v>VTSAX</c:v>
                </c:pt>
                <c:pt idx="7685">
                  <c:v>VTSAX</c:v>
                </c:pt>
                <c:pt idx="7686">
                  <c:v>VTSAX</c:v>
                </c:pt>
                <c:pt idx="7687">
                  <c:v>VTSAX</c:v>
                </c:pt>
                <c:pt idx="7688">
                  <c:v>VTSAX</c:v>
                </c:pt>
                <c:pt idx="7689">
                  <c:v>VTSAX</c:v>
                </c:pt>
                <c:pt idx="7690">
                  <c:v>VTSAX</c:v>
                </c:pt>
                <c:pt idx="7691">
                  <c:v>VTSAX</c:v>
                </c:pt>
                <c:pt idx="7692">
                  <c:v>VTSAX</c:v>
                </c:pt>
                <c:pt idx="7693">
                  <c:v>VTSAX</c:v>
                </c:pt>
                <c:pt idx="7694">
                  <c:v>VTSAX</c:v>
                </c:pt>
                <c:pt idx="7695">
                  <c:v>VTSAX</c:v>
                </c:pt>
                <c:pt idx="7696">
                  <c:v>VTSAX</c:v>
                </c:pt>
                <c:pt idx="7697">
                  <c:v>VTSAX</c:v>
                </c:pt>
                <c:pt idx="7698">
                  <c:v>VTSAX</c:v>
                </c:pt>
                <c:pt idx="7699">
                  <c:v>VTSAX</c:v>
                </c:pt>
                <c:pt idx="7700">
                  <c:v>VTSAX</c:v>
                </c:pt>
                <c:pt idx="7701">
                  <c:v>VTSAX</c:v>
                </c:pt>
                <c:pt idx="7702">
                  <c:v>VTSAX</c:v>
                </c:pt>
                <c:pt idx="7703">
                  <c:v>VTSAX</c:v>
                </c:pt>
                <c:pt idx="7704">
                  <c:v>VTSAX</c:v>
                </c:pt>
                <c:pt idx="7705">
                  <c:v>VTSAX</c:v>
                </c:pt>
                <c:pt idx="7706">
                  <c:v>VTSAX</c:v>
                </c:pt>
                <c:pt idx="7707">
                  <c:v>VTSAX</c:v>
                </c:pt>
                <c:pt idx="7708">
                  <c:v>VTSAX</c:v>
                </c:pt>
                <c:pt idx="7709">
                  <c:v>VTSAX</c:v>
                </c:pt>
                <c:pt idx="7710">
                  <c:v>VTSAX</c:v>
                </c:pt>
                <c:pt idx="7711">
                  <c:v>VTSAX</c:v>
                </c:pt>
                <c:pt idx="7712">
                  <c:v>VTSAX</c:v>
                </c:pt>
                <c:pt idx="7713">
                  <c:v>VTSAX</c:v>
                </c:pt>
                <c:pt idx="7714">
                  <c:v>VTSAX</c:v>
                </c:pt>
                <c:pt idx="7715">
                  <c:v>VTSAX</c:v>
                </c:pt>
                <c:pt idx="7716">
                  <c:v>VTSAX</c:v>
                </c:pt>
                <c:pt idx="7717">
                  <c:v>VTSAX</c:v>
                </c:pt>
                <c:pt idx="7718">
                  <c:v>VTSAX</c:v>
                </c:pt>
                <c:pt idx="7719">
                  <c:v>VTSAX</c:v>
                </c:pt>
                <c:pt idx="7720">
                  <c:v>VTSAX</c:v>
                </c:pt>
                <c:pt idx="7721">
                  <c:v>VTSAX</c:v>
                </c:pt>
                <c:pt idx="7722">
                  <c:v>VTSAX</c:v>
                </c:pt>
                <c:pt idx="7723">
                  <c:v>VTSAX</c:v>
                </c:pt>
                <c:pt idx="7724">
                  <c:v>VTSAX</c:v>
                </c:pt>
                <c:pt idx="7725">
                  <c:v>VTSAX</c:v>
                </c:pt>
                <c:pt idx="7726">
                  <c:v>VTSAX</c:v>
                </c:pt>
                <c:pt idx="7727">
                  <c:v>VTSAX</c:v>
                </c:pt>
                <c:pt idx="7728">
                  <c:v>VTSAX</c:v>
                </c:pt>
                <c:pt idx="7729">
                  <c:v>VTSAX</c:v>
                </c:pt>
                <c:pt idx="7730">
                  <c:v>VTSAX</c:v>
                </c:pt>
                <c:pt idx="7731">
                  <c:v>VTSAX</c:v>
                </c:pt>
                <c:pt idx="7732">
                  <c:v>VTSAX</c:v>
                </c:pt>
                <c:pt idx="7733">
                  <c:v>VTSAX</c:v>
                </c:pt>
                <c:pt idx="7734">
                  <c:v>VTSAX</c:v>
                </c:pt>
                <c:pt idx="7735">
                  <c:v>VTSAX</c:v>
                </c:pt>
                <c:pt idx="7736">
                  <c:v>VTSAX</c:v>
                </c:pt>
                <c:pt idx="7737">
                  <c:v>VTSAX</c:v>
                </c:pt>
                <c:pt idx="7738">
                  <c:v>VTSAX</c:v>
                </c:pt>
                <c:pt idx="7739">
                  <c:v>VTSAX</c:v>
                </c:pt>
                <c:pt idx="7740">
                  <c:v>VTSAX</c:v>
                </c:pt>
                <c:pt idx="7741">
                  <c:v>VTSAX</c:v>
                </c:pt>
                <c:pt idx="7742">
                  <c:v>VTSAX</c:v>
                </c:pt>
                <c:pt idx="7743">
                  <c:v>VTSAX</c:v>
                </c:pt>
                <c:pt idx="7744">
                  <c:v>VTSAX</c:v>
                </c:pt>
                <c:pt idx="7745">
                  <c:v>VTSAX</c:v>
                </c:pt>
                <c:pt idx="7746">
                  <c:v>VTSAX</c:v>
                </c:pt>
                <c:pt idx="7747">
                  <c:v>VTSAX</c:v>
                </c:pt>
                <c:pt idx="7748">
                  <c:v>VTSAX</c:v>
                </c:pt>
                <c:pt idx="7749">
                  <c:v>VTSAX</c:v>
                </c:pt>
                <c:pt idx="7750">
                  <c:v>VTSAX</c:v>
                </c:pt>
                <c:pt idx="7751">
                  <c:v>VTSAX</c:v>
                </c:pt>
                <c:pt idx="7752">
                  <c:v>VTSAX</c:v>
                </c:pt>
                <c:pt idx="7753">
                  <c:v>VTSAX</c:v>
                </c:pt>
                <c:pt idx="7754">
                  <c:v>VTSAX</c:v>
                </c:pt>
                <c:pt idx="7755">
                  <c:v>VTSAX</c:v>
                </c:pt>
                <c:pt idx="7756">
                  <c:v>VTSAX</c:v>
                </c:pt>
                <c:pt idx="7757">
                  <c:v>VTSAX</c:v>
                </c:pt>
                <c:pt idx="7758">
                  <c:v>VTSAX</c:v>
                </c:pt>
                <c:pt idx="7759">
                  <c:v>VTSAX</c:v>
                </c:pt>
                <c:pt idx="7760">
                  <c:v>VTSAX</c:v>
                </c:pt>
                <c:pt idx="7761">
                  <c:v>VTSAX</c:v>
                </c:pt>
                <c:pt idx="7762">
                  <c:v>VTSAX</c:v>
                </c:pt>
                <c:pt idx="7763">
                  <c:v>VTSAX</c:v>
                </c:pt>
                <c:pt idx="7764">
                  <c:v>VTSAX</c:v>
                </c:pt>
                <c:pt idx="7765">
                  <c:v>VTSAX</c:v>
                </c:pt>
                <c:pt idx="7766">
                  <c:v>VTSAX</c:v>
                </c:pt>
                <c:pt idx="7767">
                  <c:v>VTSAX</c:v>
                </c:pt>
                <c:pt idx="7768">
                  <c:v>VTSAX</c:v>
                </c:pt>
                <c:pt idx="7769">
                  <c:v>VTSAX</c:v>
                </c:pt>
                <c:pt idx="7770">
                  <c:v>VTSAX</c:v>
                </c:pt>
                <c:pt idx="7771">
                  <c:v>VTSAX</c:v>
                </c:pt>
                <c:pt idx="7772">
                  <c:v>VTSAX</c:v>
                </c:pt>
                <c:pt idx="7773">
                  <c:v>VTSAX</c:v>
                </c:pt>
                <c:pt idx="7774">
                  <c:v>VTSAX</c:v>
                </c:pt>
                <c:pt idx="7775">
                  <c:v>VTSAX</c:v>
                </c:pt>
                <c:pt idx="7776">
                  <c:v>VTSAX</c:v>
                </c:pt>
                <c:pt idx="7777">
                  <c:v>VTSAX</c:v>
                </c:pt>
                <c:pt idx="7778">
                  <c:v>VTSAX</c:v>
                </c:pt>
                <c:pt idx="7779">
                  <c:v>VTSAX</c:v>
                </c:pt>
                <c:pt idx="7780">
                  <c:v>VTSAX</c:v>
                </c:pt>
                <c:pt idx="7781">
                  <c:v>VTSAX</c:v>
                </c:pt>
                <c:pt idx="7782">
                  <c:v>VTSAX</c:v>
                </c:pt>
                <c:pt idx="7783">
                  <c:v>VTSAX</c:v>
                </c:pt>
                <c:pt idx="7784">
                  <c:v>VTSAX</c:v>
                </c:pt>
                <c:pt idx="7785">
                  <c:v>VTSAX</c:v>
                </c:pt>
                <c:pt idx="7786">
                  <c:v>VTSAX</c:v>
                </c:pt>
                <c:pt idx="7787">
                  <c:v>VTSAX</c:v>
                </c:pt>
                <c:pt idx="7788">
                  <c:v>VTSAX</c:v>
                </c:pt>
                <c:pt idx="7789">
                  <c:v>VTSAX</c:v>
                </c:pt>
                <c:pt idx="7790">
                  <c:v>VTSAX</c:v>
                </c:pt>
                <c:pt idx="7791">
                  <c:v>VTSAX</c:v>
                </c:pt>
                <c:pt idx="7792">
                  <c:v>VTSAX</c:v>
                </c:pt>
                <c:pt idx="7793">
                  <c:v>VTSAX</c:v>
                </c:pt>
                <c:pt idx="7794">
                  <c:v>VTSAX</c:v>
                </c:pt>
                <c:pt idx="7795">
                  <c:v>VTSAX</c:v>
                </c:pt>
                <c:pt idx="7796">
                  <c:v>VTSAX</c:v>
                </c:pt>
                <c:pt idx="7797">
                  <c:v>VTSAX</c:v>
                </c:pt>
                <c:pt idx="7798">
                  <c:v>VTSAX</c:v>
                </c:pt>
                <c:pt idx="7799">
                  <c:v>VTSAX</c:v>
                </c:pt>
                <c:pt idx="7800">
                  <c:v>VTSAX</c:v>
                </c:pt>
                <c:pt idx="7801">
                  <c:v>VTSAX</c:v>
                </c:pt>
                <c:pt idx="7802">
                  <c:v>VTSAX</c:v>
                </c:pt>
                <c:pt idx="7803">
                  <c:v>VTSAX</c:v>
                </c:pt>
                <c:pt idx="7804">
                  <c:v>VTSAX</c:v>
                </c:pt>
                <c:pt idx="7805">
                  <c:v>VTSAX</c:v>
                </c:pt>
                <c:pt idx="7806">
                  <c:v>VTSAX</c:v>
                </c:pt>
                <c:pt idx="7807">
                  <c:v>VTSAX</c:v>
                </c:pt>
                <c:pt idx="7808">
                  <c:v>VTSAX</c:v>
                </c:pt>
                <c:pt idx="7809">
                  <c:v>VTSAX</c:v>
                </c:pt>
                <c:pt idx="7810">
                  <c:v>VTSAX</c:v>
                </c:pt>
                <c:pt idx="7811">
                  <c:v>VTSAX</c:v>
                </c:pt>
                <c:pt idx="7812">
                  <c:v>VTSAX</c:v>
                </c:pt>
                <c:pt idx="7813">
                  <c:v>VTSAX</c:v>
                </c:pt>
                <c:pt idx="7814">
                  <c:v>VTSAX</c:v>
                </c:pt>
                <c:pt idx="7815">
                  <c:v>VTSAX</c:v>
                </c:pt>
                <c:pt idx="7816">
                  <c:v>VTSAX</c:v>
                </c:pt>
                <c:pt idx="7817">
                  <c:v>VTSAX</c:v>
                </c:pt>
                <c:pt idx="7818">
                  <c:v>VTSAX</c:v>
                </c:pt>
                <c:pt idx="7819">
                  <c:v>VTSAX</c:v>
                </c:pt>
                <c:pt idx="7820">
                  <c:v>VTSAX</c:v>
                </c:pt>
                <c:pt idx="7821">
                  <c:v>VTSAX</c:v>
                </c:pt>
                <c:pt idx="7822">
                  <c:v>VTSAX</c:v>
                </c:pt>
                <c:pt idx="7823">
                  <c:v>VTSAX</c:v>
                </c:pt>
                <c:pt idx="7824">
                  <c:v>VTSAX</c:v>
                </c:pt>
                <c:pt idx="7825">
                  <c:v>VTSAX</c:v>
                </c:pt>
                <c:pt idx="7826">
                  <c:v>VTSAX</c:v>
                </c:pt>
                <c:pt idx="7827">
                  <c:v>VTSAX</c:v>
                </c:pt>
                <c:pt idx="7828">
                  <c:v>VTSAX</c:v>
                </c:pt>
                <c:pt idx="7829">
                  <c:v>VTSAX</c:v>
                </c:pt>
                <c:pt idx="7830">
                  <c:v>VTSAX</c:v>
                </c:pt>
                <c:pt idx="7831">
                  <c:v>VTSAX</c:v>
                </c:pt>
                <c:pt idx="7832">
                  <c:v>VTSAX</c:v>
                </c:pt>
                <c:pt idx="7833">
                  <c:v>VTSAX</c:v>
                </c:pt>
                <c:pt idx="7834">
                  <c:v>VTSAX</c:v>
                </c:pt>
                <c:pt idx="7835">
                  <c:v>VTSAX</c:v>
                </c:pt>
                <c:pt idx="7836">
                  <c:v>VTSAX</c:v>
                </c:pt>
                <c:pt idx="7837">
                  <c:v>VTSAX</c:v>
                </c:pt>
                <c:pt idx="7838">
                  <c:v>VTSAX</c:v>
                </c:pt>
                <c:pt idx="7839">
                  <c:v>VTSAX</c:v>
                </c:pt>
                <c:pt idx="7840">
                  <c:v>VTSAX</c:v>
                </c:pt>
                <c:pt idx="7841">
                  <c:v>VTSAX</c:v>
                </c:pt>
                <c:pt idx="7842">
                  <c:v>VTSAX</c:v>
                </c:pt>
                <c:pt idx="7843">
                  <c:v>VTSAX</c:v>
                </c:pt>
                <c:pt idx="7844">
                  <c:v>VTSAX</c:v>
                </c:pt>
                <c:pt idx="7845">
                  <c:v>VTSAX</c:v>
                </c:pt>
                <c:pt idx="7846">
                  <c:v>VTSAX</c:v>
                </c:pt>
                <c:pt idx="7847">
                  <c:v>VTSAX</c:v>
                </c:pt>
                <c:pt idx="7848">
                  <c:v>VTSAX</c:v>
                </c:pt>
                <c:pt idx="7849">
                  <c:v>VTSAX</c:v>
                </c:pt>
                <c:pt idx="7850">
                  <c:v>VTSAX</c:v>
                </c:pt>
                <c:pt idx="7851">
                  <c:v>VTSAX</c:v>
                </c:pt>
                <c:pt idx="7852">
                  <c:v>VTSAX</c:v>
                </c:pt>
                <c:pt idx="7853">
                  <c:v>VTSAX</c:v>
                </c:pt>
                <c:pt idx="7854">
                  <c:v>VTSAX</c:v>
                </c:pt>
                <c:pt idx="7855">
                  <c:v>VTSAX</c:v>
                </c:pt>
                <c:pt idx="7856">
                  <c:v>VTSAX</c:v>
                </c:pt>
                <c:pt idx="7857">
                  <c:v>VTSAX</c:v>
                </c:pt>
                <c:pt idx="7858">
                  <c:v>VTSAX</c:v>
                </c:pt>
                <c:pt idx="7859">
                  <c:v>VTSAX</c:v>
                </c:pt>
                <c:pt idx="7860">
                  <c:v>VTSAX</c:v>
                </c:pt>
                <c:pt idx="7861">
                  <c:v>VTSAX</c:v>
                </c:pt>
                <c:pt idx="7862">
                  <c:v>VTSAX</c:v>
                </c:pt>
                <c:pt idx="7863">
                  <c:v>VTSAX</c:v>
                </c:pt>
                <c:pt idx="7864">
                  <c:v>VTSAX</c:v>
                </c:pt>
                <c:pt idx="7865">
                  <c:v>VTSAX</c:v>
                </c:pt>
                <c:pt idx="7866">
                  <c:v>VTSAX</c:v>
                </c:pt>
                <c:pt idx="7867">
                  <c:v>VTSAX</c:v>
                </c:pt>
                <c:pt idx="7868">
                  <c:v>VTSAX</c:v>
                </c:pt>
                <c:pt idx="7869">
                  <c:v>VTSAX</c:v>
                </c:pt>
                <c:pt idx="7870">
                  <c:v>VTSAX</c:v>
                </c:pt>
                <c:pt idx="7871">
                  <c:v>VTSAX</c:v>
                </c:pt>
                <c:pt idx="7872">
                  <c:v>VTSAX</c:v>
                </c:pt>
                <c:pt idx="7873">
                  <c:v>VTSAX</c:v>
                </c:pt>
                <c:pt idx="7874">
                  <c:v>VTSAX</c:v>
                </c:pt>
                <c:pt idx="7875">
                  <c:v>VTSAX</c:v>
                </c:pt>
                <c:pt idx="7876">
                  <c:v>VTSAX</c:v>
                </c:pt>
                <c:pt idx="7877">
                  <c:v>VTSAX</c:v>
                </c:pt>
                <c:pt idx="7878">
                  <c:v>VTSAX</c:v>
                </c:pt>
                <c:pt idx="7879">
                  <c:v>VTSAX</c:v>
                </c:pt>
                <c:pt idx="7880">
                  <c:v>VTSAX</c:v>
                </c:pt>
                <c:pt idx="7881">
                  <c:v>VTSAX</c:v>
                </c:pt>
                <c:pt idx="7882">
                  <c:v>VTSAX</c:v>
                </c:pt>
                <c:pt idx="7883">
                  <c:v>VTSAX</c:v>
                </c:pt>
                <c:pt idx="7884">
                  <c:v>VTSAX</c:v>
                </c:pt>
                <c:pt idx="7885">
                  <c:v>VTSAX</c:v>
                </c:pt>
                <c:pt idx="7886">
                  <c:v>VTSAX</c:v>
                </c:pt>
                <c:pt idx="7887">
                  <c:v>VTSAX</c:v>
                </c:pt>
                <c:pt idx="7888">
                  <c:v>VTSAX</c:v>
                </c:pt>
                <c:pt idx="7889">
                  <c:v>VTSAX</c:v>
                </c:pt>
                <c:pt idx="7890">
                  <c:v>VTSAX</c:v>
                </c:pt>
                <c:pt idx="7891">
                  <c:v>VTSAX</c:v>
                </c:pt>
                <c:pt idx="7892">
                  <c:v>VTSAX</c:v>
                </c:pt>
                <c:pt idx="7893">
                  <c:v>VTSAX</c:v>
                </c:pt>
                <c:pt idx="7894">
                  <c:v>VTSAX</c:v>
                </c:pt>
                <c:pt idx="7895">
                  <c:v>VTSAX</c:v>
                </c:pt>
                <c:pt idx="7896">
                  <c:v>VTSAX</c:v>
                </c:pt>
                <c:pt idx="7897">
                  <c:v>VTSAX</c:v>
                </c:pt>
                <c:pt idx="7898">
                  <c:v>VTSAX</c:v>
                </c:pt>
                <c:pt idx="7899">
                  <c:v>VTSAX</c:v>
                </c:pt>
                <c:pt idx="7900">
                  <c:v>VTSAX</c:v>
                </c:pt>
                <c:pt idx="7901">
                  <c:v>VTSAX</c:v>
                </c:pt>
                <c:pt idx="7902">
                  <c:v>VTSAX</c:v>
                </c:pt>
                <c:pt idx="7903">
                  <c:v>VTSAX</c:v>
                </c:pt>
                <c:pt idx="7904">
                  <c:v>VTSAX</c:v>
                </c:pt>
                <c:pt idx="7905">
                  <c:v>VTSAX</c:v>
                </c:pt>
                <c:pt idx="7906">
                  <c:v>VTSAX</c:v>
                </c:pt>
                <c:pt idx="7907">
                  <c:v>VTSAX</c:v>
                </c:pt>
                <c:pt idx="7908">
                  <c:v>VTSAX</c:v>
                </c:pt>
                <c:pt idx="7909">
                  <c:v>VTSAX</c:v>
                </c:pt>
                <c:pt idx="7910">
                  <c:v>VTSAX</c:v>
                </c:pt>
                <c:pt idx="7911">
                  <c:v>VTSAX</c:v>
                </c:pt>
                <c:pt idx="7912">
                  <c:v>VTSAX</c:v>
                </c:pt>
                <c:pt idx="7913">
                  <c:v>VTSAX</c:v>
                </c:pt>
                <c:pt idx="7914">
                  <c:v>VTSAX</c:v>
                </c:pt>
                <c:pt idx="7915">
                  <c:v>VTSAX</c:v>
                </c:pt>
                <c:pt idx="7916">
                  <c:v>VTSAX</c:v>
                </c:pt>
                <c:pt idx="7917">
                  <c:v>VTSAX</c:v>
                </c:pt>
                <c:pt idx="7918">
                  <c:v>VTSAX</c:v>
                </c:pt>
                <c:pt idx="7919">
                  <c:v>VTSAX</c:v>
                </c:pt>
                <c:pt idx="7920">
                  <c:v>VTSAX</c:v>
                </c:pt>
                <c:pt idx="7921">
                  <c:v>VTSAX</c:v>
                </c:pt>
                <c:pt idx="7922">
                  <c:v>VTSAX</c:v>
                </c:pt>
                <c:pt idx="7923">
                  <c:v>VTSAX</c:v>
                </c:pt>
                <c:pt idx="7924">
                  <c:v>VTSAX</c:v>
                </c:pt>
                <c:pt idx="7925">
                  <c:v>VTSAX</c:v>
                </c:pt>
                <c:pt idx="7926">
                  <c:v>VTSAX</c:v>
                </c:pt>
                <c:pt idx="7927">
                  <c:v>VTSAX</c:v>
                </c:pt>
                <c:pt idx="7928">
                  <c:v>VTSAX</c:v>
                </c:pt>
                <c:pt idx="7929">
                  <c:v>VTSAX</c:v>
                </c:pt>
                <c:pt idx="7930">
                  <c:v>VTSAX</c:v>
                </c:pt>
                <c:pt idx="7931">
                  <c:v>VTSAX</c:v>
                </c:pt>
                <c:pt idx="7932">
                  <c:v>VTSAX</c:v>
                </c:pt>
                <c:pt idx="7933">
                  <c:v>VTSAX</c:v>
                </c:pt>
                <c:pt idx="7934">
                  <c:v>VTSAX</c:v>
                </c:pt>
                <c:pt idx="7935">
                  <c:v>VTSAX</c:v>
                </c:pt>
                <c:pt idx="7936">
                  <c:v>VTSAX</c:v>
                </c:pt>
                <c:pt idx="7937">
                  <c:v>VTSAX</c:v>
                </c:pt>
                <c:pt idx="7938">
                  <c:v>VTSAX</c:v>
                </c:pt>
                <c:pt idx="7939">
                  <c:v>VTSAX</c:v>
                </c:pt>
                <c:pt idx="7940">
                  <c:v>VTSAX</c:v>
                </c:pt>
                <c:pt idx="7941">
                  <c:v>VTSAX</c:v>
                </c:pt>
                <c:pt idx="7942">
                  <c:v>VTSAX</c:v>
                </c:pt>
                <c:pt idx="7943">
                  <c:v>VTSAX</c:v>
                </c:pt>
                <c:pt idx="7944">
                  <c:v>VTSAX</c:v>
                </c:pt>
                <c:pt idx="7945">
                  <c:v>VTSAX</c:v>
                </c:pt>
                <c:pt idx="7946">
                  <c:v>VTSAX</c:v>
                </c:pt>
                <c:pt idx="7947">
                  <c:v>VTSAX</c:v>
                </c:pt>
                <c:pt idx="7948">
                  <c:v>VTSAX</c:v>
                </c:pt>
                <c:pt idx="7949">
                  <c:v>VTSAX</c:v>
                </c:pt>
                <c:pt idx="7950">
                  <c:v>VTSAX</c:v>
                </c:pt>
                <c:pt idx="7951">
                  <c:v>VTSAX</c:v>
                </c:pt>
                <c:pt idx="7952">
                  <c:v>VTSAX</c:v>
                </c:pt>
                <c:pt idx="7953">
                  <c:v>VTSAX</c:v>
                </c:pt>
                <c:pt idx="7954">
                  <c:v>VTSAX</c:v>
                </c:pt>
                <c:pt idx="7955">
                  <c:v>VTSAX</c:v>
                </c:pt>
                <c:pt idx="7956">
                  <c:v>VTSAX</c:v>
                </c:pt>
                <c:pt idx="7957">
                  <c:v>VTSAX</c:v>
                </c:pt>
                <c:pt idx="7958">
                  <c:v>VTSAX</c:v>
                </c:pt>
                <c:pt idx="7959">
                  <c:v>VTSAX</c:v>
                </c:pt>
                <c:pt idx="7960">
                  <c:v>VTSAX</c:v>
                </c:pt>
                <c:pt idx="7961">
                  <c:v>VTSAX</c:v>
                </c:pt>
                <c:pt idx="7962">
                  <c:v>VTSAX</c:v>
                </c:pt>
                <c:pt idx="7963">
                  <c:v>VTSAX</c:v>
                </c:pt>
                <c:pt idx="7964">
                  <c:v>VTSAX</c:v>
                </c:pt>
                <c:pt idx="7965">
                  <c:v>VTSAX</c:v>
                </c:pt>
                <c:pt idx="7966">
                  <c:v>VTSAX</c:v>
                </c:pt>
                <c:pt idx="7967">
                  <c:v>VTSAX</c:v>
                </c:pt>
                <c:pt idx="7968">
                  <c:v>VTSAX</c:v>
                </c:pt>
                <c:pt idx="7969">
                  <c:v>VTSAX</c:v>
                </c:pt>
                <c:pt idx="7970">
                  <c:v>VTSAX</c:v>
                </c:pt>
                <c:pt idx="7971">
                  <c:v>VTSAX</c:v>
                </c:pt>
                <c:pt idx="7972">
                  <c:v>VTSAX</c:v>
                </c:pt>
                <c:pt idx="7973">
                  <c:v>VTSAX</c:v>
                </c:pt>
                <c:pt idx="7974">
                  <c:v>VTSAX</c:v>
                </c:pt>
                <c:pt idx="7975">
                  <c:v>VTSAX</c:v>
                </c:pt>
                <c:pt idx="7976">
                  <c:v>VTSAX</c:v>
                </c:pt>
                <c:pt idx="7977">
                  <c:v>VTSAX</c:v>
                </c:pt>
                <c:pt idx="7978">
                  <c:v>VTSAX</c:v>
                </c:pt>
                <c:pt idx="7979">
                  <c:v>VTSAX</c:v>
                </c:pt>
                <c:pt idx="7980">
                  <c:v>VTSAX</c:v>
                </c:pt>
                <c:pt idx="7981">
                  <c:v>VTSAX</c:v>
                </c:pt>
                <c:pt idx="7982">
                  <c:v>VTSAX</c:v>
                </c:pt>
                <c:pt idx="7983">
                  <c:v>VTSAX</c:v>
                </c:pt>
                <c:pt idx="7984">
                  <c:v>VTSAX</c:v>
                </c:pt>
                <c:pt idx="7985">
                  <c:v>VTSAX</c:v>
                </c:pt>
                <c:pt idx="7986">
                  <c:v>VTSAX</c:v>
                </c:pt>
                <c:pt idx="7987">
                  <c:v>VTSAX</c:v>
                </c:pt>
                <c:pt idx="7988">
                  <c:v>VTSAX</c:v>
                </c:pt>
                <c:pt idx="7989">
                  <c:v>VTSAX</c:v>
                </c:pt>
                <c:pt idx="7990">
                  <c:v>VTSAX</c:v>
                </c:pt>
                <c:pt idx="7991">
                  <c:v>VTSAX</c:v>
                </c:pt>
                <c:pt idx="7992">
                  <c:v>VTSAX</c:v>
                </c:pt>
                <c:pt idx="7993">
                  <c:v>VTSAX</c:v>
                </c:pt>
                <c:pt idx="7994">
                  <c:v>VTSAX</c:v>
                </c:pt>
                <c:pt idx="7995">
                  <c:v>VTSAX</c:v>
                </c:pt>
                <c:pt idx="7996">
                  <c:v>VTSAX</c:v>
                </c:pt>
                <c:pt idx="7997">
                  <c:v>VTSAX</c:v>
                </c:pt>
                <c:pt idx="7998">
                  <c:v>VTSAX</c:v>
                </c:pt>
                <c:pt idx="7999">
                  <c:v>VTSAX</c:v>
                </c:pt>
                <c:pt idx="8000">
                  <c:v>VTSAX</c:v>
                </c:pt>
                <c:pt idx="8001">
                  <c:v>VTSAX</c:v>
                </c:pt>
                <c:pt idx="8002">
                  <c:v>VTSAX</c:v>
                </c:pt>
                <c:pt idx="8003">
                  <c:v>VTSAX</c:v>
                </c:pt>
                <c:pt idx="8004">
                  <c:v>VTSAX</c:v>
                </c:pt>
                <c:pt idx="8005">
                  <c:v>VTSAX</c:v>
                </c:pt>
                <c:pt idx="8006">
                  <c:v>VTSAX</c:v>
                </c:pt>
                <c:pt idx="8007">
                  <c:v>VTSAX</c:v>
                </c:pt>
                <c:pt idx="8008">
                  <c:v>VTSAX</c:v>
                </c:pt>
                <c:pt idx="8009">
                  <c:v>VTSAX</c:v>
                </c:pt>
                <c:pt idx="8010">
                  <c:v>VTSAX</c:v>
                </c:pt>
                <c:pt idx="8011">
                  <c:v>VTSAX</c:v>
                </c:pt>
                <c:pt idx="8012">
                  <c:v>VTSAX</c:v>
                </c:pt>
                <c:pt idx="8013">
                  <c:v>VTSAX</c:v>
                </c:pt>
                <c:pt idx="8014">
                  <c:v>VTSAX</c:v>
                </c:pt>
                <c:pt idx="8015">
                  <c:v>VTSAX</c:v>
                </c:pt>
                <c:pt idx="8016">
                  <c:v>VTSAX</c:v>
                </c:pt>
                <c:pt idx="8017">
                  <c:v>VTSAX</c:v>
                </c:pt>
                <c:pt idx="8018">
                  <c:v>VTSAX</c:v>
                </c:pt>
                <c:pt idx="8019">
                  <c:v>VTSAX</c:v>
                </c:pt>
                <c:pt idx="8020">
                  <c:v>VTSAX</c:v>
                </c:pt>
                <c:pt idx="8021">
                  <c:v>VTSAX</c:v>
                </c:pt>
                <c:pt idx="8022">
                  <c:v>VTSAX</c:v>
                </c:pt>
                <c:pt idx="8023">
                  <c:v>VTSAX</c:v>
                </c:pt>
                <c:pt idx="8024">
                  <c:v>VTSAX</c:v>
                </c:pt>
                <c:pt idx="8025">
                  <c:v>VTSAX</c:v>
                </c:pt>
                <c:pt idx="8026">
                  <c:v>VTSAX</c:v>
                </c:pt>
                <c:pt idx="8027">
                  <c:v>VTSAX</c:v>
                </c:pt>
                <c:pt idx="8028">
                  <c:v>VTSAX</c:v>
                </c:pt>
                <c:pt idx="8029">
                  <c:v>VTSAX</c:v>
                </c:pt>
                <c:pt idx="8030">
                  <c:v>VTSAX</c:v>
                </c:pt>
                <c:pt idx="8031">
                  <c:v>VTSAX</c:v>
                </c:pt>
                <c:pt idx="8032">
                  <c:v>VTSAX</c:v>
                </c:pt>
                <c:pt idx="8033">
                  <c:v>VTSAX</c:v>
                </c:pt>
                <c:pt idx="8034">
                  <c:v>VTSAX</c:v>
                </c:pt>
                <c:pt idx="8035">
                  <c:v>VTSAX</c:v>
                </c:pt>
                <c:pt idx="8036">
                  <c:v>VTSAX</c:v>
                </c:pt>
                <c:pt idx="8037">
                  <c:v>VTSAX</c:v>
                </c:pt>
                <c:pt idx="8038">
                  <c:v>VTSAX</c:v>
                </c:pt>
                <c:pt idx="8039">
                  <c:v>VTSAX</c:v>
                </c:pt>
                <c:pt idx="8040">
                  <c:v>VTSAX</c:v>
                </c:pt>
                <c:pt idx="8041">
                  <c:v>VTSAX</c:v>
                </c:pt>
                <c:pt idx="8042">
                  <c:v>VTSAX</c:v>
                </c:pt>
                <c:pt idx="8043">
                  <c:v>VTSAX</c:v>
                </c:pt>
                <c:pt idx="8044">
                  <c:v>VTSAX</c:v>
                </c:pt>
                <c:pt idx="8045">
                  <c:v>VTSAX</c:v>
                </c:pt>
                <c:pt idx="8046">
                  <c:v>VTSAX</c:v>
                </c:pt>
                <c:pt idx="8047">
                  <c:v>VTSAX</c:v>
                </c:pt>
                <c:pt idx="8048">
                  <c:v>VTSAX</c:v>
                </c:pt>
                <c:pt idx="8049">
                  <c:v>VTSAX</c:v>
                </c:pt>
                <c:pt idx="8050">
                  <c:v>VTSAX</c:v>
                </c:pt>
                <c:pt idx="8051">
                  <c:v>VTSAX</c:v>
                </c:pt>
                <c:pt idx="8052">
                  <c:v>VTSAX</c:v>
                </c:pt>
                <c:pt idx="8053">
                  <c:v>VTSAX</c:v>
                </c:pt>
                <c:pt idx="8054">
                  <c:v>VTSAX</c:v>
                </c:pt>
                <c:pt idx="8055">
                  <c:v>VTSAX</c:v>
                </c:pt>
                <c:pt idx="8056">
                  <c:v>VTSAX</c:v>
                </c:pt>
                <c:pt idx="8057">
                  <c:v>VTSAX</c:v>
                </c:pt>
                <c:pt idx="8058">
                  <c:v>VTSAX</c:v>
                </c:pt>
                <c:pt idx="8059">
                  <c:v>VTSAX</c:v>
                </c:pt>
                <c:pt idx="8060">
                  <c:v>VTSAX</c:v>
                </c:pt>
                <c:pt idx="8061">
                  <c:v>VTSAX</c:v>
                </c:pt>
                <c:pt idx="8062">
                  <c:v>VTSAX</c:v>
                </c:pt>
                <c:pt idx="8063">
                  <c:v>VTSAX</c:v>
                </c:pt>
                <c:pt idx="8064">
                  <c:v>VTSAX</c:v>
                </c:pt>
                <c:pt idx="8065">
                  <c:v>VTSAX</c:v>
                </c:pt>
                <c:pt idx="8066">
                  <c:v>VTSAX</c:v>
                </c:pt>
                <c:pt idx="8067">
                  <c:v>VTSAX</c:v>
                </c:pt>
                <c:pt idx="8068">
                  <c:v>VTSAX</c:v>
                </c:pt>
                <c:pt idx="8069">
                  <c:v>VTSAX</c:v>
                </c:pt>
                <c:pt idx="8070">
                  <c:v>VTSAX</c:v>
                </c:pt>
                <c:pt idx="8071">
                  <c:v>VTSAX</c:v>
                </c:pt>
                <c:pt idx="8072">
                  <c:v>VTSAX</c:v>
                </c:pt>
                <c:pt idx="8073">
                  <c:v>VTSAX</c:v>
                </c:pt>
                <c:pt idx="8074">
                  <c:v>VTSAX</c:v>
                </c:pt>
                <c:pt idx="8075">
                  <c:v>VTSAX</c:v>
                </c:pt>
                <c:pt idx="8076">
                  <c:v>VTSAX</c:v>
                </c:pt>
                <c:pt idx="8077">
                  <c:v>VTSAX</c:v>
                </c:pt>
                <c:pt idx="8078">
                  <c:v>VTSAX</c:v>
                </c:pt>
                <c:pt idx="8079">
                  <c:v>VTSAX</c:v>
                </c:pt>
                <c:pt idx="8080">
                  <c:v>VTSAX</c:v>
                </c:pt>
                <c:pt idx="8081">
                  <c:v>VTSAX</c:v>
                </c:pt>
                <c:pt idx="8082">
                  <c:v>VTSAX</c:v>
                </c:pt>
                <c:pt idx="8083">
                  <c:v>VTSAX</c:v>
                </c:pt>
                <c:pt idx="8084">
                  <c:v>VTSAX</c:v>
                </c:pt>
                <c:pt idx="8085">
                  <c:v>VTSAX</c:v>
                </c:pt>
                <c:pt idx="8086">
                  <c:v>VTSAX</c:v>
                </c:pt>
                <c:pt idx="8087">
                  <c:v>VTSAX</c:v>
                </c:pt>
                <c:pt idx="8088">
                  <c:v>VTSAX</c:v>
                </c:pt>
                <c:pt idx="8089">
                  <c:v>VTSAX</c:v>
                </c:pt>
                <c:pt idx="8090">
                  <c:v>VTSAX</c:v>
                </c:pt>
                <c:pt idx="8091">
                  <c:v>VTSAX</c:v>
                </c:pt>
                <c:pt idx="8092">
                  <c:v>VTSAX</c:v>
                </c:pt>
                <c:pt idx="8093">
                  <c:v>VTSAX</c:v>
                </c:pt>
                <c:pt idx="8094">
                  <c:v>VTSAX</c:v>
                </c:pt>
                <c:pt idx="8095">
                  <c:v>VTSAX</c:v>
                </c:pt>
                <c:pt idx="8096">
                  <c:v>VTSAX</c:v>
                </c:pt>
                <c:pt idx="8097">
                  <c:v>VTSAX</c:v>
                </c:pt>
                <c:pt idx="8098">
                  <c:v>VTSAX</c:v>
                </c:pt>
                <c:pt idx="8099">
                  <c:v>VTSAX</c:v>
                </c:pt>
                <c:pt idx="8100">
                  <c:v>VTSAX</c:v>
                </c:pt>
                <c:pt idx="8101">
                  <c:v>VTSAX</c:v>
                </c:pt>
                <c:pt idx="8102">
                  <c:v>VTSAX</c:v>
                </c:pt>
                <c:pt idx="8103">
                  <c:v>VTSAX</c:v>
                </c:pt>
                <c:pt idx="8104">
                  <c:v>VTSAX</c:v>
                </c:pt>
                <c:pt idx="8105">
                  <c:v>VTSAX</c:v>
                </c:pt>
                <c:pt idx="8106">
                  <c:v>VTSAX</c:v>
                </c:pt>
                <c:pt idx="8107">
                  <c:v>VTSAX</c:v>
                </c:pt>
                <c:pt idx="8108">
                  <c:v>VTSAX</c:v>
                </c:pt>
                <c:pt idx="8109">
                  <c:v>VTSAX</c:v>
                </c:pt>
                <c:pt idx="8110">
                  <c:v>VTSAX</c:v>
                </c:pt>
                <c:pt idx="8111">
                  <c:v>VTSAX</c:v>
                </c:pt>
                <c:pt idx="8112">
                  <c:v>VTSAX</c:v>
                </c:pt>
                <c:pt idx="8113">
                  <c:v>VTSAX</c:v>
                </c:pt>
                <c:pt idx="8114">
                  <c:v>VTSAX</c:v>
                </c:pt>
                <c:pt idx="8115">
                  <c:v>VTSAX</c:v>
                </c:pt>
                <c:pt idx="8116">
                  <c:v>VTSAX</c:v>
                </c:pt>
                <c:pt idx="8117">
                  <c:v>VTSAX</c:v>
                </c:pt>
                <c:pt idx="8118">
                  <c:v>VTSAX</c:v>
                </c:pt>
                <c:pt idx="8119">
                  <c:v>VTSAX</c:v>
                </c:pt>
                <c:pt idx="8120">
                  <c:v>VTSAX</c:v>
                </c:pt>
                <c:pt idx="8121">
                  <c:v>VTSAX</c:v>
                </c:pt>
                <c:pt idx="8122">
                  <c:v>VTSAX</c:v>
                </c:pt>
                <c:pt idx="8123">
                  <c:v>VTSAX</c:v>
                </c:pt>
                <c:pt idx="8124">
                  <c:v>VTSAX</c:v>
                </c:pt>
                <c:pt idx="8125">
                  <c:v>VTSAX</c:v>
                </c:pt>
                <c:pt idx="8126">
                  <c:v>VTSAX</c:v>
                </c:pt>
                <c:pt idx="8127">
                  <c:v>VTSAX</c:v>
                </c:pt>
                <c:pt idx="8128">
                  <c:v>VTSAX</c:v>
                </c:pt>
                <c:pt idx="8129">
                  <c:v>VTSAX</c:v>
                </c:pt>
                <c:pt idx="8130">
                  <c:v>VTSAX</c:v>
                </c:pt>
                <c:pt idx="8131">
                  <c:v>VTSAX</c:v>
                </c:pt>
                <c:pt idx="8132">
                  <c:v>VTSAX</c:v>
                </c:pt>
                <c:pt idx="8133">
                  <c:v>VTSAX</c:v>
                </c:pt>
                <c:pt idx="8134">
                  <c:v>VTSAX</c:v>
                </c:pt>
                <c:pt idx="8135">
                  <c:v>VTSAX</c:v>
                </c:pt>
                <c:pt idx="8136">
                  <c:v>VTSAX</c:v>
                </c:pt>
                <c:pt idx="8137">
                  <c:v>VTSAX</c:v>
                </c:pt>
                <c:pt idx="8138">
                  <c:v>VTSAX</c:v>
                </c:pt>
                <c:pt idx="8139">
                  <c:v>VTSAX</c:v>
                </c:pt>
                <c:pt idx="8140">
                  <c:v>VTSAX</c:v>
                </c:pt>
                <c:pt idx="8141">
                  <c:v>VTSAX</c:v>
                </c:pt>
                <c:pt idx="8142">
                  <c:v>VTSAX</c:v>
                </c:pt>
                <c:pt idx="8143">
                  <c:v>VTSAX</c:v>
                </c:pt>
                <c:pt idx="8144">
                  <c:v>VTSAX</c:v>
                </c:pt>
                <c:pt idx="8145">
                  <c:v>VTSAX</c:v>
                </c:pt>
                <c:pt idx="8146">
                  <c:v>VTSAX</c:v>
                </c:pt>
                <c:pt idx="8147">
                  <c:v>VTSAX</c:v>
                </c:pt>
                <c:pt idx="8148">
                  <c:v>VTSAX</c:v>
                </c:pt>
                <c:pt idx="8149">
                  <c:v>VTSAX</c:v>
                </c:pt>
                <c:pt idx="8150">
                  <c:v>VTSAX</c:v>
                </c:pt>
                <c:pt idx="8151">
                  <c:v>VTSAX</c:v>
                </c:pt>
                <c:pt idx="8152">
                  <c:v>VTSAX</c:v>
                </c:pt>
                <c:pt idx="8153">
                  <c:v>VTSAX</c:v>
                </c:pt>
                <c:pt idx="8154">
                  <c:v>VTSAX</c:v>
                </c:pt>
                <c:pt idx="8155">
                  <c:v>VTSAX</c:v>
                </c:pt>
                <c:pt idx="8156">
                  <c:v>VTSAX</c:v>
                </c:pt>
                <c:pt idx="8157">
                  <c:v>VTSAX</c:v>
                </c:pt>
                <c:pt idx="8158">
                  <c:v>VTSAX</c:v>
                </c:pt>
                <c:pt idx="8159">
                  <c:v>VTSAX</c:v>
                </c:pt>
                <c:pt idx="8160">
                  <c:v>VTSAX</c:v>
                </c:pt>
                <c:pt idx="8161">
                  <c:v>VTSAX</c:v>
                </c:pt>
                <c:pt idx="8162">
                  <c:v>VTSAX</c:v>
                </c:pt>
                <c:pt idx="8163">
                  <c:v>VTSAX</c:v>
                </c:pt>
                <c:pt idx="8164">
                  <c:v>VTSAX</c:v>
                </c:pt>
                <c:pt idx="8165">
                  <c:v>VTSAX</c:v>
                </c:pt>
                <c:pt idx="8166">
                  <c:v>VTSAX</c:v>
                </c:pt>
                <c:pt idx="8167">
                  <c:v>VTSAX</c:v>
                </c:pt>
                <c:pt idx="8168">
                  <c:v>VTSAX</c:v>
                </c:pt>
                <c:pt idx="8169">
                  <c:v>VTSAX</c:v>
                </c:pt>
                <c:pt idx="8170">
                  <c:v>VTSAX</c:v>
                </c:pt>
                <c:pt idx="8171">
                  <c:v>VTSAX</c:v>
                </c:pt>
                <c:pt idx="8172">
                  <c:v>VTSAX</c:v>
                </c:pt>
                <c:pt idx="8173">
                  <c:v>VTSAX</c:v>
                </c:pt>
                <c:pt idx="8174">
                  <c:v>VTSAX</c:v>
                </c:pt>
                <c:pt idx="8175">
                  <c:v>VTSAX</c:v>
                </c:pt>
                <c:pt idx="8176">
                  <c:v>VTSAX</c:v>
                </c:pt>
                <c:pt idx="8177">
                  <c:v>VTSAX</c:v>
                </c:pt>
                <c:pt idx="8178">
                  <c:v>VTSAX</c:v>
                </c:pt>
                <c:pt idx="8179">
                  <c:v>VTSAX</c:v>
                </c:pt>
                <c:pt idx="8180">
                  <c:v>VTSAX</c:v>
                </c:pt>
                <c:pt idx="8181">
                  <c:v>VTSAX</c:v>
                </c:pt>
                <c:pt idx="8182">
                  <c:v>VTSAX</c:v>
                </c:pt>
                <c:pt idx="8183">
                  <c:v>VTSAX</c:v>
                </c:pt>
                <c:pt idx="8184">
                  <c:v>VTSAX</c:v>
                </c:pt>
                <c:pt idx="8185">
                  <c:v>VTSAX</c:v>
                </c:pt>
                <c:pt idx="8186">
                  <c:v>VTSAX</c:v>
                </c:pt>
                <c:pt idx="8187">
                  <c:v>VTSAX</c:v>
                </c:pt>
                <c:pt idx="8188">
                  <c:v>VTSAX</c:v>
                </c:pt>
                <c:pt idx="8189">
                  <c:v>VTSAX</c:v>
                </c:pt>
                <c:pt idx="8190">
                  <c:v>VTSAX</c:v>
                </c:pt>
                <c:pt idx="8191">
                  <c:v>VTSAX</c:v>
                </c:pt>
                <c:pt idx="8192">
                  <c:v>VTSAX</c:v>
                </c:pt>
                <c:pt idx="8193">
                  <c:v>VTSAX</c:v>
                </c:pt>
                <c:pt idx="8194">
                  <c:v>VTSAX</c:v>
                </c:pt>
                <c:pt idx="8195">
                  <c:v>VTSAX</c:v>
                </c:pt>
                <c:pt idx="8196">
                  <c:v>VTSAX</c:v>
                </c:pt>
                <c:pt idx="8197">
                  <c:v>VTSAX</c:v>
                </c:pt>
                <c:pt idx="8198">
                  <c:v>VTSAX</c:v>
                </c:pt>
                <c:pt idx="8199">
                  <c:v>VTSAX</c:v>
                </c:pt>
                <c:pt idx="8200">
                  <c:v>VTSAX</c:v>
                </c:pt>
                <c:pt idx="8201">
                  <c:v>VTSAX</c:v>
                </c:pt>
                <c:pt idx="8202">
                  <c:v>VTSAX</c:v>
                </c:pt>
                <c:pt idx="8203">
                  <c:v>VTSAX</c:v>
                </c:pt>
                <c:pt idx="8204">
                  <c:v>VTSAX</c:v>
                </c:pt>
                <c:pt idx="8205">
                  <c:v>VTSAX</c:v>
                </c:pt>
                <c:pt idx="8206">
                  <c:v>VTSAX</c:v>
                </c:pt>
                <c:pt idx="8207">
                  <c:v>VTSAX</c:v>
                </c:pt>
                <c:pt idx="8208">
                  <c:v>VTSAX</c:v>
                </c:pt>
                <c:pt idx="8209">
                  <c:v>VTSAX</c:v>
                </c:pt>
                <c:pt idx="8210">
                  <c:v>VTSAX</c:v>
                </c:pt>
                <c:pt idx="8211">
                  <c:v>VTSAX</c:v>
                </c:pt>
                <c:pt idx="8212">
                  <c:v>VTSAX</c:v>
                </c:pt>
                <c:pt idx="8213">
                  <c:v>VTSAX</c:v>
                </c:pt>
                <c:pt idx="8214">
                  <c:v>VTSAX</c:v>
                </c:pt>
                <c:pt idx="8215">
                  <c:v>VTSAX</c:v>
                </c:pt>
                <c:pt idx="8216">
                  <c:v>VTSAX</c:v>
                </c:pt>
                <c:pt idx="8217">
                  <c:v>VTSAX</c:v>
                </c:pt>
                <c:pt idx="8218">
                  <c:v>VTSAX</c:v>
                </c:pt>
                <c:pt idx="8219">
                  <c:v>VTSAX</c:v>
                </c:pt>
                <c:pt idx="8220">
                  <c:v>VTSAX</c:v>
                </c:pt>
                <c:pt idx="8221">
                  <c:v>VTSAX</c:v>
                </c:pt>
                <c:pt idx="8222">
                  <c:v>VTSAX</c:v>
                </c:pt>
                <c:pt idx="8223">
                  <c:v>VTSAX</c:v>
                </c:pt>
                <c:pt idx="8224">
                  <c:v>VTSAX</c:v>
                </c:pt>
                <c:pt idx="8225">
                  <c:v>VTSAX</c:v>
                </c:pt>
                <c:pt idx="8226">
                  <c:v>VTSAX</c:v>
                </c:pt>
                <c:pt idx="8227">
                  <c:v>VTSAX</c:v>
                </c:pt>
                <c:pt idx="8228">
                  <c:v>VTSAX</c:v>
                </c:pt>
                <c:pt idx="8229">
                  <c:v>VTSAX</c:v>
                </c:pt>
                <c:pt idx="8230">
                  <c:v>VTSAX</c:v>
                </c:pt>
                <c:pt idx="8231">
                  <c:v>VTSAX</c:v>
                </c:pt>
                <c:pt idx="8232">
                  <c:v>VTSAX</c:v>
                </c:pt>
                <c:pt idx="8233">
                  <c:v>VTSAX</c:v>
                </c:pt>
                <c:pt idx="8234">
                  <c:v>VTSAX</c:v>
                </c:pt>
                <c:pt idx="8235">
                  <c:v>VTSAX</c:v>
                </c:pt>
                <c:pt idx="8236">
                  <c:v>VTSAX</c:v>
                </c:pt>
                <c:pt idx="8237">
                  <c:v>VTSAX</c:v>
                </c:pt>
                <c:pt idx="8238">
                  <c:v>VTSAX</c:v>
                </c:pt>
                <c:pt idx="8239">
                  <c:v>VTSAX</c:v>
                </c:pt>
                <c:pt idx="8240">
                  <c:v>VTSAX</c:v>
                </c:pt>
                <c:pt idx="8241">
                  <c:v>VTSAX</c:v>
                </c:pt>
                <c:pt idx="8242">
                  <c:v>VTSAX</c:v>
                </c:pt>
                <c:pt idx="8243">
                  <c:v>VTSAX</c:v>
                </c:pt>
                <c:pt idx="8244">
                  <c:v>VTSAX</c:v>
                </c:pt>
                <c:pt idx="8245">
                  <c:v>VTSAX</c:v>
                </c:pt>
                <c:pt idx="8246">
                  <c:v>VTSAX</c:v>
                </c:pt>
                <c:pt idx="8247">
                  <c:v>VTSAX</c:v>
                </c:pt>
                <c:pt idx="8248">
                  <c:v>VTSAX</c:v>
                </c:pt>
                <c:pt idx="8249">
                  <c:v>VTSAX</c:v>
                </c:pt>
                <c:pt idx="8250">
                  <c:v>VTSAX</c:v>
                </c:pt>
                <c:pt idx="8251">
                  <c:v>VTSAX</c:v>
                </c:pt>
                <c:pt idx="8252">
                  <c:v>VTSAX</c:v>
                </c:pt>
                <c:pt idx="8253">
                  <c:v>VTSAX</c:v>
                </c:pt>
                <c:pt idx="8254">
                  <c:v>VTSAX</c:v>
                </c:pt>
                <c:pt idx="8255">
                  <c:v>VTSAX</c:v>
                </c:pt>
                <c:pt idx="8256">
                  <c:v>VTSAX</c:v>
                </c:pt>
                <c:pt idx="8257">
                  <c:v>VTSAX</c:v>
                </c:pt>
                <c:pt idx="8258">
                  <c:v>VTSAX</c:v>
                </c:pt>
                <c:pt idx="8259">
                  <c:v>VTSAX</c:v>
                </c:pt>
                <c:pt idx="8260">
                  <c:v>VTSAX</c:v>
                </c:pt>
                <c:pt idx="8261">
                  <c:v>VTSAX</c:v>
                </c:pt>
                <c:pt idx="8262">
                  <c:v>VTSAX</c:v>
                </c:pt>
                <c:pt idx="8263">
                  <c:v>VTSAX</c:v>
                </c:pt>
                <c:pt idx="8264">
                  <c:v>VTSAX</c:v>
                </c:pt>
                <c:pt idx="8265">
                  <c:v>VTSAX</c:v>
                </c:pt>
                <c:pt idx="8266">
                  <c:v>VTSAX</c:v>
                </c:pt>
                <c:pt idx="8267">
                  <c:v>VTSAX</c:v>
                </c:pt>
                <c:pt idx="8268">
                  <c:v>VTSAX</c:v>
                </c:pt>
                <c:pt idx="8269">
                  <c:v>VTSAX</c:v>
                </c:pt>
                <c:pt idx="8270">
                  <c:v>VTSAX</c:v>
                </c:pt>
                <c:pt idx="8271">
                  <c:v>VTSAX</c:v>
                </c:pt>
                <c:pt idx="8272">
                  <c:v>VTSAX</c:v>
                </c:pt>
                <c:pt idx="8273">
                  <c:v>VTSAX</c:v>
                </c:pt>
                <c:pt idx="8274">
                  <c:v>VTSAX</c:v>
                </c:pt>
                <c:pt idx="8275">
                  <c:v>VTSAX</c:v>
                </c:pt>
                <c:pt idx="8276">
                  <c:v>VTSAX</c:v>
                </c:pt>
                <c:pt idx="8277">
                  <c:v>VTSAX</c:v>
                </c:pt>
                <c:pt idx="8278">
                  <c:v>VTSAX</c:v>
                </c:pt>
                <c:pt idx="8279">
                  <c:v>VTSAX</c:v>
                </c:pt>
                <c:pt idx="8280">
                  <c:v>VTSAX</c:v>
                </c:pt>
                <c:pt idx="8281">
                  <c:v>VTSAX</c:v>
                </c:pt>
                <c:pt idx="8282">
                  <c:v>VTSAX</c:v>
                </c:pt>
                <c:pt idx="8283">
                  <c:v>VTSAX</c:v>
                </c:pt>
                <c:pt idx="8284">
                  <c:v>VTSAX</c:v>
                </c:pt>
                <c:pt idx="8285">
                  <c:v>VTSAX</c:v>
                </c:pt>
                <c:pt idx="8286">
                  <c:v>VTSAX</c:v>
                </c:pt>
                <c:pt idx="8287">
                  <c:v>VTSAX</c:v>
                </c:pt>
                <c:pt idx="8288">
                  <c:v>VTSAX</c:v>
                </c:pt>
                <c:pt idx="8289">
                  <c:v>VTSAX</c:v>
                </c:pt>
                <c:pt idx="8290">
                  <c:v>VTSAX</c:v>
                </c:pt>
                <c:pt idx="8291">
                  <c:v>VTSAX</c:v>
                </c:pt>
                <c:pt idx="8292">
                  <c:v>VTSAX</c:v>
                </c:pt>
                <c:pt idx="8293">
                  <c:v>VTSAX</c:v>
                </c:pt>
                <c:pt idx="8294">
                  <c:v>VTSAX</c:v>
                </c:pt>
                <c:pt idx="8295">
                  <c:v>VTSAX</c:v>
                </c:pt>
                <c:pt idx="8296">
                  <c:v>VTSAX</c:v>
                </c:pt>
                <c:pt idx="8297">
                  <c:v>VTSAX</c:v>
                </c:pt>
                <c:pt idx="8298">
                  <c:v>VTSAX</c:v>
                </c:pt>
                <c:pt idx="8299">
                  <c:v>VTSAX</c:v>
                </c:pt>
                <c:pt idx="8300">
                  <c:v>VTSAX</c:v>
                </c:pt>
                <c:pt idx="8301">
                  <c:v>VTSAX</c:v>
                </c:pt>
                <c:pt idx="8302">
                  <c:v>VTSAX</c:v>
                </c:pt>
                <c:pt idx="8303">
                  <c:v>VTSAX</c:v>
                </c:pt>
                <c:pt idx="8304">
                  <c:v>VTSAX</c:v>
                </c:pt>
                <c:pt idx="8305">
                  <c:v>VTSAX</c:v>
                </c:pt>
                <c:pt idx="8306">
                  <c:v>VTSAX</c:v>
                </c:pt>
                <c:pt idx="8307">
                  <c:v>VTSAX</c:v>
                </c:pt>
                <c:pt idx="8308">
                  <c:v>VTSAX</c:v>
                </c:pt>
                <c:pt idx="8309">
                  <c:v>VTSAX</c:v>
                </c:pt>
                <c:pt idx="8310">
                  <c:v>VTSAX</c:v>
                </c:pt>
                <c:pt idx="8311">
                  <c:v>VTSAX</c:v>
                </c:pt>
                <c:pt idx="8312">
                  <c:v>VTSAX</c:v>
                </c:pt>
                <c:pt idx="8313">
                  <c:v>VTSAX</c:v>
                </c:pt>
                <c:pt idx="8314">
                  <c:v>VTSAX</c:v>
                </c:pt>
                <c:pt idx="8315">
                  <c:v>VTSAX</c:v>
                </c:pt>
                <c:pt idx="8316">
                  <c:v>VTSAX</c:v>
                </c:pt>
                <c:pt idx="8317">
                  <c:v>VTSAX</c:v>
                </c:pt>
                <c:pt idx="8318">
                  <c:v>VTSAX</c:v>
                </c:pt>
                <c:pt idx="8319">
                  <c:v>VTSAX</c:v>
                </c:pt>
                <c:pt idx="8320">
                  <c:v>VTSAX</c:v>
                </c:pt>
                <c:pt idx="8321">
                  <c:v>VTSAX</c:v>
                </c:pt>
                <c:pt idx="8322">
                  <c:v>VTSAX</c:v>
                </c:pt>
                <c:pt idx="8323">
                  <c:v>VTSAX</c:v>
                </c:pt>
                <c:pt idx="8324">
                  <c:v>VTSAX</c:v>
                </c:pt>
                <c:pt idx="8325">
                  <c:v>VTSAX</c:v>
                </c:pt>
                <c:pt idx="8326">
                  <c:v>VTSAX</c:v>
                </c:pt>
                <c:pt idx="8327">
                  <c:v>VTSAX</c:v>
                </c:pt>
                <c:pt idx="8328">
                  <c:v>VTSAX</c:v>
                </c:pt>
                <c:pt idx="8329">
                  <c:v>VTSAX</c:v>
                </c:pt>
                <c:pt idx="8330">
                  <c:v>VTSAX</c:v>
                </c:pt>
                <c:pt idx="8331">
                  <c:v>VTSAX</c:v>
                </c:pt>
                <c:pt idx="8332">
                  <c:v>VTSAX</c:v>
                </c:pt>
                <c:pt idx="8333">
                  <c:v>VTSAX</c:v>
                </c:pt>
                <c:pt idx="8334">
                  <c:v>VTSAX</c:v>
                </c:pt>
                <c:pt idx="8335">
                  <c:v>VTSAX</c:v>
                </c:pt>
                <c:pt idx="8336">
                  <c:v>VTSAX</c:v>
                </c:pt>
                <c:pt idx="8337">
                  <c:v>VTSAX</c:v>
                </c:pt>
                <c:pt idx="8338">
                  <c:v>VTSAX</c:v>
                </c:pt>
                <c:pt idx="8339">
                  <c:v>VTSAX</c:v>
                </c:pt>
                <c:pt idx="8340">
                  <c:v>VTSAX</c:v>
                </c:pt>
                <c:pt idx="8341">
                  <c:v>VTSAX</c:v>
                </c:pt>
                <c:pt idx="8342">
                  <c:v>VTSAX</c:v>
                </c:pt>
                <c:pt idx="8343">
                  <c:v>VTSAX</c:v>
                </c:pt>
                <c:pt idx="8344">
                  <c:v>VTSAX</c:v>
                </c:pt>
                <c:pt idx="8345">
                  <c:v>VTSAX</c:v>
                </c:pt>
                <c:pt idx="8346">
                  <c:v>VTSAX</c:v>
                </c:pt>
                <c:pt idx="8347">
                  <c:v>VTSAX</c:v>
                </c:pt>
                <c:pt idx="8348">
                  <c:v>VTSAX</c:v>
                </c:pt>
                <c:pt idx="8349">
                  <c:v>VTSAX</c:v>
                </c:pt>
                <c:pt idx="8350">
                  <c:v>VTSAX</c:v>
                </c:pt>
                <c:pt idx="8351">
                  <c:v>VTSAX</c:v>
                </c:pt>
                <c:pt idx="8352">
                  <c:v>VTSAX</c:v>
                </c:pt>
                <c:pt idx="8353">
                  <c:v>VTSAX</c:v>
                </c:pt>
                <c:pt idx="8354">
                  <c:v>VTSAX</c:v>
                </c:pt>
                <c:pt idx="8355">
                  <c:v>VTSAX</c:v>
                </c:pt>
                <c:pt idx="8356">
                  <c:v>VTSAX</c:v>
                </c:pt>
                <c:pt idx="8357">
                  <c:v>VTSAX</c:v>
                </c:pt>
                <c:pt idx="8358">
                  <c:v>VTSAX</c:v>
                </c:pt>
                <c:pt idx="8359">
                  <c:v>VTSAX</c:v>
                </c:pt>
                <c:pt idx="8360">
                  <c:v>VTSAX</c:v>
                </c:pt>
                <c:pt idx="8361">
                  <c:v>VTSAX</c:v>
                </c:pt>
                <c:pt idx="8362">
                  <c:v>VTSAX</c:v>
                </c:pt>
                <c:pt idx="8363">
                  <c:v>VTSAX</c:v>
                </c:pt>
                <c:pt idx="8364">
                  <c:v>VTSAX</c:v>
                </c:pt>
                <c:pt idx="8365">
                  <c:v>VTSAX</c:v>
                </c:pt>
                <c:pt idx="8366">
                  <c:v>VTSAX</c:v>
                </c:pt>
                <c:pt idx="8367">
                  <c:v>VTSAX</c:v>
                </c:pt>
                <c:pt idx="8368">
                  <c:v>VTSAX</c:v>
                </c:pt>
                <c:pt idx="8369">
                  <c:v>VTSAX</c:v>
                </c:pt>
                <c:pt idx="8370">
                  <c:v>VTSAX</c:v>
                </c:pt>
                <c:pt idx="8371">
                  <c:v>VTSAX</c:v>
                </c:pt>
                <c:pt idx="8372">
                  <c:v>VTSAX</c:v>
                </c:pt>
                <c:pt idx="8373">
                  <c:v>VTSAX</c:v>
                </c:pt>
                <c:pt idx="8374">
                  <c:v>VTSAX</c:v>
                </c:pt>
                <c:pt idx="8375">
                  <c:v>VTSAX</c:v>
                </c:pt>
                <c:pt idx="8376">
                  <c:v>VTSAX</c:v>
                </c:pt>
                <c:pt idx="8377">
                  <c:v>VTSAX</c:v>
                </c:pt>
                <c:pt idx="8378">
                  <c:v>VTSAX</c:v>
                </c:pt>
                <c:pt idx="8379">
                  <c:v>VTSAX</c:v>
                </c:pt>
                <c:pt idx="8380">
                  <c:v>VTSAX</c:v>
                </c:pt>
                <c:pt idx="8381">
                  <c:v>VTSAX</c:v>
                </c:pt>
                <c:pt idx="8382">
                  <c:v>VTSAX</c:v>
                </c:pt>
                <c:pt idx="8383">
                  <c:v>VTSAX</c:v>
                </c:pt>
                <c:pt idx="8384">
                  <c:v>VTSAX</c:v>
                </c:pt>
                <c:pt idx="8385">
                  <c:v>VTSAX</c:v>
                </c:pt>
                <c:pt idx="8386">
                  <c:v>VTSAX</c:v>
                </c:pt>
                <c:pt idx="8387">
                  <c:v>VTSAX</c:v>
                </c:pt>
                <c:pt idx="8388">
                  <c:v>VTSAX</c:v>
                </c:pt>
                <c:pt idx="8389">
                  <c:v>VTSAX</c:v>
                </c:pt>
                <c:pt idx="8390">
                  <c:v>VTSAX</c:v>
                </c:pt>
                <c:pt idx="8391">
                  <c:v>VTSAX</c:v>
                </c:pt>
                <c:pt idx="8392">
                  <c:v>VTSAX</c:v>
                </c:pt>
                <c:pt idx="8393">
                  <c:v>VTSAX</c:v>
                </c:pt>
                <c:pt idx="8394">
                  <c:v>VTSAX</c:v>
                </c:pt>
                <c:pt idx="8395">
                  <c:v>VTSAX</c:v>
                </c:pt>
                <c:pt idx="8396">
                  <c:v>VTSAX</c:v>
                </c:pt>
                <c:pt idx="8397">
                  <c:v>VTSAX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Stocks!$A$8400:$B$8400</c:f>
              <c:numCache>
                <c:formatCode>0.00</c:formatCode>
                <c:ptCount val="2"/>
                <c:pt idx="0" formatCode="m/d/yyyy\ h:mm">
                  <c:v>45862</c:v>
                </c:pt>
                <c:pt idx="1">
                  <c:v>151.97999999999999</c:v>
                </c:pt>
              </c:numCache>
            </c:numRef>
          </c:cat>
          <c:val>
            <c:numRef>
              <c:f>Stocks!$C$8400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8-4EF5-9B91-51D25C44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443424"/>
        <c:axId val="1999437184"/>
      </c:lineChart>
      <c:dateAx>
        <c:axId val="1999443424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437184"/>
        <c:crosses val="autoZero"/>
        <c:auto val="1"/>
        <c:lblOffset val="100"/>
        <c:baseTimeUnit val="days"/>
      </c:dateAx>
      <c:valAx>
        <c:axId val="19994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44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1260</xdr:row>
      <xdr:rowOff>9525</xdr:rowOff>
    </xdr:from>
    <xdr:to>
      <xdr:col>11</xdr:col>
      <xdr:colOff>9525</xdr:colOff>
      <xdr:row>1273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52474A-40A2-FE5D-4E67-72F799F60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37">
  <rv s="0">
    <fb>45659</fb>
    <v>0</v>
  </rv>
  <rv s="0">
    <fb>79.819999999999993</fb>
    <v>1</v>
  </rv>
  <rv s="0">
    <fb>45660</fb>
    <v>0</v>
  </rv>
  <rv s="0">
    <fb>80.64</fb>
    <v>1</v>
  </rv>
  <rv s="0">
    <fb>45663</fb>
    <v>0</v>
  </rv>
  <rv s="0">
    <fb>80.56</fb>
    <v>1</v>
  </rv>
  <rv s="0">
    <fb>45664</fb>
    <v>0</v>
  </rv>
  <rv s="0">
    <fb>80.98</fb>
    <v>1</v>
  </rv>
  <rv s="0">
    <fb>45665</fb>
    <v>0</v>
  </rv>
  <rv s="0">
    <fb>81.3</fb>
    <v>1</v>
  </rv>
  <rv s="0">
    <fb>45667</fb>
    <v>0</v>
  </rv>
  <rv s="0">
    <fb>80.37</fb>
    <v>1</v>
  </rv>
  <rv s="0">
    <fb>45670</fb>
    <v>0</v>
  </rv>
  <rv s="0">
    <fb>81.180000000000007</fb>
    <v>1</v>
  </rv>
  <rv s="0">
    <fb>45671</fb>
    <v>0</v>
  </rv>
  <rv s="0">
    <fb>79.959999999999994</fb>
    <v>1</v>
  </rv>
  <rv s="0">
    <fb>45672</fb>
    <v>0</v>
  </rv>
  <rv s="0">
    <fb>81.099999999999994</fb>
    <v>1</v>
  </rv>
  <rv s="0">
    <fb>45673</fb>
    <v>0</v>
  </rv>
  <rv s="0">
    <fb>81.06</fb>
    <v>1</v>
  </rv>
  <rv s="0">
    <fb>45674</fb>
    <v>0</v>
  </rv>
  <rv s="0">
    <fb>80.709999999999994</fb>
    <v>1</v>
  </rv>
  <rv s="0">
    <fb>45678</fb>
    <v>0</v>
  </rv>
  <rv s="0">
    <fb>82.73</fb>
    <v>1</v>
  </rv>
  <rv s="0">
    <fb>45679</fb>
    <v>0</v>
  </rv>
  <rv s="0">
    <fb>83.04</fb>
    <v>1</v>
  </rv>
  <rv s="0">
    <fb>45680</fb>
    <v>0</v>
  </rv>
  <rv s="0">
    <fb>83.95</fb>
    <v>1</v>
  </rv>
  <rv s="0">
    <fb>45681</fb>
    <v>0</v>
  </rv>
  <rv s="0">
    <fb>83.77</fb>
    <v>1</v>
  </rv>
  <rv s="0">
    <fb>45684</fb>
    <v>0</v>
  </rv>
  <rv s="0">
    <fb>84.64</fb>
    <v>1</v>
  </rv>
  <rv s="0">
    <fb>45685</fb>
    <v>0</v>
  </rv>
  <rv s="0">
    <fb>84.54</fb>
    <v>1</v>
  </rv>
  <rv s="0">
    <fb>45686</fb>
    <v>0</v>
  </rv>
  <rv s="0">
    <fb>83.87</fb>
    <v>1</v>
  </rv>
  <rv s="0">
    <fb>45687</fb>
    <v>0</v>
  </rv>
  <rv s="0">
    <fb>84.91</fb>
    <v>1</v>
  </rv>
  <rv s="0">
    <fb>45688</fb>
    <v>0</v>
  </rv>
  <rv s="0">
    <fb>84.46</fb>
    <v>1</v>
  </rv>
  <rv s="0">
    <fb>45691</fb>
    <v>0</v>
  </rv>
  <rv s="0">
    <fb>84.23</fb>
    <v>1</v>
  </rv>
  <rv s="0">
    <fb>45692</fb>
    <v>0</v>
  </rv>
  <rv s="0">
    <fb>84.33</fb>
    <v>1</v>
  </rv>
  <rv s="0">
    <fb>45693</fb>
    <v>0</v>
  </rv>
  <rv s="0">
    <fb>85.47</fb>
    <v>1</v>
  </rv>
  <rv s="0">
    <fb>45694</fb>
    <v>0</v>
  </rv>
  <rv s="0">
    <fb>84.78</fb>
    <v>1</v>
  </rv>
  <rv s="0">
    <fb>45695</fb>
    <v>0</v>
  </rv>
  <rv s="0">
    <fb>83.98</fb>
    <v>1</v>
  </rv>
  <rv s="0">
    <fb>45698</fb>
    <v>0</v>
  </rv>
  <rv s="0">
    <fb>83.58</fb>
    <v>1</v>
  </rv>
  <rv s="0">
    <fb>45699</fb>
    <v>0</v>
  </rv>
  <rv s="0">
    <fb>82.84</fb>
    <v>1</v>
  </rv>
  <rv s="0">
    <fb>45700</fb>
    <v>0</v>
  </rv>
  <rv s="0">
    <fb>82.92</fb>
    <v>1</v>
  </rv>
  <rv s="0">
    <fb>45701</fb>
    <v>0</v>
  </rv>
  <rv s="0">
    <fb>83.34</fb>
    <v>1</v>
  </rv>
  <rv s="0">
    <fb>45702</fb>
    <v>0</v>
  </rv>
  <rv s="0">
    <fb>82.75</fb>
    <v>1</v>
  </rv>
  <rv s="0">
    <fb>45706</fb>
    <v>0</v>
  </rv>
  <rv s="0">
    <fb>82.71</fb>
    <v>1</v>
  </rv>
  <rv s="0">
    <fb>45707</fb>
    <v>0</v>
  </rv>
  <rv s="0">
    <fb>83.57</fb>
    <v>1</v>
  </rv>
  <rv s="0">
    <fb>45708</fb>
    <v>0</v>
  </rv>
  <rv s="0">
    <fb>45709</fb>
    <v>0</v>
  </rv>
  <rv s="0">
    <fb>45712</fb>
    <v>0</v>
  </rv>
  <rv s="0">
    <fb>45713</fb>
    <v>0</v>
  </rv>
  <rv s="0">
    <fb>82.64</fb>
    <v>1</v>
  </rv>
  <rv s="0">
    <fb>45714</fb>
    <v>0</v>
  </rv>
  <rv s="0">
    <fb>82.6</fb>
    <v>1</v>
  </rv>
  <rv s="0">
    <fb>45715</fb>
    <v>0</v>
  </rv>
  <rv s="0">
    <fb>81.86</fb>
    <v>1</v>
  </rv>
  <rv s="0">
    <fb>45716</fb>
    <v>0</v>
  </rv>
  <rv s="0">
    <fb>82.91</fb>
    <v>1</v>
  </rv>
  <rv s="0">
    <fb>45719</fb>
    <v>0</v>
  </rv>
  <rv s="0">
    <fb>81.93</fb>
    <v>1</v>
  </rv>
  <rv s="0">
    <fb>45720</fb>
    <v>0</v>
  </rv>
  <rv s="0">
    <fb>81.760000000000005</fb>
    <v>1</v>
  </rv>
  <rv s="0">
    <fb>45721</fb>
    <v>0</v>
  </rv>
  <rv s="0">
    <fb>82.95</fb>
    <v>1</v>
  </rv>
  <rv s="0">
    <fb>45722</fb>
    <v>0</v>
  </rv>
  <rv s="0">
    <fb>82.1</fb>
    <v>1</v>
  </rv>
  <rv s="0">
    <fb>45723</fb>
    <v>0</v>
  </rv>
  <rv s="0">
    <fb>81.31</fb>
    <v>1</v>
  </rv>
  <rv s="0">
    <fb>45726</fb>
    <v>0</v>
  </rv>
  <rv s="0">
    <fb>79.52</fb>
    <v>1</v>
  </rv>
  <rv s="0">
    <fb>45727</fb>
    <v>0</v>
  </rv>
  <rv s="0">
    <fb>79.569999999999993</fb>
    <v>1</v>
  </rv>
  <rv s="0">
    <fb>45728</fb>
    <v>0</v>
  </rv>
  <rv s="0">
    <fb>79.88</fb>
    <v>1</v>
  </rv>
  <rv s="0">
    <fb>45729</fb>
    <v>0</v>
  </rv>
  <rv s="0">
    <fb>79.069999999999993</fb>
    <v>1</v>
  </rv>
  <rv s="0">
    <fb>45730</fb>
    <v>0</v>
  </rv>
  <rv s="0">
    <fb>80.099999999999994</fb>
    <v>1</v>
  </rv>
  <rv s="0">
    <fb>45733</fb>
    <v>0</v>
  </rv>
  <rv s="0">
    <fb>81.27</fb>
    <v>1</v>
  </rv>
  <rv s="0">
    <fb>45734</fb>
    <v>0</v>
  </rv>
  <rv s="0">
    <fb>80.760000000000005</fb>
    <v>1</v>
  </rv>
  <rv s="0">
    <fb>45735</fb>
    <v>0</v>
  </rv>
  <rv s="0">
    <fb>81.290000000000006</fb>
    <v>1</v>
  </rv>
  <rv s="0">
    <fb>45736</fb>
    <v>0</v>
  </rv>
  <rv s="0">
    <fb>81.11</fb>
    <v>1</v>
  </rv>
  <rv s="0">
    <fb>45737</fb>
    <v>0</v>
  </rv>
  <rv s="0">
    <fb>81.010000000000005</fb>
    <v>1</v>
  </rv>
  <rv s="0">
    <fb>45740</fb>
    <v>0</v>
  </rv>
  <rv s="0">
    <fb>82.05</fb>
    <v>1</v>
  </rv>
  <rv s="0">
    <fb>45741</fb>
    <v>0</v>
  </rv>
  <rv s="0">
    <fb>81.22</fb>
    <v>1</v>
  </rv>
  <rv s="0">
    <fb>45742</fb>
    <v>0</v>
  </rv>
  <rv s="0">
    <fb>80.19</fb>
    <v>1</v>
  </rv>
  <rv s="0">
    <fb>45743</fb>
    <v>0</v>
  </rv>
  <rv s="0">
    <fb>80.39</fb>
    <v>1</v>
  </rv>
  <rv s="0">
    <fb>45744</fb>
    <v>0</v>
  </rv>
  <rv s="0">
    <fb>79.84</fb>
    <v>1</v>
  </rv>
  <rv s="0">
    <fb>45747</fb>
    <v>0</v>
  </rv>
  <rv s="0">
    <fb>79.5</fb>
    <v>1</v>
  </rv>
  <rv s="0">
    <fb>45748</fb>
    <v>0</v>
  </rv>
  <rv s="0">
    <fb>77.98</fb>
    <v>1</v>
  </rv>
  <rv s="0">
    <fb>45749</fb>
    <v>0</v>
  </rv>
  <rv s="0">
    <fb>79.11</fb>
    <v>1</v>
  </rv>
  <rv s="0">
    <fb>45750</fb>
    <v>0</v>
  </rv>
  <rv s="0">
    <fb>77.95</fb>
    <v>1</v>
  </rv>
  <rv s="0">
    <fb>45751</fb>
    <v>0</v>
  </rv>
  <rv s="0">
    <fb>73.55</fb>
    <v>1</v>
  </rv>
  <rv s="0">
    <fb>45754</fb>
    <v>0</v>
  </rv>
  <rv s="0">
    <fb>72.930000000000007</fb>
    <v>1</v>
  </rv>
  <rv s="0">
    <fb>45755</fb>
    <v>0</v>
  </rv>
  <rv s="0">
    <fb>71.94</fb>
    <v>1</v>
  </rv>
  <rv s="0">
    <fb>45756</fb>
    <v>0</v>
  </rv>
  <rv s="0">
    <fb>75.819999999999993</fb>
    <v>1</v>
  </rv>
  <rv s="0">
    <fb>45757</fb>
    <v>0</v>
  </rv>
  <rv s="0">
    <fb>73.67</fb>
    <v>1</v>
  </rv>
  <rv s="0">
    <fb>45758</fb>
    <v>0</v>
  </rv>
  <rv s="0">
    <fb>75.45</fb>
    <v>1</v>
  </rv>
  <rv s="0">
    <fb>45761</fb>
    <v>0</v>
  </rv>
  <rv s="0">
    <fb>76.63</fb>
    <v>1</v>
  </rv>
  <rv s="0">
    <fb>45762</fb>
    <v>0</v>
  </rv>
  <rv s="0">
    <fb>76.25</fb>
    <v>1</v>
  </rv>
  <rv s="0">
    <fb>45763</fb>
    <v>0</v>
  </rv>
  <rv s="0">
    <fb>75.489999999999995</fb>
    <v>1</v>
  </rv>
  <rv s="0">
    <fb>45764</fb>
    <v>0</v>
  </rv>
  <rv s="0">
    <fb>45768</fb>
    <v>0</v>
  </rv>
  <rv s="0">
    <fb>74.14</fb>
    <v>1</v>
  </rv>
  <rv s="0">
    <fb>45769</fb>
    <v>0</v>
  </rv>
  <rv s="0">
    <fb>75.760000000000005</fb>
    <v>1</v>
  </rv>
  <rv s="0">
    <fb>45770</fb>
    <v>0</v>
  </rv>
  <rv s="0">
    <fb>76.680000000000007</fb>
    <v>1</v>
  </rv>
  <rv s="0">
    <fb>45771</fb>
    <v>0</v>
  </rv>
  <rv s="0">
    <fb>77.81</fb>
    <v>1</v>
  </rv>
  <rv s="0">
    <fb>45772</fb>
    <v>0</v>
  </rv>
  <rv s="0">
    <fb>77.790000000000006</fb>
    <v>1</v>
  </rv>
  <rv s="0">
    <fb>45775</fb>
    <v>0</v>
  </rv>
  <rv s="0">
    <fb>78.12</fb>
    <v>1</v>
  </rv>
  <rv s="0">
    <fb>45776</fb>
    <v>0</v>
  </rv>
  <rv s="0">
    <fb>78.59</fb>
    <v>1</v>
  </rv>
  <rv s="0">
    <fb>45777</fb>
    <v>0</v>
  </rv>
  <rv s="0">
    <fb>79.430000000000007</fb>
    <v>1</v>
  </rv>
  <rv s="0">
    <fb>45778</fb>
    <v>0</v>
  </rv>
  <rv s="0">
    <fb>77.42</fb>
    <v>1</v>
  </rv>
  <rv s="0">
    <fb>45779</fb>
    <v>0</v>
  </rv>
  <rv s="0">
    <fb>45782</fb>
    <v>0</v>
  </rv>
  <rv s="0">
    <fb>78.52</fb>
    <v>1</v>
  </rv>
  <rv s="0">
    <fb>45783</fb>
    <v>0</v>
  </rv>
  <rv s="0">
    <fb>75.56</fb>
    <v>1</v>
  </rv>
  <rv s="0">
    <fb>45784</fb>
    <v>0</v>
  </rv>
  <rv s="0">
    <fb>75.8</fb>
    <v>1</v>
  </rv>
  <rv s="0">
    <fb>45785</fb>
    <v>0</v>
  </rv>
  <rv s="0">
    <fb>75.040000000000006</fb>
    <v>1</v>
  </rv>
  <rv s="0">
    <fb>45786</fb>
    <v>0</v>
  </rv>
  <rv s="0">
    <fb>73.97</fb>
    <v>1</v>
  </rv>
  <rv s="0">
    <fb>45789</fb>
    <v>0</v>
  </rv>
  <rv s="0">
    <fb>75.95</fb>
    <v>1</v>
  </rv>
  <rv s="0">
    <fb>45790</fb>
    <v>0</v>
  </rv>
  <rv s="0">
    <fb>73.959999999999994</fb>
    <v>1</v>
  </rv>
  <rv s="0">
    <fb>45791</fb>
    <v>0</v>
  </rv>
  <rv s="0">
    <fb>72.7</fb>
    <v>1</v>
  </rv>
  <rv s="0">
    <fb>45792</fb>
    <v>0</v>
  </rv>
  <rv s="0">
    <fb>73.45</fb>
    <v>1</v>
  </rv>
  <rv s="0">
    <fb>45793</fb>
    <v>0</v>
  </rv>
  <rv s="0">
    <fb>74.790000000000006</fb>
    <v>1</v>
  </rv>
  <rv s="0">
    <fb>45796</fb>
    <v>0</v>
  </rv>
  <rv s="0">
    <fb>75.44</fb>
    <v>1</v>
  </rv>
  <rv s="0">
    <fb>45797</fb>
    <v>0</v>
  </rv>
  <rv s="0">
    <fb>75.94</fb>
    <v>1</v>
  </rv>
  <rv s="0">
    <fb>45798</fb>
    <v>0</v>
  </rv>
  <rv s="0">
    <fb>45799</fb>
    <v>0</v>
  </rv>
  <rv s="0">
    <fb>45800</fb>
    <v>0</v>
  </rv>
  <rv s="0">
    <fb>73.53</fb>
    <v>1</v>
  </rv>
  <rv s="0">
    <fb>45804</fb>
    <v>0</v>
  </rv>
  <rv s="0">
    <fb>74.12</fb>
    <v>1</v>
  </rv>
  <rv s="0">
    <fb>45805</fb>
    <v>0</v>
  </rv>
  <rv s="0">
    <fb>73.69</fb>
    <v>1</v>
  </rv>
  <rv s="0">
    <fb>45806</fb>
    <v>0</v>
  </rv>
  <rv s="0">
    <fb>74.55</fb>
    <v>1</v>
  </rv>
  <rv s="0">
    <fb>45807</fb>
    <v>0</v>
  </rv>
  <rv s="0">
    <fb>74.27</fb>
    <v>1</v>
  </rv>
  <rv s="0">
    <fb>45810</fb>
    <v>0</v>
  </rv>
  <rv s="0">
    <fb>75.23</fb>
    <v>1</v>
  </rv>
  <rv s="0">
    <fb>45811</fb>
    <v>0</v>
  </rv>
  <rv s="0">
    <fb>45812</fb>
    <v>0</v>
  </rv>
  <rv s="0">
    <fb>75.89</fb>
    <v>1</v>
  </rv>
  <rv s="0">
    <fb>45813</fb>
    <v>0</v>
  </rv>
  <rv s="0">
    <fb>76</fb>
    <v>1</v>
  </rv>
  <rv s="0">
    <fb>45814</fb>
    <v>0</v>
  </rv>
  <rv s="0">
    <fb>76.540000000000006</fb>
    <v>1</v>
  </rv>
  <rv s="0">
    <fb>45817</fb>
    <v>0</v>
  </rv>
  <rv s="0">
    <fb>45818</fb>
    <v>0</v>
  </rv>
  <rv s="0">
    <fb>77.22</fb>
    <v>1</v>
  </rv>
  <rv s="0">
    <fb>45819</fb>
    <v>0</v>
  </rv>
  <rv s="0">
    <fb>77.040000000000006</fb>
    <v>1</v>
  </rv>
  <rv s="0">
    <fb>45820</fb>
    <v>0</v>
  </rv>
  <rv s="0">
    <fb>77.5</fb>
    <v>1</v>
  </rv>
  <rv s="0">
    <fb>45821</fb>
    <v>0</v>
  </rv>
  <rv s="0">
    <fb>77.13</fb>
    <v>1</v>
  </rv>
  <rv s="0">
    <fb>45824</fb>
    <v>0</v>
  </rv>
  <rv s="0">
    <fb>76.78</fb>
    <v>1</v>
  </rv>
  <rv s="0">
    <fb>45825</fb>
    <v>0</v>
  </rv>
  <rv s="0">
    <fb>75.7</fb>
    <v>1</v>
  </rv>
  <rv s="0">
    <fb>45826</fb>
    <v>0</v>
  </rv>
  <rv s="0">
    <fb>75.91</fb>
    <v>1</v>
  </rv>
  <rv s="0">
    <fb>45828</fb>
    <v>0</v>
  </rv>
  <rv s="0">
    <fb>75.55</fb>
    <v>1</v>
  </rv>
  <rv s="0">
    <fb>45831</fb>
    <v>0</v>
  </rv>
  <rv s="0">
    <fb>75.900000000000006</fb>
    <v>1</v>
  </rv>
  <rv s="0">
    <fb>45832</fb>
    <v>0</v>
  </rv>
  <rv s="0">
    <fb>77.06</fb>
    <v>1</v>
  </rv>
  <rv s="0">
    <fb>45833</fb>
    <v>0</v>
  </rv>
  <rv s="0">
    <fb>76.94</fb>
    <v>1</v>
  </rv>
  <rv s="0">
    <fb>45834</fb>
    <v>0</v>
  </rv>
  <rv s="0">
    <fb>77.19</fb>
    <v>1</v>
  </rv>
  <rv s="0">
    <fb>45835</fb>
    <v>0</v>
  </rv>
  <rv s="0">
    <fb>76.900000000000006</fb>
    <v>1</v>
  </rv>
  <rv s="0">
    <fb>45838</fb>
    <v>0</v>
  </rv>
  <rv s="0">
    <fb>77.23</fb>
    <v>1</v>
  </rv>
  <rv s="0">
    <fb>45839</fb>
    <v>0</v>
  </rv>
  <rv s="0">
    <fb>77.33</fb>
    <v>1</v>
  </rv>
  <rv s="0">
    <fb>45840</fb>
    <v>0</v>
  </rv>
  <rv s="0">
    <fb>77.08</fb>
    <v>1</v>
  </rv>
  <rv s="0">
    <fb>45841</fb>
    <v>0</v>
  </rv>
  <rv s="0">
    <fb>77.349999999999994</fb>
    <v>1</v>
  </rv>
  <rv s="0">
    <fb>45845</fb>
    <v>0</v>
  </rv>
  <rv s="0">
    <fb>76.459999999999994</fb>
    <v>1</v>
  </rv>
  <rv s="0">
    <fb>45846</fb>
    <v>0</v>
  </rv>
  <rv s="0">
    <fb>45847</fb>
    <v>0</v>
  </rv>
  <rv s="0">
    <fb>77.680000000000007</fb>
    <v>1</v>
  </rv>
  <rv s="0">
    <fb>45848</fb>
    <v>0</v>
  </rv>
  <rv s="0">
    <fb>78.069999999999993</fb>
    <v>1</v>
  </rv>
  <rv s="0">
    <fb>45849</fb>
    <v>0</v>
  </rv>
  <rv s="0">
    <fb>77.41</fb>
    <v>1</v>
  </rv>
  <rv s="0">
    <fb>45852</fb>
    <v>0</v>
  </rv>
  <rv s="0">
    <fb>77.77</fb>
    <v>1</v>
  </rv>
  <rv s="0">
    <fb>45853</fb>
    <v>0</v>
  </rv>
  <rv s="0">
    <fb>76.56</fb>
    <v>1</v>
  </rv>
  <rv s="0">
    <fb>45854</fb>
    <v>0</v>
  </rv>
  <rv s="0">
    <fb>77.61</fb>
    <v>1</v>
  </rv>
  <rv s="0">
    <fb>45855</fb>
    <v>0</v>
  </rv>
  <rv s="0">
    <fb>77.400000000000006</fb>
    <v>1</v>
  </rv>
  <rv s="0">
    <fb>45856</fb>
    <v>0</v>
  </rv>
  <rv s="0">
    <fb>76.5</fb>
    <v>1</v>
  </rv>
  <rv s="0">
    <fb>45859</fb>
    <v>0</v>
  </rv>
  <rv s="0">
    <fb>76.040000000000006</fb>
    <v>1</v>
  </rv>
  <rv s="0">
    <fb>45860</fb>
    <v>0</v>
  </rv>
  <rv s="0">
    <fb>76.62</fb>
    <v>1</v>
  </rv>
  <rv s="0">
    <fb>45861</fb>
    <v>0</v>
  </rv>
  <rv s="0">
    <fb>78.040000000000006</fb>
    <v>1</v>
  </rv>
  <rv s="0">
    <fb>45862</fb>
    <v>0</v>
  </rv>
  <rv s="0">
    <fb>77.510000000000005</fb>
    <v>1</v>
  </rv>
  <rv s="0">
    <fb>140.80000000000001</fb>
    <v>1</v>
  </rv>
  <rv s="0">
    <fb>142.66</fb>
    <v>1</v>
  </rv>
  <rv s="0">
    <fb>143.41999999999999</fb>
    <v>1</v>
  </rv>
  <rv s="0">
    <fb>141.84</fb>
    <v>1</v>
  </rv>
  <rv s="0">
    <fb>142.02000000000001</fb>
    <v>1</v>
  </rv>
  <rv s="0">
    <fb>139.84</fb>
    <v>1</v>
  </rv>
  <rv s="0">
    <fb>140.09</fb>
    <v>1</v>
  </rv>
  <rv s="0">
    <fb>140.41</fb>
    <v>1</v>
  </rv>
  <rv s="0">
    <fb>142.97999999999999</fb>
    <v>1</v>
  </rv>
  <rv s="0">
    <fb>142.84</fb>
    <v>1</v>
  </rv>
  <rv s="0">
    <fb>144.19</fb>
    <v>1</v>
  </rv>
  <rv s="0">
    <fb>145.6</fb>
    <v>1</v>
  </rv>
  <rv s="0">
    <fb>146.32</fb>
    <v>1</v>
  </rv>
  <rv s="0">
    <fb>147.07</fb>
    <v>1</v>
  </rv>
  <rv s="0">
    <fb>146.69999999999999</fb>
    <v>1</v>
  </rv>
  <rv s="0">
    <fb>144.6</fb>
    <v>1</v>
  </rv>
  <rv s="0">
    <fb>145.88</fb>
    <v>1</v>
  </rv>
  <rv s="0">
    <fb>145.25</fb>
    <v>1</v>
  </rv>
  <rv s="0">
    <fb>146.13</fb>
    <v>1</v>
  </rv>
  <rv s="0">
    <fb>145.38999999999999</fb>
    <v>1</v>
  </rv>
  <rv s="0">
    <fb>144.26</fb>
    <v>1</v>
  </rv>
  <rv s="0">
    <fb>145.32</fb>
    <v>1</v>
  </rv>
  <rv s="0">
    <fb>145.97999999999999</fb>
    <v>1</v>
  </rv>
  <rv s="0">
    <fb>146.41</fb>
    <v>1</v>
  </rv>
  <rv s="0">
    <fb>145.03</fb>
    <v>1</v>
  </rv>
  <rv s="0">
    <fb>145.97</fb>
    <v>1</v>
  </rv>
  <rv s="0">
    <fb>145.86000000000001</fb>
    <v>1</v>
  </rv>
  <rv s="0">
    <fb>145.41999999999999</fb>
    <v>1</v>
  </rv>
  <rv s="0">
    <fb>146.94</fb>
    <v>1</v>
  </rv>
  <rv s="0">
    <fb>146.94999999999999</fb>
    <v>1</v>
  </rv>
  <rv s="0">
    <fb>147.36000000000001</fb>
    <v>1</v>
  </rv>
  <rv s="0">
    <fb>147.54</fb>
    <v>1</v>
  </rv>
  <rv s="0">
    <fb>146.76</fb>
    <v>1</v>
  </rv>
  <rv s="0">
    <fb>144.03</fb>
    <v>1</v>
  </rv>
  <rv s="0">
    <fb>143.29</fb>
    <v>1</v>
  </rv>
  <rv s="0">
    <fb>142.57</fb>
    <v>1</v>
  </rv>
  <rv s="0">
    <fb>142.63</fb>
    <v>1</v>
  </rv>
  <rv s="0">
    <fb>140.41999999999999</fb>
    <v>1</v>
  </rv>
  <rv s="0">
    <fb>142.61000000000001</fb>
    <v>1</v>
  </rv>
  <rv s="0">
    <fb>139.99</fb>
    <v>1</v>
  </rv>
  <rv s="0">
    <fb>138.29</fb>
    <v>1</v>
  </rv>
  <rv s="0">
    <fb>139.88</fb>
    <v>1</v>
  </rv>
  <rv s="0">
    <fb>137.24</fb>
    <v>1</v>
  </rv>
  <rv s="0">
    <fb>137.97</fb>
    <v>1</v>
  </rv>
  <rv s="0">
    <fb>134.15</fb>
    <v>1</v>
  </rv>
  <rv s="0">
    <fb>133.29</fb>
    <v>1</v>
  </rv>
  <rv s="0">
    <fb>133.91</fb>
    <v>1</v>
  </rv>
  <rv s="0">
    <fb>131.94999999999999</fb>
    <v>1</v>
  </rv>
  <rv s="0">
    <fb>134.88</fb>
    <v>1</v>
  </rv>
  <rv s="0">
    <fb>135.9</fb>
    <v>1</v>
  </rv>
  <rv s="0">
    <fb>134.44999999999999</fb>
    <v>1</v>
  </rv>
  <rv s="0">
    <fb>136</fb>
    <v>1</v>
  </rv>
  <rv s="0">
    <fb>135.66999999999999</fb>
    <v>1</v>
  </rv>
  <rv s="0">
    <fb>135.74</fb>
    <v>1</v>
  </rv>
  <rv s="0">
    <fb>138.31</fb>
    <v>1</v>
  </rv>
  <rv s="0">
    <fb>138.44999999999999</fb>
    <v>1</v>
  </rv>
  <rv s="0">
    <fb>136.88</fb>
    <v>1</v>
  </rv>
  <rv s="0">
    <fb>135.84</fb>
    <v>1</v>
  </rv>
  <rv s="0">
    <fb>133.13999999999999</fb>
    <v>1</v>
  </rv>
  <rv s="0">
    <fb>133.75</fb>
    <v>1</v>
  </rv>
  <rv s="0">
    <fb>134.28</fb>
    <v>1</v>
  </rv>
  <rv s="0">
    <fb>135.36000000000001</fb>
    <v>1</v>
  </rv>
  <rv s="0">
    <fb>128.49</fb>
    <v>1</v>
  </rv>
  <rv s="0">
    <fb>120.94</fb>
    <v>1</v>
  </rv>
  <rv s="0">
    <fb>120.57</fb>
    <v>1</v>
  </rv>
  <rv s="0">
    <fb>118.56</fb>
    <v>1</v>
  </rv>
  <rv s="0">
    <fb>129.87</fb>
    <v>1</v>
  </rv>
  <rv s="0">
    <fb>125.27</fb>
    <v>1</v>
  </rv>
  <rv s="0">
    <fb>127.49</fb>
    <v>1</v>
  </rv>
  <rv s="0">
    <fb>128.54</fb>
    <v>1</v>
  </rv>
  <rv s="0">
    <fb>128.38</fb>
    <v>1</v>
  </rv>
  <rv s="0">
    <fb>125.68</fb>
    <v>1</v>
  </rv>
  <rv s="0">
    <fb>125.97</fb>
    <v>1</v>
  </rv>
  <rv s="0">
    <fb>123.01</fb>
    <v>1</v>
  </rv>
  <rv s="0">
    <fb>126.14</fb>
    <v>1</v>
  </rv>
  <rv s="0">
    <fb>128.27000000000001</fb>
    <v>1</v>
  </rv>
  <rv s="0">
    <fb>130.93</fb>
    <v>1</v>
  </rv>
  <rv s="0">
    <fb>131.81</fb>
    <v>1</v>
  </rv>
  <rv s="0">
    <fb>131.96</fb>
    <v>1</v>
  </rv>
  <rv s="0">
    <fb>132.74</fb>
    <v>1</v>
  </rv>
  <rv s="0">
    <fb>132.85</fb>
    <v>1</v>
  </rv>
  <rv s="0">
    <fb>133.66999999999999</fb>
    <v>1</v>
  </rv>
  <rv s="0">
    <fb>135.75</fb>
    <v>1</v>
  </rv>
  <rv s="0">
    <fb>134.93</fb>
    <v>1</v>
  </rv>
  <rv s="0">
    <fb>133.86000000000001</fb>
    <v>1</v>
  </rv>
  <rv s="0">
    <fb>134.41999999999999</fb>
    <v>1</v>
  </rv>
  <rv s="0">
    <fb>135.4</fb>
    <v>1</v>
  </rv>
  <rv s="0">
    <fb>135.32</fb>
    <v>1</v>
  </rv>
  <rv s="0">
    <fb>139.80000000000001</fb>
    <v>1</v>
  </rv>
  <rv s="0">
    <fb>140.83000000000001</fb>
    <v>1</v>
  </rv>
  <rv s="0">
    <fb>140.88</fb>
    <v>1</v>
  </rv>
  <rv s="0">
    <fb>141.43</fb>
    <v>1</v>
  </rv>
  <rv s="0">
    <fb>142.5</fb>
    <v>1</v>
  </rv>
  <rv s="0">
    <fb>142.59</fb>
    <v>1</v>
  </rv>
  <rv s="0">
    <fb>142.08000000000001</fb>
    <v>1</v>
  </rv>
  <rv s="0">
    <fb>139.61000000000001</fb>
    <v>1</v>
  </rv>
  <rv s="0">
    <fb>139.59</fb>
    <v>1</v>
  </rv>
  <rv s="0">
    <fb>138.71</fb>
    <v>1</v>
  </rv>
  <rv s="0">
    <fb>141.6</fb>
    <v>1</v>
  </rv>
  <rv s="0">
    <fb>140.75</fb>
    <v>1</v>
  </rv>
  <rv s="0">
    <fb>141.28</fb>
    <v>1</v>
  </rv>
  <rv s="0">
    <fb>141.83000000000001</fb>
    <v>1</v>
  </rv>
  <rv s="0">
    <fb>142.78</fb>
    <v>1</v>
  </rv>
  <rv s="0">
    <fb>142.80000000000001</fb>
    <v>1</v>
  </rv>
  <rv s="0">
    <fb>142.15</fb>
    <v>1</v>
  </rv>
  <rv s="0">
    <fb>143.66999999999999</fb>
    <v>1</v>
  </rv>
  <rv s="0">
    <fb>143.81</fb>
    <v>1</v>
  </rv>
  <rv s="0">
    <fb>144.54</fb>
    <v>1</v>
  </rv>
  <rv s="0">
    <fb>144.15</fb>
    <v>1</v>
  </rv>
  <rv s="0">
    <fb>142.91</fb>
    <v>1</v>
  </rv>
  <rv s="0">
    <fb>144.31</fb>
    <v>1</v>
  </rv>
  <rv s="0">
    <fb>143.11000000000001</fb>
    <v>1</v>
  </rv>
  <rv s="0">
    <fb>143.16999999999999</fb>
    <v>1</v>
  </rv>
  <rv s="0">
    <fb>142.87</fb>
    <v>1</v>
  </rv>
  <rv s="0">
    <fb>144.22</fb>
    <v>1</v>
  </rv>
  <rv s="0">
    <fb>145.69</fb>
    <v>1</v>
  </rv>
  <rv s="0">
    <fb>146.97</fb>
    <v>1</v>
  </rv>
  <rv s="0">
    <fb>147.66999999999999</fb>
    <v>1</v>
  </rv>
  <rv s="0">
    <fb>148.01</fb>
    <v>1</v>
  </rv>
  <rv s="0">
    <fb>147.93</fb>
    <v>1</v>
  </rv>
  <rv s="0">
    <fb>148.72999999999999</fb>
    <v>1</v>
  </rv>
  <rv s="0">
    <fb>150.01</fb>
    <v>1</v>
  </rv>
  <rv s="0">
    <fb>148.80000000000001</fb>
    <v>1</v>
  </rv>
  <rv s="0">
    <fb>148.74</fb>
    <v>1</v>
  </rv>
  <rv s="0">
    <fb>149.69</fb>
    <v>1</v>
  </rv>
  <rv s="0">
    <fb>150.1</fb>
    <v>1</v>
  </rv>
  <rv s="0">
    <fb>149.47999999999999</fb>
    <v>1</v>
  </rv>
  <rv s="0">
    <fb>149.82</fb>
    <v>1</v>
  </rv>
  <rv s="0">
    <fb>149.02000000000001</fb>
    <v>1</v>
  </rv>
  <rv s="0">
    <fb>149.59</fb>
    <v>1</v>
  </rv>
  <rv s="0">
    <fb>150.5</fb>
    <v>1</v>
  </rv>
  <rv s="0">
    <fb>150.58000000000001</fb>
    <v>1</v>
  </rv>
  <rv s="0">
    <fb>150.81</fb>
    <v>1</v>
  </rv>
  <rv s="0">
    <fb>152.04</fb>
    <v>1</v>
  </rv>
  <rv s="0">
    <fb>151.97999999999999</fb>
    <v>1</v>
  </rv>
  <rv s="0">
    <fb>43496</fb>
    <v>0</v>
  </rv>
  <rv s="0">
    <fb>0.87350000000000005</fb>
    <v>2</v>
  </rv>
  <rv s="0">
    <fb>43497</fb>
    <v>0</v>
  </rv>
  <rv s="0">
    <fb>0.87280000000000002</fb>
    <v>2</v>
  </rv>
  <rv s="0">
    <fb>43500</fb>
    <v>0</v>
  </rv>
  <rv s="0">
    <fb>0.874</fb>
    <v>2</v>
  </rv>
  <rv s="0">
    <fb>43501</fb>
    <v>0</v>
  </rv>
  <rv s="0">
    <fb>0.87590000000000001</fb>
    <v>2</v>
  </rv>
  <rv s="0">
    <fb>43502</fb>
    <v>0</v>
  </rv>
  <rv s="0">
    <fb>0.88</fb>
    <v>2</v>
  </rv>
  <rv s="0">
    <fb>43503</fb>
    <v>0</v>
  </rv>
  <rv s="0">
    <fb>0.88109999999999999</fb>
    <v>2</v>
  </rv>
  <rv s="0">
    <fb>43504</fb>
    <v>0</v>
  </rv>
  <rv s="0">
    <fb>0.88239999999999996</fb>
    <v>2</v>
  </rv>
  <rv s="0">
    <fb>43507</fb>
    <v>0</v>
  </rv>
  <rv s="0">
    <fb>0.88680000000000003</fb>
    <v>2</v>
  </rv>
  <rv s="0">
    <fb>43508</fb>
    <v>0</v>
  </rv>
  <rv s="0">
    <fb>0.88280000000000003</fb>
    <v>2</v>
  </rv>
  <rv s="0">
    <fb>43509</fb>
    <v>0</v>
  </rv>
  <rv s="0">
    <fb>0.88790000000000002</fb>
    <v>2</v>
  </rv>
  <rv s="0">
    <fb>43510</fb>
    <v>0</v>
  </rv>
  <rv s="0">
    <fb>0.88519999999999999</fb>
    <v>2</v>
  </rv>
  <rv s="0">
    <fb>43511</fb>
    <v>0</v>
  </rv>
  <rv s="0">
    <fb>0.88529999999999998</fb>
    <v>2</v>
  </rv>
  <rv s="0">
    <fb>43514</fb>
    <v>0</v>
  </rv>
  <rv s="0">
    <fb>0.88390000000000002</fb>
    <v>2</v>
  </rv>
  <rv s="0">
    <fb>43515</fb>
    <v>0</v>
  </rv>
  <rv s="0">
    <fb>0.88170000000000004</fb>
    <v>2</v>
  </rv>
  <rv s="0">
    <fb>43516</fb>
    <v>0</v>
  </rv>
  <rv s="0">
    <fb>0.88190000000000002</fb>
    <v>2</v>
  </rv>
  <rv s="0">
    <fb>43517</fb>
    <v>0</v>
  </rv>
  <rv s="0">
    <fb>0.88200000000000001</fb>
    <v>2</v>
  </rv>
  <rv s="0">
    <fb>43518</fb>
    <v>0</v>
  </rv>
  <rv s="0">
    <fb>0.88139999999999996</fb>
    <v>2</v>
  </rv>
  <rv s="0">
    <fb>43521</fb>
    <v>0</v>
  </rv>
  <rv s="0">
    <fb>0.88029999999999997</fb>
    <v>2</v>
  </rv>
  <rv s="0">
    <fb>43522</fb>
    <v>0</v>
  </rv>
  <rv s="0">
    <fb>0.87719999999999998</fb>
    <v>2</v>
  </rv>
  <rv s="0">
    <fb>43523</fb>
    <v>0</v>
  </rv>
  <rv s="0">
    <fb>0.87949999999999995</fb>
    <v>2</v>
  </rv>
  <rv s="0">
    <fb>43524</fb>
    <v>0</v>
  </rv>
  <rv s="0">
    <fb>0.87939999999999996</fb>
    <v>2</v>
  </rv>
  <rv s="0">
    <fb>43525</fb>
    <v>0</v>
  </rv>
  <rv s="0">
    <fb>0.87880000000000003</fb>
    <v>2</v>
  </rv>
  <rv s="0">
    <fb>43528</fb>
    <v>0</v>
  </rv>
  <rv s="0">
    <fb>43529</fb>
    <v>0</v>
  </rv>
  <rv s="0">
    <fb>0.88419999999999999</fb>
    <v>2</v>
  </rv>
  <rv s="0">
    <fb>43530</fb>
    <v>0</v>
  </rv>
  <rv s="0">
    <fb>0.88429999999999997</fb>
    <v>2</v>
  </rv>
  <rv s="0">
    <fb>43531</fb>
    <v>0</v>
  </rv>
  <rv s="0">
    <fb>0.89319999999999999</fb>
    <v>2</v>
  </rv>
  <rv s="0">
    <fb>43532</fb>
    <v>0</v>
  </rv>
  <rv s="0">
    <fb>0.88939999999999997</fb>
    <v>2</v>
  </rv>
  <rv s="0">
    <fb>43535</fb>
    <v>0</v>
  </rv>
  <rv s="0">
    <fb>0.88870000000000005</fb>
    <v>2</v>
  </rv>
  <rv s="0">
    <fb>43536</fb>
    <v>0</v>
  </rv>
  <rv s="0">
    <fb>0.88570000000000004</fb>
    <v>2</v>
  </rv>
  <rv s="0">
    <fb>43537</fb>
    <v>0</v>
  </rv>
  <rv s="0">
    <fb>43538</fb>
    <v>0</v>
  </rv>
  <rv s="0">
    <fb>0.88449999999999995</fb>
    <v>2</v>
  </rv>
  <rv s="0">
    <fb>43539</fb>
    <v>0</v>
  </rv>
  <rv s="0">
    <fb>0.88290000000000002</fb>
    <v>2</v>
  </rv>
  <rv s="0">
    <fb>43542</fb>
    <v>0</v>
  </rv>
  <rv s="0">
    <fb>0.8821</fb>
    <v>2</v>
  </rv>
  <rv s="0">
    <fb>43543</fb>
    <v>0</v>
  </rv>
  <rv s="0">
    <fb>0.88070000000000004</fb>
    <v>2</v>
  </rv>
  <rv s="0">
    <fb>43544</fb>
    <v>0</v>
  </rv>
  <rv s="0">
    <fb>0.876</fb>
    <v>2</v>
  </rv>
  <rv s="0">
    <fb>43545</fb>
    <v>0</v>
  </rv>
  <rv s="0">
    <fb>0.879</fb>
    <v>2</v>
  </rv>
  <rv s="0">
    <fb>43546</fb>
    <v>0</v>
  </rv>
  <rv s="0">
    <fb>0.88380000000000003</fb>
    <v>2</v>
  </rv>
  <rv s="0">
    <fb>43549</fb>
    <v>0</v>
  </rv>
  <rv s="0">
    <fb>43550</fb>
    <v>0</v>
  </rv>
  <rv s="0">
    <fb>0.88749999999999996</fb>
    <v>2</v>
  </rv>
  <rv s="0">
    <fb>43551</fb>
    <v>0</v>
  </rv>
  <rv s="0">
    <fb>0.88919999999999999</fb>
    <v>2</v>
  </rv>
  <rv s="0">
    <fb>43552</fb>
    <v>0</v>
  </rv>
  <rv s="0">
    <fb>0.89029999999999998</fb>
    <v>2</v>
  </rv>
  <rv s="0">
    <fb>43553</fb>
    <v>0</v>
  </rv>
  <rv s="0">
    <fb>0.89129999999999998</fb>
    <v>2</v>
  </rv>
  <rv s="0">
    <fb>43556</fb>
    <v>0</v>
  </rv>
  <rv s="0">
    <fb>0.89170000000000005</fb>
    <v>2</v>
  </rv>
  <rv s="0">
    <fb>43557</fb>
    <v>0</v>
  </rv>
  <rv s="0">
    <fb>0.89229999999999998</fb>
    <v>2</v>
  </rv>
  <rv s="0">
    <fb>43558</fb>
    <v>0</v>
  </rv>
  <rv s="0">
    <fb>0.8901</fb>
    <v>2</v>
  </rv>
  <rv s="0">
    <fb>43559</fb>
    <v>0</v>
  </rv>
  <rv s="0">
    <fb>0.8911</fb>
    <v>2</v>
  </rv>
  <rv s="0">
    <fb>43560</fb>
    <v>0</v>
  </rv>
  <rv s="0">
    <fb>0.89139999999999997</fb>
    <v>2</v>
  </rv>
  <rv s="0">
    <fb>43563</fb>
    <v>0</v>
  </rv>
  <rv s="0">
    <fb>43564</fb>
    <v>0</v>
  </rv>
  <rv s="0">
    <fb>43565</fb>
    <v>0</v>
  </rv>
  <rv s="0">
    <fb>0.88700000000000001</fb>
    <v>2</v>
  </rv>
  <rv s="0">
    <fb>43566</fb>
    <v>0</v>
  </rv>
  <rv s="0">
    <fb>0.88849999999999996</fb>
    <v>2</v>
  </rv>
  <rv s="0">
    <fb>43567</fb>
    <v>0</v>
  </rv>
  <rv s="0">
    <fb>0.88460000000000005</fb>
    <v>2</v>
  </rv>
  <rv s="0">
    <fb>43570</fb>
    <v>0</v>
  </rv>
  <rv s="0">
    <fb>0.88400000000000001</fb>
    <v>2</v>
  </rv>
  <rv s="0">
    <fb>43571</fb>
    <v>0</v>
  </rv>
  <rv s="0">
    <fb>0.88639999999999997</fb>
    <v>2</v>
  </rv>
  <rv s="0">
    <fb>43572</fb>
    <v>0</v>
  </rv>
  <rv s="0">
    <fb>0.88500000000000001</fb>
    <v>2</v>
  </rv>
  <rv s="0">
    <fb>43573</fb>
    <v>0</v>
  </rv>
  <rv s="0">
    <fb>0.89019999999999999</fb>
    <v>2</v>
  </rv>
  <rv s="0">
    <fb>43574</fb>
    <v>0</v>
  </rv>
  <rv s="0">
    <fb>0.88880000000000003</fb>
    <v>2</v>
  </rv>
  <rv s="0">
    <fb>43577</fb>
    <v>0</v>
  </rv>
  <rv s="0">
    <fb>43578</fb>
    <v>0</v>
  </rv>
  <rv s="0">
    <fb>0.89039999999999997</fb>
    <v>2</v>
  </rv>
  <rv s="0">
    <fb>43579</fb>
    <v>0</v>
  </rv>
  <rv s="0">
    <fb>0.89639999999999997</fb>
    <v>2</v>
  </rv>
  <rv s="0">
    <fb>43580</fb>
    <v>0</v>
  </rv>
  <rv s="0">
    <fb>0.89810000000000001</fb>
    <v>2</v>
  </rv>
  <rv s="0">
    <fb>43581</fb>
    <v>0</v>
  </rv>
  <rv s="0">
    <fb>0.89690000000000003</fb>
    <v>2</v>
  </rv>
  <rv s="0">
    <fb>43584</fb>
    <v>0</v>
  </rv>
  <rv s="0">
    <fb>0.89380000000000004</fb>
    <v>2</v>
  </rv>
  <rv s="0">
    <fb>43585</fb>
    <v>0</v>
  </rv>
  <rv s="0">
    <fb>0.89159999999999995</fb>
    <v>2</v>
  </rv>
  <rv s="0">
    <fb>43586</fb>
    <v>0</v>
  </rv>
  <rv s="0">
    <fb>0.89300000000000002</fb>
    <v>2</v>
  </rv>
  <rv s="0">
    <fb>43587</fb>
    <v>0</v>
  </rv>
  <rv s="0">
    <fb>0.89439999999999997</fb>
    <v>2</v>
  </rv>
  <rv s="0">
    <fb>43588</fb>
    <v>0</v>
  </rv>
  <rv s="0">
    <fb>0.89249999999999996</fb>
    <v>2</v>
  </rv>
  <rv s="0">
    <fb>43591</fb>
    <v>0</v>
  </rv>
  <rv s="0">
    <fb>0.89280000000000004</fb>
    <v>2</v>
  </rv>
  <rv s="0">
    <fb>43592</fb>
    <v>0</v>
  </rv>
  <rv s="0">
    <fb>0.89349999999999996</fb>
    <v>2</v>
  </rv>
  <rv s="0">
    <fb>43593</fb>
    <v>0</v>
  </rv>
  <rv s="0">
    <fb>43594</fb>
    <v>0</v>
  </rv>
  <rv s="0">
    <fb>43595</fb>
    <v>0</v>
  </rv>
  <rv s="0">
    <fb>0.88990000000000002</fb>
    <v>2</v>
  </rv>
  <rv s="0">
    <fb>43598</fb>
    <v>0</v>
  </rv>
  <rv s="0">
    <fb>0.89090000000000003</fb>
    <v>2</v>
  </rv>
  <rv s="0">
    <fb>43599</fb>
    <v>0</v>
  </rv>
  <rv s="0">
    <fb>43601</fb>
    <v>0</v>
  </rv>
  <rv s="0">
    <fb>0.89480000000000004</fb>
    <v>2</v>
  </rv>
  <rv s="0">
    <fb>43602</fb>
    <v>0</v>
  </rv>
  <rv s="0">
    <fb>0.89610000000000001</fb>
    <v>2</v>
  </rv>
  <rv s="0">
    <fb>43605</fb>
    <v>0</v>
  </rv>
  <rv s="0">
    <fb>0.89500000000000002</fb>
    <v>2</v>
  </rv>
  <rv s="0">
    <fb>43606</fb>
    <v>0</v>
  </rv>
  <rv s="0">
    <fb>0.89580000000000004</fb>
    <v>2</v>
  </rv>
  <rv s="0">
    <fb>43607</fb>
    <v>0</v>
  </rv>
  <rv s="0">
    <fb>0.89659999999999995</fb>
    <v>2</v>
  </rv>
  <rv s="0">
    <fb>43608</fb>
    <v>0</v>
  </rv>
  <rv s="0">
    <fb>43609</fb>
    <v>0</v>
  </rv>
  <rv s="0">
    <fb>43612</fb>
    <v>0</v>
  </rv>
  <rv s="0">
    <fb>43613</fb>
    <v>0</v>
  </rv>
  <rv s="0">
    <fb>0.89600000000000002</fb>
    <v>2</v>
  </rv>
  <rv s="0">
    <fb>43614</fb>
    <v>0</v>
  </rv>
  <rv s="0">
    <fb>0.8982</fb>
    <v>2</v>
  </rv>
  <rv s="0">
    <fb>43615</fb>
    <v>0</v>
  </rv>
  <rv s="0">
    <fb>0.89839999999999998</fb>
    <v>2</v>
  </rv>
  <rv s="0">
    <fb>43616</fb>
    <v>0</v>
  </rv>
  <rv s="0">
    <fb>0.89400000000000002</fb>
    <v>2</v>
  </rv>
  <rv s="0">
    <fb>43619</fb>
    <v>0</v>
  </rv>
  <rv s="0">
    <fb>0.88949999999999996</fb>
    <v>2</v>
  </rv>
  <rv s="0">
    <fb>43620</fb>
    <v>0</v>
  </rv>
  <rv s="0">
    <fb>43621</fb>
    <v>0</v>
  </rv>
  <rv s="0">
    <fb>0.89100000000000001</fb>
    <v>2</v>
  </rv>
  <rv s="0">
    <fb>43622</fb>
    <v>0</v>
  </rv>
  <rv s="0">
    <fb>0.88670000000000004</fb>
    <v>2</v>
  </rv>
  <rv s="0">
    <fb>43623</fb>
    <v>0</v>
  </rv>
  <rv s="0">
    <fb>0.88219999999999998</fb>
    <v>2</v>
  </rv>
  <rv s="0">
    <fb>43626</fb>
    <v>0</v>
  </rv>
  <rv s="0">
    <fb>0.88360000000000005</fb>
    <v>2</v>
  </rv>
  <rv s="0">
    <fb>43627</fb>
    <v>0</v>
  </rv>
  <rv s="0">
    <fb>0.88229999999999997</fb>
    <v>2</v>
  </rv>
  <rv s="0">
    <fb>43628</fb>
    <v>0</v>
  </rv>
  <rv s="0">
    <fb>0.88560000000000005</fb>
    <v>2</v>
  </rv>
  <rv s="0">
    <fb>43629</fb>
    <v>0</v>
  </rv>
  <rv s="0">
    <fb>0.88660000000000005</fb>
    <v>2</v>
  </rv>
  <rv s="0">
    <fb>43630</fb>
    <v>0</v>
  </rv>
  <rv s="0">
    <fb>0.89200000000000002</fb>
    <v>2</v>
  </rv>
  <rv s="0">
    <fb>43633</fb>
    <v>0</v>
  </rv>
  <rv s="0">
    <fb>43634</fb>
    <v>0</v>
  </rv>
  <rv s="0">
    <fb>0.89329999999999998</fb>
    <v>2</v>
  </rv>
  <rv s="0">
    <fb>43635</fb>
    <v>0</v>
  </rv>
  <rv s="0">
    <fb>0.89059999999999995</fb>
    <v>2</v>
  </rv>
  <rv s="0">
    <fb>43636</fb>
    <v>0</v>
  </rv>
  <rv s="0">
    <fb>43637</fb>
    <v>0</v>
  </rv>
  <rv s="0">
    <fb>43640</fb>
    <v>0</v>
  </rv>
  <rv s="0">
    <fb>43641</fb>
    <v>0</v>
  </rv>
  <rv s="0">
    <fb>0.87970000000000004</fb>
    <v>2</v>
  </rv>
  <rv s="0">
    <fb>43642</fb>
    <v>0</v>
  </rv>
  <rv s="0">
    <fb>43643</fb>
    <v>0</v>
  </rv>
  <rv s="0">
    <fb>43644</fb>
    <v>0</v>
  </rv>
  <rv s="0">
    <fb>43647</fb>
    <v>0</v>
  </rv>
  <rv s="0">
    <fb>0.8861</fb>
    <v>2</v>
  </rv>
  <rv s="0">
    <fb>43648</fb>
    <v>0</v>
  </rv>
  <rv s="0">
    <fb>0.88600000000000001</fb>
    <v>2</v>
  </rv>
  <rv s="0">
    <fb>43649</fb>
    <v>0</v>
  </rv>
  <rv s="0">
    <fb>43650</fb>
    <v>0</v>
  </rv>
  <rv s="0">
    <fb>43651</fb>
    <v>0</v>
  </rv>
  <rv s="0">
    <fb>0.89070000000000005</fb>
    <v>2</v>
  </rv>
  <rv s="0">
    <fb>43654</fb>
    <v>0</v>
  </rv>
  <rv s="0">
    <fb>43655</fb>
    <v>0</v>
  </rv>
  <rv s="0">
    <fb>0.8921</fb>
    <v>2</v>
  </rv>
  <rv s="0">
    <fb>43656</fb>
    <v>0</v>
  </rv>
  <rv s="0">
    <fb>43657</fb>
    <v>0</v>
  </rv>
  <rv s="0">
    <fb>43658</fb>
    <v>0</v>
  </rv>
  <rv s="0">
    <fb>0.8871</fb>
    <v>2</v>
  </rv>
  <rv s="0">
    <fb>43661</fb>
    <v>0</v>
  </rv>
  <rv s="0">
    <fb>0.88819999999999999</fb>
    <v>2</v>
  </rv>
  <rv s="0">
    <fb>43662</fb>
    <v>0</v>
  </rv>
  <rv s="0">
    <fb>0.89180000000000004</fb>
    <v>2</v>
  </rv>
  <rv s="0">
    <fb>43663</fb>
    <v>0</v>
  </rv>
  <rv s="0">
    <fb>43664</fb>
    <v>0</v>
  </rv>
  <rv s="0">
    <fb>43665</fb>
    <v>0</v>
  </rv>
  <rv s="0">
    <fb>43668</fb>
    <v>0</v>
  </rv>
  <rv s="0">
    <fb>0.89190000000000003</fb>
    <v>2</v>
  </rv>
  <rv s="0">
    <fb>43669</fb>
    <v>0</v>
  </rv>
  <rv s="0">
    <fb>0.89649999999999996</fb>
    <v>2</v>
  </rv>
  <rv s="0">
    <fb>43670</fb>
    <v>0</v>
  </rv>
  <rv s="0">
    <fb>0.89759999999999995</fb>
    <v>2</v>
  </rv>
  <rv s="0">
    <fb>43671</fb>
    <v>0</v>
  </rv>
  <rv s="0">
    <fb>0.89700000000000002</fb>
    <v>2</v>
  </rv>
  <rv s="0">
    <fb>43672</fb>
    <v>0</v>
  </rv>
  <rv s="0">
    <fb>0.89859999999999995</fb>
    <v>2</v>
  </rv>
  <rv s="0">
    <fb>43675</fb>
    <v>0</v>
  </rv>
  <rv s="0">
    <fb>0.89729999999999999</fb>
    <v>2</v>
  </rv>
  <rv s="0">
    <fb>43676</fb>
    <v>0</v>
  </rv>
  <rv s="0">
    <fb>0.89629999999999999</fb>
    <v>2</v>
  </rv>
  <rv s="0">
    <fb>43677</fb>
    <v>0</v>
  </rv>
  <rv s="0">
    <fb>0.90269999999999995</fb>
    <v>2</v>
  </rv>
  <rv s="0">
    <fb>43678</fb>
    <v>0</v>
  </rv>
  <rv s="0">
    <fb>0.90200000000000002</fb>
    <v>2</v>
  </rv>
  <rv s="0">
    <fb>43679</fb>
    <v>0</v>
  </rv>
  <rv s="0">
    <fb>0.9</fb>
    <v>2</v>
  </rv>
  <rv s="0">
    <fb>43682</fb>
    <v>0</v>
  </rv>
  <rv s="0">
    <fb>0.89259999999999995</fb>
    <v>2</v>
  </rv>
  <rv s="0">
    <fb>43683</fb>
    <v>0</v>
  </rv>
  <rv s="0">
    <fb>0.89270000000000005</fb>
    <v>2</v>
  </rv>
  <rv s="0">
    <fb>43684</fb>
    <v>0</v>
  </rv>
  <rv s="0">
    <fb>43685</fb>
    <v>0</v>
  </rv>
  <rv s="0">
    <fb>0.89429999999999998</fb>
    <v>2</v>
  </rv>
  <rv s="0">
    <fb>43686</fb>
    <v>0</v>
  </rv>
  <rv s="0">
    <fb>43689</fb>
    <v>0</v>
  </rv>
  <rv s="0">
    <fb>43690</fb>
    <v>0</v>
  </rv>
  <rv s="0">
    <fb>0.89510000000000001</fb>
    <v>2</v>
  </rv>
  <rv s="0">
    <fb>43691</fb>
    <v>0</v>
  </rv>
  <rv s="0">
    <fb>0.89770000000000005</fb>
    <v>2</v>
  </rv>
  <rv s="0">
    <fb>43692</fb>
    <v>0</v>
  </rv>
  <rv s="0">
    <fb>0.90029999999999999</fb>
    <v>2</v>
  </rv>
  <rv s="0">
    <fb>43693</fb>
    <v>0</v>
  </rv>
  <rv s="0">
    <fb>0.90159999999999996</fb>
    <v>2</v>
  </rv>
  <rv s="0">
    <fb>43696</fb>
    <v>0</v>
  </rv>
  <rv s="0">
    <fb>0.90249999999999997</fb>
    <v>2</v>
  </rv>
  <rv s="0">
    <fb>43697</fb>
    <v>0</v>
  </rv>
  <rv s="0">
    <fb>0.90069999999999995</fb>
    <v>2</v>
  </rv>
  <rv s="0">
    <fb>43698</fb>
    <v>0</v>
  </rv>
  <rv s="0">
    <fb>43699</fb>
    <v>0</v>
  </rv>
  <rv s="0">
    <fb>0.90239999999999998</fb>
    <v>2</v>
  </rv>
  <rv s="0">
    <fb>43700</fb>
    <v>0</v>
  </rv>
  <rv s="0">
    <fb>43703</fb>
    <v>0</v>
  </rv>
  <rv s="0">
    <fb>0.90059999999999996</fb>
    <v>2</v>
  </rv>
  <rv s="0">
    <fb>43704</fb>
    <v>0</v>
  </rv>
  <rv s="0">
    <fb>43705</fb>
    <v>0</v>
  </rv>
  <rv s="0">
    <fb>43706</fb>
    <v>0</v>
  </rv>
  <rv s="0">
    <fb>0.9042</fb>
    <v>2</v>
  </rv>
  <rv s="0">
    <fb>43707</fb>
    <v>0</v>
  </rv>
  <rv s="0">
    <fb>0.90969999999999995</fb>
    <v>2</v>
  </rv>
  <rv s="0">
    <fb>43710</fb>
    <v>0</v>
  </rv>
  <rv s="0">
    <fb>0.91159999999999997</fb>
    <v>2</v>
  </rv>
  <rv s="0">
    <fb>43711</fb>
    <v>0</v>
  </rv>
  <rv s="0">
    <fb>0.91110000000000002</fb>
    <v>2</v>
  </rv>
  <rv s="0">
    <fb>43712</fb>
    <v>0</v>
  </rv>
  <rv s="0">
    <fb>0.90600000000000003</fb>
    <v>2</v>
  </rv>
  <rv s="0">
    <fb>43713</fb>
    <v>0</v>
  </rv>
  <rv s="0">
    <fb>0.90610000000000002</fb>
    <v>2</v>
  </rv>
  <rv s="0">
    <fb>43714</fb>
    <v>0</v>
  </rv>
  <rv s="0">
    <fb>0.90649999999999997</fb>
    <v>2</v>
  </rv>
  <rv s="0">
    <fb>43717</fb>
    <v>0</v>
  </rv>
  <rv s="0">
    <fb>0.90500000000000003</fb>
    <v>2</v>
  </rv>
  <rv s="0">
    <fb>43718</fb>
    <v>0</v>
  </rv>
  <rv s="0">
    <fb>0.90549999999999997</fb>
    <v>2</v>
  </rv>
  <rv s="0">
    <fb>43719</fb>
    <v>0</v>
  </rv>
  <rv s="0">
    <fb>0.90820000000000001</fb>
    <v>2</v>
  </rv>
  <rv s="0">
    <fb>43720</fb>
    <v>0</v>
  </rv>
  <rv s="0">
    <fb>0.90380000000000005</fb>
    <v>2</v>
  </rv>
  <rv s="0">
    <fb>43721</fb>
    <v>0</v>
  </rv>
  <rv s="0">
    <fb>0.90280000000000005</fb>
    <v>2</v>
  </rv>
  <rv s="0">
    <fb>43724</fb>
    <v>0</v>
  </rv>
  <rv s="0">
    <fb>0.90880000000000005</fb>
    <v>2</v>
  </rv>
  <rv s="0">
    <fb>43725</fb>
    <v>0</v>
  </rv>
  <rv s="0">
    <fb>0.90300000000000002</fb>
    <v>2</v>
  </rv>
  <rv s="0">
    <fb>43726</fb>
    <v>0</v>
  </rv>
  <rv s="0">
    <fb>43727</fb>
    <v>0</v>
  </rv>
  <rv s="0">
    <fb>0.90559999999999996</fb>
    <v>2</v>
  </rv>
  <rv s="0">
    <fb>43728</fb>
    <v>0</v>
  </rv>
  <rv s="0">
    <fb>0.90749999999999997</fb>
    <v>2</v>
  </rv>
  <rv s="0">
    <fb>43731</fb>
    <v>0</v>
  </rv>
  <rv s="0">
    <fb>0.90949999999999998</fb>
    <v>2</v>
  </rv>
  <rv s="0">
    <fb>43732</fb>
    <v>0</v>
  </rv>
  <rv s="0">
    <fb>0.9073</fb>
    <v>2</v>
  </rv>
  <rv s="0">
    <fb>43733</fb>
    <v>0</v>
  </rv>
  <rv s="0">
    <fb>0.91369999999999996</fb>
    <v>2</v>
  </rv>
  <rv s="0">
    <fb>43734</fb>
    <v>0</v>
  </rv>
  <rv s="0">
    <fb>0.91549999999999998</fb>
    <v>2</v>
  </rv>
  <rv s="0">
    <fb>43735</fb>
    <v>0</v>
  </rv>
  <rv s="0">
    <fb>0.91410000000000002</fb>
    <v>2</v>
  </rv>
  <rv s="0">
    <fb>43738</fb>
    <v>0</v>
  </rv>
  <rv s="0">
    <fb>0.9173</fb>
    <v>2</v>
  </rv>
  <rv s="0">
    <fb>43739</fb>
    <v>0</v>
  </rv>
  <rv s="0">
    <fb>0.91459999999999997</fb>
    <v>2</v>
  </rv>
  <rv s="0">
    <fb>43740</fb>
    <v>0</v>
  </rv>
  <rv s="0">
    <fb>0.91239999999999999</fb>
    <v>2</v>
  </rv>
  <rv s="0">
    <fb>43741</fb>
    <v>0</v>
  </rv>
  <rv s="0">
    <fb>0.91169999999999995</fb>
    <v>2</v>
  </rv>
  <rv s="0">
    <fb>43742</fb>
    <v>0</v>
  </rv>
  <rv s="0">
    <fb>0.91069999999999995</fb>
    <v>2</v>
  </rv>
  <rv s="0">
    <fb>43745</fb>
    <v>0</v>
  </rv>
  <rv s="0">
    <fb>0.91139999999999999</fb>
    <v>2</v>
  </rv>
  <rv s="0">
    <fb>43746</fb>
    <v>0</v>
  </rv>
  <rv s="0">
    <fb>0.91259999999999997</fb>
    <v>2</v>
  </rv>
  <rv s="0">
    <fb>43747</fb>
    <v>0</v>
  </rv>
  <rv s="0">
    <fb>0.9113</fb>
    <v>2</v>
  </rv>
  <rv s="0">
    <fb>43748</fb>
    <v>0</v>
  </rv>
  <rv s="0">
    <fb>0.90839999999999999</fb>
    <v>2</v>
  </rv>
  <rv s="0">
    <fb>43749</fb>
    <v>0</v>
  </rv>
  <rv s="0">
    <fb>43752</fb>
    <v>0</v>
  </rv>
  <rv s="0">
    <fb>0.90659999999999996</fb>
    <v>2</v>
  </rv>
  <rv s="0">
    <fb>43753</fb>
    <v>0</v>
  </rv>
  <rv s="0">
    <fb>0.90620000000000001</fb>
    <v>2</v>
  </rv>
  <rv s="0">
    <fb>43754</fb>
    <v>0</v>
  </rv>
  <rv s="0">
    <fb>43755</fb>
    <v>0</v>
  </rv>
  <rv s="0">
    <fb>0.89880000000000004</fb>
    <v>2</v>
  </rv>
  <rv s="0">
    <fb>43756</fb>
    <v>0</v>
  </rv>
  <rv s="0">
    <fb>43759</fb>
    <v>0</v>
  </rv>
  <rv s="0">
    <fb>43760</fb>
    <v>0</v>
  </rv>
  <rv s="0">
    <fb>43761</fb>
    <v>0</v>
  </rv>
  <rv s="0">
    <fb>0.89829999999999999</fb>
    <v>2</v>
  </rv>
  <rv s="0">
    <fb>43762</fb>
    <v>0</v>
  </rv>
  <rv s="0">
    <fb>0.90049999999999997</fb>
    <v>2</v>
  </rv>
  <rv s="0">
    <fb>43763</fb>
    <v>0</v>
  </rv>
  <rv s="0">
    <fb>43766</fb>
    <v>0</v>
  </rv>
  <rv s="0">
    <fb>43767</fb>
    <v>0</v>
  </rv>
  <rv s="0">
    <fb>0.89980000000000004</fb>
    <v>2</v>
  </rv>
  <rv s="0">
    <fb>43768</fb>
    <v>0</v>
  </rv>
  <rv s="0">
    <fb>0.89670000000000005</fb>
    <v>2</v>
  </rv>
  <rv s="0">
    <fb>43769</fb>
    <v>0</v>
  </rv>
  <rv s="0">
    <fb>43770</fb>
    <v>0</v>
  </rv>
  <rv s="0">
    <fb>0.89529999999999998</fb>
    <v>2</v>
  </rv>
  <rv s="0">
    <fb>43773</fb>
    <v>0</v>
  </rv>
  <rv s="0">
    <fb>0.89849999999999997</fb>
    <v>2</v>
  </rv>
  <rv s="0">
    <fb>43774</fb>
    <v>0</v>
  </rv>
  <rv s="0">
    <fb>0.90290000000000004</fb>
    <v>2</v>
  </rv>
  <rv s="0">
    <fb>43775</fb>
    <v>0</v>
  </rv>
  <rv s="0">
    <fb>0.90369999999999995</fb>
    <v>2</v>
  </rv>
  <rv s="0">
    <fb>43776</fb>
    <v>0</v>
  </rv>
  <rv s="0">
    <fb>0.90480000000000005</fb>
    <v>2</v>
  </rv>
  <rv s="0">
    <fb>43777</fb>
    <v>0</v>
  </rv>
  <rv s="0">
    <fb>43780</fb>
    <v>0</v>
  </rv>
  <rv s="0">
    <fb>0.90629999999999999</fb>
    <v>2</v>
  </rv>
  <rv s="0">
    <fb>43781</fb>
    <v>0</v>
  </rv>
  <rv s="0">
    <fb>43782</fb>
    <v>0</v>
  </rv>
  <rv s="0">
    <fb>43783</fb>
    <v>0</v>
  </rv>
  <rv s="0">
    <fb>0.90700000000000003</fb>
    <v>2</v>
  </rv>
  <rv s="0">
    <fb>43784</fb>
    <v>0</v>
  </rv>
  <rv s="0">
    <fb>0.90459999999999996</fb>
    <v>2</v>
  </rv>
  <rv s="0">
    <fb>43787</fb>
    <v>0</v>
  </rv>
  <rv s="0">
    <fb>43788</fb>
    <v>0</v>
  </rv>
  <rv s="0">
    <fb>43789</fb>
    <v>0</v>
  </rv>
  <rv s="0">
    <fb>43790</fb>
    <v>0</v>
  </rv>
  <rv s="0">
    <fb>43791</fb>
    <v>0</v>
  </rv>
  <rv s="0">
    <fb>0.90690000000000004</fb>
    <v>2</v>
  </rv>
  <rv s="0">
    <fb>43794</fb>
    <v>0</v>
  </rv>
  <rv s="0">
    <fb>0.90790000000000004</fb>
    <v>2</v>
  </rv>
  <rv s="0">
    <fb>43795</fb>
    <v>0</v>
  </rv>
  <rv s="0">
    <fb>43796</fb>
    <v>0</v>
  </rv>
  <rv s="0">
    <fb>0.90910000000000002</fb>
    <v>2</v>
  </rv>
  <rv s="0">
    <fb>43797</fb>
    <v>0</v>
  </rv>
  <rv s="0">
    <fb>43798</fb>
    <v>0</v>
  </rv>
  <rv s="0">
    <fb>43801</fb>
    <v>0</v>
  </rv>
  <rv s="0">
    <fb>43802</fb>
    <v>0</v>
  </rv>
  <rv s="0">
    <fb>0.90210000000000001</fb>
    <v>2</v>
  </rv>
  <rv s="0">
    <fb>43803</fb>
    <v>0</v>
  </rv>
  <rv s="0">
    <fb>43804</fb>
    <v>0</v>
  </rv>
  <rv s="0">
    <fb>43805</fb>
    <v>0</v>
  </rv>
  <rv s="0">
    <fb>0.90410000000000001</fb>
    <v>2</v>
  </rv>
  <rv s="0">
    <fb>43808</fb>
    <v>0</v>
  </rv>
  <rv s="0">
    <fb>43809</fb>
    <v>0</v>
  </rv>
  <rv s="0">
    <fb>0.90139999999999998</fb>
    <v>2</v>
  </rv>
  <rv s="0">
    <fb>43810</fb>
    <v>0</v>
  </rv>
  <rv s="0">
    <fb>43811</fb>
    <v>0</v>
  </rv>
  <rv s="0">
    <fb>43812</fb>
    <v>0</v>
  </rv>
  <rv s="0">
    <fb>0.89900000000000002</fb>
    <v>2</v>
  </rv>
  <rv s="0">
    <fb>43815</fb>
    <v>0</v>
  </rv>
  <rv s="0">
    <fb>0.8972</fb>
    <v>2</v>
  </rv>
  <rv s="0">
    <fb>43816</fb>
    <v>0</v>
  </rv>
  <rv s="0">
    <fb>0.89680000000000004</fb>
    <v>2</v>
  </rv>
  <rv s="0">
    <fb>43817</fb>
    <v>0</v>
  </rv>
  <rv s="0">
    <fb>0.89970000000000006</fb>
    <v>2</v>
  </rv>
  <rv s="0">
    <fb>43818</fb>
    <v>0</v>
  </rv>
  <rv s="0">
    <fb>43819</fb>
    <v>0</v>
  </rv>
  <rv s="0">
    <fb>43822</fb>
    <v>0</v>
  </rv>
  <rv s="0">
    <fb>0.90169999999999995</fb>
    <v>2</v>
  </rv>
  <rv s="0">
    <fb>43823</fb>
    <v>0</v>
  </rv>
  <rv s="0">
    <fb>0.90180000000000005</fb>
    <v>2</v>
  </rv>
  <rv s="0">
    <fb>43824</fb>
    <v>0</v>
  </rv>
  <rv s="0">
    <fb>0.90149999999999997</fb>
    <v>2</v>
  </rv>
  <rv s="0">
    <fb>43825</fb>
    <v>0</v>
  </rv>
  <rv s="0">
    <fb>0.90090000000000003</fb>
    <v>2</v>
  </rv>
  <rv s="0">
    <fb>43826</fb>
    <v>0</v>
  </rv>
  <rv s="0">
    <fb>0.89459999999999995</fb>
    <v>2</v>
  </rv>
  <rv s="0">
    <fb>43829</fb>
    <v>0</v>
  </rv>
  <rv s="0">
    <fb>43830</fb>
    <v>0</v>
  </rv>
  <rv s="0">
    <fb>43831</fb>
    <v>0</v>
  </rv>
  <rv s="0">
    <fb>43832</fb>
    <v>0</v>
  </rv>
  <rv s="0">
    <fb>0.89490000000000003</fb>
    <v>2</v>
  </rv>
  <rv s="0">
    <fb>43833</fb>
    <v>0</v>
  </rv>
  <rv s="0">
    <fb>43836</fb>
    <v>0</v>
  </rv>
  <rv s="0">
    <fb>0.89290000000000003</fb>
    <v>2</v>
  </rv>
  <rv s="0">
    <fb>43837</fb>
    <v>0</v>
  </rv>
  <rv s="0">
    <fb>43838</fb>
    <v>0</v>
  </rv>
  <rv s="0">
    <fb>43839</fb>
    <v>0</v>
  </rv>
  <rv s="0">
    <fb>43840</fb>
    <v>0</v>
  </rv>
  <rv s="0">
    <fb>43843</fb>
    <v>0</v>
  </rv>
  <rv s="0">
    <fb>0.89790000000000003</fb>
    <v>2</v>
  </rv>
  <rv s="0">
    <fb>43844</fb>
    <v>0</v>
  </rv>
  <rv s="0">
    <fb>43845</fb>
    <v>0</v>
  </rv>
  <rv s="0">
    <fb>43846</fb>
    <v>0</v>
  </rv>
  <rv s="0">
    <fb>43847</fb>
    <v>0</v>
  </rv>
  <rv s="0">
    <fb>43850</fb>
    <v>0</v>
  </rv>
  <rv s="0">
    <fb>0.9012</fb>
    <v>2</v>
  </rv>
  <rv s="0">
    <fb>43851</fb>
    <v>0</v>
  </rv>
  <rv s="0">
    <fb>43852</fb>
    <v>0</v>
  </rv>
  <rv s="0">
    <fb>0.90129999999999999</fb>
    <v>2</v>
  </rv>
  <rv s="0">
    <fb>43853</fb>
    <v>0</v>
  </rv>
  <rv s="0">
    <fb>0.90449999999999997</fb>
    <v>2</v>
  </rv>
  <rv s="0">
    <fb>43854</fb>
    <v>0</v>
  </rv>
  <rv s="0">
    <fb>43857</fb>
    <v>0</v>
  </rv>
  <rv s="0">
    <fb>0.90739999999999998</fb>
    <v>2</v>
  </rv>
  <rv s="0">
    <fb>43858</fb>
    <v>0</v>
  </rv>
  <rv s="0">
    <fb>0.90710000000000002</fb>
    <v>2</v>
  </rv>
  <rv s="0">
    <fb>43859</fb>
    <v>0</v>
  </rv>
  <rv s="0">
    <fb>0.90800000000000003</fb>
    <v>2</v>
  </rv>
  <rv s="0">
    <fb>43860</fb>
    <v>0</v>
  </rv>
  <rv s="0">
    <fb>43861</fb>
    <v>0</v>
  </rv>
  <rv s="0">
    <fb>43864</fb>
    <v>0</v>
  </rv>
  <rv s="0">
    <fb>0.90400000000000003</fb>
    <v>2</v>
  </rv>
  <rv s="0">
    <fb>43865</fb>
    <v>0</v>
  </rv>
  <rv s="0">
    <fb>0.90539999999999998</fb>
    <v>2</v>
  </rv>
  <rv s="0">
    <fb>43866</fb>
    <v>0</v>
  </rv>
  <rv s="0">
    <fb>0.90900000000000003</fb>
    <v>2</v>
  </rv>
  <rv s="0">
    <fb>43867</fb>
    <v>0</v>
  </rv>
  <rv s="0">
    <fb>43868</fb>
    <v>0</v>
  </rv>
  <rv s="0">
    <fb>0.91349999999999998</fb>
    <v>2</v>
  </rv>
  <rv s="0">
    <fb>43871</fb>
    <v>0</v>
  </rv>
  <rv s="0">
    <fb>0.91639999999999999</fb>
    <v>2</v>
  </rv>
  <rv s="0">
    <fb>43872</fb>
    <v>0</v>
  </rv>
  <rv s="0">
    <fb>0.91590000000000005</fb>
    <v>2</v>
  </rv>
  <rv s="0">
    <fb>43873</fb>
    <v>0</v>
  </rv>
  <rv s="0">
    <fb>0.91949999999999998</fb>
    <v>2</v>
  </rv>
  <rv s="0">
    <fb>43874</fb>
    <v>0</v>
  </rv>
  <rv s="0">
    <fb>0.92230000000000001</fb>
    <v>2</v>
  </rv>
  <rv s="0">
    <fb>43875</fb>
    <v>0</v>
  </rv>
  <rv s="0">
    <fb>0.92300000000000004</fb>
    <v>2</v>
  </rv>
  <rv s="0">
    <fb>43878</fb>
    <v>0</v>
  </rv>
  <rv s="0">
    <fb>0.92279999999999995</fb>
    <v>2</v>
  </rv>
  <rv s="0">
    <fb>43879</fb>
    <v>0</v>
  </rv>
  <rv s="0">
    <fb>0.92649999999999999</fb>
    <v>2</v>
  </rv>
  <rv s="0">
    <fb>43880</fb>
    <v>0</v>
  </rv>
  <rv s="0">
    <fb>0.92520000000000002</fb>
    <v>2</v>
  </rv>
  <rv s="0">
    <fb>43881</fb>
    <v>0</v>
  </rv>
  <rv s="0">
    <fb>0.92710000000000004</fb>
    <v>2</v>
  </rv>
  <rv s="0">
    <fb>43882</fb>
    <v>0</v>
  </rv>
  <rv s="0">
    <fb>0.92190000000000005</fb>
    <v>2</v>
  </rv>
  <rv s="0">
    <fb>43885</fb>
    <v>0</v>
  </rv>
  <rv s="0">
    <fb>0.92110000000000003</fb>
    <v>2</v>
  </rv>
  <rv s="0">
    <fb>43886</fb>
    <v>0</v>
  </rv>
  <rv s="0">
    <fb>0.91890000000000005</fb>
    <v>2</v>
  </rv>
  <rv s="0">
    <fb>43887</fb>
    <v>0</v>
  </rv>
  <rv s="0">
    <fb>43888</fb>
    <v>0</v>
  </rv>
  <rv s="0">
    <fb>0.90890000000000004</fb>
    <v>2</v>
  </rv>
  <rv s="0">
    <fb>43889</fb>
    <v>0</v>
  </rv>
  <rv s="0">
    <fb>0.90680000000000005</fb>
    <v>2</v>
  </rv>
  <rv s="0">
    <fb>43892</fb>
    <v>0</v>
  </rv>
  <rv s="0">
    <fb>0.89800000000000002</fb>
    <v>2</v>
  </rv>
  <rv s="0">
    <fb>43893</fb>
    <v>0</v>
  </rv>
  <rv s="0">
    <fb>43894</fb>
    <v>0</v>
  </rv>
  <rv s="0">
    <fb>0.89780000000000004</fb>
    <v>2</v>
  </rv>
  <rv s="0">
    <fb>43895</fb>
    <v>0</v>
  </rv>
  <rv s="0">
    <fb>43896</fb>
    <v>0</v>
  </rv>
  <rv s="0">
    <fb>43899</fb>
    <v>0</v>
  </rv>
  <rv s="0">
    <fb>0.87329999999999997</fb>
    <v>2</v>
  </rv>
  <rv s="0">
    <fb>43900</fb>
    <v>0</v>
  </rv>
  <rv s="0">
    <fb>43901</fb>
    <v>0</v>
  </rv>
  <rv s="0">
    <fb>0.88719999999999999</fb>
    <v>2</v>
  </rv>
  <rv s="0">
    <fb>43902</fb>
    <v>0</v>
  </rv>
  <rv s="0">
    <fb>0.89390000000000003</fb>
    <v>2</v>
  </rv>
  <rv s="0">
    <fb>43903</fb>
    <v>0</v>
  </rv>
  <rv s="0">
    <fb>43906</fb>
    <v>0</v>
  </rv>
  <rv s="0">
    <fb>0.89410000000000001</fb>
    <v>2</v>
  </rv>
  <rv s="0">
    <fb>43907</fb>
    <v>0</v>
  </rv>
  <rv s="0">
    <fb>0.9093</fb>
    <v>2</v>
  </rv>
  <rv s="0">
    <fb>43908</fb>
    <v>0</v>
  </rv>
  <rv s="0">
    <fb>0.91600000000000004</fb>
    <v>2</v>
  </rv>
  <rv s="0">
    <fb>43909</fb>
    <v>0</v>
  </rv>
  <rv s="0">
    <fb>0.93510000000000004</fb>
    <v>2</v>
  </rv>
  <rv s="0">
    <fb>43910</fb>
    <v>0</v>
  </rv>
  <rv s="0">
    <fb>0.93489999999999995</fb>
    <v>2</v>
  </rv>
  <rv s="0">
    <fb>43913</fb>
    <v>0</v>
  </rv>
  <rv s="0">
    <fb>0.93240000000000001</fb>
    <v>2</v>
  </rv>
  <rv s="0">
    <fb>43914</fb>
    <v>0</v>
  </rv>
  <rv s="0">
    <fb>0.92669999999999997</fb>
    <v>2</v>
  </rv>
  <rv s="0">
    <fb>43915</fb>
    <v>0</v>
  </rv>
  <rv s="0">
    <fb>0.91879999999999995</fb>
    <v>2</v>
  </rv>
  <rv s="0">
    <fb>43916</fb>
    <v>0</v>
  </rv>
  <rv s="0">
    <fb>43917</fb>
    <v>0</v>
  </rv>
  <rv s="0">
    <fb>43920</fb>
    <v>0</v>
  </rv>
  <rv s="0">
    <fb>43921</fb>
    <v>0</v>
  </rv>
  <rv s="0">
    <fb>0.90639999999999998</fb>
    <v>2</v>
  </rv>
  <rv s="0">
    <fb>43922</fb>
    <v>0</v>
  </rv>
  <rv s="0">
    <fb>0.91190000000000004</fb>
    <v>2</v>
  </rv>
  <rv s="0">
    <fb>43923</fb>
    <v>0</v>
  </rv>
  <rv s="0">
    <fb>0.92079999999999995</fb>
    <v>2</v>
  </rv>
  <rv s="0">
    <fb>43924</fb>
    <v>0</v>
  </rv>
  <rv s="0">
    <fb>0.92510000000000003</fb>
    <v>2</v>
  </rv>
  <rv s="0">
    <fb>43927</fb>
    <v>0</v>
  </rv>
  <rv s="0">
    <fb>0.9264</fb>
    <v>2</v>
  </rv>
  <rv s="0">
    <fb>43928</fb>
    <v>0</v>
  </rv>
  <rv s="0">
    <fb>0.91800000000000004</fb>
    <v>2</v>
  </rv>
  <rv s="0">
    <fb>43929</fb>
    <v>0</v>
  </rv>
  <rv s="0">
    <fb>43930</fb>
    <v>0</v>
  </rv>
  <rv s="0">
    <fb>0.91479999999999995</fb>
    <v>2</v>
  </rv>
  <rv s="0">
    <fb>43931</fb>
    <v>0</v>
  </rv>
  <rv s="0">
    <fb>0.91420000000000001</fb>
    <v>2</v>
  </rv>
  <rv s="0">
    <fb>43934</fb>
    <v>0</v>
  </rv>
  <rv s="0">
    <fb>0.91610000000000003</fb>
    <v>2</v>
  </rv>
  <rv s="0">
    <fb>43935</fb>
    <v>0</v>
  </rv>
  <rv s="0">
    <fb>0.91049999999999998</fb>
    <v>2</v>
  </rv>
  <rv s="0">
    <fb>43936</fb>
    <v>0</v>
  </rv>
  <rv s="0">
    <fb>0.91649999999999998</fb>
    <v>2</v>
  </rv>
  <rv s="0">
    <fb>43937</fb>
    <v>0</v>
  </rv>
  <rv s="0">
    <fb>0.92259999999999998</fb>
    <v>2</v>
  </rv>
  <rv s="0">
    <fb>43938</fb>
    <v>0</v>
  </rv>
  <rv s="0">
    <fb>43941</fb>
    <v>0</v>
  </rv>
  <rv s="0">
    <fb>0.92049999999999998</fb>
    <v>2</v>
  </rv>
  <rv s="0">
    <fb>43942</fb>
    <v>0</v>
  </rv>
  <rv s="0">
    <fb>43943</fb>
    <v>0</v>
  </rv>
  <rv s="0">
    <fb>0.92390000000000005</fb>
    <v>2</v>
  </rv>
  <rv s="0">
    <fb>43944</fb>
    <v>0</v>
  </rv>
  <rv s="0">
    <fb>0.92759999999999998</fb>
    <v>2</v>
  </rv>
  <rv s="0">
    <fb>43945</fb>
    <v>0</v>
  </rv>
  <rv s="0">
    <fb>43948</fb>
    <v>0</v>
  </rv>
  <rv s="0">
    <fb>0.92320000000000002</fb>
    <v>2</v>
  </rv>
  <rv s="0">
    <fb>43949</fb>
    <v>0</v>
  </rv>
  <rv s="0">
    <fb>0.92400000000000004</fb>
    <v>2</v>
  </rv>
  <rv s="0">
    <fb>43950</fb>
    <v>0</v>
  </rv>
  <rv s="0">
    <fb>0.9194</fb>
    <v>2</v>
  </rv>
  <rv s="0">
    <fb>43951</fb>
    <v>0</v>
  </rv>
  <rv s="0">
    <fb>0.91249999999999998</fb>
    <v>2</v>
  </rv>
  <rv s="0">
    <fb>43952</fb>
    <v>0</v>
  </rv>
  <rv s="0">
    <fb>43955</fb>
    <v>0</v>
  </rv>
  <rv s="0">
    <fb>0.91659999999999997</fb>
    <v>2</v>
  </rv>
  <rv s="0">
    <fb>43956</fb>
    <v>0</v>
  </rv>
  <rv s="0">
    <fb>0.92269999999999996</fb>
    <v>2</v>
  </rv>
  <rv s="0">
    <fb>43957</fb>
    <v>0</v>
  </rv>
  <rv s="0">
    <fb>0.92630000000000001</fb>
    <v>2</v>
  </rv>
  <rv s="0">
    <fb>43958</fb>
    <v>0</v>
  </rv>
  <rv s="0">
    <fb>43959</fb>
    <v>0</v>
  </rv>
  <rv s="0">
    <fb>0.9224</fb>
    <v>2</v>
  </rv>
  <rv s="0">
    <fb>43962</fb>
    <v>0</v>
  </rv>
  <rv s="0">
    <fb>43963</fb>
    <v>0</v>
  </rv>
  <rv s="0">
    <fb>0.92169999999999996</fb>
    <v>2</v>
  </rv>
  <rv s="0">
    <fb>43964</fb>
    <v>0</v>
  </rv>
  <rv s="0">
    <fb>0.92430000000000001</fb>
    <v>2</v>
  </rv>
  <rv s="0">
    <fb>43965</fb>
    <v>0</v>
  </rv>
  <rv s="0">
    <fb>0.9254</fb>
    <v>2</v>
  </rv>
  <rv s="0">
    <fb>43966</fb>
    <v>0</v>
  </rv>
  <rv s="0">
    <fb>0.92449999999999999</fb>
    <v>2</v>
  </rv>
  <rv s="0">
    <fb>43969</fb>
    <v>0</v>
  </rv>
  <rv s="0">
    <fb>0.9163</fb>
    <v>2</v>
  </rv>
  <rv s="0">
    <fb>43970</fb>
    <v>0</v>
  </rv>
  <rv s="0">
    <fb>0.9153</fb>
    <v>2</v>
  </rv>
  <rv s="0">
    <fb>43971</fb>
    <v>0</v>
  </rv>
  <rv s="0">
    <fb>43972</fb>
    <v>0</v>
  </rv>
  <rv s="0">
    <fb>0.91310000000000002</fb>
    <v>2</v>
  </rv>
  <rv s="0">
    <fb>43973</fb>
    <v>0</v>
  </rv>
  <rv s="0">
    <fb>0.91720000000000002</fb>
    <v>2</v>
  </rv>
  <rv s="0">
    <fb>43976</fb>
    <v>0</v>
  </rv>
  <rv s="0">
    <fb>43977</fb>
    <v>0</v>
  </rv>
  <rv s="0">
    <fb>43978</fb>
    <v>0</v>
  </rv>
  <rv s="0">
    <fb>0.90849999999999997</fb>
    <v>2</v>
  </rv>
  <rv s="0">
    <fb>43979</fb>
    <v>0</v>
  </rv>
  <rv s="0">
    <fb>0.90259999999999996</fb>
    <v>2</v>
  </rv>
  <rv s="0">
    <fb>43980</fb>
    <v>0</v>
  </rv>
  <rv s="0">
    <fb>43983</fb>
    <v>0</v>
  </rv>
  <rv s="0">
    <fb>43984</fb>
    <v>0</v>
  </rv>
  <rv s="0">
    <fb>43985</fb>
    <v>0</v>
  </rv>
  <rv s="0">
    <fb>0.89</fb>
    <v>2</v>
  </rv>
  <rv s="0">
    <fb>43986</fb>
    <v>0</v>
  </rv>
  <rv s="0">
    <fb>0.88180000000000003</fb>
    <v>2</v>
  </rv>
  <rv s="0">
    <fb>43987</fb>
    <v>0</v>
  </rv>
  <rv s="0">
    <fb>0.88590000000000002</fb>
    <v>2</v>
  </rv>
  <rv s="0">
    <fb>43990</fb>
    <v>0</v>
  </rv>
  <rv s="0">
    <fb>43991</fb>
    <v>0</v>
  </rv>
  <rv s="0">
    <fb>43992</fb>
    <v>0</v>
  </rv>
  <rv s="0">
    <fb>0.87929999999999997</fb>
    <v>2</v>
  </rv>
  <rv s="0">
    <fb>43993</fb>
    <v>0</v>
  </rv>
  <rv s="0">
    <fb>0.88490000000000002</fb>
    <v>2</v>
  </rv>
  <rv s="0">
    <fb>43994</fb>
    <v>0</v>
  </rv>
  <rv s="0">
    <fb>0.88829999999999998</fb>
    <v>2</v>
  </rv>
  <rv s="0">
    <fb>43997</fb>
    <v>0</v>
  </rv>
  <rv s="0">
    <fb>0.88300000000000001</fb>
    <v>2</v>
  </rv>
  <rv s="0">
    <fb>43998</fb>
    <v>0</v>
  </rv>
  <rv s="0">
    <fb>0.88759999999999994</fb>
    <v>2</v>
  </rv>
  <rv s="0">
    <fb>43999</fb>
    <v>0</v>
  </rv>
  <rv s="0">
    <fb>44000</fb>
    <v>0</v>
  </rv>
  <rv s="0">
    <fb>44001</fb>
    <v>0</v>
  </rv>
  <rv s="0">
    <fb>0.89449999999999996</fb>
    <v>2</v>
  </rv>
  <rv s="0">
    <fb>44004</fb>
    <v>0</v>
  </rv>
  <rv s="0">
    <fb>44005</fb>
    <v>0</v>
  </rv>
  <rv s="0">
    <fb>44006</fb>
    <v>0</v>
  </rv>
  <rv s="0">
    <fb>44007</fb>
    <v>0</v>
  </rv>
  <rv s="0">
    <fb>44008</fb>
    <v>0</v>
  </rv>
  <rv s="0">
    <fb>0.89119999999999999</fb>
    <v>2</v>
  </rv>
  <rv s="0">
    <fb>44011</fb>
    <v>0</v>
  </rv>
  <rv s="0">
    <fb>44012</fb>
    <v>0</v>
  </rv>
  <rv s="0">
    <fb>44013</fb>
    <v>0</v>
  </rv>
  <rv s="0">
    <fb>0.88859999999999995</fb>
    <v>2</v>
  </rv>
  <rv s="0">
    <fb>44014</fb>
    <v>0</v>
  </rv>
  <rv s="0">
    <fb>0.88970000000000005</fb>
    <v>2</v>
  </rv>
  <rv s="0">
    <fb>44015</fb>
    <v>0</v>
  </rv>
  <rv s="0">
    <fb>0.88890000000000002</fb>
    <v>2</v>
  </rv>
  <rv s="0">
    <fb>44018</fb>
    <v>0</v>
  </rv>
  <rv s="0">
    <fb>44019</fb>
    <v>0</v>
  </rv>
  <rv s="0">
    <fb>44020</fb>
    <v>0</v>
  </rv>
  <rv s="0">
    <fb>0.88249999999999995</fb>
    <v>2</v>
  </rv>
  <rv s="0">
    <fb>44021</fb>
    <v>0</v>
  </rv>
  <rv s="0">
    <fb>44022</fb>
    <v>0</v>
  </rv>
  <rv s="0">
    <fb>0.88480000000000003</fb>
    <v>2</v>
  </rv>
  <rv s="0">
    <fb>44025</fb>
    <v>0</v>
  </rv>
  <rv s="0">
    <fb>44026</fb>
    <v>0</v>
  </rv>
  <rv s="0">
    <fb>44027</fb>
    <v>0</v>
  </rv>
  <rv s="0">
    <fb>0.87619999999999998</fb>
    <v>2</v>
  </rv>
  <rv s="0">
    <fb>44028</fb>
    <v>0</v>
  </rv>
  <rv s="0">
    <fb>0.87829999999999997</fb>
    <v>2</v>
  </rv>
  <rv s="0">
    <fb>44029</fb>
    <v>0</v>
  </rv>
  <rv s="0">
    <fb>0.87490000000000001</fb>
    <v>2</v>
  </rv>
  <rv s="0">
    <fb>44032</fb>
    <v>0</v>
  </rv>
  <rv s="0">
    <fb>44033</fb>
    <v>0</v>
  </rv>
  <rv s="0">
    <fb>0.86739999999999995</fb>
    <v>2</v>
  </rv>
  <rv s="0">
    <fb>44034</fb>
    <v>0</v>
  </rv>
  <rv s="0">
    <fb>0.86419999999999997</fb>
    <v>2</v>
  </rv>
  <rv s="0">
    <fb>44035</fb>
    <v>0</v>
  </rv>
  <rv s="0">
    <fb>0.86219999999999997</fb>
    <v>2</v>
  </rv>
  <rv s="0">
    <fb>44036</fb>
    <v>0</v>
  </rv>
  <rv s="0">
    <fb>0.85780000000000001</fb>
    <v>2</v>
  </rv>
  <rv s="0">
    <fb>44039</fb>
    <v>0</v>
  </rv>
  <rv s="0">
    <fb>0.85089999999999999</fb>
    <v>2</v>
  </rv>
  <rv s="0">
    <fb>44040</fb>
    <v>0</v>
  </rv>
  <rv s="0">
    <fb>0.85340000000000005</fb>
    <v>2</v>
  </rv>
  <rv s="0">
    <fb>44041</fb>
    <v>0</v>
  </rv>
  <rv s="0">
    <fb>0.84789999999999999</fb>
    <v>2</v>
  </rv>
  <rv s="0">
    <fb>44042</fb>
    <v>0</v>
  </rv>
  <rv s="0">
    <fb>0.84399999999999997</fb>
    <v>2</v>
  </rv>
  <rv s="0">
    <fb>44043</fb>
    <v>0</v>
  </rv>
  <rv s="0">
    <fb>0.8488</fb>
    <v>2</v>
  </rv>
  <rv s="0">
    <fb>44046</fb>
    <v>0</v>
  </rv>
  <rv s="0">
    <fb>0.85</fb>
    <v>2</v>
  </rv>
  <rv s="0">
    <fb>44047</fb>
    <v>0</v>
  </rv>
  <rv s="0">
    <fb>0.84709999999999996</fb>
    <v>2</v>
  </rv>
  <rv s="0">
    <fb>44048</fb>
    <v>0</v>
  </rv>
  <rv s="0">
    <fb>0.84279999999999999</fb>
    <v>2</v>
  </rv>
  <rv s="0">
    <fb>44049</fb>
    <v>0</v>
  </rv>
  <rv s="0">
    <fb>0.84189999999999998</fb>
    <v>2</v>
  </rv>
  <rv s="0">
    <fb>44050</fb>
    <v>0</v>
  </rv>
  <rv s="0">
    <fb>0.84819999999999995</fb>
    <v>2</v>
  </rv>
  <rv s="0">
    <fb>44053</fb>
    <v>0</v>
  </rv>
  <rv s="0">
    <fb>0.8518</fb>
    <v>2</v>
  </rv>
  <rv s="0">
    <fb>44054</fb>
    <v>0</v>
  </rv>
  <rv s="0">
    <fb>0.85170000000000001</fb>
    <v>2</v>
  </rv>
  <rv s="0">
    <fb>44055</fb>
    <v>0</v>
  </rv>
  <rv s="0">
    <fb>0.84850000000000003</fb>
    <v>2</v>
  </rv>
  <rv s="0">
    <fb>44056</fb>
    <v>0</v>
  </rv>
  <rv s="0">
    <fb>0.84630000000000005</fb>
    <v>2</v>
  </rv>
  <rv s="0">
    <fb>44057</fb>
    <v>0</v>
  </rv>
  <rv s="0">
    <fb>0.84430000000000005</fb>
    <v>2</v>
  </rv>
  <rv s="0">
    <fb>44060</fb>
    <v>0</v>
  </rv>
  <rv s="0">
    <fb>0.84240000000000004</fb>
    <v>2</v>
  </rv>
  <rv s="0">
    <fb>44061</fb>
    <v>0</v>
  </rv>
  <rv s="0">
    <fb>0.83809999999999996</fb>
    <v>2</v>
  </rv>
  <rv s="0">
    <fb>44062</fb>
    <v>0</v>
  </rv>
  <rv s="0">
    <fb>0.84470000000000001</fb>
    <v>2</v>
  </rv>
  <rv s="0">
    <fb>44063</fb>
    <v>0</v>
  </rv>
  <rv s="0">
    <fb>0.84299999999999997</fb>
    <v>2</v>
  </rv>
  <rv s="0">
    <fb>44064</fb>
    <v>0</v>
  </rv>
  <rv s="0">
    <fb>0.84750000000000003</fb>
    <v>2</v>
  </rv>
  <rv s="0">
    <fb>44067</fb>
    <v>0</v>
  </rv>
  <rv s="0">
    <fb>44068</fb>
    <v>0</v>
  </rv>
  <rv s="0">
    <fb>0.84489999999999998</fb>
    <v>2</v>
  </rv>
  <rv s="0">
    <fb>44069</fb>
    <v>0</v>
  </rv>
  <rv s="0">
    <fb>0.84519999999999995</fb>
    <v>2</v>
  </rv>
  <rv s="0">
    <fb>44070</fb>
    <v>0</v>
  </rv>
  <rv s="0">
    <fb>0.8458</fb>
    <v>2</v>
  </rv>
  <rv s="0">
    <fb>44071</fb>
    <v>0</v>
  </rv>
  <rv s="0">
    <fb>0.83979999999999999</fb>
    <v>2</v>
  </rv>
  <rv s="0">
    <fb>44074</fb>
    <v>0</v>
  </rv>
  <rv s="0">
    <fb>0.8377</fb>
    <v>2</v>
  </rv>
  <rv s="0">
    <fb>44075</fb>
    <v>0</v>
  </rv>
  <rv s="0">
    <fb>0.83930000000000005</fb>
    <v>2</v>
  </rv>
  <rv s="0">
    <fb>44076</fb>
    <v>0</v>
  </rv>
  <rv s="0">
    <fb>0.84340000000000004</fb>
    <v>2</v>
  </rv>
  <rv s="0">
    <fb>44077</fb>
    <v>0</v>
  </rv>
  <rv s="0">
    <fb>0.84370000000000001</fb>
    <v>2</v>
  </rv>
  <rv s="0">
    <fb>44078</fb>
    <v>0</v>
  </rv>
  <rv s="0">
    <fb>0.84450000000000003</fb>
    <v>2</v>
  </rv>
  <rv s="0">
    <fb>44081</fb>
    <v>0</v>
  </rv>
  <rv s="0">
    <fb>0.84609999999999996</fb>
    <v>2</v>
  </rv>
  <rv s="0">
    <fb>44082</fb>
    <v>0</v>
  </rv>
  <rv s="0">
    <fb>0.84899999999999998</fb>
    <v>2</v>
  </rv>
  <rv s="0">
    <fb>44083</fb>
    <v>0</v>
  </rv>
  <rv s="0">
    <fb>0.84719999999999995</fb>
    <v>2</v>
  </rv>
  <rv s="0">
    <fb>44084</fb>
    <v>0</v>
  </rv>
  <rv s="0">
    <fb>0.84619999999999995</fb>
    <v>2</v>
  </rv>
  <rv s="0">
    <fb>44085</fb>
    <v>0</v>
  </rv>
  <rv s="0">
    <fb>44088</fb>
    <v>0</v>
  </rv>
  <rv s="0">
    <fb>0.84250000000000003</fb>
    <v>2</v>
  </rv>
  <rv s="0">
    <fb>44089</fb>
    <v>0</v>
  </rv>
  <rv s="0">
    <fb>44090</fb>
    <v>0</v>
  </rv>
  <rv s="0">
    <fb>44091</fb>
    <v>0</v>
  </rv>
  <rv s="0">
    <fb>0.84389999999999998</fb>
    <v>2</v>
  </rv>
  <rv s="0">
    <fb>44092</fb>
    <v>0</v>
  </rv>
  <rv s="0">
    <fb>44095</fb>
    <v>0</v>
  </rv>
  <rv s="0">
    <fb>0.84940000000000004</fb>
    <v>2</v>
  </rv>
  <rv s="0">
    <fb>44096</fb>
    <v>0</v>
  </rv>
  <rv s="0">
    <fb>0.85399999999999998</fb>
    <v>2</v>
  </rv>
  <rv s="0">
    <fb>44097</fb>
    <v>0</v>
  </rv>
  <rv s="0">
    <fb>0.85740000000000005</fb>
    <v>2</v>
  </rv>
  <rv s="0">
    <fb>44098</fb>
    <v>0</v>
  </rv>
  <rv s="0">
    <fb>0.85650000000000004</fb>
    <v>2</v>
  </rv>
  <rv s="0">
    <fb>44099</fb>
    <v>0</v>
  </rv>
  <rv s="0">
    <fb>0.85950000000000004</fb>
    <v>2</v>
  </rv>
  <rv s="0">
    <fb>44102</fb>
    <v>0</v>
  </rv>
  <rv s="0">
    <fb>0.85699999999999998</fb>
    <v>2</v>
  </rv>
  <rv s="0">
    <fb>44103</fb>
    <v>0</v>
  </rv>
  <rv s="0">
    <fb>0.85140000000000005</fb>
    <v>2</v>
  </rv>
  <rv s="0">
    <fb>44104</fb>
    <v>0</v>
  </rv>
  <rv s="0">
    <fb>0.85309999999999997</fb>
    <v>2</v>
  </rv>
  <rv s="0">
    <fb>44105</fb>
    <v>0</v>
  </rv>
  <rv s="0">
    <fb>0.85099999999999998</fb>
    <v>2</v>
  </rv>
  <rv s="0">
    <fb>44106</fb>
    <v>0</v>
  </rv>
  <rv s="0">
    <fb>44109</fb>
    <v>0</v>
  </rv>
  <rv s="0">
    <fb>44110</fb>
    <v>0</v>
  </rv>
  <rv s="0">
    <fb>0.85209999999999997</fb>
    <v>2</v>
  </rv>
  <rv s="0">
    <fb>44111</fb>
    <v>0</v>
  </rv>
  <rv s="0">
    <fb>0.85009999999999997</fb>
    <v>2</v>
  </rv>
  <rv s="0">
    <fb>44112</fb>
    <v>0</v>
  </rv>
  <rv s="0">
    <fb>0.85029999999999994</fb>
    <v>2</v>
  </rv>
  <rv s="0">
    <fb>44113</fb>
    <v>0</v>
  </rv>
  <rv s="0">
    <fb>0.84550000000000003</fb>
    <v>2</v>
  </rv>
  <rv s="0">
    <fb>44116</fb>
    <v>0</v>
  </rv>
  <rv s="0">
    <fb>0.84640000000000004</fb>
    <v>2</v>
  </rv>
  <rv s="0">
    <fb>44117</fb>
    <v>0</v>
  </rv>
  <rv s="0">
    <fb>0.85119999999999996</fb>
    <v>2</v>
  </rv>
  <rv s="0">
    <fb>44118</fb>
    <v>0</v>
  </rv>
  <rv s="0">
    <fb>44119</fb>
    <v>0</v>
  </rv>
  <rv s="0">
    <fb>44120</fb>
    <v>0</v>
  </rv>
  <rv s="0">
    <fb>0.85319999999999996</fb>
    <v>2</v>
  </rv>
  <rv s="0">
    <fb>44123</fb>
    <v>0</v>
  </rv>
  <rv s="0">
    <fb>0.8498</fb>
    <v>2</v>
  </rv>
  <rv s="0">
    <fb>44124</fb>
    <v>0</v>
  </rv>
  <rv s="0">
    <fb>0.84570000000000001</fb>
    <v>2</v>
  </rv>
  <rv s="0">
    <fb>44125</fb>
    <v>0</v>
  </rv>
  <rv s="0">
    <fb>44126</fb>
    <v>0</v>
  </rv>
  <rv s="0">
    <fb>0.84599999999999997</fb>
    <v>2</v>
  </rv>
  <rv s="0">
    <fb>44127</fb>
    <v>0</v>
  </rv>
  <rv s="0">
    <fb>44130</fb>
    <v>0</v>
  </rv>
  <rv s="0">
    <fb>0.84670000000000001</fb>
    <v>2</v>
  </rv>
  <rv s="0">
    <fb>44131</fb>
    <v>0</v>
  </rv>
  <rv s="0">
    <fb>0.84770000000000001</fb>
    <v>2</v>
  </rv>
  <rv s="0">
    <fb>44132</fb>
    <v>0</v>
  </rv>
  <rv s="0">
    <fb>44133</fb>
    <v>0</v>
  </rv>
  <rv s="0">
    <fb>44134</fb>
    <v>0</v>
  </rv>
  <rv s="0">
    <fb>0.85829999999999995</fb>
    <v>2</v>
  </rv>
  <rv s="0">
    <fb>44137</fb>
    <v>0</v>
  </rv>
  <rv s="0">
    <fb>0.8589</fb>
    <v>2</v>
  </rv>
  <rv s="0">
    <fb>44138</fb>
    <v>0</v>
  </rv>
  <rv s="0">
    <fb>44139</fb>
    <v>0</v>
  </rv>
  <rv s="0">
    <fb>0.85270000000000001</fb>
    <v>2</v>
  </rv>
  <rv s="0">
    <fb>44140</fb>
    <v>0</v>
  </rv>
  <rv s="0">
    <fb>0.84540000000000004</fb>
    <v>2</v>
  </rv>
  <rv s="0">
    <fb>44141</fb>
    <v>0</v>
  </rv>
  <rv s="0">
    <fb>0.84199999999999997</fb>
    <v>2</v>
  </rv>
  <rv s="0">
    <fb>44144</fb>
    <v>0</v>
  </rv>
  <rv s="0">
    <fb>44145</fb>
    <v>0</v>
  </rv>
  <rv s="0">
    <fb>44146</fb>
    <v>0</v>
  </rv>
  <rv s="0">
    <fb>44147</fb>
    <v>0</v>
  </rv>
  <rv s="0">
    <fb>0.84689999999999999</fb>
    <v>2</v>
  </rv>
  <rv s="0">
    <fb>44148</fb>
    <v>0</v>
  </rv>
  <rv s="0">
    <fb>44151</fb>
    <v>0</v>
  </rv>
  <rv s="0">
    <fb>0.84350000000000003</fb>
    <v>2</v>
  </rv>
  <rv s="0">
    <fb>44152</fb>
    <v>0</v>
  </rv>
  <rv s="0">
    <fb>44153</fb>
    <v>0</v>
  </rv>
  <rv s="0">
    <fb>44154</fb>
    <v>0</v>
  </rv>
  <rv s="0">
    <fb>44155</fb>
    <v>0</v>
  </rv>
  <rv s="0">
    <fb>44158</fb>
    <v>0</v>
  </rv>
  <rv s="0">
    <fb>44159</fb>
    <v>0</v>
  </rv>
  <rv s="0">
    <fb>0.84079999999999999</fb>
    <v>2</v>
  </rv>
  <rv s="0">
    <fb>44160</fb>
    <v>0</v>
  </rv>
  <rv s="0">
    <fb>0.83919999999999995</fb>
    <v>2</v>
  </rv>
  <rv s="0">
    <fb>44161</fb>
    <v>0</v>
  </rv>
  <rv s="0">
    <fb>44162</fb>
    <v>0</v>
  </rv>
  <rv s="0">
    <fb>0.83579999999999999</fb>
    <v>2</v>
  </rv>
  <rv s="0">
    <fb>44165</fb>
    <v>0</v>
  </rv>
  <rv s="0">
    <fb>44166</fb>
    <v>0</v>
  </rv>
  <rv s="0">
    <fb>0.82840000000000003</fb>
    <v>2</v>
  </rv>
  <rv s="0">
    <fb>44167</fb>
    <v>0</v>
  </rv>
  <rv s="0">
    <fb>0.82530000000000003</fb>
    <v>2</v>
  </rv>
  <rv s="0">
    <fb>44168</fb>
    <v>0</v>
  </rv>
  <rv s="0">
    <fb>0.82340000000000002</fb>
    <v>2</v>
  </rv>
  <rv s="0">
    <fb>44169</fb>
    <v>0</v>
  </rv>
  <rv s="0">
    <fb>0.82479999999999998</fb>
    <v>2</v>
  </rv>
  <rv s="0">
    <fb>44172</fb>
    <v>0</v>
  </rv>
  <rv s="0">
    <fb>0.82569999999999999</fb>
    <v>2</v>
  </rv>
  <rv s="0">
    <fb>44173</fb>
    <v>0</v>
  </rv>
  <rv s="0">
    <fb>0.82609999999999995</fb>
    <v>2</v>
  </rv>
  <rv s="0">
    <fb>44174</fb>
    <v>0</v>
  </rv>
  <rv s="0">
    <fb>0.8276</fb>
    <v>2</v>
  </rv>
  <rv s="0">
    <fb>44175</fb>
    <v>0</v>
  </rv>
  <rv s="0">
    <fb>0.82369999999999999</fb>
    <v>2</v>
  </rv>
  <rv s="0">
    <fb>44176</fb>
    <v>0</v>
  </rv>
  <rv s="0">
    <fb>0.82540000000000002</fb>
    <v>2</v>
  </rv>
  <rv s="0">
    <fb>44179</fb>
    <v>0</v>
  </rv>
  <rv s="0">
    <fb>0.82330000000000003</fb>
    <v>2</v>
  </rv>
  <rv s="0">
    <fb>44180</fb>
    <v>0</v>
  </rv>
  <rv s="0">
    <fb>0.82269999999999999</fb>
    <v>2</v>
  </rv>
  <rv s="0">
    <fb>44181</fb>
    <v>0</v>
  </rv>
  <rv s="0">
    <fb>0.8196</fb>
    <v>2</v>
  </rv>
  <rv s="0">
    <fb>44182</fb>
    <v>0</v>
  </rv>
  <rv s="0">
    <fb>0.81499999999999995</fb>
    <v>2</v>
  </rv>
  <rv s="0">
    <fb>44183</fb>
    <v>0</v>
  </rv>
  <rv s="0">
    <fb>0.81569999999999998</fb>
    <v>2</v>
  </rv>
  <rv s="0">
    <fb>44186</fb>
    <v>0</v>
  </rv>
  <rv s="0">
    <fb>0.81669999999999998</fb>
    <v>2</v>
  </rv>
  <rv s="0">
    <fb>44187</fb>
    <v>0</v>
  </rv>
  <rv s="0">
    <fb>0.82199999999999995</fb>
    <v>2</v>
  </rv>
  <rv s="0">
    <fb>44188</fb>
    <v>0</v>
  </rv>
  <rv s="0">
    <fb>0.82040000000000002</fb>
    <v>2</v>
  </rv>
  <rv s="0">
    <fb>44189</fb>
    <v>0</v>
  </rv>
  <rv s="0">
    <fb>0.82050000000000001</fb>
    <v>2</v>
  </rv>
  <rv s="0">
    <fb>44190</fb>
    <v>0</v>
  </rv>
  <rv s="0">
    <fb>0.81910000000000005</fb>
    <v>2</v>
  </rv>
  <rv s="0">
    <fb>44193</fb>
    <v>0</v>
  </rv>
  <rv s="0">
    <fb>0.81840000000000002</fb>
    <v>2</v>
  </rv>
  <rv s="0">
    <fb>44194</fb>
    <v>0</v>
  </rv>
  <rv s="0">
    <fb>0.81630000000000003</fb>
    <v>2</v>
  </rv>
  <rv s="0">
    <fb>44195</fb>
    <v>0</v>
  </rv>
  <rv s="0">
    <fb>0.81310000000000004</fb>
    <v>2</v>
  </rv>
  <rv s="0">
    <fb>44196</fb>
    <v>0</v>
  </rv>
  <rv s="0">
    <fb>0.81850000000000001</fb>
    <v>2</v>
  </rv>
  <rv s="0">
    <fb>44197</fb>
    <v>0</v>
  </rv>
  <rv s="0">
    <fb>44200</fb>
    <v>0</v>
  </rv>
  <rv s="0">
    <fb>0.81620000000000004</fb>
    <v>2</v>
  </rv>
  <rv s="0">
    <fb>44201</fb>
    <v>0</v>
  </rv>
  <rv s="0">
    <fb>0.81299999999999994</fb>
    <v>2</v>
  </rv>
  <rv s="0">
    <fb>44202</fb>
    <v>0</v>
  </rv>
  <rv s="0">
    <fb>0.81110000000000004</fb>
    <v>2</v>
  </rv>
  <rv s="0">
    <fb>44203</fb>
    <v>0</v>
  </rv>
  <rv s="0">
    <fb>0.81469999999999998</fb>
    <v>2</v>
  </rv>
  <rv s="0">
    <fb>44204</fb>
    <v>0</v>
  </rv>
  <rv s="0">
    <fb>0.81830000000000003</fb>
    <v>2</v>
  </rv>
  <rv s="0">
    <fb>44207</fb>
    <v>0</v>
  </rv>
  <rv s="0">
    <fb>0.82279999999999998</fb>
    <v>2</v>
  </rv>
  <rv s="0">
    <fb>44208</fb>
    <v>0</v>
  </rv>
  <rv s="0">
    <fb>44209</fb>
    <v>0</v>
  </rv>
  <rv s="0">
    <fb>0.82250000000000001</fb>
    <v>2</v>
  </rv>
  <rv s="0">
    <fb>44210</fb>
    <v>0</v>
  </rv>
  <rv s="0">
    <fb>0.82240000000000002</fb>
    <v>2</v>
  </rv>
  <rv s="0">
    <fb>44211</fb>
    <v>0</v>
  </rv>
  <rv s="0">
    <fb>0.82769999999999999</fb>
    <v>2</v>
  </rv>
  <rv s="0">
    <fb>44214</fb>
    <v>0</v>
  </rv>
  <rv s="0">
    <fb>0.82779999999999998</fb>
    <v>2</v>
  </rv>
  <rv s="0">
    <fb>44215</fb>
    <v>0</v>
  </rv>
  <rv s="0">
    <fb>0.82440000000000002</fb>
    <v>2</v>
  </rv>
  <rv s="0">
    <fb>44216</fb>
    <v>0</v>
  </rv>
  <rv s="0">
    <fb>0.82589999999999997</fb>
    <v>2</v>
  </rv>
  <rv s="0">
    <fb>44217</fb>
    <v>0</v>
  </rv>
  <rv s="0">
    <fb>44218</fb>
    <v>0</v>
  </rv>
  <rv s="0">
    <fb>0.82179999999999997</fb>
    <v>2</v>
  </rv>
  <rv s="0">
    <fb>44221</fb>
    <v>0</v>
  </rv>
  <rv s="0">
    <fb>44222</fb>
    <v>0</v>
  </rv>
  <rv s="0">
    <fb>0.82220000000000004</fb>
    <v>2</v>
  </rv>
  <rv s="0">
    <fb>44223</fb>
    <v>0</v>
  </rv>
  <rv s="0">
    <fb>0.8256</fb>
    <v>2</v>
  </rv>
  <rv s="0">
    <fb>44224</fb>
    <v>0</v>
  </rv>
  <rv s="0">
    <fb>0.82469999999999999</fb>
    <v>2</v>
  </rv>
  <rv s="0">
    <fb>44225</fb>
    <v>0</v>
  </rv>
  <rv s="0">
    <fb>0.82389999999999997</fb>
    <v>2</v>
  </rv>
  <rv s="0">
    <fb>44228</fb>
    <v>0</v>
  </rv>
  <rv s="0">
    <fb>0.82909999999999995</fb>
    <v>2</v>
  </rv>
  <rv s="0">
    <fb>44229</fb>
    <v>0</v>
  </rv>
  <rv s="0">
    <fb>0.83020000000000005</fb>
    <v>2</v>
  </rv>
  <rv s="0">
    <fb>44230</fb>
    <v>0</v>
  </rv>
  <rv s="0">
    <fb>0.83099999999999996</fb>
    <v>2</v>
  </rv>
  <rv s="0">
    <fb>44231</fb>
    <v>0</v>
  </rv>
  <rv s="0">
    <fb>0.83589999999999998</fb>
    <v>2</v>
  </rv>
  <rv s="0">
    <fb>44232</fb>
    <v>0</v>
  </rv>
  <rv s="0">
    <fb>44235</fb>
    <v>0</v>
  </rv>
  <rv s="0">
    <fb>0.82989999999999997</fb>
    <v>2</v>
  </rv>
  <rv s="0">
    <fb>44236</fb>
    <v>0</v>
  </rv>
  <rv s="0">
    <fb>0.82499999999999996</fb>
    <v>2</v>
  </rv>
  <rv s="0">
    <fb>44237</fb>
    <v>0</v>
  </rv>
  <rv s="0">
    <fb>0.82509999999999994</fb>
    <v>2</v>
  </rv>
  <rv s="0">
    <fb>44238</fb>
    <v>0</v>
  </rv>
  <rv s="0">
    <fb>0.82430000000000003</fb>
    <v>2</v>
  </rv>
  <rv s="0">
    <fb>44239</fb>
    <v>0</v>
  </rv>
  <rv s="0">
    <fb>0.82489999999999997</fb>
    <v>2</v>
  </rv>
  <rv s="0">
    <fb>44242</fb>
    <v>0</v>
  </rv>
  <rv s="0">
    <fb>44243</fb>
    <v>0</v>
  </rv>
  <rv s="0">
    <fb>0.82579999999999998</fb>
    <v>2</v>
  </rv>
  <rv s="0">
    <fb>44244</fb>
    <v>0</v>
  </rv>
  <rv s="0">
    <fb>0.8306</fb>
    <v>2</v>
  </rv>
  <rv s="0">
    <fb>44245</fb>
    <v>0</v>
  </rv>
  <rv s="0">
    <fb>0.82699999999999996</fb>
    <v>2</v>
  </rv>
  <rv s="0">
    <fb>44246</fb>
    <v>0</v>
  </rv>
  <rv s="0">
    <fb>44249</fb>
    <v>0</v>
  </rv>
  <rv s="0">
    <fb>44250</fb>
    <v>0</v>
  </rv>
  <rv s="0">
    <fb>0.82299999999999995</fb>
    <v>2</v>
  </rv>
  <rv s="0">
    <fb>44251</fb>
    <v>0</v>
  </rv>
  <rv s="0">
    <fb>44252</fb>
    <v>0</v>
  </rv>
  <rv s="0">
    <fb>0.82110000000000005</fb>
    <v>2</v>
  </rv>
  <rv s="0">
    <fb>44253</fb>
    <v>0</v>
  </rv>
  <rv s="0">
    <fb>0.82799999999999996</fb>
    <v>2</v>
  </rv>
  <rv s="0">
    <fb>44256</fb>
    <v>0</v>
  </rv>
  <rv s="0">
    <fb>0.82979999999999998</fb>
    <v>2</v>
  </rv>
  <rv s="0">
    <fb>44257</fb>
    <v>0</v>
  </rv>
  <rv s="0">
    <fb>0.82689999999999997</fb>
    <v>2</v>
  </rv>
  <rv s="0">
    <fb>44258</fb>
    <v>0</v>
  </rv>
  <rv s="0">
    <fb>0.82879999999999998</fb>
    <v>2</v>
  </rv>
  <rv s="0">
    <fb>44259</fb>
    <v>0</v>
  </rv>
  <rv s="0">
    <fb>0.83540000000000003</fb>
    <v>2</v>
  </rv>
  <rv s="0">
    <fb>44260</fb>
    <v>0</v>
  </rv>
  <rv s="0">
    <fb>0.83899999999999997</fb>
    <v>2</v>
  </rv>
  <rv s="0">
    <fb>44263</fb>
    <v>0</v>
  </rv>
  <rv s="0">
    <fb>0.84409999999999996</fb>
    <v>2</v>
  </rv>
  <rv s="0">
    <fb>44264</fb>
    <v>0</v>
  </rv>
  <rv s="0">
    <fb>0.84019999999999995</fb>
    <v>2</v>
  </rv>
  <rv s="0">
    <fb>44265</fb>
    <v>0</v>
  </rv>
  <rv s="0">
    <fb>0.83830000000000005</fb>
    <v>2</v>
  </rv>
  <rv s="0">
    <fb>44266</fb>
    <v>0</v>
  </rv>
  <rv s="0">
    <fb>0.83420000000000005</fb>
    <v>2</v>
  </rv>
  <rv s="0">
    <fb>44267</fb>
    <v>0</v>
  </rv>
  <rv s="0">
    <fb>0.83640000000000003</fb>
    <v>2</v>
  </rv>
  <rv s="0">
    <fb>44270</fb>
    <v>0</v>
  </rv>
  <rv s="0">
    <fb>44271</fb>
    <v>0</v>
  </rv>
  <rv s="0">
    <fb>0.84009999999999996</fb>
    <v>2</v>
  </rv>
  <rv s="0">
    <fb>44272</fb>
    <v>0</v>
  </rv>
  <rv s="0">
    <fb>0.8347</fb>
    <v>2</v>
  </rv>
  <rv s="0">
    <fb>44273</fb>
    <v>0</v>
  </rv>
  <rv s="0">
    <fb>44274</fb>
    <v>0</v>
  </rv>
  <rv s="0">
    <fb>0.84</fb>
    <v>2</v>
  </rv>
  <rv s="0">
    <fb>44277</fb>
    <v>0</v>
  </rv>
  <rv s="0">
    <fb>44278</fb>
    <v>0</v>
  </rv>
  <rv s="0">
    <fb>44279</fb>
    <v>0</v>
  </rv>
  <rv s="0">
    <fb>0.84650000000000003</fb>
    <v>2</v>
  </rv>
  <rv s="0">
    <fb>44280</fb>
    <v>0</v>
  </rv>
  <rv s="0">
    <fb>44281</fb>
    <v>0</v>
  </rv>
  <rv s="0">
    <fb>0.8478</fb>
    <v>2</v>
  </rv>
  <rv s="0">
    <fb>44284</fb>
    <v>0</v>
  </rv>
  <rv s="0">
    <fb>0.84989999999999999</fb>
    <v>2</v>
  </rv>
  <rv s="0">
    <fb>44285</fb>
    <v>0</v>
  </rv>
  <rv s="0">
    <fb>44286</fb>
    <v>0</v>
  </rv>
  <rv s="0">
    <fb>0.85240000000000005</fb>
    <v>2</v>
  </rv>
  <rv s="0">
    <fb>44287</fb>
    <v>0</v>
  </rv>
  <rv s="0">
    <fb>44288</fb>
    <v>0</v>
  </rv>
  <rv s="0">
    <fb>44291</fb>
    <v>0</v>
  </rv>
  <rv s="0">
    <fb>44292</fb>
    <v>0</v>
  </rv>
  <rv s="0">
    <fb>44293</fb>
    <v>0</v>
  </rv>
  <rv s="0">
    <fb>0.84219999999999995</fb>
    <v>2</v>
  </rv>
  <rv s="0">
    <fb>44294</fb>
    <v>0</v>
  </rv>
  <rv s="0">
    <fb>44295</fb>
    <v>0</v>
  </rv>
  <rv s="0">
    <fb>44298</fb>
    <v>0</v>
  </rv>
  <rv s="0">
    <fb>0.83940000000000003</fb>
    <v>2</v>
  </rv>
  <rv s="0">
    <fb>44299</fb>
    <v>0</v>
  </rv>
  <rv s="0">
    <fb>0.83679999999999999</fb>
    <v>2</v>
  </rv>
  <rv s="0">
    <fb>44300</fb>
    <v>0</v>
  </rv>
  <rv s="0">
    <fb>0.83460000000000001</fb>
    <v>2</v>
  </rv>
  <rv s="0">
    <fb>44301</fb>
    <v>0</v>
  </rv>
  <rv s="0">
    <fb>0.83550000000000002</fb>
    <v>2</v>
  </rv>
  <rv s="0">
    <fb>44302</fb>
    <v>0</v>
  </rv>
  <rv s="0">
    <fb>44305</fb>
    <v>0</v>
  </rv>
  <rv s="0">
    <fb>0.83079999999999998</fb>
    <v>2</v>
  </rv>
  <rv s="0">
    <fb>44306</fb>
    <v>0</v>
  </rv>
  <rv s="0">
    <fb>44307</fb>
    <v>0</v>
  </rv>
  <rv s="0">
    <fb>44308</fb>
    <v>0</v>
  </rv>
  <rv s="0">
    <fb>0.83220000000000005</fb>
    <v>2</v>
  </rv>
  <rv s="0">
    <fb>44309</fb>
    <v>0</v>
  </rv>
  <rv s="0">
    <fb>0.82640000000000002</fb>
    <v>2</v>
  </rv>
  <rv s="0">
    <fb>44312</fb>
    <v>0</v>
  </rv>
  <rv s="0">
    <fb>44313</fb>
    <v>0</v>
  </rv>
  <rv s="0">
    <fb>44314</fb>
    <v>0</v>
  </rv>
  <rv s="0">
    <fb>0.8246</fb>
    <v>2</v>
  </rv>
  <rv s="0">
    <fb>44315</fb>
    <v>0</v>
  </rv>
  <rv s="0">
    <fb>44316</fb>
    <v>0</v>
  </rv>
  <rv s="0">
    <fb>0.83179999999999998</fb>
    <v>2</v>
  </rv>
  <rv s="0">
    <fb>44319</fb>
    <v>0</v>
  </rv>
  <rv s="0">
    <fb>44320</fb>
    <v>0</v>
  </rv>
  <rv s="0">
    <fb>44321</fb>
    <v>0</v>
  </rv>
  <rv s="0">
    <fb>0.83279999999999998</fb>
    <v>2</v>
  </rv>
  <rv s="0">
    <fb>44322</fb>
    <v>0</v>
  </rv>
  <rv s="0">
    <fb>0.8286</fb>
    <v>2</v>
  </rv>
  <rv s="0">
    <fb>44323</fb>
    <v>0</v>
  </rv>
  <rv s="0">
    <fb>44326</fb>
    <v>0</v>
  </rv>
  <rv s="0">
    <fb>44327</fb>
    <v>0</v>
  </rv>
  <rv s="0">
    <fb>44328</fb>
    <v>0</v>
  </rv>
  <rv s="0">
    <fb>0.82820000000000005</fb>
    <v>2</v>
  </rv>
  <rv s="0">
    <fb>44329</fb>
    <v>0</v>
  </rv>
  <rv s="0">
    <fb>44330</fb>
    <v>0</v>
  </rv>
  <rv s="0">
    <fb>0.82350000000000001</fb>
    <v>2</v>
  </rv>
  <rv s="0">
    <fb>44333</fb>
    <v>0</v>
  </rv>
  <rv s="0">
    <fb>44334</fb>
    <v>0</v>
  </rv>
  <rv s="0">
    <fb>0.81810000000000005</fb>
    <v>2</v>
  </rv>
  <rv s="0">
    <fb>44335</fb>
    <v>0</v>
  </rv>
  <rv s="0">
    <fb>0.82130000000000003</fb>
    <v>2</v>
  </rv>
  <rv s="0">
    <fb>44336</fb>
    <v>0</v>
  </rv>
  <rv s="0">
    <fb>0.81769999999999998</fb>
    <v>2</v>
  </rv>
  <rv s="0">
    <fb>44337</fb>
    <v>0</v>
  </rv>
  <rv s="0">
    <fb>0.82079999999999997</fb>
    <v>2</v>
  </rv>
  <rv s="0">
    <fb>44340</fb>
    <v>0</v>
  </rv>
  <rv s="0">
    <fb>0.81859999999999999</fb>
    <v>2</v>
  </rv>
  <rv s="0">
    <fb>44341</fb>
    <v>0</v>
  </rv>
  <rv s="0">
    <fb>0.81610000000000005</fb>
    <v>2</v>
  </rv>
  <rv s="0">
    <fb>44342</fb>
    <v>0</v>
  </rv>
  <rv s="0">
    <fb>0.82010000000000005</fb>
    <v>2</v>
  </rv>
  <rv s="0">
    <fb>44343</fb>
    <v>0</v>
  </rv>
  <rv s="0">
    <fb>0.81989999999999996</fb>
    <v>2</v>
  </rv>
  <rv s="0">
    <fb>44344</fb>
    <v>0</v>
  </rv>
  <rv s="0">
    <fb>0.82</fb>
    <v>2</v>
  </rv>
  <rv s="0">
    <fb>44347</fb>
    <v>0</v>
  </rv>
  <rv s="0">
    <fb>44348</fb>
    <v>0</v>
  </rv>
  <rv s="0">
    <fb>0.81869999999999998</fb>
    <v>2</v>
  </rv>
  <rv s="0">
    <fb>44349</fb>
    <v>0</v>
  </rv>
  <rv s="0">
    <fb>0.81879999999999997</fb>
    <v>2</v>
  </rv>
  <rv s="0">
    <fb>44350</fb>
    <v>0</v>
  </rv>
  <rv s="0">
    <fb>0.82450000000000001</fb>
    <v>2</v>
  </rv>
  <rv s="0">
    <fb>44351</fb>
    <v>0</v>
  </rv>
  <rv s="0">
    <fb>44354</fb>
    <v>0</v>
  </rv>
  <rv s="0">
    <fb>0.82030000000000003</fb>
    <v>2</v>
  </rv>
  <rv s="0">
    <fb>44355</fb>
    <v>0</v>
  </rv>
  <rv s="0">
    <fb>0.82140000000000002</fb>
    <v>2</v>
  </rv>
  <rv s="0">
    <fb>44356</fb>
    <v>0</v>
  </rv>
  <rv s="0">
    <fb>0.82089999999999996</fb>
    <v>2</v>
  </rv>
  <rv s="0">
    <fb>44357</fb>
    <v>0</v>
  </rv>
  <rv s="0">
    <fb>0.82150000000000001</fb>
    <v>2</v>
  </rv>
  <rv s="0">
    <fb>44358</fb>
    <v>0</v>
  </rv>
  <rv s="0">
    <fb>44361</fb>
    <v>0</v>
  </rv>
  <rv s="0">
    <fb>44362</fb>
    <v>0</v>
  </rv>
  <rv s="0">
    <fb>44363</fb>
    <v>0</v>
  </rv>
  <rv s="0">
    <fb>0.8337</fb>
    <v>2</v>
  </rv>
  <rv s="0">
    <fb>44364</fb>
    <v>0</v>
  </rv>
  <rv s="0">
    <fb>0.83960000000000001</fb>
    <v>2</v>
  </rv>
  <rv s="0">
    <fb>44365</fb>
    <v>0</v>
  </rv>
  <rv s="0">
    <fb>0.84289999999999998</fb>
    <v>2</v>
  </rv>
  <rv s="0">
    <fb>44368</fb>
    <v>0</v>
  </rv>
  <rv s="0">
    <fb>0.83909999999999996</fb>
    <v>2</v>
  </rv>
  <rv s="0">
    <fb>44369</fb>
    <v>0</v>
  </rv>
  <rv s="0">
    <fb>0.83740000000000003</fb>
    <v>2</v>
  </rv>
  <rv s="0">
    <fb>44370</fb>
    <v>0</v>
  </rv>
  <rv s="0">
    <fb>0.83840000000000003</fb>
    <v>2</v>
  </rv>
  <rv s="0">
    <fb>44371</fb>
    <v>0</v>
  </rv>
  <rv s="0">
    <fb>0.83789999999999998</fb>
    <v>2</v>
  </rv>
  <rv s="0">
    <fb>44372</fb>
    <v>0</v>
  </rv>
  <rv s="0">
    <fb>44375</fb>
    <v>0</v>
  </rv>
  <rv s="0">
    <fb>44376</fb>
    <v>0</v>
  </rv>
  <rv s="0">
    <fb>0.84040000000000004</fb>
    <v>2</v>
  </rv>
  <rv s="0">
    <fb>44377</fb>
    <v>0</v>
  </rv>
  <rv s="0">
    <fb>0.84330000000000005</fb>
    <v>2</v>
  </rv>
  <rv s="0">
    <fb>44378</fb>
    <v>0</v>
  </rv>
  <rv s="0">
    <fb>44379</fb>
    <v>0</v>
  </rv>
  <rv s="0">
    <fb>0.84260000000000002</fb>
    <v>2</v>
  </rv>
  <rv s="0">
    <fb>44382</fb>
    <v>0</v>
  </rv>
  <rv s="0">
    <fb>44383</fb>
    <v>0</v>
  </rv>
  <rv s="0">
    <fb>0.84560000000000002</fb>
    <v>2</v>
  </rv>
  <rv s="0">
    <fb>44384</fb>
    <v>0</v>
  </rv>
  <rv s="0">
    <fb>0.84799999999999998</fb>
    <v>2</v>
  </rv>
  <rv s="0">
    <fb>44385</fb>
    <v>0</v>
  </rv>
  <rv s="0">
    <fb>0.84419999999999995</fb>
    <v>2</v>
  </rv>
  <rv s="0">
    <fb>44386</fb>
    <v>0</v>
  </rv>
  <rv s="0">
    <fb>44389</fb>
    <v>0</v>
  </rv>
  <rv s="0">
    <fb>44390</fb>
    <v>0</v>
  </rv>
  <rv s="0">
    <fb>44391</fb>
    <v>0</v>
  </rv>
  <rv s="0">
    <fb>44392</fb>
    <v>0</v>
  </rv>
  <rv s="0">
    <fb>44393</fb>
    <v>0</v>
  </rv>
  <rv s="0">
    <fb>0.8468</fb>
    <v>2</v>
  </rv>
  <rv s="0">
    <fb>44396</fb>
    <v>0</v>
  </rv>
  <rv s="0">
    <fb>0.84730000000000005</fb>
    <v>2</v>
  </rv>
  <rv s="0">
    <fb>44397</fb>
    <v>0</v>
  </rv>
  <rv s="0">
    <fb>0.84870000000000001</fb>
    <v>2</v>
  </rv>
  <rv s="0">
    <fb>44398</fb>
    <v>0</v>
  </rv>
  <rv s="0">
    <fb>44399</fb>
    <v>0</v>
  </rv>
  <rv s="0">
    <fb>0.84950000000000003</fb>
    <v>2</v>
  </rv>
  <rv s="0">
    <fb>44400</fb>
    <v>0</v>
  </rv>
  <rv s="0">
    <fb>0.84930000000000005</fb>
    <v>2</v>
  </rv>
  <rv s="0">
    <fb>44403</fb>
    <v>0</v>
  </rv>
  <rv s="0">
    <fb>44404</fb>
    <v>0</v>
  </rv>
  <rv s="0">
    <fb>44405</fb>
    <v>0</v>
  </rv>
  <rv s="0">
    <fb>44406</fb>
    <v>0</v>
  </rv>
  <rv s="0">
    <fb>0.84099999999999997</fb>
    <v>2</v>
  </rv>
  <rv s="0">
    <fb>44407</fb>
    <v>0</v>
  </rv>
  <rv s="0">
    <fb>0.84230000000000005</fb>
    <v>2</v>
  </rv>
  <rv s="0">
    <fb>44410</fb>
    <v>0</v>
  </rv>
  <rv s="0">
    <fb>44411</fb>
    <v>0</v>
  </rv>
  <rv s="0">
    <fb>44412</fb>
    <v>0</v>
  </rv>
  <rv s="0">
    <fb>44413</fb>
    <v>0</v>
  </rv>
  <rv s="0">
    <fb>44414</fb>
    <v>0</v>
  </rv>
  <rv s="0">
    <fb>44417</fb>
    <v>0</v>
  </rv>
  <rv s="0">
    <fb>44418</fb>
    <v>0</v>
  </rv>
  <rv s="0">
    <fb>44419</fb>
    <v>0</v>
  </rv>
  <rv s="0">
    <fb>44420</fb>
    <v>0</v>
  </rv>
  <rv s="0">
    <fb>44421</fb>
    <v>0</v>
  </rv>
  <rv s="0">
    <fb>44424</fb>
    <v>0</v>
  </rv>
  <rv s="0">
    <fb>44425</fb>
    <v>0</v>
  </rv>
  <rv s="0">
    <fb>0.85389999999999999</fb>
    <v>2</v>
  </rv>
  <rv s="0">
    <fb>44426</fb>
    <v>0</v>
  </rv>
  <rv s="0">
    <fb>0.85370000000000001</fb>
    <v>2</v>
  </rv>
  <rv s="0">
    <fb>44427</fb>
    <v>0</v>
  </rv>
  <rv s="0">
    <fb>0.85629999999999995</fb>
    <v>2</v>
  </rv>
  <rv s="0">
    <fb>44428</fb>
    <v>0</v>
  </rv>
  <rv s="0">
    <fb>0.8548</fb>
    <v>2</v>
  </rv>
  <rv s="0">
    <fb>44431</fb>
    <v>0</v>
  </rv>
  <rv s="0">
    <fb>0.85129999999999995</fb>
    <v>2</v>
  </rv>
  <rv s="0">
    <fb>44432</fb>
    <v>0</v>
  </rv>
  <rv s="0">
    <fb>0.85060000000000002</fb>
    <v>2</v>
  </rv>
  <rv s="0">
    <fb>44433</fb>
    <v>0</v>
  </rv>
  <rv s="0">
    <fb>44434</fb>
    <v>0</v>
  </rv>
  <rv s="0">
    <fb>0.8508</fb>
    <v>2</v>
  </rv>
  <rv s="0">
    <fb>44435</fb>
    <v>0</v>
  </rv>
  <rv s="0">
    <fb>44438</fb>
    <v>0</v>
  </rv>
  <rv s="0">
    <fb>44439</fb>
    <v>0</v>
  </rv>
  <rv s="0">
    <fb>44440</fb>
    <v>0</v>
  </rv>
  <rv s="0">
    <fb>0.84460000000000002</fb>
    <v>2</v>
  </rv>
  <rv s="0">
    <fb>44441</fb>
    <v>0</v>
  </rv>
  <rv s="0">
    <fb>44442</fb>
    <v>0</v>
  </rv>
  <rv s="0">
    <fb>0.84150000000000003</fb>
    <v>2</v>
  </rv>
  <rv s="0">
    <fb>44445</fb>
    <v>0</v>
  </rv>
  <rv s="0">
    <fb>44446</fb>
    <v>0</v>
  </rv>
  <rv s="0">
    <fb>44447</fb>
    <v>0</v>
  </rv>
  <rv s="0">
    <fb>44448</fb>
    <v>0</v>
  </rv>
  <rv s="0">
    <fb>44449</fb>
    <v>0</v>
  </rv>
  <rv s="0">
    <fb>44452</fb>
    <v>0</v>
  </rv>
  <rv s="0">
    <fb>0.84660000000000002</fb>
    <v>2</v>
  </rv>
  <rv s="0">
    <fb>44453</fb>
    <v>0</v>
  </rv>
  <rv s="0">
    <fb>0.84699999999999998</fb>
    <v>2</v>
  </rv>
  <rv s="0">
    <fb>44454</fb>
    <v>0</v>
  </rv>
  <rv s="0">
    <fb>44455</fb>
    <v>0</v>
  </rv>
  <rv s="0">
    <fb>44456</fb>
    <v>0</v>
  </rv>
  <rv s="0">
    <fb>0.85260000000000002</fb>
    <v>2</v>
  </rv>
  <rv s="0">
    <fb>44459</fb>
    <v>0</v>
  </rv>
  <rv s="0">
    <fb>44460</fb>
    <v>0</v>
  </rv>
  <rv s="0">
    <fb>44461</fb>
    <v>0</v>
  </rv>
  <rv s="0">
    <fb>0.85540000000000005</fb>
    <v>2</v>
  </rv>
  <rv s="0">
    <fb>44462</fb>
    <v>0</v>
  </rv>
  <rv s="0">
    <fb>44463</fb>
    <v>0</v>
  </rv>
  <rv s="0">
    <fb>44466</fb>
    <v>0</v>
  </rv>
  <rv s="0">
    <fb>0.85489999999999999</fb>
    <v>2</v>
  </rv>
  <rv s="0">
    <fb>44467</fb>
    <v>0</v>
  </rv>
  <rv s="0">
    <fb>0.85580000000000001</fb>
    <v>2</v>
  </rv>
  <rv s="0">
    <fb>44468</fb>
    <v>0</v>
  </rv>
  <rv s="0">
    <fb>0.86209999999999998</fb>
    <v>2</v>
  </rv>
  <rv s="0">
    <fb>44469</fb>
    <v>0</v>
  </rv>
  <rv s="0">
    <fb>0.86319999999999997</fb>
    <v>2</v>
  </rv>
  <rv s="0">
    <fb>44470</fb>
    <v>0</v>
  </rv>
  <rv s="0">
    <fb>44473</fb>
    <v>0</v>
  </rv>
  <rv s="0">
    <fb>0.86029999999999995</fb>
    <v>2</v>
  </rv>
  <rv s="0">
    <fb>44474</fb>
    <v>0</v>
  </rv>
  <rv s="0">
    <fb>44475</fb>
    <v>0</v>
  </rv>
  <rv s="0">
    <fb>0.86509999999999998</fb>
    <v>2</v>
  </rv>
  <rv s="0">
    <fb>44476</fb>
    <v>0</v>
  </rv>
  <rv s="0">
    <fb>0.86550000000000005</fb>
    <v>2</v>
  </rv>
  <rv s="0">
    <fb>44477</fb>
    <v>0</v>
  </rv>
  <rv s="0">
    <fb>44480</fb>
    <v>0</v>
  </rv>
  <rv s="0">
    <fb>0.86560000000000004</fb>
    <v>2</v>
  </rv>
  <rv s="0">
    <fb>44481</fb>
    <v>0</v>
  </rv>
  <rv s="0">
    <fb>0.86719999999999997</fb>
    <v>2</v>
  </rv>
  <rv s="0">
    <fb>44482</fb>
    <v>0</v>
  </rv>
  <rv s="0">
    <fb>0.86250000000000004</fb>
    <v>2</v>
  </rv>
  <rv s="0">
    <fb>44483</fb>
    <v>0</v>
  </rv>
  <rv s="0">
    <fb>44484</fb>
    <v>0</v>
  </rv>
  <rv s="0">
    <fb>0.8619</fb>
    <v>2</v>
  </rv>
  <rv s="0">
    <fb>44487</fb>
    <v>0</v>
  </rv>
  <rv s="0">
    <fb>0.86109999999999998</fb>
    <v>2</v>
  </rv>
  <rv s="0">
    <fb>44488</fb>
    <v>0</v>
  </rv>
  <rv s="0">
    <fb>0.85940000000000005</fb>
    <v>2</v>
  </rv>
  <rv s="0">
    <fb>44489</fb>
    <v>0</v>
  </rv>
  <rv s="0">
    <fb>0.85809999999999997</fb>
    <v>2</v>
  </rv>
  <rv s="0">
    <fb>44490</fb>
    <v>0</v>
  </rv>
  <rv s="0">
    <fb>0.86019999999999996</fb>
    <v>2</v>
  </rv>
  <rv s="0">
    <fb>44491</fb>
    <v>0</v>
  </rv>
  <rv s="0">
    <fb>44494</fb>
    <v>0</v>
  </rv>
  <rv s="0">
    <fb>0.86129999999999995</fb>
    <v>2</v>
  </rv>
  <rv s="0">
    <fb>44495</fb>
    <v>0</v>
  </rv>
  <rv s="0">
    <fb>0.86229999999999996</fb>
    <v>2</v>
  </rv>
  <rv s="0">
    <fb>44496</fb>
    <v>0</v>
  </rv>
  <rv s="0">
    <fb>0.86150000000000004</fb>
    <v>2</v>
  </rv>
  <rv s="0">
    <fb>44497</fb>
    <v>0</v>
  </rv>
  <rv s="0">
    <fb>0.85589999999999999</fb>
    <v>2</v>
  </rv>
  <rv s="0">
    <fb>44498</fb>
    <v>0</v>
  </rv>
  <rv s="0">
    <fb>0.86470000000000002</fb>
    <v>2</v>
  </rv>
  <rv s="0">
    <fb>44501</fb>
    <v>0</v>
  </rv>
  <rv s="0">
    <fb>44502</fb>
    <v>0</v>
  </rv>
  <rv s="0">
    <fb>0.86350000000000005</fb>
    <v>2</v>
  </rv>
  <rv s="0">
    <fb>44503</fb>
    <v>0</v>
  </rv>
  <rv s="0">
    <fb>0.86099999999999999</fb>
    <v>2</v>
  </rv>
  <rv s="0">
    <fb>44504</fb>
    <v>0</v>
  </rv>
  <rv s="0">
    <fb>0.86539999999999995</fb>
    <v>2</v>
  </rv>
  <rv s="0">
    <fb>44505</fb>
    <v>0</v>
  </rv>
  <rv s="0">
    <fb>0.86439999999999995</fb>
    <v>2</v>
  </rv>
  <rv s="0">
    <fb>44508</fb>
    <v>0</v>
  </rv>
  <rv s="0">
    <fb>0.86280000000000001</fb>
    <v>2</v>
  </rv>
  <rv s="0">
    <fb>44509</fb>
    <v>0</v>
  </rv>
  <rv s="0">
    <fb>0.86240000000000006</fb>
    <v>2</v>
  </rv>
  <rv s="0">
    <fb>44510</fb>
    <v>0</v>
  </rv>
  <rv s="0">
    <fb>0.87090000000000001</fb>
    <v>2</v>
  </rv>
  <rv s="0">
    <fb>44511</fb>
    <v>0</v>
  </rv>
  <rv s="0">
    <fb>0.87319999999999998</fb>
    <v>2</v>
  </rv>
  <rv s="0">
    <fb>44512</fb>
    <v>0</v>
  </rv>
  <rv s="0">
    <fb>0.87309999999999999</fb>
    <v>2</v>
  </rv>
  <rv s="0">
    <fb>44515</fb>
    <v>0</v>
  </rv>
  <rv s="0">
    <fb>44516</fb>
    <v>0</v>
  </rv>
  <rv s="0">
    <fb>0.88319999999999999</fb>
    <v>2</v>
  </rv>
  <rv s="0">
    <fb>44517</fb>
    <v>0</v>
  </rv>
  <rv s="0">
    <fb>0.88339999999999996</fb>
    <v>2</v>
  </rv>
  <rv s="0">
    <fb>44518</fb>
    <v>0</v>
  </rv>
  <rv s="0">
    <fb>44519</fb>
    <v>0</v>
  </rv>
  <rv s="0">
    <fb>44522</fb>
    <v>0</v>
  </rv>
  <rv s="0">
    <fb>0.88980000000000004</fb>
    <v>2</v>
  </rv>
  <rv s="0">
    <fb>44523</fb>
    <v>0</v>
  </rv>
  <rv s="0">
    <fb>44524</fb>
    <v>0</v>
  </rv>
  <rv s="0">
    <fb>44525</fb>
    <v>0</v>
  </rv>
  <rv s="0">
    <fb>44526</fb>
    <v>0</v>
  </rv>
  <rv s="0">
    <fb>0.88329999999999997</fb>
    <v>2</v>
  </rv>
  <rv s="0">
    <fb>44529</fb>
    <v>0</v>
  </rv>
  <rv s="0">
    <fb>0.88549999999999995</fb>
    <v>2</v>
  </rv>
  <rv s="0">
    <fb>44530</fb>
    <v>0</v>
  </rv>
  <rv s="0">
    <fb>44531</fb>
    <v>0</v>
  </rv>
  <rv s="0">
    <fb>44532</fb>
    <v>0</v>
  </rv>
  <rv s="0">
    <fb>0.88470000000000004</fb>
    <v>2</v>
  </rv>
  <rv s="0">
    <fb>44533</fb>
    <v>0</v>
  </rv>
  <rv s="0">
    <fb>44536</fb>
    <v>0</v>
  </rv>
  <rv s="0">
    <fb>44537</fb>
    <v>0</v>
  </rv>
  <rv s="0">
    <fb>0.88739999999999997</fb>
    <v>2</v>
  </rv>
  <rv s="0">
    <fb>44538</fb>
    <v>0</v>
  </rv>
  <rv s="0">
    <fb>0.88160000000000005</fb>
    <v>2</v>
  </rv>
  <rv s="0">
    <fb>44539</fb>
    <v>0</v>
  </rv>
  <rv s="0">
    <fb>0.88539999999999996</fb>
    <v>2</v>
  </rv>
  <rv s="0">
    <fb>44540</fb>
    <v>0</v>
  </rv>
  <rv s="0">
    <fb>44543</fb>
    <v>0</v>
  </rv>
  <rv s="0">
    <fb>44544</fb>
    <v>0</v>
  </rv>
  <rv s="0">
    <fb>0.88800000000000001</fb>
    <v>2</v>
  </rv>
  <rv s="0">
    <fb>44545</fb>
    <v>0</v>
  </rv>
  <rv s="0">
    <fb>0.88580000000000003</fb>
    <v>2</v>
  </rv>
  <rv s="0">
    <fb>44546</fb>
    <v>0</v>
  </rv>
  <rv s="0">
    <fb>44547</fb>
    <v>0</v>
  </rv>
  <rv s="0">
    <fb>44550</fb>
    <v>0</v>
  </rv>
  <rv s="0">
    <fb>44551</fb>
    <v>0</v>
  </rv>
  <rv s="0">
    <fb>44552</fb>
    <v>0</v>
  </rv>
  <rv s="0">
    <fb>44553</fb>
    <v>0</v>
  </rv>
  <rv s="0">
    <fb>0.88260000000000005</fb>
    <v>2</v>
  </rv>
  <rv s="0">
    <fb>44554</fb>
    <v>0</v>
  </rv>
  <rv s="0">
    <fb>44557</fb>
    <v>0</v>
  </rv>
  <rv s="0">
    <fb>44558</fb>
    <v>0</v>
  </rv>
  <rv s="0">
    <fb>44559</fb>
    <v>0</v>
  </rv>
  <rv s="0">
    <fb>0.88090000000000002</fb>
    <v>2</v>
  </rv>
  <rv s="0">
    <fb>44560</fb>
    <v>0</v>
  </rv>
  <rv s="0">
    <fb>44561</fb>
    <v>0</v>
  </rv>
  <rv s="0">
    <fb>44564</fb>
    <v>0</v>
  </rv>
  <rv s="0">
    <fb>0.8851</fb>
    <v>2</v>
  </rv>
  <rv s="0">
    <fb>44565</fb>
    <v>0</v>
  </rv>
  <rv s="0">
    <fb>44566</fb>
    <v>0</v>
  </rv>
  <rv s="0">
    <fb>44567</fb>
    <v>0</v>
  </rv>
  <rv s="0">
    <fb>44568</fb>
    <v>0</v>
  </rv>
  <rv s="0">
    <fb>44571</fb>
    <v>0</v>
  </rv>
  <rv s="0">
    <fb>44572</fb>
    <v>0</v>
  </rv>
  <rv s="0">
    <fb>44573</fb>
    <v>0</v>
  </rv>
  <rv s="0">
    <fb>0.87370000000000003</fb>
    <v>2</v>
  </rv>
  <rv s="0">
    <fb>44574</fb>
    <v>0</v>
  </rv>
  <rv s="0">
    <fb>44575</fb>
    <v>0</v>
  </rv>
  <rv s="0">
    <fb>0.87580000000000002</fb>
    <v>2</v>
  </rv>
  <rv s="0">
    <fb>44578</fb>
    <v>0</v>
  </rv>
  <rv s="0">
    <fb>0.87629999999999997</fb>
    <v>2</v>
  </rv>
  <rv s="0">
    <fb>44579</fb>
    <v>0</v>
  </rv>
  <rv s="0">
    <fb>0.88270000000000004</fb>
    <v>2</v>
  </rv>
  <rv s="0">
    <fb>44580</fb>
    <v>0</v>
  </rv>
  <rv s="0">
    <fb>0.88149999999999995</fb>
    <v>2</v>
  </rv>
  <rv s="0">
    <fb>44581</fb>
    <v>0</v>
  </rv>
  <rv s="0">
    <fb>44582</fb>
    <v>0</v>
  </rv>
  <rv s="0">
    <fb>44585</fb>
    <v>0</v>
  </rv>
  <rv s="0">
    <fb>44586</fb>
    <v>0</v>
  </rv>
  <rv s="0">
    <fb>44587</fb>
    <v>0</v>
  </rv>
  <rv s="0">
    <fb>0.88959999999999995</fb>
    <v>2</v>
  </rv>
  <rv s="0">
    <fb>44588</fb>
    <v>0</v>
  </rv>
  <rv s="0">
    <fb>0.89710000000000001</fb>
    <v>2</v>
  </rv>
  <rv s="0">
    <fb>44589</fb>
    <v>0</v>
  </rv>
  <rv s="0">
    <fb>44592</fb>
    <v>0</v>
  </rv>
  <rv s="0">
    <fb>44593</fb>
    <v>0</v>
  </rv>
  <rv s="0">
    <fb>44594</fb>
    <v>0</v>
  </rv>
  <rv s="0">
    <fb>44595</fb>
    <v>0</v>
  </rv>
  <rv s="0">
    <fb>44596</fb>
    <v>0</v>
  </rv>
  <rv s="0">
    <fb>0.87339999999999995</fb>
    <v>2</v>
  </rv>
  <rv s="0">
    <fb>44599</fb>
    <v>0</v>
  </rv>
  <rv s="0">
    <fb>0.87390000000000001</fb>
    <v>2</v>
  </rv>
  <rv s="0">
    <fb>44600</fb>
    <v>0</v>
  </rv>
  <rv s="0">
    <fb>44601</fb>
    <v>0</v>
  </rv>
  <rv s="0">
    <fb>0.87519999999999998</fb>
    <v>2</v>
  </rv>
  <rv s="0">
    <fb>44602</fb>
    <v>0</v>
  </rv>
  <rv s="0">
    <fb>0.875</fb>
    <v>2</v>
  </rv>
  <rv s="0">
    <fb>44603</fb>
    <v>0</v>
  </rv>
  <rv s="0">
    <fb>0.88080000000000003</fb>
    <v>2</v>
  </rv>
  <rv s="0">
    <fb>44606</fb>
    <v>0</v>
  </rv>
  <rv s="0">
    <fb>44607</fb>
    <v>0</v>
  </rv>
  <rv s="0">
    <fb>44608</fb>
    <v>0</v>
  </rv>
  <rv s="0">
    <fb>0.87909999999999999</fb>
    <v>2</v>
  </rv>
  <rv s="0">
    <fb>44609</fb>
    <v>0</v>
  </rv>
  <rv s="0">
    <fb>0.88009999999999999</fb>
    <v>2</v>
  </rv>
  <rv s="0">
    <fb>44610</fb>
    <v>0</v>
  </rv>
  <rv s="0">
    <fb>44613</fb>
    <v>0</v>
  </rv>
  <rv s="0">
    <fb>44614</fb>
    <v>0</v>
  </rv>
  <rv s="0">
    <fb>44615</fb>
    <v>0</v>
  </rv>
  <rv s="0">
    <fb>44616</fb>
    <v>0</v>
  </rv>
  <rv s="0">
    <fb>44617</fb>
    <v>0</v>
  </rv>
  <rv s="0">
    <fb>44620</fb>
    <v>0</v>
  </rv>
  <rv s="0">
    <fb>44621</fb>
    <v>0</v>
  </rv>
  <rv s="0">
    <fb>44622</fb>
    <v>0</v>
  </rv>
  <rv s="0">
    <fb>44623</fb>
    <v>0</v>
  </rv>
  <rv s="0">
    <fb>0.90349999999999997</fb>
    <v>2</v>
  </rv>
  <rv s="0">
    <fb>44624</fb>
    <v>0</v>
  </rv>
  <rv s="0">
    <fb>0.91510000000000002</fb>
    <v>2</v>
  </rv>
  <rv s="0">
    <fb>44627</fb>
    <v>0</v>
  </rv>
  <rv s="0">
    <fb>44628</fb>
    <v>0</v>
  </rv>
  <rv s="0">
    <fb>44629</fb>
    <v>0</v>
  </rv>
  <rv s="0">
    <fb>44630</fb>
    <v>0</v>
  </rv>
  <rv s="0">
    <fb>0.91020000000000001</fb>
    <v>2</v>
  </rv>
  <rv s="0">
    <fb>44631</fb>
    <v>0</v>
  </rv>
  <rv s="0">
    <fb>44634</fb>
    <v>0</v>
  </rv>
  <rv s="0">
    <fb>0.91400000000000003</fb>
    <v>2</v>
  </rv>
  <rv s="0">
    <fb>44635</fb>
    <v>0</v>
  </rv>
  <rv s="0">
    <fb>0.91279999999999994</fb>
    <v>2</v>
  </rv>
  <rv s="0">
    <fb>44636</fb>
    <v>0</v>
  </rv>
  <rv s="0">
    <fb>44637</fb>
    <v>0</v>
  </rv>
  <rv s="0">
    <fb>44638</fb>
    <v>0</v>
  </rv>
  <rv s="0">
    <fb>0.90490000000000004</fb>
    <v>2</v>
  </rv>
  <rv s="0">
    <fb>44641</fb>
    <v>0</v>
  </rv>
  <rv s="0">
    <fb>0.90759999999999996</fb>
    <v>2</v>
  </rv>
  <rv s="0">
    <fb>44642</fb>
    <v>0</v>
  </rv>
  <rv s="0">
    <fb>44643</fb>
    <v>0</v>
  </rv>
  <rv s="0">
    <fb>0.90859999999999996</fb>
    <v>2</v>
  </rv>
  <rv s="0">
    <fb>44644</fb>
    <v>0</v>
  </rv>
  <rv s="0">
    <fb>0.90920000000000001</fb>
    <v>2</v>
  </rv>
  <rv s="0">
    <fb>44645</fb>
    <v>0</v>
  </rv>
  <rv s="0">
    <fb>0.9103</fb>
    <v>2</v>
  </rv>
  <rv s="0">
    <fb>44648</fb>
    <v>0</v>
  </rv>
  <rv s="0">
    <fb>0.91059999999999997</fb>
    <v>2</v>
  </rv>
  <rv s="0">
    <fb>44649</fb>
    <v>0</v>
  </rv>
  <rv s="0">
    <fb>44650</fb>
    <v>0</v>
  </rv>
  <rv s="0">
    <fb>44651</fb>
    <v>0</v>
  </rv>
  <rv s="0">
    <fb>0.90339999999999998</fb>
    <v>2</v>
  </rv>
  <rv s="0">
    <fb>44652</fb>
    <v>0</v>
  </rv>
  <rv s="0">
    <fb>0.90439999999999998</fb>
    <v>2</v>
  </rv>
  <rv s="0">
    <fb>44655</fb>
    <v>0</v>
  </rv>
  <rv s="0">
    <fb>0.91120000000000001</fb>
    <v>2</v>
  </rv>
  <rv s="0">
    <fb>44656</fb>
    <v>0</v>
  </rv>
  <rv s="0">
    <fb>0.91679999999999995</fb>
    <v>2</v>
  </rv>
  <rv s="0">
    <fb>44657</fb>
    <v>0</v>
  </rv>
  <rv s="0">
    <fb>0.91759999999999997</fb>
    <v>2</v>
  </rv>
  <rv s="0">
    <fb>44658</fb>
    <v>0</v>
  </rv>
  <rv s="0">
    <fb>0.91910000000000003</fb>
    <v>2</v>
  </rv>
  <rv s="0">
    <fb>44659</fb>
    <v>0</v>
  </rv>
  <rv s="0">
    <fb>44662</fb>
    <v>0</v>
  </rv>
  <rv s="0">
    <fb>44663</fb>
    <v>0</v>
  </rv>
  <rv s="0">
    <fb>0.9234</fb>
    <v>2</v>
  </rv>
  <rv s="0">
    <fb>44664</fb>
    <v>0</v>
  </rv>
  <rv s="0">
    <fb>0.91839999999999999</fb>
    <v>2</v>
  </rv>
  <rv s="0">
    <fb>44665</fb>
    <v>0</v>
  </rv>
  <rv s="0">
    <fb>0.92330000000000001</fb>
    <v>2</v>
  </rv>
  <rv s="0">
    <fb>44666</fb>
    <v>0</v>
  </rv>
  <rv s="0">
    <fb>44669</fb>
    <v>0</v>
  </rv>
  <rv s="0">
    <fb>0.92730000000000001</fb>
    <v>2</v>
  </rv>
  <rv s="0">
    <fb>44670</fb>
    <v>0</v>
  </rv>
  <rv s="0">
    <fb>0.92679999999999996</fb>
    <v>2</v>
  </rv>
  <rv s="0">
    <fb>44671</fb>
    <v>0</v>
  </rv>
  <rv s="0">
    <fb>0.92120000000000002</fb>
    <v>2</v>
  </rv>
  <rv s="0">
    <fb>44672</fb>
    <v>0</v>
  </rv>
  <rv s="0">
    <fb>0.92249999999999999</fb>
    <v>2</v>
  </rv>
  <rv s="0">
    <fb>44673</fb>
    <v>0</v>
  </rv>
  <rv s="0">
    <fb>44676</fb>
    <v>0</v>
  </rv>
  <rv s="0">
    <fb>0.93330000000000002</fb>
    <v>2</v>
  </rv>
  <rv s="0">
    <fb>44677</fb>
    <v>0</v>
  </rv>
  <rv s="0">
    <fb>0.93989999999999996</fb>
    <v>2</v>
  </rv>
  <rv s="0">
    <fb>44678</fb>
    <v>0</v>
  </rv>
  <rv s="0">
    <fb>0.94710000000000005</fb>
    <v>2</v>
  </rv>
  <rv s="0">
    <fb>44679</fb>
    <v>0</v>
  </rv>
  <rv s="0">
    <fb>0.95220000000000005</fb>
    <v>2</v>
  </rv>
  <rv s="0">
    <fb>44680</fb>
    <v>0</v>
  </rv>
  <rv s="0">
    <fb>0.94830000000000003</fb>
    <v>2</v>
  </rv>
  <rv s="0">
    <fb>44683</fb>
    <v>0</v>
  </rv>
  <rv s="0">
    <fb>0.95179999999999998</fb>
    <v>2</v>
  </rv>
  <rv s="0">
    <fb>44684</fb>
    <v>0</v>
  </rv>
  <rv s="0">
    <fb>0.95020000000000004</fb>
    <v>2</v>
  </rv>
  <rv s="0">
    <fb>44685</fb>
    <v>0</v>
  </rv>
  <rv s="0">
    <fb>0.94120000000000004</fb>
    <v>2</v>
  </rv>
  <rv s="0">
    <fb>44686</fb>
    <v>0</v>
  </rv>
  <rv s="0">
    <fb>0.94840000000000002</fb>
    <v>2</v>
  </rv>
  <rv s="0">
    <fb>44687</fb>
    <v>0</v>
  </rv>
  <rv s="0">
    <fb>0.94740000000000002</fb>
    <v>2</v>
  </rv>
  <rv s="0">
    <fb>44690</fb>
    <v>0</v>
  </rv>
  <rv s="0">
    <fb>44691</fb>
    <v>0</v>
  </rv>
  <rv s="0">
    <fb>0.9496</fb>
    <v>2</v>
  </rv>
  <rv s="0">
    <fb>44692</fb>
    <v>0</v>
  </rv>
  <rv s="0">
    <fb>0.95099999999999996</fb>
    <v>2</v>
  </rv>
  <rv s="0">
    <fb>44693</fb>
    <v>0</v>
  </rv>
  <rv s="0">
    <fb>0.96330000000000005</fb>
    <v>2</v>
  </rv>
  <rv s="0">
    <fb>44694</fb>
    <v>0</v>
  </rv>
  <rv s="0">
    <fb>0.96020000000000005</fb>
    <v>2</v>
  </rv>
  <rv s="0">
    <fb>44697</fb>
    <v>0</v>
  </rv>
  <rv s="0">
    <fb>0.95830000000000004</fb>
    <v>2</v>
  </rv>
  <rv s="0">
    <fb>44698</fb>
    <v>0</v>
  </rv>
  <rv s="0">
    <fb>0.94779999999999998</fb>
    <v>2</v>
  </rv>
  <rv s="0">
    <fb>44699</fb>
    <v>0</v>
  </rv>
  <rv s="0">
    <fb>0.95509999999999995</fb>
    <v>2</v>
  </rv>
  <rv s="0">
    <fb>44700</fb>
    <v>0</v>
  </rv>
  <rv s="0">
    <fb>0.94420000000000004</fb>
    <v>2</v>
  </rv>
  <rv s="0">
    <fb>44701</fb>
    <v>0</v>
  </rv>
  <rv s="0">
    <fb>0.9466</fb>
    <v>2</v>
  </rv>
  <rv s="0">
    <fb>44704</fb>
    <v>0</v>
  </rv>
  <rv s="0">
    <fb>0.93520000000000003</fb>
    <v>2</v>
  </rv>
  <rv s="0">
    <fb>44705</fb>
    <v>0</v>
  </rv>
  <rv s="0">
    <fb>0.93140000000000001</fb>
    <v>2</v>
  </rv>
  <rv s="0">
    <fb>44706</fb>
    <v>0</v>
  </rv>
  <rv s="0">
    <fb>0.93600000000000005</fb>
    <v>2</v>
  </rv>
  <rv s="0">
    <fb>44707</fb>
    <v>0</v>
  </rv>
  <rv s="0">
    <fb>0.93210000000000004</fb>
    <v>2</v>
  </rv>
  <rv s="0">
    <fb>44708</fb>
    <v>0</v>
  </rv>
  <rv s="0">
    <fb>0.93189999999999995</fb>
    <v>2</v>
  </rv>
  <rv s="0">
    <fb>44711</fb>
    <v>0</v>
  </rv>
  <rv s="0">
    <fb>44712</fb>
    <v>0</v>
  </rv>
  <rv s="0">
    <fb>44713</fb>
    <v>0</v>
  </rv>
  <rv s="0">
    <fb>0.93879999999999997</fb>
    <v>2</v>
  </rv>
  <rv s="0">
    <fb>44714</fb>
    <v>0</v>
  </rv>
  <rv s="0">
    <fb>0.93020000000000003</fb>
    <v>2</v>
  </rv>
  <rv s="0">
    <fb>44715</fb>
    <v>0</v>
  </rv>
  <rv s="0">
    <fb>0.93269999999999997</fb>
    <v>2</v>
  </rv>
  <rv s="0">
    <fb>44718</fb>
    <v>0</v>
  </rv>
  <rv s="0">
    <fb>44719</fb>
    <v>0</v>
  </rv>
  <rv s="0">
    <fb>0.93430000000000002</fb>
    <v>2</v>
  </rv>
  <rv s="0">
    <fb>44720</fb>
    <v>0</v>
  </rv>
  <rv s="0">
    <fb>0.93300000000000005</fb>
    <v>2</v>
  </rv>
  <rv s="0">
    <fb>44721</fb>
    <v>0</v>
  </rv>
  <rv s="0">
    <fb>0.94179999999999997</fb>
    <v>2</v>
  </rv>
  <rv s="0">
    <fb>44722</fb>
    <v>0</v>
  </rv>
  <rv s="0">
    <fb>0.95069999999999999</fb>
    <v>2</v>
  </rv>
  <rv s="0">
    <fb>44725</fb>
    <v>0</v>
  </rv>
  <rv s="0">
    <fb>0.9607</fb>
    <v>2</v>
  </rv>
  <rv s="0">
    <fb>44726</fb>
    <v>0</v>
  </rv>
  <rv s="0">
    <fb>0.95979999999999999</fb>
    <v>2</v>
  </rv>
  <rv s="0">
    <fb>44727</fb>
    <v>0</v>
  </rv>
  <rv s="0">
    <fb>0.95730000000000004</fb>
    <v>2</v>
  </rv>
  <rv s="0">
    <fb>44728</fb>
    <v>0</v>
  </rv>
  <rv s="0">
    <fb>0.94769999999999999</fb>
    <v>2</v>
  </rv>
  <rv s="0">
    <fb>44729</fb>
    <v>0</v>
  </rv>
  <rv s="0">
    <fb>44732</fb>
    <v>0</v>
  </rv>
  <rv s="0">
    <fb>0.95120000000000005</fb>
    <v>2</v>
  </rv>
  <rv s="0">
    <fb>44733</fb>
    <v>0</v>
  </rv>
  <rv s="0">
    <fb>0.94979999999999998</fb>
    <v>2</v>
  </rv>
  <rv s="0">
    <fb>44734</fb>
    <v>0</v>
  </rv>
  <rv s="0">
    <fb>0.94630000000000003</fb>
    <v>2</v>
  </rv>
  <rv s="0">
    <fb>44735</fb>
    <v>0</v>
  </rv>
  <rv s="0">
    <fb>44736</fb>
    <v>0</v>
  </rv>
  <rv s="0">
    <fb>44739</fb>
    <v>0</v>
  </rv>
  <rv s="0">
    <fb>0.94469999999999998</fb>
    <v>2</v>
  </rv>
  <rv s="0">
    <fb>44740</fb>
    <v>0</v>
  </rv>
  <rv s="0">
    <fb>0.95050000000000001</fb>
    <v>2</v>
  </rv>
  <rv s="0">
    <fb>44741</fb>
    <v>0</v>
  </rv>
  <rv s="0">
    <fb>0.95760000000000001</fb>
    <v>2</v>
  </rv>
  <rv s="0">
    <fb>44742</fb>
    <v>0</v>
  </rv>
  <rv s="0">
    <fb>0.95369999999999999</fb>
    <v>2</v>
  </rv>
  <rv s="0">
    <fb>44743</fb>
    <v>0</v>
  </rv>
  <rv s="0">
    <fb>0.95879999999999999</fb>
    <v>2</v>
  </rv>
  <rv s="0">
    <fb>44746</fb>
    <v>0</v>
  </rv>
  <rv s="0">
    <fb>0.95920000000000005</fb>
    <v>2</v>
  </rv>
  <rv s="0">
    <fb>44747</fb>
    <v>0</v>
  </rv>
  <rv s="0">
    <fb>0.97370000000000001</fb>
    <v>2</v>
  </rv>
  <rv s="0">
    <fb>44748</fb>
    <v>0</v>
  </rv>
  <rv s="0">
    <fb>0.98199999999999998</fb>
    <v>2</v>
  </rv>
  <rv s="0">
    <fb>44749</fb>
    <v>0</v>
  </rv>
  <rv s="0">
    <fb>0.98399999999999999</fb>
    <v>2</v>
  </rv>
  <rv s="0">
    <fb>44750</fb>
    <v>0</v>
  </rv>
  <rv s="0">
    <fb>0.98160000000000003</fb>
    <v>2</v>
  </rv>
  <rv s="0">
    <fb>44753</fb>
    <v>0</v>
  </rv>
  <rv s="0">
    <fb>0.99570000000000003</fb>
    <v>2</v>
  </rv>
  <rv s="0">
    <fb>44754</fb>
    <v>0</v>
  </rv>
  <rv s="0">
    <fb>0.99590000000000001</fb>
    <v>2</v>
  </rv>
  <rv s="0">
    <fb>44755</fb>
    <v>0</v>
  </rv>
  <rv s="0">
    <fb>0.99360000000000004</fb>
    <v>2</v>
  </rv>
  <rv s="0">
    <fb>44756</fb>
    <v>0</v>
  </rv>
  <rv s="0">
    <fb>0.998</fb>
    <v>2</v>
  </rv>
  <rv s="0">
    <fb>44757</fb>
    <v>0</v>
  </rv>
  <rv s="0">
    <fb>0.99099999999999999</fb>
    <v>2</v>
  </rv>
  <rv s="0">
    <fb>44760</fb>
    <v>0</v>
  </rv>
  <rv s="0">
    <fb>0.98580000000000001</fb>
    <v>2</v>
  </rv>
  <rv s="0">
    <fb>44761</fb>
    <v>0</v>
  </rv>
  <rv s="0">
    <fb>0.97770000000000001</fb>
    <v>2</v>
  </rv>
  <rv s="0">
    <fb>44762</fb>
    <v>0</v>
  </rv>
  <rv s="0">
    <fb>0.98219999999999996</fb>
    <v>2</v>
  </rv>
  <rv s="0">
    <fb>44763</fb>
    <v>0</v>
  </rv>
  <rv s="0">
    <fb>0.97729999999999995</fb>
    <v>2</v>
  </rv>
  <rv s="0">
    <fb>44764</fb>
    <v>0</v>
  </rv>
  <rv s="0">
    <fb>0.97899999999999998</fb>
    <v>2</v>
  </rv>
  <rv s="0">
    <fb>44767</fb>
    <v>0</v>
  </rv>
  <rv s="0">
    <fb>0.97809999999999997</fb>
    <v>2</v>
  </rv>
  <rv s="0">
    <fb>44768</fb>
    <v>0</v>
  </rv>
  <rv s="0">
    <fb>0.98829999999999996</fb>
    <v>2</v>
  </rv>
  <rv s="0">
    <fb>44769</fb>
    <v>0</v>
  </rv>
  <rv s="0">
    <fb>0.9798</fb>
    <v>2</v>
  </rv>
  <rv s="0">
    <fb>44770</fb>
    <v>0</v>
  </rv>
  <rv s="0">
    <fb>0.98060000000000003</fb>
    <v>2</v>
  </rv>
  <rv s="0">
    <fb>44771</fb>
    <v>0</v>
  </rv>
  <rv s="0">
    <fb>0.97829999999999995</fb>
    <v>2</v>
  </rv>
  <rv s="0">
    <fb>44774</fb>
    <v>0</v>
  </rv>
  <rv s="0">
    <fb>0.97419999999999995</fb>
    <v>2</v>
  </rv>
  <rv s="0">
    <fb>44775</fb>
    <v>0</v>
  </rv>
  <rv s="0">
    <fb>0.98360000000000003</fb>
    <v>2</v>
  </rv>
  <rv s="0">
    <fb>44776</fb>
    <v>0</v>
  </rv>
  <rv s="0">
    <fb>44777</fb>
    <v>0</v>
  </rv>
  <rv s="0">
    <fb>0.97589999999999999</fb>
    <v>2</v>
  </rv>
  <rv s="0">
    <fb>44778</fb>
    <v>0</v>
  </rv>
  <rv s="0">
    <fb>0.98180000000000001</fb>
    <v>2</v>
  </rv>
  <rv s="0">
    <fb>44781</fb>
    <v>0</v>
  </rv>
  <rv s="0">
    <fb>0.98050000000000004</fb>
    <v>2</v>
  </rv>
  <rv s="0">
    <fb>44782</fb>
    <v>0</v>
  </rv>
  <rv s="0">
    <fb>44783</fb>
    <v>0</v>
  </rv>
  <rv s="0">
    <fb>0.9708</fb>
    <v>2</v>
  </rv>
  <rv s="0">
    <fb>44784</fb>
    <v>0</v>
  </rv>
  <rv s="0">
    <fb>0.96899999999999997</fb>
    <v>2</v>
  </rv>
  <rv s="0">
    <fb>44785</fb>
    <v>0</v>
  </rv>
  <rv s="0">
    <fb>0.97450000000000003</fb>
    <v>2</v>
  </rv>
  <rv s="0">
    <fb>44788</fb>
    <v>0</v>
  </rv>
  <rv s="0">
    <fb>0.9839</fb>
    <v>2</v>
  </rv>
  <rv s="0">
    <fb>44789</fb>
    <v>0</v>
  </rv>
  <rv s="0">
    <fb>0.9829</fb>
    <v>2</v>
  </rv>
  <rv s="0">
    <fb>44790</fb>
    <v>0</v>
  </rv>
  <rv s="0">
    <fb>44791</fb>
    <v>0</v>
  </rv>
  <rv s="0">
    <fb>0.9909</fb>
    <v>2</v>
  </rv>
  <rv s="0">
    <fb>44792</fb>
    <v>0</v>
  </rv>
  <rv s="0">
    <fb>0.99619999999999997</fb>
    <v>2</v>
  </rv>
  <rv s="0">
    <fb>44795</fb>
    <v>0</v>
  </rv>
  <rv s="0">
    <fb>1.0056</fb>
    <v>2</v>
  </rv>
  <rv s="0">
    <fb>44796</fb>
    <v>0</v>
  </rv>
  <rv s="0">
    <fb>1.0028999999999999</fb>
    <v>2</v>
  </rv>
  <rv s="0">
    <fb>44797</fb>
    <v>0</v>
  </rv>
  <rv s="0">
    <fb>1.0031000000000001</fb>
    <v>2</v>
  </rv>
  <rv s="0">
    <fb>44798</fb>
    <v>0</v>
  </rv>
  <rv s="0">
    <fb>1.0024</fb>
    <v>2</v>
  </rv>
  <rv s="0">
    <fb>44799</fb>
    <v>0</v>
  </rv>
  <rv s="0">
    <fb>1.0035000000000001</fb>
    <v>2</v>
  </rv>
  <rv s="0">
    <fb>44802</fb>
    <v>0</v>
  </rv>
  <rv s="0">
    <fb>1.0001</fb>
    <v>2</v>
  </rv>
  <rv s="0">
    <fb>44803</fb>
    <v>0</v>
  </rv>
  <rv s="0">
    <fb>0.99839999999999995</fb>
    <v>2</v>
  </rv>
  <rv s="0">
    <fb>44804</fb>
    <v>0</v>
  </rv>
  <rv s="0">
    <fb>0.99390000000000001</fb>
    <v>2</v>
  </rv>
  <rv s="0">
    <fb>44805</fb>
    <v>0</v>
  </rv>
  <rv s="0">
    <fb>1.0053000000000001</fb>
    <v>2</v>
  </rv>
  <rv s="0">
    <fb>44806</fb>
    <v>0</v>
  </rv>
  <rv s="0">
    <fb>1.0044999999999999</fb>
    <v>2</v>
  </rv>
  <rv s="0">
    <fb>44809</fb>
    <v>0</v>
  </rv>
  <rv s="0">
    <fb>1.0068999999999999</fb>
    <v>2</v>
  </rv>
  <rv s="0">
    <fb>44810</fb>
    <v>0</v>
  </rv>
  <rv s="0">
    <fb>1.0094000000000001</fb>
    <v>2</v>
  </rv>
  <rv s="0">
    <fb>44811</fb>
    <v>0</v>
  </rv>
  <rv s="0">
    <fb>0.99960000000000004</fb>
    <v>2</v>
  </rv>
  <rv s="0">
    <fb>44812</fb>
    <v>0</v>
  </rv>
  <rv s="0">
    <fb>44813</fb>
    <v>0</v>
  </rv>
  <rv s="0">
    <fb>44816</fb>
    <v>0</v>
  </rv>
  <rv s="0">
    <fb>0.9879</fb>
    <v>2</v>
  </rv>
  <rv s="0">
    <fb>44817</fb>
    <v>0</v>
  </rv>
  <rv s="0">
    <fb>1.0027999999999999</fb>
    <v>2</v>
  </rv>
  <rv s="0">
    <fb>44818</fb>
    <v>0</v>
  </rv>
  <rv s="0">
    <fb>1.0016</fb>
    <v>2</v>
  </rv>
  <rv s="0">
    <fb>44819</fb>
    <v>0</v>
  </rv>
  <rv s="0">
    <fb>44820</fb>
    <v>0</v>
  </rv>
  <rv s="0">
    <fb>0.99809999999999999</fb>
    <v>2</v>
  </rv>
  <rv s="0">
    <fb>44823</fb>
    <v>0</v>
  </rv>
  <rv s="0">
    <fb>0.99750000000000005</fb>
    <v>2</v>
  </rv>
  <rv s="0">
    <fb>44824</fb>
    <v>0</v>
  </rv>
  <rv s="0">
    <fb>1.0026999999999999</fb>
    <v>2</v>
  </rv>
  <rv s="0">
    <fb>44825</fb>
    <v>0</v>
  </rv>
  <rv s="0">
    <fb>1.0164</fb>
    <v>2</v>
  </rv>
  <rv s="0">
    <fb>44826</fb>
    <v>0</v>
  </rv>
  <rv s="0">
    <fb>1.0166999999999999</fb>
    <v>2</v>
  </rv>
  <rv s="0">
    <fb>44827</fb>
    <v>0</v>
  </rv>
  <rv s="0">
    <fb>1.0316000000000001</fb>
    <v>2</v>
  </rv>
  <rv s="0">
    <fb>44830</fb>
    <v>0</v>
  </rv>
  <rv s="0">
    <fb>1.0405</fb>
    <v>2</v>
  </rv>
  <rv s="0">
    <fb>44831</fb>
    <v>0</v>
  </rv>
  <rv s="0">
    <fb>1.0421</fb>
    <v>2</v>
  </rv>
  <rv s="0">
    <fb>44832</fb>
    <v>0</v>
  </rv>
  <rv s="0">
    <fb>1.0269999999999999</fb>
    <v>2</v>
  </rv>
  <rv s="0">
    <fb>44833</fb>
    <v>0</v>
  </rv>
  <rv s="0">
    <fb>1.0185</fb>
    <v>2</v>
  </rv>
  <rv s="0">
    <fb>44834</fb>
    <v>0</v>
  </rv>
  <rv s="0">
    <fb>1.0201</fb>
    <v>2</v>
  </rv>
  <rv s="0">
    <fb>44837</fb>
    <v>0</v>
  </rv>
  <rv s="0">
    <fb>1.0175000000000001</fb>
    <v>2</v>
  </rv>
  <rv s="0">
    <fb>44838</fb>
    <v>0</v>
  </rv>
  <rv s="0">
    <fb>1.0013000000000001</fb>
    <v>2</v>
  </rv>
  <rv s="0">
    <fb>44839</fb>
    <v>0</v>
  </rv>
  <rv s="0">
    <fb>1.0117</fb>
    <v>2</v>
  </rv>
  <rv s="0">
    <fb>44840</fb>
    <v>0</v>
  </rv>
  <rv s="0">
    <fb>1.0210999999999999</fb>
    <v>2</v>
  </rv>
  <rv s="0">
    <fb>44841</fb>
    <v>0</v>
  </rv>
  <rv s="0">
    <fb>1.0262</fb>
    <v>2</v>
  </rv>
  <rv s="0">
    <fb>44844</fb>
    <v>0</v>
  </rv>
  <rv s="0">
    <fb>1.0306</fb>
    <v>2</v>
  </rv>
  <rv s="0">
    <fb>44845</fb>
    <v>0</v>
  </rv>
  <rv s="0">
    <fb>1.0302</fb>
    <v>2</v>
  </rv>
  <rv s="0">
    <fb>44846</fb>
    <v>0</v>
  </rv>
  <rv s="0">
    <fb>1.0301</fb>
    <v>2</v>
  </rv>
  <rv s="0">
    <fb>44847</fb>
    <v>0</v>
  </rv>
  <rv s="0">
    <fb>1.0227999999999999</fb>
    <v>2</v>
  </rv>
  <rv s="0">
    <fb>44848</fb>
    <v>0</v>
  </rv>
  <rv s="0">
    <fb>1.0285</fb>
    <v>2</v>
  </rv>
  <rv s="0">
    <fb>44851</fb>
    <v>0</v>
  </rv>
  <rv s="0">
    <fb>1.0161</fb>
    <v>2</v>
  </rv>
  <rv s="0">
    <fb>44852</fb>
    <v>0</v>
  </rv>
  <rv s="0">
    <fb>1.0145</fb>
    <v>2</v>
  </rv>
  <rv s="0">
    <fb>44853</fb>
    <v>0</v>
  </rv>
  <rv s="0">
    <fb>1.0229999999999999</fb>
    <v>2</v>
  </rv>
  <rv s="0">
    <fb>44854</fb>
    <v>0</v>
  </rv>
  <rv s="0">
    <fb>1.0218</fb>
    <v>2</v>
  </rv>
  <rv s="0">
    <fb>44855</fb>
    <v>0</v>
  </rv>
  <rv s="0">
    <fb>1.0138</fb>
    <v>2</v>
  </rv>
  <rv s="0">
    <fb>44858</fb>
    <v>0</v>
  </rv>
  <rv s="0">
    <fb>1.0125999999999999</fb>
    <v>2</v>
  </rv>
  <rv s="0">
    <fb>44859</fb>
    <v>0</v>
  </rv>
  <rv s="0">
    <fb>1.0032000000000001</fb>
    <v>2</v>
  </rv>
  <rv s="0">
    <fb>44860</fb>
    <v>0</v>
  </rv>
  <rv s="0">
    <fb>0.99199999999999999</fb>
    <v>2</v>
  </rv>
  <rv s="0">
    <fb>44861</fb>
    <v>0</v>
  </rv>
  <rv s="0">
    <fb>1.0034000000000001</fb>
    <v>2</v>
  </rv>
  <rv s="0">
    <fb>44862</fb>
    <v>0</v>
  </rv>
  <rv s="0">
    <fb>1.0033000000000001</fb>
    <v>2</v>
  </rv>
  <rv s="0">
    <fb>44865</fb>
    <v>0</v>
  </rv>
  <rv s="0">
    <fb>1.0114000000000001</fb>
    <v>2</v>
  </rv>
  <rv s="0">
    <fb>44866</fb>
    <v>0</v>
  </rv>
  <rv s="0">
    <fb>1.0126999999999999</fb>
    <v>2</v>
  </rv>
  <rv s="0">
    <fb>44867</fb>
    <v>0</v>
  </rv>
  <rv s="0">
    <fb>1.0182</fb>
    <v>2</v>
  </rv>
  <rv s="0">
    <fb>44868</fb>
    <v>0</v>
  </rv>
  <rv s="0">
    <fb>1.0250999999999999</fb>
    <v>2</v>
  </rv>
  <rv s="0">
    <fb>44869</fb>
    <v>0</v>
  </rv>
  <rv s="0">
    <fb>1.0036</fb>
    <v>2</v>
  </rv>
  <rv s="0">
    <fb>44872</fb>
    <v>0</v>
  </rv>
  <rv s="0">
    <fb>0.99770000000000003</fb>
    <v>2</v>
  </rv>
  <rv s="0">
    <fb>44873</fb>
    <v>0</v>
  </rv>
  <rv s="0">
    <fb>0.99250000000000005</fb>
    <v>2</v>
  </rv>
  <rv s="0">
    <fb>44874</fb>
    <v>0</v>
  </rv>
  <rv s="0">
    <fb>44875</fb>
    <v>0</v>
  </rv>
  <rv s="0">
    <fb>0.97940000000000005</fb>
    <v>2</v>
  </rv>
  <rv s="0">
    <fb>44876</fb>
    <v>0</v>
  </rv>
  <rv s="0">
    <fb>0.96560000000000001</fb>
    <v>2</v>
  </rv>
  <rv s="0">
    <fb>44879</fb>
    <v>0</v>
  </rv>
  <rv s="0">
    <fb>0.96809999999999996</fb>
    <v>2</v>
  </rv>
  <rv s="0">
    <fb>44880</fb>
    <v>0</v>
  </rv>
  <rv s="0">
    <fb>0.96609999999999996</fb>
    <v>2</v>
  </rv>
  <rv s="0">
    <fb>44881</fb>
    <v>0</v>
  </rv>
  <rv s="0">
    <fb>0.96189999999999998</fb>
    <v>2</v>
  </rv>
  <rv s="0">
    <fb>44882</fb>
    <v>0</v>
  </rv>
  <rv s="0">
    <fb>0.96489999999999998</fb>
    <v>2</v>
  </rv>
  <rv s="0">
    <fb>44883</fb>
    <v>0</v>
  </rv>
  <rv s="0">
    <fb>0.96850000000000003</fb>
    <v>2</v>
  </rv>
  <rv s="0">
    <fb>44886</fb>
    <v>0</v>
  </rv>
  <rv s="0">
    <fb>0.97609999999999997</fb>
    <v>2</v>
  </rv>
  <rv s="0">
    <fb>44887</fb>
    <v>0</v>
  </rv>
  <rv s="0">
    <fb>0.97030000000000005</fb>
    <v>2</v>
  </rv>
  <rv s="0">
    <fb>44888</fb>
    <v>0</v>
  </rv>
  <rv s="0">
    <fb>0.9617</fb>
    <v>2</v>
  </rv>
  <rv s="0">
    <fb>44889</fb>
    <v>0</v>
  </rv>
  <rv s="0">
    <fb>0.96060000000000001</fb>
    <v>2</v>
  </rv>
  <rv s="0">
    <fb>44890</fb>
    <v>0</v>
  </rv>
  <rv s="0">
    <fb>0.96160000000000001</fb>
    <v>2</v>
  </rv>
  <rv s="0">
    <fb>44893</fb>
    <v>0</v>
  </rv>
  <rv s="0">
    <fb>0.96699999999999997</fb>
    <v>2</v>
  </rv>
  <rv s="0">
    <fb>44894</fb>
    <v>0</v>
  </rv>
  <rv s="0">
    <fb>0.96799999999999997</fb>
    <v>2</v>
  </rv>
  <rv s="0">
    <fb>44895</fb>
    <v>0</v>
  </rv>
  <rv s="0">
    <fb>44896</fb>
    <v>0</v>
  </rv>
  <rv s="0">
    <fb>0.95</fb>
    <v>2</v>
  </rv>
  <rv s="0">
    <fb>44897</fb>
    <v>0</v>
  </rv>
  <rv s="0">
    <fb>0.9486</fb>
    <v>2</v>
  </rv>
  <rv s="0">
    <fb>44900</fb>
    <v>0</v>
  </rv>
  <rv s="0">
    <fb>0.95299999999999996</fb>
    <v>2</v>
  </rv>
  <rv s="0">
    <fb>44901</fb>
    <v>0</v>
  </rv>
  <rv s="0">
    <fb>0.95499999999999996</fb>
    <v>2</v>
  </rv>
  <rv s="0">
    <fb>44902</fb>
    <v>0</v>
  </rv>
  <rv s="0">
    <fb>0.95169999999999999</fb>
    <v>2</v>
  </rv>
  <rv s="0">
    <fb>44903</fb>
    <v>0</v>
  </rv>
  <rv s="0">
    <fb>44904</fb>
    <v>0</v>
  </rv>
  <rv s="0">
    <fb>0.94930000000000003</fb>
    <v>2</v>
  </rv>
  <rv s="0">
    <fb>44907</fb>
    <v>0</v>
  </rv>
  <rv s="0">
    <fb>0.94889999999999997</fb>
    <v>2</v>
  </rv>
  <rv s="0">
    <fb>44908</fb>
    <v>0</v>
  </rv>
  <rv s="0">
    <fb>0.94040000000000001</fb>
    <v>2</v>
  </rv>
  <rv s="0">
    <fb>44909</fb>
    <v>0</v>
  </rv>
  <rv s="0">
    <fb>0.93610000000000004</fb>
    <v>2</v>
  </rv>
  <rv s="0">
    <fb>44910</fb>
    <v>0</v>
  </rv>
  <rv s="0">
    <fb>0.94069999999999998</fb>
    <v>2</v>
  </rv>
  <rv s="0">
    <fb>44911</fb>
    <v>0</v>
  </rv>
  <rv s="0">
    <fb>0.9446</fb>
    <v>2</v>
  </rv>
  <rv s="0">
    <fb>44914</fb>
    <v>0</v>
  </rv>
  <rv s="0">
    <fb>0.94259999999999999</fb>
    <v>2</v>
  </rv>
  <rv s="0">
    <fb>44915</fb>
    <v>0</v>
  </rv>
  <rv s="0">
    <fb>0.94130000000000003</fb>
    <v>2</v>
  </rv>
  <rv s="0">
    <fb>44916</fb>
    <v>0</v>
  </rv>
  <rv s="0">
    <fb>0.94279999999999997</fb>
    <v>2</v>
  </rv>
  <rv s="0">
    <fb>44917</fb>
    <v>0</v>
  </rv>
  <rv s="0">
    <fb>0.94369999999999998</fb>
    <v>2</v>
  </rv>
  <rv s="0">
    <fb>44918</fb>
    <v>0</v>
  </rv>
  <rv s="0">
    <fb>44921</fb>
    <v>0</v>
  </rv>
  <rv s="0">
    <fb>44922</fb>
    <v>0</v>
  </rv>
  <rv s="0">
    <fb>0.93969999999999998</fb>
    <v>2</v>
  </rv>
  <rv s="0">
    <fb>44923</fb>
    <v>0</v>
  </rv>
  <rv s="0">
    <fb>0.94220000000000004</fb>
    <v>2</v>
  </rv>
  <rv s="0">
    <fb>44924</fb>
    <v>0</v>
  </rv>
  <rv s="0">
    <fb>0.93789999999999996</fb>
    <v>2</v>
  </rv>
  <rv s="0">
    <fb>44925</fb>
    <v>0</v>
  </rv>
  <rv s="0">
    <fb>0.93410000000000004</fb>
    <v>2</v>
  </rv>
  <rv s="0">
    <fb>44928</fb>
    <v>0</v>
  </rv>
  <rv s="0">
    <fb>0.93759999999999999</fb>
    <v>2</v>
  </rv>
  <rv s="0">
    <fb>44929</fb>
    <v>0</v>
  </rv>
  <rv s="0">
    <fb>0.94750000000000001</fb>
    <v>2</v>
  </rv>
  <rv s="0">
    <fb>44930</fb>
    <v>0</v>
  </rv>
  <rv s="0">
    <fb>0.94310000000000005</fb>
    <v>2</v>
  </rv>
  <rv s="0">
    <fb>44931</fb>
    <v>0</v>
  </rv>
  <rv s="0">
    <fb>44932</fb>
    <v>0</v>
  </rv>
  <rv s="0">
    <fb>0.93920000000000003</fb>
    <v>2</v>
  </rv>
  <rv s="0">
    <fb>44935</fb>
    <v>0</v>
  </rv>
  <rv s="0">
    <fb>0.93179999999999996</fb>
    <v>2</v>
  </rv>
  <rv s="0">
    <fb>44936</fb>
    <v>0</v>
  </rv>
  <rv s="0">
    <fb>0.93130000000000002</fb>
    <v>2</v>
  </rv>
  <rv s="0">
    <fb>44937</fb>
    <v>0</v>
  </rv>
  <rv s="0">
    <fb>0.92949999999999999</fb>
    <v>2</v>
  </rv>
  <rv s="0">
    <fb>44938</fb>
    <v>0</v>
  </rv>
  <rv s="0">
    <fb>0.92149999999999999</fb>
    <v>2</v>
  </rv>
  <rv s="0">
    <fb>44939</fb>
    <v>0</v>
  </rv>
  <rv s="0">
    <fb>44942</fb>
    <v>0</v>
  </rv>
  <rv s="0">
    <fb>0.92420000000000002</fb>
    <v>2</v>
  </rv>
  <rv s="0">
    <fb>44943</fb>
    <v>0</v>
  </rv>
  <rv s="0">
    <fb>0.92689999999999995</fb>
    <v>2</v>
  </rv>
  <rv s="0">
    <fb>44944</fb>
    <v>0</v>
  </rv>
  <rv s="0">
    <fb>44945</fb>
    <v>0</v>
  </rv>
  <rv s="0">
    <fb>44946</fb>
    <v>0</v>
  </rv>
  <rv s="0">
    <fb>0.92100000000000004</fb>
    <v>2</v>
  </rv>
  <rv s="0">
    <fb>44949</fb>
    <v>0</v>
  </rv>
  <rv s="0">
    <fb>0.91979999999999995</fb>
    <v>2</v>
  </rv>
  <rv s="0">
    <fb>44950</fb>
    <v>0</v>
  </rv>
  <rv s="0">
    <fb>44951</fb>
    <v>0</v>
  </rv>
  <rv s="0">
    <fb>0.91579999999999995</fb>
    <v>2</v>
  </rv>
  <rv s="0">
    <fb>44952</fb>
    <v>0</v>
  </rv>
  <rv s="0">
    <fb>44953</fb>
    <v>0</v>
  </rv>
  <rv s="0">
    <fb>0.91990000000000005</fb>
    <v>2</v>
  </rv>
  <rv s="0">
    <fb>44956</fb>
    <v>0</v>
  </rv>
  <rv s="0">
    <fb>0.92179999999999995</fb>
    <v>2</v>
  </rv>
  <rv s="0">
    <fb>44957</fb>
    <v>0</v>
  </rv>
  <rv s="0">
    <fb>44958</fb>
    <v>0</v>
  </rv>
  <rv s="0">
    <fb>0.90980000000000005</fb>
    <v>2</v>
  </rv>
  <rv s="0">
    <fb>44959</fb>
    <v>0</v>
  </rv>
  <rv s="0">
    <fb>44960</fb>
    <v>0</v>
  </rv>
  <rv s="0">
    <fb>0.92620000000000002</fb>
    <v>2</v>
  </rv>
  <rv s="0">
    <fb>44963</fb>
    <v>0</v>
  </rv>
  <rv s="0">
    <fb>0.93159999999999998</fb>
    <v>2</v>
  </rv>
  <rv s="0">
    <fb>44964</fb>
    <v>0</v>
  </rv>
  <rv s="0">
    <fb>44965</fb>
    <v>0</v>
  </rv>
  <rv s="0">
    <fb>0.93340000000000001</fb>
    <v>2</v>
  </rv>
  <rv s="0">
    <fb>44966</fb>
    <v>0</v>
  </rv>
  <rv s="0">
    <fb>0.93110000000000004</fb>
    <v>2</v>
  </rv>
  <rv s="0">
    <fb>44967</fb>
    <v>0</v>
  </rv>
  <rv s="0">
    <fb>0.93620000000000003</fb>
    <v>2</v>
  </rv>
  <rv s="0">
    <fb>44970</fb>
    <v>0</v>
  </rv>
  <rv s="0">
    <fb>0.93259999999999998</fb>
    <v>2</v>
  </rv>
  <rv s="0">
    <fb>44971</fb>
    <v>0</v>
  </rv>
  <rv s="0">
    <fb>0.93120000000000003</fb>
    <v>2</v>
  </rv>
  <rv s="0">
    <fb>44972</fb>
    <v>0</v>
  </rv>
  <rv s="0">
    <fb>0.93540000000000001</fb>
    <v>2</v>
  </rv>
  <rv s="0">
    <fb>44973</fb>
    <v>0</v>
  </rv>
  <rv s="0">
    <fb>0.93700000000000006</fb>
    <v>2</v>
  </rv>
  <rv s="0">
    <fb>44974</fb>
    <v>0</v>
  </rv>
  <rv s="0">
    <fb>0.93500000000000005</fb>
    <v>2</v>
  </rv>
  <rv s="0">
    <fb>44977</fb>
    <v>0</v>
  </rv>
  <rv s="0">
    <fb>0.93579999999999997</fb>
    <v>2</v>
  </rv>
  <rv s="0">
    <fb>44978</fb>
    <v>0</v>
  </rv>
  <rv s="0">
    <fb>0.93899999999999995</fb>
    <v>2</v>
  </rv>
  <rv s="0">
    <fb>44979</fb>
    <v>0</v>
  </rv>
  <rv s="0">
    <fb>0.94299999999999995</fb>
    <v>2</v>
  </rv>
  <rv s="0">
    <fb>44980</fb>
    <v>0</v>
  </rv>
  <rv s="0">
    <fb>0.94359999999999999</fb>
    <v>2</v>
  </rv>
  <rv s="0">
    <fb>44981</fb>
    <v>0</v>
  </rv>
  <rv s="0">
    <fb>0.94789999999999996</fb>
    <v>2</v>
  </rv>
  <rv s="0">
    <fb>44984</fb>
    <v>0</v>
  </rv>
  <rv s="0">
    <fb>0.94240000000000002</fb>
    <v>2</v>
  </rv>
  <rv s="0">
    <fb>44985</fb>
    <v>0</v>
  </rv>
  <rv s="0">
    <fb>0.94520000000000004</fb>
    <v>2</v>
  </rv>
  <rv s="0">
    <fb>44986</fb>
    <v>0</v>
  </rv>
  <rv s="0">
    <fb>0.93710000000000004</fb>
    <v>2</v>
  </rv>
  <rv s="0">
    <fb>44987</fb>
    <v>0</v>
  </rv>
  <rv s="0">
    <fb>0.94340000000000002</fb>
    <v>2</v>
  </rv>
  <rv s="0">
    <fb>44988</fb>
    <v>0</v>
  </rv>
  <rv s="0">
    <fb>0.94020000000000004</fb>
    <v>2</v>
  </rv>
  <rv s="0">
    <fb>44991</fb>
    <v>0</v>
  </rv>
  <rv s="0">
    <fb>0.93630000000000002</fb>
    <v>2</v>
  </rv>
  <rv s="0">
    <fb>44992</fb>
    <v>0</v>
  </rv>
  <rv s="0">
    <fb>44993</fb>
    <v>0</v>
  </rv>
  <rv s="0">
    <fb>0.94799999999999995</fb>
    <v>2</v>
  </rv>
  <rv s="0">
    <fb>44994</fb>
    <v>0</v>
  </rv>
  <rv s="0">
    <fb>0.94479999999999997</fb>
    <v>2</v>
  </rv>
  <rv s="0">
    <fb>44995</fb>
    <v>0</v>
  </rv>
  <rv s="0">
    <fb>0.93940000000000001</fb>
    <v>2</v>
  </rv>
  <rv s="0">
    <fb>44998</fb>
    <v>0</v>
  </rv>
  <rv s="0">
    <fb>0.93169999999999997</fb>
    <v>2</v>
  </rv>
  <rv s="0">
    <fb>44999</fb>
    <v>0</v>
  </rv>
  <rv s="0">
    <fb>45000</fb>
    <v>0</v>
  </rv>
  <rv s="0">
    <fb>0.94530000000000003</fb>
    <v>2</v>
  </rv>
  <rv s="0">
    <fb>45001</fb>
    <v>0</v>
  </rv>
  <rv s="0">
    <fb>45002</fb>
    <v>0</v>
  </rv>
  <rv s="0">
    <fb>0.93720000000000003</fb>
    <v>2</v>
  </rv>
  <rv s="0">
    <fb>45005</fb>
    <v>0</v>
  </rv>
  <rv s="0">
    <fb>45006</fb>
    <v>0</v>
  </rv>
  <rv s="0">
    <fb>0.92830000000000001</fb>
    <v>2</v>
  </rv>
  <rv s="0">
    <fb>45007</fb>
    <v>0</v>
  </rv>
  <rv s="0">
    <fb>0.92090000000000005</fb>
    <v>2</v>
  </rv>
  <rv s="0">
    <fb>45008</fb>
    <v>0</v>
  </rv>
  <rv s="0">
    <fb>45009</fb>
    <v>0</v>
  </rv>
  <rv s="0">
    <fb>0.92910000000000004</fb>
    <v>2</v>
  </rv>
  <rv s="0">
    <fb>45012</fb>
    <v>0</v>
  </rv>
  <rv s="0">
    <fb>0.92600000000000005</fb>
    <v>2</v>
  </rv>
  <rv s="0">
    <fb>45013</fb>
    <v>0</v>
  </rv>
  <rv s="0">
    <fb>0.92210000000000003</fb>
    <v>2</v>
  </rv>
  <rv s="0">
    <fb>45014</fb>
    <v>0</v>
  </rv>
  <rv s="0">
    <fb>45015</fb>
    <v>0</v>
  </rv>
  <rv s="0">
    <fb>0.91700000000000004</fb>
    <v>2</v>
  </rv>
  <rv s="0">
    <fb>45016</fb>
    <v>0</v>
  </rv>
  <rv s="0">
    <fb>45019</fb>
    <v>0</v>
  </rv>
  <rv s="0">
    <fb>45020</fb>
    <v>0</v>
  </rv>
  <rv s="0">
    <fb>0.91290000000000004</fb>
    <v>2</v>
  </rv>
  <rv s="0">
    <fb>45021</fb>
    <v>0</v>
  </rv>
  <rv s="0">
    <fb>45022</fb>
    <v>0</v>
  </rv>
  <rv s="0">
    <fb>45023</fb>
    <v>0</v>
  </rv>
  <rv s="0">
    <fb>45026</fb>
    <v>0</v>
  </rv>
  <rv s="0">
    <fb>0.92059999999999997</fb>
    <v>2</v>
  </rv>
  <rv s="0">
    <fb>45027</fb>
    <v>0</v>
  </rv>
  <rv s="0">
    <fb>0.91620000000000001</fb>
    <v>2</v>
  </rv>
  <rv s="0">
    <fb>45028</fb>
    <v>0</v>
  </rv>
  <rv s="0">
    <fb>45029</fb>
    <v>0</v>
  </rv>
  <rv s="0">
    <fb>45030</fb>
    <v>0</v>
  </rv>
  <rv s="0">
    <fb>45033</fb>
    <v>0</v>
  </rv>
  <rv s="0">
    <fb>45034</fb>
    <v>0</v>
  </rv>
  <rv s="0">
    <fb>45035</fb>
    <v>0</v>
  </rv>
  <rv s="0">
    <fb>0.91269999999999996</fb>
    <v>2</v>
  </rv>
  <rv s="0">
    <fb>45036</fb>
    <v>0</v>
  </rv>
  <rv s="0">
    <fb>0.91149999999999998</fb>
    <v>2</v>
  </rv>
  <rv s="0">
    <fb>45037</fb>
    <v>0</v>
  </rv>
  <rv s="0">
    <fb>45040</fb>
    <v>0</v>
  </rv>
  <rv s="0">
    <fb>45041</fb>
    <v>0</v>
  </rv>
  <rv s="0">
    <fb>45042</fb>
    <v>0</v>
  </rv>
  <rv s="0">
    <fb>45043</fb>
    <v>0</v>
  </rv>
  <rv s="0">
    <fb>45044</fb>
    <v>0</v>
  </rv>
  <rv s="0">
    <fb>45047</fb>
    <v>0</v>
  </rv>
  <rv s="0">
    <fb>0.91080000000000005</fb>
    <v>2</v>
  </rv>
  <rv s="0">
    <fb>45048</fb>
    <v>0</v>
  </rv>
  <rv s="0">
    <fb>45049</fb>
    <v>0</v>
  </rv>
  <rv s="0">
    <fb>0.90390000000000004</fb>
    <v>2</v>
  </rv>
  <rv s="0">
    <fb>45050</fb>
    <v>0</v>
  </rv>
  <rv s="0">
    <fb>45051</fb>
    <v>0</v>
  </rv>
  <rv s="0">
    <fb>45054</fb>
    <v>0</v>
  </rv>
  <rv s="0">
    <fb>45055</fb>
    <v>0</v>
  </rv>
  <rv s="0">
    <fb>0.91210000000000002</fb>
    <v>2</v>
  </rv>
  <rv s="0">
    <fb>45056</fb>
    <v>0</v>
  </rv>
  <rv s="0">
    <fb>0.91039999999999999</fb>
    <v>2</v>
  </rv>
  <rv s="0">
    <fb>45057</fb>
    <v>0</v>
  </rv>
  <rv s="0">
    <fb>45058</fb>
    <v>0</v>
  </rv>
  <rv s="0">
    <fb>45061</fb>
    <v>0</v>
  </rv>
  <rv s="0">
    <fb>45062</fb>
    <v>0</v>
  </rv>
  <rv s="0">
    <fb>0.9204</fb>
    <v>2</v>
  </rv>
  <rv s="0">
    <fb>45063</fb>
    <v>0</v>
  </rv>
  <rv s="0">
    <fb>45064</fb>
    <v>0</v>
  </rv>
  <rv s="0">
    <fb>0.92820000000000003</fb>
    <v>2</v>
  </rv>
  <rv s="0">
    <fb>45065</fb>
    <v>0</v>
  </rv>
  <rv s="0">
    <fb>45068</fb>
    <v>0</v>
  </rv>
  <rv s="0">
    <fb>0.92459999999999998</fb>
    <v>2</v>
  </rv>
  <rv s="0">
    <fb>45069</fb>
    <v>0</v>
  </rv>
  <rv s="0">
    <fb>0.9284</fb>
    <v>2</v>
  </rv>
  <rv s="0">
    <fb>45070</fb>
    <v>0</v>
  </rv>
  <rv s="0">
    <fb>0.93010000000000004</fb>
    <v>2</v>
  </rv>
  <rv s="0">
    <fb>45071</fb>
    <v>0</v>
  </rv>
  <rv s="0">
    <fb>45072</fb>
    <v>0</v>
  </rv>
  <rv s="0">
    <fb>0.93230000000000002</fb>
    <v>2</v>
  </rv>
  <rv s="0">
    <fb>45075</fb>
    <v>0</v>
  </rv>
  <rv s="0">
    <fb>0.93379999999999996</fb>
    <v>2</v>
  </rv>
  <rv s="0">
    <fb>45076</fb>
    <v>0</v>
  </rv>
  <rv s="0">
    <fb>45077</fb>
    <v>0</v>
  </rv>
  <rv s="0">
    <fb>0.93530000000000002</fb>
    <v>2</v>
  </rv>
  <rv s="0">
    <fb>45078</fb>
    <v>0</v>
  </rv>
  <rv s="0">
    <fb>0.92900000000000005</fb>
    <v>2</v>
  </rv>
  <rv s="0">
    <fb>45079</fb>
    <v>0</v>
  </rv>
  <rv s="0">
    <fb>0.93369999999999997</fb>
    <v>2</v>
  </rv>
  <rv s="0">
    <fb>45082</fb>
    <v>0</v>
  </rv>
  <rv s="0">
    <fb>0.93320000000000003</fb>
    <v>2</v>
  </rv>
  <rv s="0">
    <fb>45083</fb>
    <v>0</v>
  </rv>
  <rv s="0">
    <fb>45084</fb>
    <v>0</v>
  </rv>
  <rv s="0">
    <fb>0.9345</fb>
    <v>2</v>
  </rv>
  <rv s="0">
    <fb>45085</fb>
    <v>0</v>
  </rv>
  <rv s="0">
    <fb>0.92720000000000002</fb>
    <v>2</v>
  </rv>
  <rv s="0">
    <fb>45086</fb>
    <v>0</v>
  </rv>
  <rv s="0">
    <fb>45089</fb>
    <v>0</v>
  </rv>
  <rv s="0">
    <fb>45090</fb>
    <v>0</v>
  </rv>
  <rv s="0">
    <fb>45091</fb>
    <v>0</v>
  </rv>
  <rv s="0">
    <fb>0.92290000000000005</fb>
    <v>2</v>
  </rv>
  <rv s="0">
    <fb>45092</fb>
    <v>0</v>
  </rv>
  <rv s="0">
    <fb>45093</fb>
    <v>0</v>
  </rv>
  <rv s="0">
    <fb>45096</fb>
    <v>0</v>
  </rv>
  <rv s="0">
    <fb>0.91539999999999999</fb>
    <v>2</v>
  </rv>
  <rv s="0">
    <fb>45097</fb>
    <v>0</v>
  </rv>
  <rv s="0">
    <fb>45098</fb>
    <v>0</v>
  </rv>
  <rv s="0">
    <fb>0.91010000000000002</fb>
    <v>2</v>
  </rv>
  <rv s="0">
    <fb>45099</fb>
    <v>0</v>
  </rv>
  <rv s="0">
    <fb>45100</fb>
    <v>0</v>
  </rv>
  <rv s="0">
    <fb>45103</fb>
    <v>0</v>
  </rv>
  <rv s="0">
    <fb>45104</fb>
    <v>0</v>
  </rv>
  <rv s="0">
    <fb>0.91220000000000001</fb>
    <v>2</v>
  </rv>
  <rv s="0">
    <fb>45105</fb>
    <v>0</v>
  </rv>
  <rv s="0">
    <fb>45106</fb>
    <v>0</v>
  </rv>
  <rv s="0">
    <fb>0.92010000000000003</fb>
    <v>2</v>
  </rv>
  <rv s="0">
    <fb>45107</fb>
    <v>0</v>
  </rv>
  <rv s="0">
    <fb>45110</fb>
    <v>0</v>
  </rv>
  <rv s="0">
    <fb>45111</fb>
    <v>0</v>
  </rv>
  <rv s="0">
    <fb>0.91900000000000004</fb>
    <v>2</v>
  </rv>
  <rv s="0">
    <fb>45112</fb>
    <v>0</v>
  </rv>
  <rv s="0">
    <fb>45113</fb>
    <v>0</v>
  </rv>
  <rv s="0">
    <fb>0.91820000000000002</fb>
    <v>2</v>
  </rv>
  <rv s="0">
    <fb>45114</fb>
    <v>0</v>
  </rv>
  <rv s="0">
    <fb>45117</fb>
    <v>0</v>
  </rv>
  <rv s="0">
    <fb>45118</fb>
    <v>0</v>
  </rv>
  <rv s="0">
    <fb>0.9083</fb>
    <v>2</v>
  </rv>
  <rv s="0">
    <fb>45119</fb>
    <v>0</v>
  </rv>
  <rv s="0">
    <fb>45120</fb>
    <v>0</v>
  </rv>
  <rv s="0">
    <fb>45121</fb>
    <v>0</v>
  </rv>
  <rv s="0">
    <fb>45124</fb>
    <v>0</v>
  </rv>
  <rv s="0">
    <fb>45125</fb>
    <v>0</v>
  </rv>
  <rv s="0">
    <fb>45126</fb>
    <v>0</v>
  </rv>
  <rv s="0">
    <fb>45127</fb>
    <v>0</v>
  </rv>
  <rv s="0">
    <fb>45128</fb>
    <v>0</v>
  </rv>
  <rv s="0">
    <fb>0.89890000000000003</fb>
    <v>2</v>
  </rv>
  <rv s="0">
    <fb>45131</fb>
    <v>0</v>
  </rv>
  <rv s="0">
    <fb>45132</fb>
    <v>0</v>
  </rv>
  <rv s="0">
    <fb>45133</fb>
    <v>0</v>
  </rv>
  <rv s="0">
    <fb>45134</fb>
    <v>0</v>
  </rv>
  <rv s="0">
    <fb>0.91100000000000003</fb>
    <v>2</v>
  </rv>
  <rv s="0">
    <fb>45135</fb>
    <v>0</v>
  </rv>
  <rv s="0">
    <fb>0.90769999999999995</fb>
    <v>2</v>
  </rv>
  <rv s="0">
    <fb>45138</fb>
    <v>0</v>
  </rv>
  <rv s="0">
    <fb>45139</fb>
    <v>0</v>
  </rv>
  <rv s="0">
    <fb>45140</fb>
    <v>0</v>
  </rv>
  <rv s="0">
    <fb>45141</fb>
    <v>0</v>
  </rv>
  <rv s="0">
    <fb>0.91339999999999999</fb>
    <v>2</v>
  </rv>
  <rv s="0">
    <fb>45142</fb>
    <v>0</v>
  </rv>
  <rv s="0">
    <fb>0.90810000000000002</fb>
    <v>2</v>
  </rv>
  <rv s="0">
    <fb>45145</fb>
    <v>0</v>
  </rv>
  <rv s="0">
    <fb>45146</fb>
    <v>0</v>
  </rv>
  <rv s="0">
    <fb>45147</fb>
    <v>0</v>
  </rv>
  <rv s="0">
    <fb>45148</fb>
    <v>0</v>
  </rv>
  <rv s="0">
    <fb>45149</fb>
    <v>0</v>
  </rv>
  <rv s="0">
    <fb>45152</fb>
    <v>0</v>
  </rv>
  <rv s="0">
    <fb>45153</fb>
    <v>0</v>
  </rv>
  <rv s="0">
    <fb>0.91690000000000005</fb>
    <v>2</v>
  </rv>
  <rv s="0">
    <fb>45154</fb>
    <v>0</v>
  </rv>
  <rv s="0">
    <fb>45155</fb>
    <v>0</v>
  </rv>
  <rv s="0">
    <fb>45156</fb>
    <v>0</v>
  </rv>
  <rv s="0">
    <fb>45159</fb>
    <v>0</v>
  </rv>
  <rv s="0">
    <fb>0.91790000000000005</fb>
    <v>2</v>
  </rv>
  <rv s="0">
    <fb>45160</fb>
    <v>0</v>
  </rv>
  <rv s="0">
    <fb>45161</fb>
    <v>0</v>
  </rv>
  <rv s="0">
    <fb>45162</fb>
    <v>0</v>
  </rv>
  <rv s="0">
    <fb>0.92479999999999996</fb>
    <v>2</v>
  </rv>
  <rv s="0">
    <fb>45163</fb>
    <v>0</v>
  </rv>
  <rv s="0">
    <fb>0.92559999999999998</fb>
    <v>2</v>
  </rv>
  <rv s="0">
    <fb>45166</fb>
    <v>0</v>
  </rv>
  <rv s="0">
    <fb>0.92410000000000003</fb>
    <v>2</v>
  </rv>
  <rv s="0">
    <fb>45167</fb>
    <v>0</v>
  </rv>
  <rv s="0">
    <fb>45168</fb>
    <v>0</v>
  </rv>
  <rv s="0">
    <fb>45169</fb>
    <v>0</v>
  </rv>
  <rv s="0">
    <fb>45170</fb>
    <v>0</v>
  </rv>
  <rv s="0">
    <fb>0.92789999999999995</fb>
    <v>2</v>
  </rv>
  <rv s="0">
    <fb>45173</fb>
    <v>0</v>
  </rv>
  <rv s="0">
    <fb>45174</fb>
    <v>0</v>
  </rv>
  <rv s="0">
    <fb>45175</fb>
    <v>0</v>
  </rv>
  <rv s="0">
    <fb>45176</fb>
    <v>0</v>
  </rv>
  <rv s="0">
    <fb>45177</fb>
    <v>0</v>
  </rv>
  <rv s="0">
    <fb>0.93440000000000001</fb>
    <v>2</v>
  </rv>
  <rv s="0">
    <fb>45180</fb>
    <v>0</v>
  </rv>
  <rv s="0">
    <fb>45181</fb>
    <v>0</v>
  </rv>
  <rv s="0">
    <fb>0.92959999999999998</fb>
    <v>2</v>
  </rv>
  <rv s="0">
    <fb>45182</fb>
    <v>0</v>
  </rv>
  <rv s="0">
    <fb>0.93200000000000005</fb>
    <v>2</v>
  </rv>
  <rv s="0">
    <fb>45183</fb>
    <v>0</v>
  </rv>
  <rv s="0">
    <fb>45184</fb>
    <v>0</v>
  </rv>
  <rv s="0">
    <fb>0.93820000000000003</fb>
    <v>2</v>
  </rv>
  <rv s="0">
    <fb>45187</fb>
    <v>0</v>
  </rv>
  <rv s="0">
    <fb>45188</fb>
    <v>0</v>
  </rv>
  <rv s="0">
    <fb>45189</fb>
    <v>0</v>
  </rv>
  <rv s="0">
    <fb>0.93779999999999997</fb>
    <v>2</v>
  </rv>
  <rv s="0">
    <fb>45190</fb>
    <v>0</v>
  </rv>
  <rv s="0">
    <fb>45191</fb>
    <v>0</v>
  </rv>
  <rv s="0">
    <fb>0.93840000000000001</fb>
    <v>2</v>
  </rv>
  <rv s="0">
    <fb>45194</fb>
    <v>0</v>
  </rv>
  <rv s="0">
    <fb>0.94389999999999996</fb>
    <v>2</v>
  </rv>
  <rv s="0">
    <fb>45195</fb>
    <v>0</v>
  </rv>
  <rv s="0">
    <fb>0.94569999999999999</fb>
    <v>2</v>
  </rv>
  <rv s="0">
    <fb>45196</fb>
    <v>0</v>
  </rv>
  <rv s="0">
    <fb>0.95199999999999996</fb>
    <v>2</v>
  </rv>
  <rv s="0">
    <fb>45197</fb>
    <v>0</v>
  </rv>
  <rv s="0">
    <fb>0.94669999999999999</fb>
    <v>2</v>
  </rv>
  <rv s="0">
    <fb>45198</fb>
    <v>0</v>
  </rv>
  <rv s="0">
    <fb>45201</fb>
    <v>0</v>
  </rv>
  <rv s="0">
    <fb>0.95420000000000005</fb>
    <v>2</v>
  </rv>
  <rv s="0">
    <fb>45202</fb>
    <v>0</v>
  </rv>
  <rv s="0">
    <fb>0.95520000000000005</fb>
    <v>2</v>
  </rv>
  <rv s="0">
    <fb>45203</fb>
    <v>0</v>
  </rv>
  <rv s="0">
    <fb>45204</fb>
    <v>0</v>
  </rv>
  <rv s="0">
    <fb>45205</fb>
    <v>0</v>
  </rv>
  <rv s="0">
    <fb>0.94440000000000002</fb>
    <v>2</v>
  </rv>
  <rv s="0">
    <fb>45208</fb>
    <v>0</v>
  </rv>
  <rv s="0">
    <fb>0.94620000000000004</fb>
    <v>2</v>
  </rv>
  <rv s="0">
    <fb>45209</fb>
    <v>0</v>
  </rv>
  <rv s="0">
    <fb>45210</fb>
    <v>0</v>
  </rv>
  <rv s="0">
    <fb>0.9415</fb>
    <v>2</v>
  </rv>
  <rv s="0">
    <fb>45211</fb>
    <v>0</v>
  </rv>
  <rv s="0">
    <fb>0.94969999999999999</fb>
    <v>2</v>
  </rv>
  <rv s="0">
    <fb>45212</fb>
    <v>0</v>
  </rv>
  <rv s="0">
    <fb>45215</fb>
    <v>0</v>
  </rv>
  <rv s="0">
    <fb>0.94679999999999997</fb>
    <v>2</v>
  </rv>
  <rv s="0">
    <fb>45216</fb>
    <v>0</v>
  </rv>
  <rv s="0">
    <fb>45217</fb>
    <v>0</v>
  </rv>
  <rv s="0">
    <fb>45218</fb>
    <v>0</v>
  </rv>
  <rv s="0">
    <fb>45219</fb>
    <v>0</v>
  </rv>
  <rv s="0">
    <fb>0.94379999999999997</fb>
    <v>2</v>
  </rv>
  <rv s="0">
    <fb>45222</fb>
    <v>0</v>
  </rv>
  <rv s="0">
    <fb>45223</fb>
    <v>0</v>
  </rv>
  <rv s="0">
    <fb>0.94410000000000005</fb>
    <v>2</v>
  </rv>
  <rv s="0">
    <fb>45224</fb>
    <v>0</v>
  </rv>
  <rv s="0">
    <fb>45225</fb>
    <v>0</v>
  </rv>
  <rv s="0">
    <fb>45226</fb>
    <v>0</v>
  </rv>
  <rv s="0">
    <fb>45229</fb>
    <v>0</v>
  </rv>
  <rv s="0">
    <fb>0.94189999999999996</fb>
    <v>2</v>
  </rv>
  <rv s="0">
    <fb>45230</fb>
    <v>0</v>
  </rv>
  <rv s="0">
    <fb>45231</fb>
    <v>0</v>
  </rv>
  <rv s="0">
    <fb>0.94589999999999996</fb>
    <v>2</v>
  </rv>
  <rv s="0">
    <fb>45232</fb>
    <v>0</v>
  </rv>
  <rv s="0">
    <fb>45233</fb>
    <v>0</v>
  </rv>
  <rv s="0">
    <fb>45236</fb>
    <v>0</v>
  </rv>
  <rv s="0">
    <fb>45237</fb>
    <v>0</v>
  </rv>
  <rv s="0">
    <fb>45238</fb>
    <v>0</v>
  </rv>
  <rv s="0">
    <fb>0.93389999999999995</fb>
    <v>2</v>
  </rv>
  <rv s="0">
    <fb>45239</fb>
    <v>0</v>
  </rv>
  <rv s="0">
    <fb>45240</fb>
    <v>0</v>
  </rv>
  <rv s="0">
    <fb>0.93589999999999995</fb>
    <v>2</v>
  </rv>
  <rv s="0">
    <fb>45243</fb>
    <v>0</v>
  </rv>
  <rv s="0">
    <fb>0.93459999999999999</fb>
    <v>2</v>
  </rv>
  <rv s="0">
    <fb>45244</fb>
    <v>0</v>
  </rv>
  <rv s="0">
    <fb>45245</fb>
    <v>0</v>
  </rv>
  <rv s="0">
    <fb>45246</fb>
    <v>0</v>
  </rv>
  <rv s="0">
    <fb>0.92130000000000001</fb>
    <v>2</v>
  </rv>
  <rv s="0">
    <fb>45247</fb>
    <v>0</v>
  </rv>
  <rv s="0">
    <fb>45250</fb>
    <v>0</v>
  </rv>
  <rv s="0">
    <fb>0.91390000000000005</fb>
    <v>2</v>
  </rv>
  <rv s="0">
    <fb>45251</fb>
    <v>0</v>
  </rv>
  <rv s="0">
    <fb>45252</fb>
    <v>0</v>
  </rv>
  <rv s="0">
    <fb>45253</fb>
    <v>0</v>
  </rv>
  <rv s="0">
    <fb>45254</fb>
    <v>0</v>
  </rv>
  <rv s="0">
    <fb>0.91379999999999995</fb>
    <v>2</v>
  </rv>
  <rv s="0">
    <fb>45257</fb>
    <v>0</v>
  </rv>
  <rv s="0">
    <fb>45258</fb>
    <v>0</v>
  </rv>
  <rv s="0">
    <fb>0.90959999999999996</fb>
    <v>2</v>
  </rv>
  <rv s="0">
    <fb>45259</fb>
    <v>0</v>
  </rv>
  <rv s="0">
    <fb>45260</fb>
    <v>0</v>
  </rv>
  <rv s="0">
    <fb>45261</fb>
    <v>0</v>
  </rv>
  <rv s="0">
    <fb>45264</fb>
    <v>0</v>
  </rv>
  <rv s="0">
    <fb>45265</fb>
    <v>0</v>
  </rv>
  <rv s="0">
    <fb>45266</fb>
    <v>0</v>
  </rv>
  <rv s="0">
    <fb>0.92889999999999995</fb>
    <v>2</v>
  </rv>
  <rv s="0">
    <fb>45267</fb>
    <v>0</v>
  </rv>
  <rv s="0">
    <fb>45268</fb>
    <v>0</v>
  </rv>
  <rv s="0">
    <fb>45271</fb>
    <v>0</v>
  </rv>
  <rv s="0">
    <fb>0.92879999999999996</fb>
    <v>2</v>
  </rv>
  <rv s="0">
    <fb>45272</fb>
    <v>0</v>
  </rv>
  <rv s="0">
    <fb>45273</fb>
    <v>0</v>
  </rv>
  <rv s="0">
    <fb>45274</fb>
    <v>0</v>
  </rv>
  <rv s="0">
    <fb>45275</fb>
    <v>0</v>
  </rv>
  <rv s="0">
    <fb>0.91769999999999996</fb>
    <v>2</v>
  </rv>
  <rv s="0">
    <fb>45278</fb>
    <v>0</v>
  </rv>
  <rv s="0">
    <fb>0.91520000000000001</fb>
    <v>2</v>
  </rv>
  <rv s="0">
    <fb>45279</fb>
    <v>0</v>
  </rv>
  <rv s="0">
    <fb>45280</fb>
    <v>0</v>
  </rv>
  <rv s="0">
    <fb>45281</fb>
    <v>0</v>
  </rv>
  <rv s="0">
    <fb>45282</fb>
    <v>0</v>
  </rv>
  <rv s="0">
    <fb>45285</fb>
    <v>0</v>
  </rv>
  <rv s="0">
    <fb>45286</fb>
    <v>0</v>
  </rv>
  <rv s="0">
    <fb>0.90529999999999999</fb>
    <v>2</v>
  </rv>
  <rv s="0">
    <fb>45287</fb>
    <v>0</v>
  </rv>
  <rv s="0">
    <fb>45288</fb>
    <v>0</v>
  </rv>
  <rv s="0">
    <fb>45289</fb>
    <v>0</v>
  </rv>
  <rv s="0">
    <fb>45292</fb>
    <v>0</v>
  </rv>
  <rv s="0">
    <fb>45293</fb>
    <v>0</v>
  </rv>
  <rv s="0">
    <fb>45294</fb>
    <v>0</v>
  </rv>
  <rv s="0">
    <fb>0.91559999999999997</fb>
    <v>2</v>
  </rv>
  <rv s="0">
    <fb>45295</fb>
    <v>0</v>
  </rv>
  <rv s="0">
    <fb>45296</fb>
    <v>0</v>
  </rv>
  <rv s="0">
    <fb>45299</fb>
    <v>0</v>
  </rv>
  <rv s="0">
    <fb>0.91300000000000003</fb>
    <v>2</v>
  </rv>
  <rv s="0">
    <fb>45300</fb>
    <v>0</v>
  </rv>
  <rv s="0">
    <fb>0.91469999999999996</fb>
    <v>2</v>
  </rv>
  <rv s="0">
    <fb>45301</fb>
    <v>0</v>
  </rv>
  <rv s="0">
    <fb>45302</fb>
    <v>0</v>
  </rv>
  <rv s="0">
    <fb>45303</fb>
    <v>0</v>
  </rv>
  <rv s="0">
    <fb>45306</fb>
    <v>0</v>
  </rv>
  <rv s="0">
    <fb>45307</fb>
    <v>0</v>
  </rv>
  <rv s="0">
    <fb>0.91930000000000001</fb>
    <v>2</v>
  </rv>
  <rv s="0">
    <fb>45308</fb>
    <v>0</v>
  </rv>
  <rv s="0">
    <fb>0.91869999999999996</fb>
    <v>2</v>
  </rv>
  <rv s="0">
    <fb>45309</fb>
    <v>0</v>
  </rv>
  <rv s="0">
    <fb>45310</fb>
    <v>0</v>
  </rv>
  <rv s="0">
    <fb>0.91749999999999998</fb>
    <v>2</v>
  </rv>
  <rv s="0">
    <fb>45313</fb>
    <v>0</v>
  </rv>
  <rv s="0">
    <fb>45314</fb>
    <v>0</v>
  </rv>
  <rv s="0">
    <fb>0.92159999999999997</fb>
    <v>2</v>
  </rv>
  <rv s="0">
    <fb>45315</fb>
    <v>0</v>
  </rv>
  <rv s="0">
    <fb>0.91849999999999998</fb>
    <v>2</v>
  </rv>
  <rv s="0">
    <fb>45316</fb>
    <v>0</v>
  </rv>
  <rv s="0">
    <fb>45317</fb>
    <v>0</v>
  </rv>
  <rv s="0">
    <fb>45320</fb>
    <v>0</v>
  </rv>
  <rv s="0">
    <fb>45321</fb>
    <v>0</v>
  </rv>
  <rv s="0">
    <fb>45322</fb>
    <v>0</v>
  </rv>
  <rv s="0">
    <fb>45323</fb>
    <v>0</v>
  </rv>
  <rv s="0">
    <fb>0.91959999999999997</fb>
    <v>2</v>
  </rv>
  <rv s="0">
    <fb>45324</fb>
    <v>0</v>
  </rv>
  <rv s="0">
    <fb>0.92700000000000005</fb>
    <v>2</v>
  </rv>
  <rv s="0">
    <fb>45327</fb>
    <v>0</v>
  </rv>
  <rv s="0">
    <fb>0.93069999999999997</fb>
    <v>2</v>
  </rv>
  <rv s="0">
    <fb>45328</fb>
    <v>0</v>
  </rv>
  <rv s="0">
    <fb>0.92979999999999996</fb>
    <v>2</v>
  </rv>
  <rv s="0">
    <fb>45329</fb>
    <v>0</v>
  </rv>
  <rv s="0">
    <fb>0.92810000000000004</fb>
    <v>2</v>
  </rv>
  <rv s="0">
    <fb>45330</fb>
    <v>0</v>
  </rv>
  <rv s="0">
    <fb>45331</fb>
    <v>0</v>
  </rv>
  <rv s="0">
    <fb>45334</fb>
    <v>0</v>
  </rv>
  <rv s="0">
    <fb>45335</fb>
    <v>0</v>
  </rv>
  <rv s="0">
    <fb>0.93359999999999999</fb>
    <v>2</v>
  </rv>
  <rv s="0">
    <fb>45336</fb>
    <v>0</v>
  </rv>
  <rv s="0">
    <fb>45337</fb>
    <v>0</v>
  </rv>
  <rv s="0">
    <fb>45338</fb>
    <v>0</v>
  </rv>
  <rv s="0">
    <fb>0.92779999999999996</fb>
    <v>2</v>
  </rv>
  <rv s="0">
    <fb>45341</fb>
    <v>0</v>
  </rv>
  <rv s="0">
    <fb>45342</fb>
    <v>0</v>
  </rv>
  <rv s="0">
    <fb>0.92530000000000001</fb>
    <v>2</v>
  </rv>
  <rv s="0">
    <fb>45343</fb>
    <v>0</v>
  </rv>
  <rv s="0">
    <fb>45344</fb>
    <v>0</v>
  </rv>
  <rv s="0">
    <fb>0.92359999999999998</fb>
    <v>2</v>
  </rv>
  <rv s="0">
    <fb>45345</fb>
    <v>0</v>
  </rv>
  <rv s="0">
    <fb>45348</fb>
    <v>0</v>
  </rv>
  <rv s="0">
    <fb>0.9214</fb>
    <v>2</v>
  </rv>
  <rv s="0">
    <fb>45349</fb>
    <v>0</v>
  </rv>
  <rv s="0">
    <fb>45350</fb>
    <v>0</v>
  </rv>
  <rv s="0">
    <fb>45351</fb>
    <v>0</v>
  </rv>
  <rv s="0">
    <fb>45352</fb>
    <v>0</v>
  </rv>
  <rv s="0">
    <fb>45355</fb>
    <v>0</v>
  </rv>
  <rv s="0">
    <fb>45356</fb>
    <v>0</v>
  </rv>
  <rv s="0">
    <fb>45357</fb>
    <v>0</v>
  </rv>
  <rv s="0">
    <fb>45358</fb>
    <v>0</v>
  </rv>
  <rv s="0">
    <fb>0.91320000000000001</fb>
    <v>2</v>
  </rv>
  <rv s="0">
    <fb>45359</fb>
    <v>0</v>
  </rv>
  <rv s="0">
    <fb>45362</fb>
    <v>0</v>
  </rv>
  <rv s="0">
    <fb>45363</fb>
    <v>0</v>
  </rv>
  <rv s="0">
    <fb>45364</fb>
    <v>0</v>
  </rv>
  <rv s="0">
    <fb>0.9133</fb>
    <v>2</v>
  </rv>
  <rv s="0">
    <fb>45365</fb>
    <v>0</v>
  </rv>
  <rv s="0">
    <fb>45366</fb>
    <v>0</v>
  </rv>
  <rv s="0">
    <fb>45369</fb>
    <v>0</v>
  </rv>
  <rv s="0">
    <fb>45370</fb>
    <v>0</v>
  </rv>
  <rv s="0">
    <fb>0.92020000000000002</fb>
    <v>2</v>
  </rv>
  <rv s="0">
    <fb>45371</fb>
    <v>0</v>
  </rv>
  <rv s="0">
    <fb>45372</fb>
    <v>0</v>
  </rv>
  <rv s="0">
    <fb>0.92069999999999996</fb>
    <v>2</v>
  </rv>
  <rv s="0">
    <fb>45373</fb>
    <v>0</v>
  </rv>
  <rv s="0">
    <fb>45376</fb>
    <v>0</v>
  </rv>
  <rv s="0">
    <fb>45377</fb>
    <v>0</v>
  </rv>
  <rv s="0">
    <fb>45378</fb>
    <v>0</v>
  </rv>
  <rv s="0">
    <fb>45379</fb>
    <v>0</v>
  </rv>
  <rv s="0">
    <fb>45380</fb>
    <v>0</v>
  </rv>
  <rv s="0">
    <fb>45383</fb>
    <v>0</v>
  </rv>
  <rv s="0">
    <fb>0.93079999999999996</fb>
    <v>2</v>
  </rv>
  <rv s="0">
    <fb>45384</fb>
    <v>0</v>
  </rv>
  <rv s="0">
    <fb>45385</fb>
    <v>0</v>
  </rv>
  <rv s="0">
    <fb>45386</fb>
    <v>0</v>
  </rv>
  <rv s="0">
    <fb>45387</fb>
    <v>0</v>
  </rv>
  <rv s="0">
    <fb>45390</fb>
    <v>0</v>
  </rv>
  <rv s="0">
    <fb>45391</fb>
    <v>0</v>
  </rv>
  <rv s="0">
    <fb>45392</fb>
    <v>0</v>
  </rv>
  <rv s="0">
    <fb>45393</fb>
    <v>0</v>
  </rv>
  <rv s="0">
    <fb>45394</fb>
    <v>0</v>
  </rv>
  <rv s="0">
    <fb>0.93930000000000002</fb>
    <v>2</v>
  </rv>
  <rv s="0">
    <fb>45397</fb>
    <v>0</v>
  </rv>
  <rv s="0">
    <fb>0.94110000000000005</fb>
    <v>2</v>
  </rv>
  <rv s="0">
    <fb>45398</fb>
    <v>0</v>
  </rv>
  <rv s="0">
    <fb>45399</fb>
    <v>0</v>
  </rv>
  <rv s="0">
    <fb>0.93679999999999997</fb>
    <v>2</v>
  </rv>
  <rv s="0">
    <fb>45400</fb>
    <v>0</v>
  </rv>
  <rv s="0">
    <fb>45401</fb>
    <v>0</v>
  </rv>
  <rv s="0">
    <fb>45404</fb>
    <v>0</v>
  </rv>
  <rv s="0">
    <fb>45405</fb>
    <v>0</v>
  </rv>
  <rv s="0">
    <fb>45406</fb>
    <v>0</v>
  </rv>
  <rv s="0">
    <fb>45407</fb>
    <v>0</v>
  </rv>
  <rv s="0">
    <fb>45408</fb>
    <v>0</v>
  </rv>
  <rv s="0">
    <fb>45411</fb>
    <v>0</v>
  </rv>
  <rv s="0">
    <fb>45412</fb>
    <v>0</v>
  </rv>
  <rv s="0">
    <fb>0.93740000000000001</fb>
    <v>2</v>
  </rv>
  <rv s="0">
    <fb>45413</fb>
    <v>0</v>
  </rv>
  <rv s="0">
    <fb>45414</fb>
    <v>0</v>
  </rv>
  <rv s="0">
    <fb>45415</fb>
    <v>0</v>
  </rv>
  <rv s="0">
    <fb>0.92920000000000003</fb>
    <v>2</v>
  </rv>
  <rv s="0">
    <fb>45418</fb>
    <v>0</v>
  </rv>
  <rv s="0">
    <fb>0.92849999999999999</fb>
    <v>2</v>
  </rv>
  <rv s="0">
    <fb>45419</fb>
    <v>0</v>
  </rv>
  <rv s="0">
    <fb>45420</fb>
    <v>0</v>
  </rv>
  <rv s="0">
    <fb>45421</fb>
    <v>0</v>
  </rv>
  <rv s="0">
    <fb>0.9274</fb>
    <v>2</v>
  </rv>
  <rv s="0">
    <fb>45422</fb>
    <v>0</v>
  </rv>
  <rv s="0">
    <fb>45425</fb>
    <v>0</v>
  </rv>
  <rv s="0">
    <fb>45426</fb>
    <v>0</v>
  </rv>
  <rv s="0">
    <fb>45427</fb>
    <v>0</v>
  </rv>
  <rv s="0">
    <fb>0.91859999999999997</fb>
    <v>2</v>
  </rv>
  <rv s="0">
    <fb>45428</fb>
    <v>0</v>
  </rv>
  <rv s="0">
    <fb>0.92</fb>
    <v>2</v>
  </rv>
  <rv s="0">
    <fb>45429</fb>
    <v>0</v>
  </rv>
  <rv s="0">
    <fb>45432</fb>
    <v>0</v>
  </rv>
  <rv s="0">
    <fb>45433</fb>
    <v>0</v>
  </rv>
  <rv s="0">
    <fb>45434</fb>
    <v>0</v>
  </rv>
  <rv s="0">
    <fb>0.92379999999999995</fb>
    <v>2</v>
  </rv>
  <rv s="0">
    <fb>45435</fb>
    <v>0</v>
  </rv>
  <rv s="0">
    <fb>45436</fb>
    <v>0</v>
  </rv>
  <rv s="0">
    <fb>45439</fb>
    <v>0</v>
  </rv>
  <rv s="0">
    <fb>45440</fb>
    <v>0</v>
  </rv>
  <rv s="0">
    <fb>45441</fb>
    <v>0</v>
  </rv>
  <rv s="0">
    <fb>45442</fb>
    <v>0</v>
  </rv>
  <rv s="0">
    <fb>45443</fb>
    <v>0</v>
  </rv>
  <rv s="0">
    <fb>45446</fb>
    <v>0</v>
  </rv>
  <rv s="0">
    <fb>45447</fb>
    <v>0</v>
  </rv>
  <rv s="0">
    <fb>45448</fb>
    <v>0</v>
  </rv>
  <rv s="0">
    <fb>45449</fb>
    <v>0</v>
  </rv>
  <rv s="0">
    <fb>0.91810000000000003</fb>
    <v>2</v>
  </rv>
  <rv s="0">
    <fb>45450</fb>
    <v>0</v>
  </rv>
  <rv s="0">
    <fb>45453</fb>
    <v>0</v>
  </rv>
  <rv s="0">
    <fb>45454</fb>
    <v>0</v>
  </rv>
  <rv s="0">
    <fb>0.93100000000000005</fb>
    <v>2</v>
  </rv>
  <rv s="0">
    <fb>45455</fb>
    <v>0</v>
  </rv>
  <rv s="0">
    <fb>0.92500000000000004</fb>
    <v>2</v>
  </rv>
  <rv s="0">
    <fb>45456</fb>
    <v>0</v>
  </rv>
  <rv s="0">
    <fb>45457</fb>
    <v>0</v>
  </rv>
  <rv s="0">
    <fb>0.93420000000000003</fb>
    <v>2</v>
  </rv>
  <rv s="0">
    <fb>45460</fb>
    <v>0</v>
  </rv>
  <rv s="0">
    <fb>0.93149999999999999</fb>
    <v>2</v>
  </rv>
  <rv s="0">
    <fb>45461</fb>
    <v>0</v>
  </rv>
  <rv s="0">
    <fb>0.93089999999999995</fb>
    <v>2</v>
  </rv>
  <rv s="0">
    <fb>45462</fb>
    <v>0</v>
  </rv>
  <rv s="0">
    <fb>0.93049999999999999</fb>
    <v>2</v>
  </rv>
  <rv s="0">
    <fb>45463</fb>
    <v>0</v>
  </rv>
  <rv s="0">
    <fb>45464</fb>
    <v>0</v>
  </rv>
  <rv s="0">
    <fb>45467</fb>
    <v>0</v>
  </rv>
  <rv s="0">
    <fb>45468</fb>
    <v>0</v>
  </rv>
  <rv s="0">
    <fb>45469</fb>
    <v>0</v>
  </rv>
  <rv s="0">
    <fb>45470</fb>
    <v>0</v>
  </rv>
  <rv s="0">
    <fb>45471</fb>
    <v>0</v>
  </rv>
  <rv s="0">
    <fb>0.93310000000000004</fb>
    <v>2</v>
  </rv>
  <rv s="0">
    <fb>45474</fb>
    <v>0</v>
  </rv>
  <rv s="0">
    <fb>45475</fb>
    <v>0</v>
  </rv>
  <rv s="0">
    <fb>45476</fb>
    <v>0</v>
  </rv>
  <rv s="0">
    <fb>45477</fb>
    <v>0</v>
  </rv>
  <rv s="0">
    <fb>0.92490000000000006</fb>
    <v>2</v>
  </rv>
  <rv s="0">
    <fb>45478</fb>
    <v>0</v>
  </rv>
  <rv s="0">
    <fb>45481</fb>
    <v>0</v>
  </rv>
  <rv s="0">
    <fb>0.92369999999999997</fb>
    <v>2</v>
  </rv>
  <rv s="0">
    <fb>45482</fb>
    <v>0</v>
  </rv>
  <rv s="0">
    <fb>45483</fb>
    <v>0</v>
  </rv>
  <rv s="0">
    <fb>45484</fb>
    <v>0</v>
  </rv>
  <rv s="0">
    <fb>45485</fb>
    <v>0</v>
  </rv>
  <rv s="0">
    <fb>0.91669999999999996</fb>
    <v>2</v>
  </rv>
  <rv s="0">
    <fb>45488</fb>
    <v>0</v>
  </rv>
  <rv s="0">
    <fb>45489</fb>
    <v>0</v>
  </rv>
  <rv s="0">
    <fb>45490</fb>
    <v>0</v>
  </rv>
  <rv s="0">
    <fb>45491</fb>
    <v>0</v>
  </rv>
  <rv s="0">
    <fb>0.91779999999999995</fb>
    <v>2</v>
  </rv>
  <rv s="0">
    <fb>45492</fb>
    <v>0</v>
  </rv>
  <rv s="0">
    <fb>45495</fb>
    <v>0</v>
  </rv>
  <rv s="0">
    <fb>45496</fb>
    <v>0</v>
  </rv>
  <rv s="0">
    <fb>45497</fb>
    <v>0</v>
  </rv>
  <rv s="0">
    <fb>45498</fb>
    <v>0</v>
  </rv>
  <rv s="0">
    <fb>45499</fb>
    <v>0</v>
  </rv>
  <rv s="0">
    <fb>45502</fb>
    <v>0</v>
  </rv>
  <rv s="0">
    <fb>45503</fb>
    <v>0</v>
  </rv>
  <rv s="0">
    <fb>45504</fb>
    <v>0</v>
  </rv>
  <rv s="0">
    <fb>45505</fb>
    <v>0</v>
  </rv>
  <rv s="0">
    <fb>0.92659999999999998</fb>
    <v>2</v>
  </rv>
  <rv s="0">
    <fb>45506</fb>
    <v>0</v>
  </rv>
  <rv s="0">
    <fb>45509</fb>
    <v>0</v>
  </rv>
  <rv s="0">
    <fb>45510</fb>
    <v>0</v>
  </rv>
  <rv s="0">
    <fb>45511</fb>
    <v>0</v>
  </rv>
  <rv s="0">
    <fb>45512</fb>
    <v>0</v>
  </rv>
  <rv s="0">
    <fb>45513</fb>
    <v>0</v>
  </rv>
  <rv s="0">
    <fb>45516</fb>
    <v>0</v>
  </rv>
  <rv s="0">
    <fb>45517</fb>
    <v>0</v>
  </rv>
  <rv s="0">
    <fb>45518</fb>
    <v>0</v>
  </rv>
  <rv s="0">
    <fb>45519</fb>
    <v>0</v>
  </rv>
  <rv s="0">
    <fb>45520</fb>
    <v>0</v>
  </rv>
  <rv s="0">
    <fb>0.90669999999999995</fb>
    <v>2</v>
  </rv>
  <rv s="0">
    <fb>45523</fb>
    <v>0</v>
  </rv>
  <rv s="0">
    <fb>45524</fb>
    <v>0</v>
  </rv>
  <rv s="0">
    <fb>45525</fb>
    <v>0</v>
  </rv>
  <rv s="0">
    <fb>45526</fb>
    <v>0</v>
  </rv>
  <rv s="0">
    <fb>45527</fb>
    <v>0</v>
  </rv>
  <rv s="0">
    <fb>0.89339999999999997</fb>
    <v>2</v>
  </rv>
  <rv s="0">
    <fb>45530</fb>
    <v>0</v>
  </rv>
  <rv s="0">
    <fb>0.89590000000000003</fb>
    <v>2</v>
  </rv>
  <rv s="0">
    <fb>45531</fb>
    <v>0</v>
  </rv>
  <rv s="0">
    <fb>45532</fb>
    <v>0</v>
  </rv>
  <rv s="0">
    <fb>0.8992</fb>
    <v>2</v>
  </rv>
  <rv s="0">
    <fb>45533</fb>
    <v>0</v>
  </rv>
  <rv s="0">
    <fb>45534</fb>
    <v>0</v>
  </rv>
  <rv s="0">
    <fb>0.90510000000000002</fb>
    <v>2</v>
  </rv>
  <rv s="0">
    <fb>45537</fb>
    <v>0</v>
  </rv>
  <rv s="0">
    <fb>0.90310000000000001</fb>
    <v>2</v>
  </rv>
  <rv s="0">
    <fb>45538</fb>
    <v>0</v>
  </rv>
  <rv s="0">
    <fb>45539</fb>
    <v>0</v>
  </rv>
  <rv s="0">
    <fb>0.90229999999999999</fb>
    <v>2</v>
  </rv>
  <rv s="0">
    <fb>45540</fb>
    <v>0</v>
  </rv>
  <rv s="0">
    <fb>45541</fb>
    <v>0</v>
  </rv>
  <rv s="0">
    <fb>45544</fb>
    <v>0</v>
  </rv>
  <rv s="0">
    <fb>45545</fb>
    <v>0</v>
  </rv>
  <rv s="0">
    <fb>45546</fb>
    <v>0</v>
  </rv>
  <rv s="0">
    <fb>45547</fb>
    <v>0</v>
  </rv>
  <rv s="0">
    <fb>45548</fb>
    <v>0</v>
  </rv>
  <rv s="0">
    <fb>45551</fb>
    <v>0</v>
  </rv>
  <rv s="0">
    <fb>45552</fb>
    <v>0</v>
  </rv>
  <rv s="0">
    <fb>45553</fb>
    <v>0</v>
  </rv>
  <rv s="0">
    <fb>0.89939999999999998</fb>
    <v>2</v>
  </rv>
  <rv s="0">
    <fb>45554</fb>
    <v>0</v>
  </rv>
  <rv s="0">
    <fb>45555</fb>
    <v>0</v>
  </rv>
  <rv s="0">
    <fb>45558</fb>
    <v>0</v>
  </rv>
  <rv s="0">
    <fb>45559</fb>
    <v>0</v>
  </rv>
  <rv s="0">
    <fb>45560</fb>
    <v>0</v>
  </rv>
  <rv s="0">
    <fb>45561</fb>
    <v>0</v>
  </rv>
  <rv s="0">
    <fb>0.89470000000000005</fb>
    <v>2</v>
  </rv>
  <rv s="0">
    <fb>45562</fb>
    <v>0</v>
  </rv>
  <rv s="0">
    <fb>0.89570000000000005</fb>
    <v>2</v>
  </rv>
  <rv s="0">
    <fb>45565</fb>
    <v>0</v>
  </rv>
  <rv s="0">
    <fb>45566</fb>
    <v>0</v>
  </rv>
  <rv s="0">
    <fb>45567</fb>
    <v>0</v>
  </rv>
  <rv s="0">
    <fb>45568</fb>
    <v>0</v>
  </rv>
  <rv s="0">
    <fb>45569</fb>
    <v>0</v>
  </rv>
  <rv s="0">
    <fb>0.91090000000000004</fb>
    <v>2</v>
  </rv>
  <rv s="0">
    <fb>45572</fb>
    <v>0</v>
  </rv>
  <rv s="0">
    <fb>45573</fb>
    <v>0</v>
  </rv>
  <rv s="0">
    <fb>45574</fb>
    <v>0</v>
  </rv>
  <rv s="0">
    <fb>45575</fb>
    <v>0</v>
  </rv>
  <rv s="0">
    <fb>0.91439999999999999</fb>
    <v>2</v>
  </rv>
  <rv s="0">
    <fb>45576</fb>
    <v>0</v>
  </rv>
  <rv s="0">
    <fb>45579</fb>
    <v>0</v>
  </rv>
  <rv s="0">
    <fb>45580</fb>
    <v>0</v>
  </rv>
  <rv s="0">
    <fb>45581</fb>
    <v>0</v>
  </rv>
  <rv s="0">
    <fb>45582</fb>
    <v>0</v>
  </rv>
  <rv s="0">
    <fb>45583</fb>
    <v>0</v>
  </rv>
  <rv s="0">
    <fb>45586</fb>
    <v>0</v>
  </rv>
  <rv s="0">
    <fb>45587</fb>
    <v>0</v>
  </rv>
  <rv s="0">
    <fb>0.92579999999999996</fb>
    <v>2</v>
  </rv>
  <rv s="0">
    <fb>45588</fb>
    <v>0</v>
  </rv>
  <rv s="0">
    <fb>45589</fb>
    <v>0</v>
  </rv>
  <rv s="0">
    <fb>0.92349999999999999</fb>
    <v>2</v>
  </rv>
  <rv s="0">
    <fb>45590</fb>
    <v>0</v>
  </rv>
  <rv s="0">
    <fb>45593</fb>
    <v>0</v>
  </rv>
  <rv s="0">
    <fb>45594</fb>
    <v>0</v>
  </rv>
  <rv s="0">
    <fb>45595</fb>
    <v>0</v>
  </rv>
  <rv s="0">
    <fb>45596</fb>
    <v>0</v>
  </rv>
  <rv s="0">
    <fb>45597</fb>
    <v>0</v>
  </rv>
  <rv s="0">
    <fb>45600</fb>
    <v>0</v>
  </rv>
  <rv s="0">
    <fb>45601</fb>
    <v>0</v>
  </rv>
  <rv s="0">
    <fb>45602</fb>
    <v>0</v>
  </rv>
  <rv s="0">
    <fb>45603</fb>
    <v>0</v>
  </rv>
  <rv s="0">
    <fb>45604</fb>
    <v>0</v>
  </rv>
  <rv s="0">
    <fb>0.93289999999999995</fb>
    <v>2</v>
  </rv>
  <rv s="0">
    <fb>45607</fb>
    <v>0</v>
  </rv>
  <rv s="0">
    <fb>0.93830000000000002</fb>
    <v>2</v>
  </rv>
  <rv s="0">
    <fb>45608</fb>
    <v>0</v>
  </rv>
  <rv s="0">
    <fb>45609</fb>
    <v>0</v>
  </rv>
  <rv s="0">
    <fb>0.94650000000000001</fb>
    <v>2</v>
  </rv>
  <rv s="0">
    <fb>45610</fb>
    <v>0</v>
  </rv>
  <rv s="0">
    <fb>45611</fb>
    <v>0</v>
  </rv>
  <rv s="0">
    <fb>45614</fb>
    <v>0</v>
  </rv>
  <rv s="0">
    <fb>0.94330000000000003</fb>
    <v>2</v>
  </rv>
  <rv s="0">
    <fb>45615</fb>
    <v>0</v>
  </rv>
  <rv s="0">
    <fb>45616</fb>
    <v>0</v>
  </rv>
  <rv s="0">
    <fb>45617</fb>
    <v>0</v>
  </rv>
  <rv s="0">
    <fb>0.9546</fb>
    <v>2</v>
  </rv>
  <rv s="0">
    <fb>45618</fb>
    <v>0</v>
  </rv>
  <rv s="0">
    <fb>0.95950000000000002</fb>
    <v>2</v>
  </rv>
  <rv s="0">
    <fb>45621</fb>
    <v>0</v>
  </rv>
  <rv s="0">
    <fb>0.95279999999999998</fb>
    <v>2</v>
  </rv>
  <rv s="0">
    <fb>45622</fb>
    <v>0</v>
  </rv>
  <rv s="0">
    <fb>0.95330000000000004</fb>
    <v>2</v>
  </rv>
  <rv s="0">
    <fb>45623</fb>
    <v>0</v>
  </rv>
  <rv s="0">
    <fb>45624</fb>
    <v>0</v>
  </rv>
  <rv s="0">
    <fb>0.94720000000000004</fb>
    <v>2</v>
  </rv>
  <rv s="0">
    <fb>45625</fb>
    <v>0</v>
  </rv>
  <rv s="0">
    <fb>0.94540000000000002</fb>
    <v>2</v>
  </rv>
  <rv s="0">
    <fb>45628</fb>
    <v>0</v>
  </rv>
  <rv s="0">
    <fb>0.9526</fb>
    <v>2</v>
  </rv>
  <rv s="0">
    <fb>45629</fb>
    <v>0</v>
  </rv>
  <rv s="0">
    <fb>0.95150000000000001</fb>
    <v>2</v>
  </rv>
  <rv s="0">
    <fb>45630</fb>
    <v>0</v>
  </rv>
  <rv s="0">
    <fb>0.95130000000000003</fb>
    <v>2</v>
  </rv>
  <rv s="0">
    <fb>45631</fb>
    <v>0</v>
  </rv>
  <rv s="0">
    <fb>0.94450000000000001</fb>
    <v>2</v>
  </rv>
  <rv s="0">
    <fb>45632</fb>
    <v>0</v>
  </rv>
  <rv s="0">
    <fb>0.94599999999999995</fb>
    <v>2</v>
  </rv>
  <rv s="0">
    <fb>45635</fb>
    <v>0</v>
  </rv>
  <rv s="0">
    <fb>45636</fb>
    <v>0</v>
  </rv>
  <rv s="0">
    <fb>45637</fb>
    <v>0</v>
  </rv>
  <rv s="0">
    <fb>0.95269999999999999</fb>
    <v>2</v>
  </rv>
  <rv s="0">
    <fb>45638</fb>
    <v>0</v>
  </rv>
  <rv s="0">
    <fb>0.95530000000000004</fb>
    <v>2</v>
  </rv>
  <rv s="0">
    <fb>45639</fb>
    <v>0</v>
  </rv>
  <rv s="0">
    <fb>0.95209999999999995</fb>
    <v>2</v>
  </rv>
  <rv s="0">
    <fb>45642</fb>
    <v>0</v>
  </rv>
  <rv s="0">
    <fb>0.95109999999999995</fb>
    <v>2</v>
  </rv>
  <rv s="0">
    <fb>45643</fb>
    <v>0</v>
  </rv>
  <rv s="0">
    <fb>45644</fb>
    <v>0</v>
  </rv>
  <rv s="0">
    <fb>0.96589999999999998</fb>
    <v>2</v>
  </rv>
  <rv s="0">
    <fb>45645</fb>
    <v>0</v>
  </rv>
  <rv s="0">
    <fb>45646</fb>
    <v>0</v>
  </rv>
  <rv s="0">
    <fb>0.9587</fb>
    <v>2</v>
  </rv>
  <rv s="0">
    <fb>45649</fb>
    <v>0</v>
  </rv>
  <rv s="0">
    <fb>0.96099999999999997</fb>
    <v>2</v>
  </rv>
  <rv s="0">
    <fb>45650</fb>
    <v>0</v>
  </rv>
  <rv s="0">
    <fb>45651</fb>
    <v>0</v>
  </rv>
  <rv s="0">
    <fb>0.96089999999999998</fb>
    <v>2</v>
  </rv>
  <rv s="0">
    <fb>45652</fb>
    <v>0</v>
  </rv>
  <rv s="0">
    <fb>0.95930000000000004</fb>
    <v>2</v>
  </rv>
  <rv s="0">
    <fb>45653</fb>
    <v>0</v>
  </rv>
  <rv s="0">
    <fb>0.95889999999999997</fb>
    <v>2</v>
  </rv>
  <rv s="0">
    <fb>45656</fb>
    <v>0</v>
  </rv>
  <rv s="0">
    <fb>0.96079999999999999</fb>
    <v>2</v>
  </rv>
  <rv s="0">
    <fb>45657</fb>
    <v>0</v>
  </rv>
  <rv s="0">
    <fb>0.96579999999999999</fb>
    <v>2</v>
  </rv>
  <rv s="0">
    <fb>45658</fb>
    <v>0</v>
  </rv>
  <rv s="0">
    <fb>0.96540000000000004</fb>
    <v>2</v>
  </rv>
  <rv s="0">
    <fb>0.97</fb>
    <v>2</v>
  </rv>
  <rv s="0">
    <fb>0.96240000000000003</fb>
    <v>2</v>
  </rv>
  <rv s="0">
    <fb>45666</fb>
    <v>0</v>
  </rv>
  <rv s="0">
    <fb>0.97599999999999998</fb>
    <v>2</v>
  </rv>
  <rv s="0">
    <fb>0.96989999999999998</fb>
    <v>2</v>
  </rv>
  <rv s="0">
    <fb>0.9718</fb>
    <v>2</v>
  </rv>
  <rv s="0">
    <fb>0.97089999999999999</fb>
    <v>2</v>
  </rv>
  <rv s="0">
    <fb>0.97350000000000003</fb>
    <v>2</v>
  </rv>
  <rv s="0">
    <fb>45677</fb>
    <v>0</v>
  </rv>
  <rv s="0">
    <fb>0.95989999999999998</fb>
    <v>2</v>
  </rv>
  <rv s="0">
    <fb>0.96</fb>
    <v>2</v>
  </rv>
  <rv s="0">
    <fb>0.95860000000000001</fb>
    <v>2</v>
  </rv>
  <rv s="0">
    <fb>0.95960000000000001</fb>
    <v>2</v>
  </rv>
  <rv s="0">
    <fb>0.96479999999999999</fb>
    <v>2</v>
  </rv>
  <rv s="0">
    <fb>0.9667</fb>
    <v>2</v>
  </rv>
  <rv s="0">
    <fb>0.96130000000000004</fb>
    <v>2</v>
  </rv>
  <rv s="0">
    <fb>0.96289999999999998</fb>
    <v>2</v>
  </rv>
  <rv s="0">
    <fb>0.96819999999999995</fb>
    <v>2</v>
  </rv>
  <rv s="0">
    <fb>0.96499999999999997</fb>
    <v>2</v>
  </rv>
  <rv s="0">
    <fb>0.96309999999999996</fb>
    <v>2</v>
  </rv>
  <rv s="0">
    <fb>0.9556</fb>
    <v>2</v>
  </rv>
  <rv s="0">
    <fb>45705</fb>
    <v>0</v>
  </rv>
  <rv s="0">
    <fb>0.95709999999999995</fb>
    <v>2</v>
  </rv>
  <rv s="0">
    <fb>0.95940000000000003</fb>
    <v>2</v>
  </rv>
  <rv s="0">
    <fb>0.95599999999999996</fb>
    <v>2</v>
  </rv>
  <rv s="0">
    <fb>0.96150000000000002</fb>
    <v>2</v>
  </rv>
  <rv s="0">
    <fb>0.9637</fb>
    <v>2</v>
  </rv>
  <rv s="0">
    <fb>0.94089999999999996</fb>
    <v>2</v>
  </rv>
  <rv s="0">
    <fb>0.91359999999999997</fb>
    <v>2</v>
  </rv>
  <rv s="0">
    <fb>0.91710000000000003</fb>
    <v>2</v>
  </rv>
  <rv s="0">
    <fb>0.9244</fb>
    <v>2</v>
  </rv>
  <rv s="0">
    <fb>0.88019999999999998</fb>
    <v>2</v>
  </rv>
  <rv s="0">
    <fb>0.88629999999999998</fb>
    <v>2</v>
  </rv>
  <rv s="0">
    <fb>0.87729999999999997</fb>
    <v>2</v>
  </rv>
  <rv s="0">
    <fb>0.87980000000000003</fb>
    <v>2</v>
  </rv>
  <rv s="0">
    <fb>45765</fb>
    <v>0</v>
  </rv>
  <rv s="0">
    <fb>0.87770000000000004</fb>
    <v>2</v>
  </rv>
  <rv s="0">
    <fb>0.86839999999999995</fb>
    <v>2</v>
  </rv>
  <rv s="0">
    <fb>0.87560000000000004</fb>
    <v>2</v>
  </rv>
  <rv s="0">
    <fb>0.878</fb>
    <v>2</v>
  </rv>
  <rv s="0">
    <fb>0.87539999999999996</fb>
    <v>2</v>
  </rv>
  <rv s="0">
    <fb>0.88900000000000001</fb>
    <v>2</v>
  </rv>
  <rv s="0">
    <fb>0.90190000000000003</fb>
    <v>2</v>
  </rv>
  <rv s="0">
    <fb>0.89359999999999995</fb>
    <v>2</v>
  </rv>
  <rv s="0">
    <fb>0.88929999999999998</fb>
    <v>2</v>
  </rv>
  <rv s="0">
    <fb>0.88619999999999999</fb>
    <v>2</v>
  </rv>
  <rv s="0">
    <fb>45803</fb>
    <v>0</v>
  </rv>
  <rv s="0">
    <fb>0.87749999999999995</fb>
    <v>2</v>
  </rv>
  <rv s="0">
    <fb>0.87509999999999999</fb>
    <v>2</v>
  </rv>
  <rv s="0">
    <fb>0.87050000000000005</fb>
    <v>2</v>
  </rv>
  <rv s="0">
    <fb>0.86299999999999999</fb>
    <v>2</v>
  </rv>
  <rv s="0">
    <fb>0.86480000000000001</fb>
    <v>2</v>
  </rv>
  <rv s="0">
    <fb>45827</fb>
    <v>0</v>
  </rv>
  <rv s="0">
    <fb>0.86990000000000001</fb>
    <v>2</v>
  </rv>
  <rv s="0">
    <fb>0.86780000000000002</fb>
    <v>2</v>
  </rv>
  <rv s="0">
    <fb>0.86370000000000002</fb>
    <v>2</v>
  </rv>
  <rv s="0">
    <fb>0.85760000000000003</fb>
    <v>2</v>
  </rv>
  <rv s="0">
    <fb>0.85460000000000003</fb>
    <v>2</v>
  </rv>
  <rv s="0">
    <fb>0.85050000000000003</fb>
    <v>2</v>
  </rv>
  <rv s="0">
    <fb>45842</fb>
    <v>0</v>
  </rv>
  <rv s="0">
    <fb>0.84889999999999999</fb>
    <v>2</v>
  </rv>
  <rv s="0">
    <fb>0.8528</fb>
    <v>2</v>
  </rv>
  <rv s="0">
    <fb>0.85719999999999996</fb>
    <v>2</v>
  </rv>
  <rv s="0">
    <fb>0.86180000000000001</fb>
    <v>2</v>
  </rv>
  <rv s="0">
    <fb>0.86009999999999998</fb>
    <v>2</v>
  </rv>
  <rv s="0">
    <fb>0.85499999999999998</fb>
    <v>2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0">
      <v>3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AF1B4-DF27-4784-9DA5-57F9F164C5D3}" name="T_Movimientos" displayName="T_Movimientos" ref="A1:J601" totalsRowShown="0" headerRowDxfId="32" headerRowBorderDxfId="31" tableBorderDxfId="30">
  <autoFilter ref="A1:J601" xr:uid="{34CAF1B4-DF27-4784-9DA5-57F9F164C5D3}"/>
  <sortState xmlns:xlrd2="http://schemas.microsoft.com/office/spreadsheetml/2017/richdata2" ref="A2:J601">
    <sortCondition ref="A1:A601"/>
  </sortState>
  <tableColumns count="10">
    <tableColumn id="1" xr3:uid="{3BE968A6-AED5-4836-A7E6-9A3C87B513DF}" name="FECHA" dataDxfId="29"/>
    <tableColumn id="2" xr3:uid="{F18365E3-E7AD-4C00-9279-F0A87A26EAD5}" name="CUENTA"/>
    <tableColumn id="3" xr3:uid="{C5D57137-7799-44CC-9860-711D75A08C2F}" name="CATEGORÍA"/>
    <tableColumn id="4" xr3:uid="{C62BF256-01F1-411C-AE1C-8C3EC884086A}" name="SUBCATEGORÍA"/>
    <tableColumn id="5" xr3:uid="{3B83BDF1-4DA1-4CAA-A842-1DD41A7DFE45}" name="DESCRIPCIÓN"/>
    <tableColumn id="6" xr3:uid="{37F10906-CB19-40FC-AE2A-0A383620CB8F}" name="IMPORTE (€)"/>
    <tableColumn id="7" xr3:uid="{33E2EE89-256E-497A-B873-8AB7927611E9}" name="SALDO (€)"/>
    <tableColumn id="8" xr3:uid="{D9E13078-4F4F-482E-9E2B-C436C5940D39}" name="CLASIFICACIÓN"/>
    <tableColumn id="9" xr3:uid="{B391D78D-79EE-40BF-8E6D-28F2BEA042F2}" name="TIPO"/>
    <tableColumn id="10" xr3:uid="{FDE003A9-35E0-4EFE-8508-EC5336B8EE07}" name="Detalle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DA7B18-8C32-4111-86B3-870C605AC133}" name="T_Saldo" displayName="T_Saldo" ref="A1:J654" totalsRowShown="0" headerRowDxfId="28" headerRowBorderDxfId="27" tableBorderDxfId="26">
  <autoFilter ref="A1:J654" xr:uid="{61DA7B18-8C32-4111-86B3-870C605AC133}"/>
  <sortState xmlns:xlrd2="http://schemas.microsoft.com/office/spreadsheetml/2017/richdata2" ref="A2:J650">
    <sortCondition ref="A1:A650"/>
  </sortState>
  <tableColumns count="10">
    <tableColumn id="1" xr3:uid="{78F47311-B8BD-4E57-9182-71ECAE5EE71D}" name="Fecha" dataDxfId="25"/>
    <tableColumn id="2" xr3:uid="{8790A325-396F-4B10-9799-0D5B2D799FB9}" name="Producto"/>
    <tableColumn id="3" xr3:uid="{B519337F-BD23-433B-AB1B-A2FC16EA29EC}" name="Saldo">
      <calculatedColumnFormula>T_Saldo[[#This Row],[Valor liquidativo]]*T_Saldo[[#This Row],[Participaciones]]</calculatedColumnFormula>
    </tableColumn>
    <tableColumn id="4" xr3:uid="{B595C5A5-840E-4851-BB2F-5B8445D9B679}" name="Valor liquidativo" dataDxfId="24">
      <calculatedColumnFormula>T_Saldo[[#This Row],[Valor liquidativo (Moneda Extranjera)]]/T_Saldo[[#This Row],[Cambio]]</calculatedColumnFormula>
    </tableColumn>
    <tableColumn id="5" xr3:uid="{8AE8C10E-6FEC-45F6-9331-88B05525A6D4}" name="Valor liquidativo (Moneda Extranjera)" dataDxfId="23">
      <calculatedColumnFormula>IF(ISERROR(MATCH(T_Saldo[[#This Row],[Producto]],T_Stocks[Ticker],0)),1,INDEX(T_Stocks[Close],MATCH(T_Saldo[[#This Row],[ID - Product - Fecha]],T_Stocks[ID],1),1))</calculatedColumnFormula>
    </tableColumn>
    <tableColumn id="6" xr3:uid="{C3355A67-F272-429C-B2B2-1472CB813F6E}" name="Cambio" dataDxfId="22">
      <calculatedColumnFormula array="1">IF(T_Saldo[[#This Row],[Divisa]]="USD",INDEX(T_USD_EUR[EURUSD],MATCH(T_Saldo[[#This Row],[Fecha]],T_USD_EUR[Fecha],1),0),1)</calculatedColumnFormula>
    </tableColumn>
    <tableColumn id="10" xr3:uid="{71E45142-D492-42AF-9E30-EB4A35F79C8C}" name="Divisa">
      <calculatedColumnFormula array="1">INDEX(T_Elementos[Divisa],MATCH(T_Saldo[[#This Row],[Producto]],T_Elementos[Producto],0),0)</calculatedColumnFormula>
    </tableColumn>
    <tableColumn id="7" xr3:uid="{F1F4F0D9-A091-4DA0-89CC-C1F7F82C566D}" name="Participaciones" dataDxfId="21">
      <calculatedColumnFormula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calculatedColumnFormula>
    </tableColumn>
    <tableColumn id="8" xr3:uid="{D4F0016B-D33E-440C-BECE-48CF51CFFAAF}" name="Detalle"/>
    <tableColumn id="11" xr3:uid="{5BEB044B-0E45-4A61-AAF6-4CC0CC1A9AC7}" name="ID - Product - Fecha" dataDxfId="20">
      <calculatedColumnFormula>T_Saldo[[#This Row],[Producto]] &amp; "-" &amp; DATE(YEAR(T_Saldo[[#This Row],[Fecha]]),MONTH(T_Saldo[[#This Row],[Fecha]]),DAY(T_Saldo[[#This Row],[Fecha]]))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DFFAAE-15E0-4C53-992E-C2E123623222}" name="T_Transacciones" displayName="T_Transacciones" ref="A1:W31" totalsRowShown="0" headerRowDxfId="19" headerRowBorderDxfId="18" tableBorderDxfId="17">
  <autoFilter ref="A1:W31" xr:uid="{A8DFFAAE-15E0-4C53-992E-C2E123623222}"/>
  <tableColumns count="23">
    <tableColumn id="1" xr3:uid="{7A948FC3-A1FC-449F-BB34-A1D9DA6FA235}" name="Fecha" dataDxfId="16"/>
    <tableColumn id="2" xr3:uid="{28DC5273-CC2E-4B83-8268-DB88CAD9B096}" name="Producto"/>
    <tableColumn id="3" xr3:uid="{18DE0368-9A74-48A2-A52F-BA1FF9B46371}" name="Cuenta Producto"/>
    <tableColumn id="4" xr3:uid="{D3DE6B1E-926A-4B37-923E-2A7BC6A85D17}" name="Hora"/>
    <tableColumn id="5" xr3:uid="{BE6C4595-4027-464D-A1E4-F4A0E7455EEF}" name="Producto Contraparte"/>
    <tableColumn id="6" xr3:uid="{4A41E4EB-9935-4EAD-8C9E-E4EAD0A0829B}" name="Cuenta Contraparte"/>
    <tableColumn id="7" xr3:uid="{7CA8FD88-9600-472E-A13D-29C0D44436B8}" name="Tipo Transacción"/>
    <tableColumn id="8" xr3:uid="{CA148C01-18B4-479E-AF19-A1E33D80A1BE}" name="Participaciones"/>
    <tableColumn id="9" xr3:uid="{CBDE15D1-3CAD-4265-BD5D-A2D35F70E9CE}" name="Precio Participación">
      <calculatedColumnFormula>T_Transacciones[[#This Row],[Precio (Moneda Transacción)]]/T_Transacciones[[#This Row],[Cambio]]</calculatedColumnFormula>
    </tableColumn>
    <tableColumn id="10" xr3:uid="{004B6784-9D6A-432B-871C-7A8F373E79BC}" name="Precio (Moneda Transacción)" dataDxfId="15">
      <calculatedColumnFormula array="1">INDEX(T_Stocks[Close],MATCH(T_Transacciones[[#This Row],[ID Transacción]],T_Stocks[ID],1),0)</calculatedColumnFormula>
    </tableColumn>
    <tableColumn id="11" xr3:uid="{5A54DEA8-9253-476F-9FA4-3390D514D1D1}" name="Divisa">
      <calculatedColumnFormula array="1">INDEX(T_Elementos[Divisa],MATCH(T_Transacciones[[#This Row],[Producto]],T_Elementos[Producto],0),0)</calculatedColumnFormula>
    </tableColumn>
    <tableColumn id="12" xr3:uid="{8E4BC2C2-15F1-4785-8586-2CD17A54A8A7}" name="Cambio" dataDxfId="14">
      <calculatedColumnFormula array="1">IF(T_Transacciones[[#This Row],[Divisa]]="EUR",1,INDEX(T_USD_EUR[EURUSD],MATCH(T_Transacciones[[#This Row],[Fecha]],T_USD_EUR[Fecha],1),0))</calculatedColumnFormula>
    </tableColumn>
    <tableColumn id="13" xr3:uid="{F9CBED7A-0C22-4B1B-BD3F-22D0C4759729}" name="Importe Bruto">
      <calculatedColumnFormula>T_Transacciones[[#This Row],[Importe Bruto (Moneda Transacción)]]/T_Transacciones[[#This Row],[Cambio]]</calculatedColumnFormula>
    </tableColumn>
    <tableColumn id="14" xr3:uid="{1296241A-37B2-4695-851E-770BC9CB9A25}" name="Importe Bruto (Moneda Transacción)" dataDxfId="13">
      <calculatedColumnFormula>T_Transacciones[[#This Row],[Precio (Moneda Transacción)]]*T_Transacciones[[#This Row],[Participaciones]]</calculatedColumnFormula>
    </tableColumn>
    <tableColumn id="15" xr3:uid="{1F7E2454-13DA-41D0-86F3-291DF87A6AD7}" name="Retenido"/>
    <tableColumn id="16" xr3:uid="{524864DD-088F-4AB2-8FBA-45368E5C4C91}" name="Retenido (Moneda Transacción)"/>
    <tableColumn id="17" xr3:uid="{44F719AB-D9F7-4C0C-9265-64BC85FA9DE4}" name="País Retención"/>
    <tableColumn id="18" xr3:uid="{CD7044D6-E599-4710-8861-930CD4BA93B2}" name="Año IRPF"/>
    <tableColumn id="19" xr3:uid="{C12AFAF4-9385-4C64-9071-28810A0AB048}" name="Comisión">
      <calculatedColumnFormula>T_Transacciones[[#This Row],[Comisión (Moneda Transacción)]]/T_Transacciones[[#This Row],[Cambio]]</calculatedColumnFormula>
    </tableColumn>
    <tableColumn id="20" xr3:uid="{5A478154-62E4-4516-A78C-B4557F3BBABB}" name="Comisión (Moneda Transacción)"/>
    <tableColumn id="21" xr3:uid="{ED7F70DB-E49A-4C9B-AFDA-BE53D45DAF85}" name="Detalle"/>
    <tableColumn id="22" xr3:uid="{9A142817-8013-4B86-BAB5-8FE982D85FEA}" name="ID Transacción" dataDxfId="12">
      <calculatedColumnFormula>T_Transacciones[[#This Row],[Producto]] &amp; "-" &amp; DATE(YEAR(T_Transacciones[[#This Row],[Fecha]]),MONTH(T_Transacciones[[#This Row],[Fecha]]),DAY(T_Transacciones[[#This Row],[Fecha]]))</calculatedColumnFormula>
    </tableColumn>
    <tableColumn id="23" xr3:uid="{B19F2EAB-AF96-4C7B-9B61-1940A9FAC5DA}" name="ID Transacción Espejo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0125EB-D515-43F1-B0EC-49458E242C4E}" name="T_Elementos" displayName="T_Elementos" ref="A1:H11" totalsRowShown="0" headerRowDxfId="11" headerRowBorderDxfId="10" tableBorderDxfId="9">
  <autoFilter ref="A1:H11" xr:uid="{AE0125EB-D515-43F1-B0EC-49458E242C4E}"/>
  <sortState xmlns:xlrd2="http://schemas.microsoft.com/office/spreadsheetml/2017/richdata2" ref="A2:H10">
    <sortCondition ref="A1:A10"/>
  </sortState>
  <tableColumns count="8">
    <tableColumn id="1" xr3:uid="{6CC43D5A-06F7-48EE-8D09-B9D10828893B}" name="Producto"/>
    <tableColumn id="2" xr3:uid="{6E07880B-AA10-4644-BBAA-CBE22E23AFD3}" name="Tipo"/>
    <tableColumn id="3" xr3:uid="{B0F05B82-A048-4BA9-BF50-29D89CDD728C}" name="Subtipo"/>
    <tableColumn id="4" xr3:uid="{814CE654-2909-423D-A051-6E76D17531DE}" name="Divisa" dataDxfId="8"/>
    <tableColumn id="5" xr3:uid="{B9280D36-B245-4559-A2AE-D61BFB7ADA0B}" name="Detalle"/>
    <tableColumn id="6" xr3:uid="{593D48F1-C2A6-451E-BA10-3FA90E47A5BF}" name="Cantidad"/>
    <tableColumn id="7" xr3:uid="{548C64A2-BC93-418D-8AB2-63DAF34D2F1C}" name="Vencimiento"/>
    <tableColumn id="8" xr3:uid="{88DFE69D-8E42-4ECD-A039-B5819EB9C43E}" name="Enlace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0B3775-83F0-4CB1-920F-40C14F9AD1B9}" name="T_Stocks" displayName="T_Stocks" ref="A1:D8400" totalsRowShown="0" dataDxfId="7" tableBorderDxfId="6">
  <autoFilter ref="A1:D8400" xr:uid="{EA0B3775-83F0-4CB1-920F-40C14F9AD1B9}"/>
  <sortState xmlns:xlrd2="http://schemas.microsoft.com/office/spreadsheetml/2017/richdata2" ref="A2:D8400">
    <sortCondition ref="D1:D8400"/>
  </sortState>
  <tableColumns count="4">
    <tableColumn id="1" xr3:uid="{89FFC92C-1AF1-489D-ADF0-E20C9ABD208E}" name="Fecha" dataDxfId="5"/>
    <tableColumn id="2" xr3:uid="{34F1F4FF-C4A8-4CDF-A8E1-D1063E679CAB}" name="Close" dataDxfId="4"/>
    <tableColumn id="3" xr3:uid="{1A7530B0-CC44-4494-B597-25A0F6D22DEB}" name="Ticker" dataDxfId="3"/>
    <tableColumn id="6" xr3:uid="{AC2A5AE5-C622-429F-92A2-1E695B1E8D0D}" name="ID" dataDxfId="2">
      <calculatedColumnFormula>T_Stocks[[#This Row],[Ticker]] &amp; "-" &amp; DATE(YEAR(T_Stocks[[#This Row],[Fecha]]),MONTH(T_Stocks[[#This Row],[Fecha]]),DAY(T_Stocks[[#This Row],[Fecha]]))</calculatedColumn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C48F48-5670-415F-83A4-1F0B2FAF3F47}" name="T_IRPF_Ahorro" displayName="T_IRPF_Ahorro" ref="A1:E27" totalsRowShown="0">
  <autoFilter ref="A1:E27" xr:uid="{94C48F48-5670-415F-83A4-1F0B2FAF3F47}"/>
  <tableColumns count="5">
    <tableColumn id="1" xr3:uid="{A0696A82-134D-43FB-BDC9-849BA0E2F365}" name="Año"/>
    <tableColumn id="5" xr3:uid="{53A35F52-033E-46CA-98EC-77A68BD46725}" name="Año Final"/>
    <tableColumn id="3" xr3:uid="{26DED9DF-62B4-48BA-A19C-515B750C31B2}" name="Mínimo"/>
    <tableColumn id="4" xr3:uid="{9EEEA9DA-1EA5-4DE2-A794-3B82A48B7887}" name="Máximo"/>
    <tableColumn id="7" xr3:uid="{990EB3C9-3F50-4FAA-97D7-D91351DD3665}" name="Tipo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BAC0A1-9296-407D-AA41-44A22DF586A4}" name="T_USD_EUR" displayName="T_USD_EUR" ref="A1:C1689" totalsRowShown="0">
  <autoFilter ref="A1:C1689" xr:uid="{0CBAC0A1-9296-407D-AA41-44A22DF586A4}"/>
  <sortState xmlns:xlrd2="http://schemas.microsoft.com/office/spreadsheetml/2017/richdata2" ref="A2:C1689">
    <sortCondition ref="A1:A1689"/>
  </sortState>
  <tableColumns count="3">
    <tableColumn id="1" xr3:uid="{DE3EFF21-E110-49A5-ABAD-6C6DA8D6366C}" name="Fecha"/>
    <tableColumn id="2" xr3:uid="{DCE3B575-5719-4A47-94AF-0DFF909C69DD}" name="USDEUR"/>
    <tableColumn id="3" xr3:uid="{9C1C212F-D10A-4436-B908-54DE90838891}" name="EURUSD" dataDxfId="0">
      <calculatedColumnFormula>1/T_USD_EUR[[#This Row],[USDEUR]]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601"/>
  <sheetViews>
    <sheetView topLeftCell="A14" workbookViewId="0">
      <selection activeCell="B2" sqref="B2:B601"/>
    </sheetView>
  </sheetViews>
  <sheetFormatPr baseColWidth="10" defaultColWidth="9.1328125" defaultRowHeight="14.25" x14ac:dyDescent="0.45"/>
  <cols>
    <col min="1" max="1" width="47.1328125" customWidth="1"/>
    <col min="2" max="2" width="10.3984375" customWidth="1"/>
    <col min="3" max="3" width="13.3984375" customWidth="1"/>
    <col min="4" max="4" width="17" customWidth="1"/>
    <col min="5" max="5" width="29.73046875" customWidth="1"/>
    <col min="6" max="6" width="17.59765625" customWidth="1"/>
    <col min="7" max="7" width="19.73046875" customWidth="1"/>
    <col min="8" max="8" width="20.73046875" customWidth="1"/>
    <col min="9" max="9" width="22.1328125" customWidth="1"/>
    <col min="10" max="10" width="9.59765625" customWidth="1"/>
  </cols>
  <sheetData>
    <row r="1" spans="1:10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45">
      <c r="A2" s="2">
        <v>43467</v>
      </c>
      <c r="B2" t="s">
        <v>49</v>
      </c>
      <c r="C2" t="s">
        <v>11</v>
      </c>
      <c r="D2" t="s">
        <v>106</v>
      </c>
      <c r="E2" t="s">
        <v>107</v>
      </c>
      <c r="F2">
        <v>2021.11</v>
      </c>
      <c r="H2" t="s">
        <v>12</v>
      </c>
      <c r="I2" t="s">
        <v>13</v>
      </c>
    </row>
    <row r="3" spans="1:10" x14ac:dyDescent="0.45">
      <c r="A3" s="2">
        <v>43474</v>
      </c>
      <c r="B3" t="s">
        <v>10</v>
      </c>
      <c r="C3" t="s">
        <v>88</v>
      </c>
      <c r="D3" t="s">
        <v>89</v>
      </c>
      <c r="E3" t="s">
        <v>90</v>
      </c>
      <c r="F3">
        <v>-73.900000000000006</v>
      </c>
      <c r="H3" t="s">
        <v>88</v>
      </c>
      <c r="I3" t="s">
        <v>14</v>
      </c>
    </row>
    <row r="4" spans="1:10" x14ac:dyDescent="0.45">
      <c r="A4" s="2">
        <v>43474</v>
      </c>
      <c r="B4" t="s">
        <v>49</v>
      </c>
      <c r="C4" t="s">
        <v>103</v>
      </c>
      <c r="D4" t="s">
        <v>142</v>
      </c>
      <c r="E4" t="s">
        <v>143</v>
      </c>
      <c r="F4">
        <v>-133.9</v>
      </c>
      <c r="H4" t="s">
        <v>103</v>
      </c>
      <c r="I4" t="s">
        <v>14</v>
      </c>
    </row>
    <row r="5" spans="1:10" x14ac:dyDescent="0.45">
      <c r="A5" s="2">
        <v>43475</v>
      </c>
      <c r="B5" t="s">
        <v>49</v>
      </c>
      <c r="C5" t="s">
        <v>98</v>
      </c>
      <c r="D5" t="s">
        <v>134</v>
      </c>
      <c r="E5" t="s">
        <v>135</v>
      </c>
      <c r="F5">
        <v>-45.48</v>
      </c>
      <c r="H5" t="s">
        <v>98</v>
      </c>
      <c r="I5" t="s">
        <v>14</v>
      </c>
    </row>
    <row r="6" spans="1:10" x14ac:dyDescent="0.45">
      <c r="A6" s="2">
        <v>43478</v>
      </c>
      <c r="B6" t="s">
        <v>10</v>
      </c>
      <c r="C6" t="s">
        <v>98</v>
      </c>
      <c r="D6" t="s">
        <v>99</v>
      </c>
      <c r="E6" t="s">
        <v>100</v>
      </c>
      <c r="F6">
        <v>-70.48</v>
      </c>
      <c r="H6" t="s">
        <v>98</v>
      </c>
      <c r="I6" t="s">
        <v>14</v>
      </c>
    </row>
    <row r="7" spans="1:10" x14ac:dyDescent="0.45">
      <c r="A7" s="2">
        <v>43478</v>
      </c>
      <c r="B7" t="s">
        <v>49</v>
      </c>
      <c r="C7" t="s">
        <v>117</v>
      </c>
      <c r="D7" t="s">
        <v>124</v>
      </c>
      <c r="E7" t="s">
        <v>125</v>
      </c>
      <c r="F7">
        <v>-145.82</v>
      </c>
      <c r="H7" t="s">
        <v>117</v>
      </c>
      <c r="I7" t="s">
        <v>14</v>
      </c>
    </row>
    <row r="8" spans="1:10" x14ac:dyDescent="0.45">
      <c r="A8" s="2">
        <v>43482</v>
      </c>
      <c r="B8" t="s">
        <v>49</v>
      </c>
      <c r="C8" t="s">
        <v>80</v>
      </c>
      <c r="D8" t="s">
        <v>94</v>
      </c>
      <c r="E8" t="s">
        <v>95</v>
      </c>
      <c r="F8">
        <v>-128.34</v>
      </c>
      <c r="H8" t="s">
        <v>80</v>
      </c>
      <c r="I8" t="s">
        <v>14</v>
      </c>
    </row>
    <row r="9" spans="1:10" x14ac:dyDescent="0.45">
      <c r="A9" s="2">
        <v>43483</v>
      </c>
      <c r="B9" t="s">
        <v>49</v>
      </c>
      <c r="C9" t="s">
        <v>80</v>
      </c>
      <c r="D9" t="s">
        <v>81</v>
      </c>
      <c r="E9" t="s">
        <v>82</v>
      </c>
      <c r="F9">
        <v>-47.26</v>
      </c>
      <c r="H9" t="s">
        <v>80</v>
      </c>
      <c r="I9" t="s">
        <v>14</v>
      </c>
    </row>
    <row r="10" spans="1:10" x14ac:dyDescent="0.45">
      <c r="A10" s="2">
        <v>43483</v>
      </c>
      <c r="B10" t="s">
        <v>49</v>
      </c>
      <c r="C10" t="s">
        <v>88</v>
      </c>
      <c r="D10" t="s">
        <v>138</v>
      </c>
      <c r="E10" t="s">
        <v>139</v>
      </c>
      <c r="F10">
        <v>-137.32</v>
      </c>
      <c r="H10" t="s">
        <v>88</v>
      </c>
      <c r="I10" t="s">
        <v>14</v>
      </c>
    </row>
    <row r="11" spans="1:10" x14ac:dyDescent="0.45">
      <c r="A11" s="2">
        <v>43485</v>
      </c>
      <c r="B11" t="s">
        <v>10</v>
      </c>
      <c r="C11" t="s">
        <v>85</v>
      </c>
      <c r="D11" t="s">
        <v>101</v>
      </c>
      <c r="E11" t="s">
        <v>102</v>
      </c>
      <c r="F11">
        <v>-58.54</v>
      </c>
      <c r="H11" t="s">
        <v>85</v>
      </c>
      <c r="I11" t="s">
        <v>14</v>
      </c>
    </row>
    <row r="12" spans="1:10" x14ac:dyDescent="0.45">
      <c r="A12" s="2">
        <v>43490</v>
      </c>
      <c r="B12" t="s">
        <v>46</v>
      </c>
      <c r="C12" t="s">
        <v>77</v>
      </c>
      <c r="D12" t="s">
        <v>96</v>
      </c>
      <c r="E12" t="s">
        <v>97</v>
      </c>
      <c r="F12">
        <v>-59.61</v>
      </c>
      <c r="H12" t="s">
        <v>77</v>
      </c>
      <c r="I12" t="s">
        <v>14</v>
      </c>
    </row>
    <row r="13" spans="1:10" x14ac:dyDescent="0.45">
      <c r="A13" s="2">
        <v>43491</v>
      </c>
      <c r="B13" t="s">
        <v>49</v>
      </c>
      <c r="C13" t="s">
        <v>110</v>
      </c>
      <c r="D13" t="s">
        <v>111</v>
      </c>
      <c r="E13" t="s">
        <v>112</v>
      </c>
      <c r="F13">
        <v>-59.73</v>
      </c>
      <c r="H13" t="s">
        <v>110</v>
      </c>
      <c r="I13" t="s">
        <v>14</v>
      </c>
    </row>
    <row r="14" spans="1:10" x14ac:dyDescent="0.45">
      <c r="A14" s="2">
        <v>43503</v>
      </c>
      <c r="B14" t="s">
        <v>49</v>
      </c>
      <c r="C14" t="s">
        <v>91</v>
      </c>
      <c r="D14" t="s">
        <v>92</v>
      </c>
      <c r="E14" t="s">
        <v>93</v>
      </c>
      <c r="F14">
        <v>-30.01</v>
      </c>
      <c r="H14" t="s">
        <v>91</v>
      </c>
      <c r="I14" t="s">
        <v>14</v>
      </c>
    </row>
    <row r="15" spans="1:10" x14ac:dyDescent="0.45">
      <c r="A15" s="2">
        <v>43508</v>
      </c>
      <c r="B15" t="s">
        <v>49</v>
      </c>
      <c r="C15" t="s">
        <v>11</v>
      </c>
      <c r="D15" t="s">
        <v>106</v>
      </c>
      <c r="E15" t="s">
        <v>107</v>
      </c>
      <c r="F15">
        <v>2063.5100000000002</v>
      </c>
      <c r="H15" t="s">
        <v>12</v>
      </c>
      <c r="I15" t="s">
        <v>13</v>
      </c>
    </row>
    <row r="16" spans="1:10" x14ac:dyDescent="0.45">
      <c r="A16" s="2">
        <v>43508</v>
      </c>
      <c r="B16" t="s">
        <v>10</v>
      </c>
      <c r="C16" t="s">
        <v>85</v>
      </c>
      <c r="D16" t="s">
        <v>140</v>
      </c>
      <c r="E16" t="s">
        <v>141</v>
      </c>
      <c r="F16">
        <v>-54.99</v>
      </c>
      <c r="H16" t="s">
        <v>85</v>
      </c>
      <c r="I16" t="s">
        <v>14</v>
      </c>
    </row>
    <row r="17" spans="1:9" x14ac:dyDescent="0.45">
      <c r="A17" s="2">
        <v>43514</v>
      </c>
      <c r="B17" t="s">
        <v>46</v>
      </c>
      <c r="C17" t="s">
        <v>91</v>
      </c>
      <c r="D17" t="s">
        <v>92</v>
      </c>
      <c r="E17" t="s">
        <v>93</v>
      </c>
      <c r="F17">
        <v>-17.829999999999998</v>
      </c>
      <c r="H17" t="s">
        <v>91</v>
      </c>
      <c r="I17" t="s">
        <v>14</v>
      </c>
    </row>
    <row r="18" spans="1:9" x14ac:dyDescent="0.45">
      <c r="A18" s="2">
        <v>43518</v>
      </c>
      <c r="B18" t="s">
        <v>10</v>
      </c>
      <c r="C18" t="s">
        <v>117</v>
      </c>
      <c r="D18" t="s">
        <v>124</v>
      </c>
      <c r="E18" t="s">
        <v>125</v>
      </c>
      <c r="F18">
        <v>-78.48</v>
      </c>
      <c r="H18" t="s">
        <v>117</v>
      </c>
      <c r="I18" t="s">
        <v>14</v>
      </c>
    </row>
    <row r="19" spans="1:9" x14ac:dyDescent="0.45">
      <c r="A19" s="2">
        <v>43519</v>
      </c>
      <c r="B19" t="s">
        <v>46</v>
      </c>
      <c r="C19" t="s">
        <v>85</v>
      </c>
      <c r="D19" t="s">
        <v>101</v>
      </c>
      <c r="E19" t="s">
        <v>102</v>
      </c>
      <c r="F19">
        <v>-115.01</v>
      </c>
      <c r="H19" t="s">
        <v>85</v>
      </c>
      <c r="I19" t="s">
        <v>14</v>
      </c>
    </row>
    <row r="20" spans="1:9" x14ac:dyDescent="0.45">
      <c r="A20" s="2">
        <v>43522</v>
      </c>
      <c r="B20" t="s">
        <v>46</v>
      </c>
      <c r="C20" t="s">
        <v>85</v>
      </c>
      <c r="D20" t="s">
        <v>140</v>
      </c>
      <c r="E20" t="s">
        <v>141</v>
      </c>
      <c r="F20">
        <v>-28.7</v>
      </c>
      <c r="H20" t="s">
        <v>85</v>
      </c>
      <c r="I20" t="s">
        <v>14</v>
      </c>
    </row>
    <row r="21" spans="1:9" x14ac:dyDescent="0.45">
      <c r="A21" s="2">
        <v>43527</v>
      </c>
      <c r="B21" t="s">
        <v>10</v>
      </c>
      <c r="C21" t="s">
        <v>110</v>
      </c>
      <c r="D21" t="s">
        <v>111</v>
      </c>
      <c r="E21" t="s">
        <v>112</v>
      </c>
      <c r="F21">
        <v>-75.31</v>
      </c>
      <c r="H21" t="s">
        <v>110</v>
      </c>
      <c r="I21" t="s">
        <v>14</v>
      </c>
    </row>
    <row r="22" spans="1:9" x14ac:dyDescent="0.45">
      <c r="A22" s="2">
        <v>43530</v>
      </c>
      <c r="B22" t="s">
        <v>10</v>
      </c>
      <c r="C22" t="s">
        <v>117</v>
      </c>
      <c r="D22" t="s">
        <v>124</v>
      </c>
      <c r="E22" t="s">
        <v>125</v>
      </c>
      <c r="F22">
        <v>-46.25</v>
      </c>
      <c r="H22" t="s">
        <v>117</v>
      </c>
      <c r="I22" t="s">
        <v>14</v>
      </c>
    </row>
    <row r="23" spans="1:9" x14ac:dyDescent="0.45">
      <c r="A23" s="2">
        <v>43534</v>
      </c>
      <c r="B23" t="s">
        <v>10</v>
      </c>
      <c r="C23" t="s">
        <v>80</v>
      </c>
      <c r="D23" t="s">
        <v>94</v>
      </c>
      <c r="E23" t="s">
        <v>95</v>
      </c>
      <c r="F23">
        <v>-124.94</v>
      </c>
      <c r="H23" t="s">
        <v>80</v>
      </c>
      <c r="I23" t="s">
        <v>14</v>
      </c>
    </row>
    <row r="24" spans="1:9" x14ac:dyDescent="0.45">
      <c r="A24" s="2">
        <v>43534</v>
      </c>
      <c r="B24" t="s">
        <v>46</v>
      </c>
      <c r="C24" t="s">
        <v>80</v>
      </c>
      <c r="D24" t="s">
        <v>94</v>
      </c>
      <c r="E24" t="s">
        <v>95</v>
      </c>
      <c r="F24">
        <v>-24.65</v>
      </c>
      <c r="H24" t="s">
        <v>80</v>
      </c>
      <c r="I24" t="s">
        <v>14</v>
      </c>
    </row>
    <row r="25" spans="1:9" x14ac:dyDescent="0.45">
      <c r="A25" s="2">
        <v>43540</v>
      </c>
      <c r="B25" t="s">
        <v>46</v>
      </c>
      <c r="C25" t="s">
        <v>20</v>
      </c>
      <c r="D25" t="s">
        <v>108</v>
      </c>
      <c r="E25" t="s">
        <v>109</v>
      </c>
      <c r="F25">
        <v>-115.38</v>
      </c>
      <c r="H25" t="s">
        <v>20</v>
      </c>
      <c r="I25" t="s">
        <v>14</v>
      </c>
    </row>
    <row r="26" spans="1:9" x14ac:dyDescent="0.45">
      <c r="A26" s="2">
        <v>43541</v>
      </c>
      <c r="B26" t="s">
        <v>10</v>
      </c>
      <c r="C26" t="s">
        <v>103</v>
      </c>
      <c r="D26" t="s">
        <v>104</v>
      </c>
      <c r="E26" t="s">
        <v>105</v>
      </c>
      <c r="F26">
        <v>-102.76</v>
      </c>
      <c r="H26" t="s">
        <v>103</v>
      </c>
      <c r="I26" t="s">
        <v>14</v>
      </c>
    </row>
    <row r="27" spans="1:9" x14ac:dyDescent="0.45">
      <c r="A27" s="2">
        <v>43543</v>
      </c>
      <c r="B27" t="s">
        <v>46</v>
      </c>
      <c r="C27" t="s">
        <v>20</v>
      </c>
      <c r="D27" t="s">
        <v>144</v>
      </c>
      <c r="E27" t="s">
        <v>145</v>
      </c>
      <c r="F27">
        <v>-112.93</v>
      </c>
      <c r="H27" t="s">
        <v>20</v>
      </c>
      <c r="I27" t="s">
        <v>14</v>
      </c>
    </row>
    <row r="28" spans="1:9" x14ac:dyDescent="0.45">
      <c r="A28" s="2">
        <v>43544</v>
      </c>
      <c r="B28" t="s">
        <v>49</v>
      </c>
      <c r="C28" t="s">
        <v>80</v>
      </c>
      <c r="D28" t="s">
        <v>128</v>
      </c>
      <c r="E28" t="s">
        <v>129</v>
      </c>
      <c r="F28">
        <v>-125.4</v>
      </c>
      <c r="H28" t="s">
        <v>80</v>
      </c>
      <c r="I28" t="s">
        <v>14</v>
      </c>
    </row>
    <row r="29" spans="1:9" x14ac:dyDescent="0.45">
      <c r="A29" s="2">
        <v>43547</v>
      </c>
      <c r="B29" t="s">
        <v>10</v>
      </c>
      <c r="C29" t="s">
        <v>91</v>
      </c>
      <c r="D29" t="s">
        <v>122</v>
      </c>
      <c r="E29" t="s">
        <v>123</v>
      </c>
      <c r="F29">
        <v>-32.5</v>
      </c>
      <c r="H29" t="s">
        <v>91</v>
      </c>
      <c r="I29" t="s">
        <v>14</v>
      </c>
    </row>
    <row r="30" spans="1:9" x14ac:dyDescent="0.45">
      <c r="A30" s="2">
        <v>43549</v>
      </c>
      <c r="B30" t="s">
        <v>10</v>
      </c>
      <c r="C30" t="s">
        <v>11</v>
      </c>
      <c r="D30" t="s">
        <v>106</v>
      </c>
      <c r="E30" t="s">
        <v>107</v>
      </c>
      <c r="F30">
        <v>2758.92</v>
      </c>
      <c r="H30" t="s">
        <v>12</v>
      </c>
      <c r="I30" t="s">
        <v>13</v>
      </c>
    </row>
    <row r="31" spans="1:9" x14ac:dyDescent="0.45">
      <c r="A31" s="2">
        <v>43550</v>
      </c>
      <c r="B31" t="s">
        <v>49</v>
      </c>
      <c r="C31" t="s">
        <v>88</v>
      </c>
      <c r="D31" t="s">
        <v>136</v>
      </c>
      <c r="E31" t="s">
        <v>137</v>
      </c>
      <c r="F31">
        <v>-37.549999999999997</v>
      </c>
      <c r="H31" t="s">
        <v>88</v>
      </c>
      <c r="I31" t="s">
        <v>14</v>
      </c>
    </row>
    <row r="32" spans="1:9" x14ac:dyDescent="0.45">
      <c r="A32" s="2">
        <v>43556</v>
      </c>
      <c r="B32" t="s">
        <v>46</v>
      </c>
      <c r="C32" t="s">
        <v>20</v>
      </c>
      <c r="D32" t="s">
        <v>146</v>
      </c>
      <c r="E32" t="s">
        <v>147</v>
      </c>
      <c r="F32">
        <v>-54.62</v>
      </c>
      <c r="H32" t="s">
        <v>20</v>
      </c>
      <c r="I32" t="s">
        <v>14</v>
      </c>
    </row>
    <row r="33" spans="1:9" x14ac:dyDescent="0.45">
      <c r="A33" s="2">
        <v>43567</v>
      </c>
      <c r="B33" t="s">
        <v>46</v>
      </c>
      <c r="C33" t="s">
        <v>91</v>
      </c>
      <c r="D33" t="s">
        <v>92</v>
      </c>
      <c r="E33" t="s">
        <v>93</v>
      </c>
      <c r="F33">
        <v>-23.16</v>
      </c>
      <c r="H33" t="s">
        <v>91</v>
      </c>
      <c r="I33" t="s">
        <v>14</v>
      </c>
    </row>
    <row r="34" spans="1:9" x14ac:dyDescent="0.45">
      <c r="A34" s="2">
        <v>43571</v>
      </c>
      <c r="B34" t="s">
        <v>46</v>
      </c>
      <c r="C34" t="s">
        <v>85</v>
      </c>
      <c r="D34" t="s">
        <v>101</v>
      </c>
      <c r="E34" t="s">
        <v>102</v>
      </c>
      <c r="F34">
        <v>-131.82</v>
      </c>
      <c r="H34" t="s">
        <v>85</v>
      </c>
      <c r="I34" t="s">
        <v>14</v>
      </c>
    </row>
    <row r="35" spans="1:9" x14ac:dyDescent="0.45">
      <c r="A35" s="2">
        <v>43576</v>
      </c>
      <c r="B35" t="s">
        <v>10</v>
      </c>
      <c r="C35" t="s">
        <v>103</v>
      </c>
      <c r="D35" t="s">
        <v>130</v>
      </c>
      <c r="E35" t="s">
        <v>131</v>
      </c>
      <c r="F35">
        <v>-55.63</v>
      </c>
      <c r="H35" t="s">
        <v>103</v>
      </c>
      <c r="I35" t="s">
        <v>14</v>
      </c>
    </row>
    <row r="36" spans="1:9" x14ac:dyDescent="0.45">
      <c r="A36" s="2">
        <v>43577</v>
      </c>
      <c r="B36" t="s">
        <v>46</v>
      </c>
      <c r="C36" t="s">
        <v>77</v>
      </c>
      <c r="D36" t="s">
        <v>96</v>
      </c>
      <c r="E36" t="s">
        <v>97</v>
      </c>
      <c r="F36">
        <v>-115.21</v>
      </c>
      <c r="H36" t="s">
        <v>77</v>
      </c>
      <c r="I36" t="s">
        <v>14</v>
      </c>
    </row>
    <row r="37" spans="1:9" x14ac:dyDescent="0.45">
      <c r="A37" s="2">
        <v>43586</v>
      </c>
      <c r="B37" t="s">
        <v>49</v>
      </c>
      <c r="C37" t="s">
        <v>11</v>
      </c>
      <c r="D37" t="s">
        <v>106</v>
      </c>
      <c r="E37" t="s">
        <v>107</v>
      </c>
      <c r="F37">
        <v>2342.63</v>
      </c>
      <c r="H37" t="s">
        <v>12</v>
      </c>
      <c r="I37" t="s">
        <v>13</v>
      </c>
    </row>
    <row r="38" spans="1:9" x14ac:dyDescent="0.45">
      <c r="A38" s="2">
        <v>43591</v>
      </c>
      <c r="B38" t="s">
        <v>49</v>
      </c>
      <c r="C38" t="s">
        <v>77</v>
      </c>
      <c r="D38" t="s">
        <v>83</v>
      </c>
      <c r="E38" t="s">
        <v>84</v>
      </c>
      <c r="F38">
        <v>-59.57</v>
      </c>
      <c r="H38" t="s">
        <v>77</v>
      </c>
      <c r="I38" t="s">
        <v>14</v>
      </c>
    </row>
    <row r="39" spans="1:9" x14ac:dyDescent="0.45">
      <c r="A39" s="2">
        <v>43592</v>
      </c>
      <c r="B39" t="s">
        <v>10</v>
      </c>
      <c r="C39" t="s">
        <v>117</v>
      </c>
      <c r="D39" t="s">
        <v>118</v>
      </c>
      <c r="E39" t="s">
        <v>119</v>
      </c>
      <c r="F39">
        <v>-100.39</v>
      </c>
      <c r="H39" t="s">
        <v>117</v>
      </c>
      <c r="I39" t="s">
        <v>14</v>
      </c>
    </row>
    <row r="40" spans="1:9" x14ac:dyDescent="0.45">
      <c r="A40" s="2">
        <v>43599</v>
      </c>
      <c r="B40" t="s">
        <v>10</v>
      </c>
      <c r="C40" t="s">
        <v>11</v>
      </c>
      <c r="D40" t="s">
        <v>115</v>
      </c>
      <c r="E40" t="s">
        <v>116</v>
      </c>
      <c r="F40">
        <v>1926.53</v>
      </c>
      <c r="H40" t="s">
        <v>12</v>
      </c>
      <c r="I40" t="s">
        <v>13</v>
      </c>
    </row>
    <row r="41" spans="1:9" x14ac:dyDescent="0.45">
      <c r="A41" s="2">
        <v>43599</v>
      </c>
      <c r="B41" t="s">
        <v>10</v>
      </c>
      <c r="C41" t="s">
        <v>117</v>
      </c>
      <c r="D41" t="s">
        <v>124</v>
      </c>
      <c r="E41" t="s">
        <v>125</v>
      </c>
      <c r="F41">
        <v>-114.62</v>
      </c>
      <c r="H41" t="s">
        <v>117</v>
      </c>
      <c r="I41" t="s">
        <v>14</v>
      </c>
    </row>
    <row r="42" spans="1:9" x14ac:dyDescent="0.45">
      <c r="A42" s="2">
        <v>43600</v>
      </c>
      <c r="B42" t="s">
        <v>10</v>
      </c>
      <c r="C42" t="s">
        <v>91</v>
      </c>
      <c r="D42" t="s">
        <v>92</v>
      </c>
      <c r="E42" t="s">
        <v>93</v>
      </c>
      <c r="F42">
        <v>-20.72</v>
      </c>
      <c r="H42" t="s">
        <v>91</v>
      </c>
      <c r="I42" t="s">
        <v>14</v>
      </c>
    </row>
    <row r="43" spans="1:9" x14ac:dyDescent="0.45">
      <c r="A43" s="2">
        <v>43603</v>
      </c>
      <c r="B43" t="s">
        <v>10</v>
      </c>
      <c r="C43" t="s">
        <v>20</v>
      </c>
      <c r="D43" t="s">
        <v>108</v>
      </c>
      <c r="E43" t="s">
        <v>109</v>
      </c>
      <c r="F43">
        <v>-93.85</v>
      </c>
      <c r="H43" t="s">
        <v>20</v>
      </c>
      <c r="I43" t="s">
        <v>14</v>
      </c>
    </row>
    <row r="44" spans="1:9" x14ac:dyDescent="0.45">
      <c r="A44" s="2">
        <v>43605</v>
      </c>
      <c r="B44" t="s">
        <v>10</v>
      </c>
      <c r="C44" t="s">
        <v>91</v>
      </c>
      <c r="D44" t="s">
        <v>92</v>
      </c>
      <c r="E44" t="s">
        <v>93</v>
      </c>
      <c r="F44">
        <v>-25.8</v>
      </c>
      <c r="H44" t="s">
        <v>91</v>
      </c>
      <c r="I44" t="s">
        <v>14</v>
      </c>
    </row>
    <row r="45" spans="1:9" x14ac:dyDescent="0.45">
      <c r="A45" s="2">
        <v>43606</v>
      </c>
      <c r="B45" t="s">
        <v>46</v>
      </c>
      <c r="C45" t="s">
        <v>88</v>
      </c>
      <c r="D45" t="s">
        <v>136</v>
      </c>
      <c r="E45" t="s">
        <v>137</v>
      </c>
      <c r="F45">
        <v>-34.979999999999997</v>
      </c>
      <c r="H45" t="s">
        <v>88</v>
      </c>
      <c r="I45" t="s">
        <v>14</v>
      </c>
    </row>
    <row r="46" spans="1:9" x14ac:dyDescent="0.45">
      <c r="A46" s="2">
        <v>43608</v>
      </c>
      <c r="B46" t="s">
        <v>49</v>
      </c>
      <c r="C46" t="s">
        <v>85</v>
      </c>
      <c r="D46" t="s">
        <v>86</v>
      </c>
      <c r="E46" t="s">
        <v>87</v>
      </c>
      <c r="F46">
        <v>-60.12</v>
      </c>
      <c r="H46" t="s">
        <v>85</v>
      </c>
      <c r="I46" t="s">
        <v>14</v>
      </c>
    </row>
    <row r="47" spans="1:9" x14ac:dyDescent="0.45">
      <c r="A47" s="2">
        <v>43610</v>
      </c>
      <c r="B47" t="s">
        <v>49</v>
      </c>
      <c r="C47" t="s">
        <v>103</v>
      </c>
      <c r="D47" t="s">
        <v>104</v>
      </c>
      <c r="E47" t="s">
        <v>105</v>
      </c>
      <c r="F47">
        <v>-46.53</v>
      </c>
      <c r="H47" t="s">
        <v>103</v>
      </c>
      <c r="I47" t="s">
        <v>14</v>
      </c>
    </row>
    <row r="48" spans="1:9" x14ac:dyDescent="0.45">
      <c r="A48" s="2">
        <v>43620</v>
      </c>
      <c r="B48" t="s">
        <v>46</v>
      </c>
      <c r="C48" t="s">
        <v>91</v>
      </c>
      <c r="D48" t="s">
        <v>92</v>
      </c>
      <c r="E48" t="s">
        <v>93</v>
      </c>
      <c r="F48">
        <v>-62.36</v>
      </c>
      <c r="H48" t="s">
        <v>91</v>
      </c>
      <c r="I48" t="s">
        <v>14</v>
      </c>
    </row>
    <row r="49" spans="1:9" x14ac:dyDescent="0.45">
      <c r="A49" s="2">
        <v>43621</v>
      </c>
      <c r="B49" t="s">
        <v>46</v>
      </c>
      <c r="C49" t="s">
        <v>20</v>
      </c>
      <c r="D49" t="s">
        <v>108</v>
      </c>
      <c r="E49" t="s">
        <v>109</v>
      </c>
      <c r="F49">
        <v>-92.46</v>
      </c>
      <c r="H49" t="s">
        <v>20</v>
      </c>
      <c r="I49" t="s">
        <v>14</v>
      </c>
    </row>
    <row r="50" spans="1:9" x14ac:dyDescent="0.45">
      <c r="A50" s="2">
        <v>43622</v>
      </c>
      <c r="B50" t="s">
        <v>49</v>
      </c>
      <c r="C50" t="s">
        <v>85</v>
      </c>
      <c r="D50" t="s">
        <v>86</v>
      </c>
      <c r="E50" t="s">
        <v>87</v>
      </c>
      <c r="F50">
        <v>-101.19</v>
      </c>
      <c r="H50" t="s">
        <v>85</v>
      </c>
      <c r="I50" t="s">
        <v>14</v>
      </c>
    </row>
    <row r="51" spans="1:9" x14ac:dyDescent="0.45">
      <c r="A51" s="2">
        <v>43627</v>
      </c>
      <c r="B51" t="s">
        <v>10</v>
      </c>
      <c r="C51" t="s">
        <v>103</v>
      </c>
      <c r="D51" t="s">
        <v>142</v>
      </c>
      <c r="E51" t="s">
        <v>143</v>
      </c>
      <c r="F51">
        <v>-100.41</v>
      </c>
      <c r="H51" t="s">
        <v>103</v>
      </c>
      <c r="I51" t="s">
        <v>14</v>
      </c>
    </row>
    <row r="52" spans="1:9" x14ac:dyDescent="0.45">
      <c r="A52" s="2">
        <v>43629</v>
      </c>
      <c r="B52" t="s">
        <v>49</v>
      </c>
      <c r="C52" t="s">
        <v>85</v>
      </c>
      <c r="D52" t="s">
        <v>86</v>
      </c>
      <c r="E52" t="s">
        <v>87</v>
      </c>
      <c r="F52">
        <v>-43.37</v>
      </c>
      <c r="H52" t="s">
        <v>85</v>
      </c>
      <c r="I52" t="s">
        <v>14</v>
      </c>
    </row>
    <row r="53" spans="1:9" x14ac:dyDescent="0.45">
      <c r="A53" s="2">
        <v>43629</v>
      </c>
      <c r="B53" t="s">
        <v>10</v>
      </c>
      <c r="C53" t="s">
        <v>110</v>
      </c>
      <c r="D53" t="s">
        <v>120</v>
      </c>
      <c r="E53" t="s">
        <v>121</v>
      </c>
      <c r="F53">
        <v>-66.88</v>
      </c>
      <c r="H53" t="s">
        <v>110</v>
      </c>
      <c r="I53" t="s">
        <v>14</v>
      </c>
    </row>
    <row r="54" spans="1:9" x14ac:dyDescent="0.45">
      <c r="A54" s="2">
        <v>43629</v>
      </c>
      <c r="B54" t="s">
        <v>46</v>
      </c>
      <c r="C54" t="s">
        <v>20</v>
      </c>
      <c r="D54" t="s">
        <v>108</v>
      </c>
      <c r="E54" t="s">
        <v>109</v>
      </c>
      <c r="F54">
        <v>-105.69</v>
      </c>
      <c r="H54" t="s">
        <v>20</v>
      </c>
      <c r="I54" t="s">
        <v>14</v>
      </c>
    </row>
    <row r="55" spans="1:9" x14ac:dyDescent="0.45">
      <c r="A55" s="2">
        <v>43633</v>
      </c>
      <c r="B55" t="s">
        <v>49</v>
      </c>
      <c r="C55" t="s">
        <v>80</v>
      </c>
      <c r="D55" t="s">
        <v>81</v>
      </c>
      <c r="E55" t="s">
        <v>82</v>
      </c>
      <c r="F55">
        <v>-123.81</v>
      </c>
      <c r="H55" t="s">
        <v>80</v>
      </c>
      <c r="I55" t="s">
        <v>14</v>
      </c>
    </row>
    <row r="56" spans="1:9" x14ac:dyDescent="0.45">
      <c r="A56" s="2">
        <v>43636</v>
      </c>
      <c r="B56" t="s">
        <v>10</v>
      </c>
      <c r="C56" t="s">
        <v>103</v>
      </c>
      <c r="D56" t="s">
        <v>104</v>
      </c>
      <c r="E56" t="s">
        <v>105</v>
      </c>
      <c r="F56">
        <v>-55.29</v>
      </c>
      <c r="H56" t="s">
        <v>103</v>
      </c>
      <c r="I56" t="s">
        <v>14</v>
      </c>
    </row>
    <row r="57" spans="1:9" x14ac:dyDescent="0.45">
      <c r="A57" s="2">
        <v>43636</v>
      </c>
      <c r="B57" t="s">
        <v>10</v>
      </c>
      <c r="C57" t="s">
        <v>117</v>
      </c>
      <c r="D57" t="s">
        <v>124</v>
      </c>
      <c r="E57" t="s">
        <v>125</v>
      </c>
      <c r="F57">
        <v>-28.21</v>
      </c>
      <c r="H57" t="s">
        <v>117</v>
      </c>
      <c r="I57" t="s">
        <v>14</v>
      </c>
    </row>
    <row r="58" spans="1:9" x14ac:dyDescent="0.45">
      <c r="A58" s="2">
        <v>43641</v>
      </c>
      <c r="B58" t="s">
        <v>49</v>
      </c>
      <c r="C58" t="s">
        <v>85</v>
      </c>
      <c r="D58" t="s">
        <v>140</v>
      </c>
      <c r="E58" t="s">
        <v>141</v>
      </c>
      <c r="F58">
        <v>-27.71</v>
      </c>
      <c r="H58" t="s">
        <v>85</v>
      </c>
      <c r="I58" t="s">
        <v>14</v>
      </c>
    </row>
    <row r="59" spans="1:9" x14ac:dyDescent="0.45">
      <c r="A59" s="2">
        <v>43644</v>
      </c>
      <c r="B59" t="s">
        <v>46</v>
      </c>
      <c r="C59" t="s">
        <v>98</v>
      </c>
      <c r="D59" t="s">
        <v>99</v>
      </c>
      <c r="E59" t="s">
        <v>100</v>
      </c>
      <c r="F59">
        <v>-46.32</v>
      </c>
      <c r="H59" t="s">
        <v>98</v>
      </c>
      <c r="I59" t="s">
        <v>14</v>
      </c>
    </row>
    <row r="60" spans="1:9" x14ac:dyDescent="0.45">
      <c r="A60" s="2">
        <v>43651</v>
      </c>
      <c r="B60" t="s">
        <v>49</v>
      </c>
      <c r="C60" t="s">
        <v>20</v>
      </c>
      <c r="D60" t="s">
        <v>146</v>
      </c>
      <c r="E60" t="s">
        <v>147</v>
      </c>
      <c r="F60">
        <v>-80.180000000000007</v>
      </c>
      <c r="H60" t="s">
        <v>20</v>
      </c>
      <c r="I60" t="s">
        <v>14</v>
      </c>
    </row>
    <row r="61" spans="1:9" x14ac:dyDescent="0.45">
      <c r="A61" s="2">
        <v>43658</v>
      </c>
      <c r="B61" t="s">
        <v>49</v>
      </c>
      <c r="C61" t="s">
        <v>103</v>
      </c>
      <c r="D61" t="s">
        <v>104</v>
      </c>
      <c r="E61" t="s">
        <v>105</v>
      </c>
      <c r="F61">
        <v>-40.08</v>
      </c>
      <c r="H61" t="s">
        <v>103</v>
      </c>
      <c r="I61" t="s">
        <v>14</v>
      </c>
    </row>
    <row r="62" spans="1:9" x14ac:dyDescent="0.45">
      <c r="A62" s="2">
        <v>43663</v>
      </c>
      <c r="B62" t="s">
        <v>49</v>
      </c>
      <c r="C62" t="s">
        <v>117</v>
      </c>
      <c r="D62" t="s">
        <v>132</v>
      </c>
      <c r="E62" t="s">
        <v>133</v>
      </c>
      <c r="F62">
        <v>-66.09</v>
      </c>
      <c r="H62" t="s">
        <v>117</v>
      </c>
      <c r="I62" t="s">
        <v>14</v>
      </c>
    </row>
    <row r="63" spans="1:9" x14ac:dyDescent="0.45">
      <c r="A63" s="2">
        <v>43679</v>
      </c>
      <c r="B63" t="s">
        <v>49</v>
      </c>
      <c r="C63" t="s">
        <v>117</v>
      </c>
      <c r="D63" t="s">
        <v>118</v>
      </c>
      <c r="E63" t="s">
        <v>119</v>
      </c>
      <c r="F63">
        <v>-121.28</v>
      </c>
      <c r="H63" t="s">
        <v>117</v>
      </c>
      <c r="I63" t="s">
        <v>14</v>
      </c>
    </row>
    <row r="64" spans="1:9" x14ac:dyDescent="0.45">
      <c r="A64" s="2">
        <v>43680</v>
      </c>
      <c r="B64" t="s">
        <v>46</v>
      </c>
      <c r="C64" t="s">
        <v>85</v>
      </c>
      <c r="D64" t="s">
        <v>86</v>
      </c>
      <c r="E64" t="s">
        <v>87</v>
      </c>
      <c r="F64">
        <v>-44.53</v>
      </c>
      <c r="H64" t="s">
        <v>85</v>
      </c>
      <c r="I64" t="s">
        <v>14</v>
      </c>
    </row>
    <row r="65" spans="1:9" x14ac:dyDescent="0.45">
      <c r="A65" s="2">
        <v>43682</v>
      </c>
      <c r="B65" t="s">
        <v>46</v>
      </c>
      <c r="C65" t="s">
        <v>91</v>
      </c>
      <c r="D65" t="s">
        <v>122</v>
      </c>
      <c r="E65" t="s">
        <v>123</v>
      </c>
      <c r="F65">
        <v>-77.03</v>
      </c>
      <c r="H65" t="s">
        <v>91</v>
      </c>
      <c r="I65" t="s">
        <v>14</v>
      </c>
    </row>
    <row r="66" spans="1:9" x14ac:dyDescent="0.45">
      <c r="A66" s="2">
        <v>43683</v>
      </c>
      <c r="B66" t="s">
        <v>10</v>
      </c>
      <c r="C66" t="s">
        <v>20</v>
      </c>
      <c r="D66" t="s">
        <v>144</v>
      </c>
      <c r="E66" t="s">
        <v>145</v>
      </c>
      <c r="F66">
        <v>-57.95</v>
      </c>
      <c r="H66" t="s">
        <v>20</v>
      </c>
      <c r="I66" t="s">
        <v>14</v>
      </c>
    </row>
    <row r="67" spans="1:9" x14ac:dyDescent="0.45">
      <c r="A67" s="2">
        <v>43692</v>
      </c>
      <c r="B67" t="s">
        <v>46</v>
      </c>
      <c r="C67" t="s">
        <v>88</v>
      </c>
      <c r="D67" t="s">
        <v>89</v>
      </c>
      <c r="E67" t="s">
        <v>90</v>
      </c>
      <c r="F67">
        <v>-108.31</v>
      </c>
      <c r="H67" t="s">
        <v>88</v>
      </c>
      <c r="I67" t="s">
        <v>14</v>
      </c>
    </row>
    <row r="68" spans="1:9" x14ac:dyDescent="0.45">
      <c r="A68" s="2">
        <v>43692</v>
      </c>
      <c r="B68" t="s">
        <v>10</v>
      </c>
      <c r="C68" t="s">
        <v>11</v>
      </c>
      <c r="D68" t="s">
        <v>106</v>
      </c>
      <c r="E68" t="s">
        <v>107</v>
      </c>
      <c r="F68">
        <v>2322.4499999999998</v>
      </c>
      <c r="H68" t="s">
        <v>12</v>
      </c>
      <c r="I68" t="s">
        <v>13</v>
      </c>
    </row>
    <row r="69" spans="1:9" x14ac:dyDescent="0.45">
      <c r="A69" s="2">
        <v>43704</v>
      </c>
      <c r="B69" t="s">
        <v>10</v>
      </c>
      <c r="C69" t="s">
        <v>91</v>
      </c>
      <c r="D69" t="s">
        <v>92</v>
      </c>
      <c r="E69" t="s">
        <v>93</v>
      </c>
      <c r="F69">
        <v>-143.80000000000001</v>
      </c>
      <c r="H69" t="s">
        <v>91</v>
      </c>
      <c r="I69" t="s">
        <v>14</v>
      </c>
    </row>
    <row r="70" spans="1:9" x14ac:dyDescent="0.45">
      <c r="A70" s="2">
        <v>43712</v>
      </c>
      <c r="B70" t="s">
        <v>10</v>
      </c>
      <c r="C70" t="s">
        <v>103</v>
      </c>
      <c r="D70" t="s">
        <v>104</v>
      </c>
      <c r="E70" t="s">
        <v>105</v>
      </c>
      <c r="F70">
        <v>-57.97</v>
      </c>
      <c r="H70" t="s">
        <v>103</v>
      </c>
      <c r="I70" t="s">
        <v>14</v>
      </c>
    </row>
    <row r="71" spans="1:9" x14ac:dyDescent="0.45">
      <c r="A71" s="2">
        <v>43717</v>
      </c>
      <c r="B71" t="s">
        <v>10</v>
      </c>
      <c r="C71" t="s">
        <v>20</v>
      </c>
      <c r="D71" t="s">
        <v>108</v>
      </c>
      <c r="E71" t="s">
        <v>109</v>
      </c>
      <c r="F71">
        <v>-36.58</v>
      </c>
      <c r="H71" t="s">
        <v>20</v>
      </c>
      <c r="I71" t="s">
        <v>14</v>
      </c>
    </row>
    <row r="72" spans="1:9" x14ac:dyDescent="0.45">
      <c r="A72" s="2">
        <v>43717</v>
      </c>
      <c r="B72" t="s">
        <v>10</v>
      </c>
      <c r="C72" t="s">
        <v>91</v>
      </c>
      <c r="D72" t="s">
        <v>113</v>
      </c>
      <c r="E72" t="s">
        <v>114</v>
      </c>
      <c r="F72">
        <v>-49.18</v>
      </c>
      <c r="H72" t="s">
        <v>91</v>
      </c>
      <c r="I72" t="s">
        <v>14</v>
      </c>
    </row>
    <row r="73" spans="1:9" x14ac:dyDescent="0.45">
      <c r="A73" s="2">
        <v>43724</v>
      </c>
      <c r="B73" t="s">
        <v>46</v>
      </c>
      <c r="C73" t="s">
        <v>85</v>
      </c>
      <c r="D73" t="s">
        <v>86</v>
      </c>
      <c r="E73" t="s">
        <v>87</v>
      </c>
      <c r="F73">
        <v>-99.44</v>
      </c>
      <c r="H73" t="s">
        <v>85</v>
      </c>
      <c r="I73" t="s">
        <v>14</v>
      </c>
    </row>
    <row r="74" spans="1:9" x14ac:dyDescent="0.45">
      <c r="A74" s="2">
        <v>43745</v>
      </c>
      <c r="B74" t="s">
        <v>46</v>
      </c>
      <c r="C74" t="s">
        <v>77</v>
      </c>
      <c r="D74" t="s">
        <v>83</v>
      </c>
      <c r="E74" t="s">
        <v>84</v>
      </c>
      <c r="F74">
        <v>-114.91</v>
      </c>
      <c r="H74" t="s">
        <v>77</v>
      </c>
      <c r="I74" t="s">
        <v>14</v>
      </c>
    </row>
    <row r="75" spans="1:9" x14ac:dyDescent="0.45">
      <c r="A75" s="2">
        <v>43752</v>
      </c>
      <c r="B75" t="s">
        <v>46</v>
      </c>
      <c r="C75" t="s">
        <v>103</v>
      </c>
      <c r="D75" t="s">
        <v>130</v>
      </c>
      <c r="E75" t="s">
        <v>131</v>
      </c>
      <c r="F75">
        <v>-120.3</v>
      </c>
      <c r="H75" t="s">
        <v>103</v>
      </c>
      <c r="I75" t="s">
        <v>14</v>
      </c>
    </row>
    <row r="76" spans="1:9" x14ac:dyDescent="0.45">
      <c r="A76" s="2">
        <v>43756</v>
      </c>
      <c r="B76" t="s">
        <v>46</v>
      </c>
      <c r="C76" t="s">
        <v>98</v>
      </c>
      <c r="D76" t="s">
        <v>134</v>
      </c>
      <c r="E76" t="s">
        <v>135</v>
      </c>
      <c r="F76">
        <v>-97</v>
      </c>
      <c r="H76" t="s">
        <v>98</v>
      </c>
      <c r="I76" t="s">
        <v>14</v>
      </c>
    </row>
    <row r="77" spans="1:9" x14ac:dyDescent="0.45">
      <c r="A77" s="2">
        <v>43759</v>
      </c>
      <c r="B77" t="s">
        <v>49</v>
      </c>
      <c r="C77" t="s">
        <v>20</v>
      </c>
      <c r="D77" t="s">
        <v>144</v>
      </c>
      <c r="E77" t="s">
        <v>145</v>
      </c>
      <c r="F77">
        <v>-64.17</v>
      </c>
      <c r="H77" t="s">
        <v>20</v>
      </c>
      <c r="I77" t="s">
        <v>14</v>
      </c>
    </row>
    <row r="78" spans="1:9" x14ac:dyDescent="0.45">
      <c r="A78" s="2">
        <v>43760</v>
      </c>
      <c r="B78" t="s">
        <v>46</v>
      </c>
      <c r="C78" t="s">
        <v>117</v>
      </c>
      <c r="D78" t="s">
        <v>124</v>
      </c>
      <c r="E78" t="s">
        <v>125</v>
      </c>
      <c r="F78">
        <v>-96.03</v>
      </c>
      <c r="H78" t="s">
        <v>117</v>
      </c>
      <c r="I78" t="s">
        <v>14</v>
      </c>
    </row>
    <row r="79" spans="1:9" x14ac:dyDescent="0.45">
      <c r="A79" s="2">
        <v>43770</v>
      </c>
      <c r="B79" t="s">
        <v>10</v>
      </c>
      <c r="C79" t="s">
        <v>77</v>
      </c>
      <c r="D79" t="s">
        <v>96</v>
      </c>
      <c r="E79" t="s">
        <v>97</v>
      </c>
      <c r="F79">
        <v>-25.06</v>
      </c>
      <c r="H79" t="s">
        <v>77</v>
      </c>
      <c r="I79" t="s">
        <v>14</v>
      </c>
    </row>
    <row r="80" spans="1:9" x14ac:dyDescent="0.45">
      <c r="A80" s="2">
        <v>43770</v>
      </c>
      <c r="B80" t="s">
        <v>46</v>
      </c>
      <c r="C80" t="s">
        <v>80</v>
      </c>
      <c r="D80" t="s">
        <v>94</v>
      </c>
      <c r="E80" t="s">
        <v>95</v>
      </c>
      <c r="F80">
        <v>-15.42</v>
      </c>
      <c r="H80" t="s">
        <v>80</v>
      </c>
      <c r="I80" t="s">
        <v>14</v>
      </c>
    </row>
    <row r="81" spans="1:9" x14ac:dyDescent="0.45">
      <c r="A81" s="2">
        <v>43775</v>
      </c>
      <c r="B81" t="s">
        <v>49</v>
      </c>
      <c r="C81" t="s">
        <v>80</v>
      </c>
      <c r="D81" t="s">
        <v>128</v>
      </c>
      <c r="E81" t="s">
        <v>129</v>
      </c>
      <c r="F81">
        <v>-138.61000000000001</v>
      </c>
      <c r="H81" t="s">
        <v>80</v>
      </c>
      <c r="I81" t="s">
        <v>14</v>
      </c>
    </row>
    <row r="82" spans="1:9" x14ac:dyDescent="0.45">
      <c r="A82" s="2">
        <v>43779</v>
      </c>
      <c r="B82" t="s">
        <v>10</v>
      </c>
      <c r="C82" t="s">
        <v>117</v>
      </c>
      <c r="D82" t="s">
        <v>132</v>
      </c>
      <c r="E82" t="s">
        <v>133</v>
      </c>
      <c r="F82">
        <v>-122.19</v>
      </c>
      <c r="H82" t="s">
        <v>117</v>
      </c>
      <c r="I82" t="s">
        <v>14</v>
      </c>
    </row>
    <row r="83" spans="1:9" x14ac:dyDescent="0.45">
      <c r="A83" s="2">
        <v>43779</v>
      </c>
      <c r="B83" t="s">
        <v>46</v>
      </c>
      <c r="C83" t="s">
        <v>85</v>
      </c>
      <c r="D83" t="s">
        <v>101</v>
      </c>
      <c r="E83" t="s">
        <v>102</v>
      </c>
      <c r="F83">
        <v>-63.42</v>
      </c>
      <c r="H83" t="s">
        <v>85</v>
      </c>
      <c r="I83" t="s">
        <v>14</v>
      </c>
    </row>
    <row r="84" spans="1:9" x14ac:dyDescent="0.45">
      <c r="A84" s="2">
        <v>43782</v>
      </c>
      <c r="B84" t="s">
        <v>46</v>
      </c>
      <c r="C84" t="s">
        <v>77</v>
      </c>
      <c r="D84" t="s">
        <v>83</v>
      </c>
      <c r="E84" t="s">
        <v>84</v>
      </c>
      <c r="F84">
        <v>-91.18</v>
      </c>
      <c r="H84" t="s">
        <v>77</v>
      </c>
      <c r="I84" t="s">
        <v>14</v>
      </c>
    </row>
    <row r="85" spans="1:9" x14ac:dyDescent="0.45">
      <c r="A85" s="2">
        <v>43783</v>
      </c>
      <c r="B85" t="s">
        <v>49</v>
      </c>
      <c r="C85" t="s">
        <v>91</v>
      </c>
      <c r="D85" t="s">
        <v>113</v>
      </c>
      <c r="E85" t="s">
        <v>114</v>
      </c>
      <c r="F85">
        <v>-66.45</v>
      </c>
      <c r="H85" t="s">
        <v>91</v>
      </c>
      <c r="I85" t="s">
        <v>14</v>
      </c>
    </row>
    <row r="86" spans="1:9" x14ac:dyDescent="0.45">
      <c r="A86" s="2">
        <v>43784</v>
      </c>
      <c r="B86" t="s">
        <v>49</v>
      </c>
      <c r="C86" t="s">
        <v>117</v>
      </c>
      <c r="D86" t="s">
        <v>124</v>
      </c>
      <c r="E86" t="s">
        <v>125</v>
      </c>
      <c r="F86">
        <v>-64.2</v>
      </c>
      <c r="H86" t="s">
        <v>117</v>
      </c>
      <c r="I86" t="s">
        <v>14</v>
      </c>
    </row>
    <row r="87" spans="1:9" x14ac:dyDescent="0.45">
      <c r="A87" s="2">
        <v>43786</v>
      </c>
      <c r="B87" t="s">
        <v>46</v>
      </c>
      <c r="C87" t="s">
        <v>103</v>
      </c>
      <c r="D87" t="s">
        <v>104</v>
      </c>
      <c r="E87" t="s">
        <v>105</v>
      </c>
      <c r="F87">
        <v>-68.150000000000006</v>
      </c>
      <c r="H87" t="s">
        <v>103</v>
      </c>
      <c r="I87" t="s">
        <v>14</v>
      </c>
    </row>
    <row r="88" spans="1:9" x14ac:dyDescent="0.45">
      <c r="A88" s="2">
        <v>43788</v>
      </c>
      <c r="B88" t="s">
        <v>49</v>
      </c>
      <c r="C88" t="s">
        <v>103</v>
      </c>
      <c r="D88" t="s">
        <v>142</v>
      </c>
      <c r="E88" t="s">
        <v>143</v>
      </c>
      <c r="F88">
        <v>-12.58</v>
      </c>
      <c r="H88" t="s">
        <v>103</v>
      </c>
      <c r="I88" t="s">
        <v>14</v>
      </c>
    </row>
    <row r="89" spans="1:9" x14ac:dyDescent="0.45">
      <c r="A89" s="2">
        <v>43788</v>
      </c>
      <c r="B89" t="s">
        <v>46</v>
      </c>
      <c r="C89" t="s">
        <v>88</v>
      </c>
      <c r="D89" t="s">
        <v>138</v>
      </c>
      <c r="E89" t="s">
        <v>139</v>
      </c>
      <c r="F89">
        <v>-79.180000000000007</v>
      </c>
      <c r="H89" t="s">
        <v>88</v>
      </c>
      <c r="I89" t="s">
        <v>14</v>
      </c>
    </row>
    <row r="90" spans="1:9" x14ac:dyDescent="0.45">
      <c r="A90" s="2">
        <v>43794</v>
      </c>
      <c r="B90" t="s">
        <v>10</v>
      </c>
      <c r="C90" t="s">
        <v>103</v>
      </c>
      <c r="D90" t="s">
        <v>104</v>
      </c>
      <c r="E90" t="s">
        <v>105</v>
      </c>
      <c r="F90">
        <v>-101.06</v>
      </c>
      <c r="H90" t="s">
        <v>103</v>
      </c>
      <c r="I90" t="s">
        <v>14</v>
      </c>
    </row>
    <row r="91" spans="1:9" x14ac:dyDescent="0.45">
      <c r="A91" s="2">
        <v>43800</v>
      </c>
      <c r="B91" t="s">
        <v>49</v>
      </c>
      <c r="C91" t="s">
        <v>103</v>
      </c>
      <c r="D91" t="s">
        <v>142</v>
      </c>
      <c r="E91" t="s">
        <v>143</v>
      </c>
      <c r="F91">
        <v>-53.61</v>
      </c>
      <c r="H91" t="s">
        <v>103</v>
      </c>
      <c r="I91" t="s">
        <v>14</v>
      </c>
    </row>
    <row r="92" spans="1:9" x14ac:dyDescent="0.45">
      <c r="A92" s="2">
        <v>43802</v>
      </c>
      <c r="B92" t="s">
        <v>49</v>
      </c>
      <c r="C92" t="s">
        <v>11</v>
      </c>
      <c r="D92" t="s">
        <v>106</v>
      </c>
      <c r="E92" t="s">
        <v>107</v>
      </c>
      <c r="F92">
        <v>1849.61</v>
      </c>
      <c r="H92" t="s">
        <v>12</v>
      </c>
      <c r="I92" t="s">
        <v>13</v>
      </c>
    </row>
    <row r="93" spans="1:9" x14ac:dyDescent="0.45">
      <c r="A93" s="2">
        <v>43808</v>
      </c>
      <c r="B93" t="s">
        <v>46</v>
      </c>
      <c r="C93" t="s">
        <v>110</v>
      </c>
      <c r="D93" t="s">
        <v>126</v>
      </c>
      <c r="E93" t="s">
        <v>127</v>
      </c>
      <c r="F93">
        <v>-149.52000000000001</v>
      </c>
      <c r="H93" t="s">
        <v>110</v>
      </c>
      <c r="I93" t="s">
        <v>14</v>
      </c>
    </row>
    <row r="94" spans="1:9" x14ac:dyDescent="0.45">
      <c r="A94" s="2">
        <v>43808</v>
      </c>
      <c r="B94" t="s">
        <v>46</v>
      </c>
      <c r="C94" t="s">
        <v>20</v>
      </c>
      <c r="D94" t="s">
        <v>108</v>
      </c>
      <c r="E94" t="s">
        <v>109</v>
      </c>
      <c r="F94">
        <v>-71.040000000000006</v>
      </c>
      <c r="H94" t="s">
        <v>20</v>
      </c>
      <c r="I94" t="s">
        <v>14</v>
      </c>
    </row>
    <row r="95" spans="1:9" x14ac:dyDescent="0.45">
      <c r="A95" s="2">
        <v>43808</v>
      </c>
      <c r="B95" t="s">
        <v>49</v>
      </c>
      <c r="C95" t="s">
        <v>103</v>
      </c>
      <c r="D95" t="s">
        <v>142</v>
      </c>
      <c r="E95" t="s">
        <v>143</v>
      </c>
      <c r="F95">
        <v>-48.42</v>
      </c>
      <c r="H95" t="s">
        <v>103</v>
      </c>
      <c r="I95" t="s">
        <v>14</v>
      </c>
    </row>
    <row r="96" spans="1:9" x14ac:dyDescent="0.45">
      <c r="A96" s="2">
        <v>43813</v>
      </c>
      <c r="B96" t="s">
        <v>46</v>
      </c>
      <c r="C96" t="s">
        <v>77</v>
      </c>
      <c r="D96" t="s">
        <v>78</v>
      </c>
      <c r="E96" t="s">
        <v>79</v>
      </c>
      <c r="F96">
        <v>-140.35</v>
      </c>
      <c r="H96" t="s">
        <v>77</v>
      </c>
      <c r="I96" t="s">
        <v>14</v>
      </c>
    </row>
    <row r="97" spans="1:9" x14ac:dyDescent="0.45">
      <c r="A97" s="2">
        <v>43817</v>
      </c>
      <c r="B97" t="s">
        <v>10</v>
      </c>
      <c r="C97" t="s">
        <v>77</v>
      </c>
      <c r="D97" t="s">
        <v>78</v>
      </c>
      <c r="E97" t="s">
        <v>79</v>
      </c>
      <c r="F97">
        <v>-135.62</v>
      </c>
      <c r="H97" t="s">
        <v>77</v>
      </c>
      <c r="I97" t="s">
        <v>14</v>
      </c>
    </row>
    <row r="98" spans="1:9" x14ac:dyDescent="0.45">
      <c r="A98" s="2">
        <v>43817</v>
      </c>
      <c r="B98" t="s">
        <v>49</v>
      </c>
      <c r="C98" t="s">
        <v>85</v>
      </c>
      <c r="D98" t="s">
        <v>86</v>
      </c>
      <c r="E98" t="s">
        <v>87</v>
      </c>
      <c r="F98">
        <v>-38.18</v>
      </c>
      <c r="H98" t="s">
        <v>85</v>
      </c>
      <c r="I98" t="s">
        <v>14</v>
      </c>
    </row>
    <row r="99" spans="1:9" x14ac:dyDescent="0.45">
      <c r="A99" s="2">
        <v>43819</v>
      </c>
      <c r="B99" t="s">
        <v>46</v>
      </c>
      <c r="C99" t="s">
        <v>98</v>
      </c>
      <c r="D99" t="s">
        <v>134</v>
      </c>
      <c r="E99" t="s">
        <v>135</v>
      </c>
      <c r="F99">
        <v>-77.17</v>
      </c>
      <c r="H99" t="s">
        <v>98</v>
      </c>
      <c r="I99" t="s">
        <v>14</v>
      </c>
    </row>
    <row r="100" spans="1:9" x14ac:dyDescent="0.45">
      <c r="A100" s="2">
        <v>43822</v>
      </c>
      <c r="B100" t="s">
        <v>46</v>
      </c>
      <c r="C100" t="s">
        <v>77</v>
      </c>
      <c r="D100" t="s">
        <v>83</v>
      </c>
      <c r="E100" t="s">
        <v>84</v>
      </c>
      <c r="F100">
        <v>-118.01</v>
      </c>
      <c r="H100" t="s">
        <v>77</v>
      </c>
      <c r="I100" t="s">
        <v>14</v>
      </c>
    </row>
    <row r="101" spans="1:9" x14ac:dyDescent="0.45">
      <c r="A101" s="2">
        <v>43826</v>
      </c>
      <c r="B101" t="s">
        <v>46</v>
      </c>
      <c r="C101" t="s">
        <v>117</v>
      </c>
      <c r="D101" t="s">
        <v>132</v>
      </c>
      <c r="E101" t="s">
        <v>133</v>
      </c>
      <c r="F101">
        <v>-65.209999999999994</v>
      </c>
      <c r="H101" t="s">
        <v>117</v>
      </c>
      <c r="I101" t="s">
        <v>14</v>
      </c>
    </row>
    <row r="102" spans="1:9" x14ac:dyDescent="0.45">
      <c r="A102" s="2">
        <v>43832</v>
      </c>
      <c r="B102" t="s">
        <v>10</v>
      </c>
      <c r="C102" t="s">
        <v>103</v>
      </c>
      <c r="D102" t="s">
        <v>104</v>
      </c>
      <c r="E102" t="s">
        <v>105</v>
      </c>
      <c r="F102">
        <v>-32.75</v>
      </c>
      <c r="H102" t="s">
        <v>103</v>
      </c>
      <c r="I102" t="s">
        <v>14</v>
      </c>
    </row>
    <row r="103" spans="1:9" x14ac:dyDescent="0.45">
      <c r="A103" s="2">
        <v>43835</v>
      </c>
      <c r="B103" t="s">
        <v>49</v>
      </c>
      <c r="C103" t="s">
        <v>77</v>
      </c>
      <c r="D103" t="s">
        <v>96</v>
      </c>
      <c r="E103" t="s">
        <v>97</v>
      </c>
      <c r="F103">
        <v>-105.78</v>
      </c>
      <c r="H103" t="s">
        <v>77</v>
      </c>
      <c r="I103" t="s">
        <v>14</v>
      </c>
    </row>
    <row r="104" spans="1:9" x14ac:dyDescent="0.45">
      <c r="A104" s="2">
        <v>43846</v>
      </c>
      <c r="B104" t="s">
        <v>46</v>
      </c>
      <c r="C104" t="s">
        <v>77</v>
      </c>
      <c r="D104" t="s">
        <v>96</v>
      </c>
      <c r="E104" t="s">
        <v>97</v>
      </c>
      <c r="F104">
        <v>-56.27</v>
      </c>
      <c r="H104" t="s">
        <v>77</v>
      </c>
      <c r="I104" t="s">
        <v>14</v>
      </c>
    </row>
    <row r="105" spans="1:9" x14ac:dyDescent="0.45">
      <c r="A105" s="2">
        <v>43849</v>
      </c>
      <c r="B105" t="s">
        <v>49</v>
      </c>
      <c r="C105" t="s">
        <v>88</v>
      </c>
      <c r="D105" t="s">
        <v>138</v>
      </c>
      <c r="E105" t="s">
        <v>139</v>
      </c>
      <c r="F105">
        <v>-74.14</v>
      </c>
      <c r="H105" t="s">
        <v>88</v>
      </c>
      <c r="I105" t="s">
        <v>14</v>
      </c>
    </row>
    <row r="106" spans="1:9" x14ac:dyDescent="0.45">
      <c r="A106" s="2">
        <v>43853</v>
      </c>
      <c r="B106" t="s">
        <v>46</v>
      </c>
      <c r="C106" t="s">
        <v>80</v>
      </c>
      <c r="D106" t="s">
        <v>94</v>
      </c>
      <c r="E106" t="s">
        <v>95</v>
      </c>
      <c r="F106">
        <v>-103.75</v>
      </c>
      <c r="H106" t="s">
        <v>80</v>
      </c>
      <c r="I106" t="s">
        <v>14</v>
      </c>
    </row>
    <row r="107" spans="1:9" x14ac:dyDescent="0.45">
      <c r="A107" s="2">
        <v>43869</v>
      </c>
      <c r="B107" t="s">
        <v>10</v>
      </c>
      <c r="C107" t="s">
        <v>11</v>
      </c>
      <c r="D107" t="s">
        <v>106</v>
      </c>
      <c r="E107" t="s">
        <v>107</v>
      </c>
      <c r="F107">
        <v>2829.9</v>
      </c>
      <c r="H107" t="s">
        <v>12</v>
      </c>
      <c r="I107" t="s">
        <v>13</v>
      </c>
    </row>
    <row r="108" spans="1:9" x14ac:dyDescent="0.45">
      <c r="A108" s="2">
        <v>43871</v>
      </c>
      <c r="B108" t="s">
        <v>46</v>
      </c>
      <c r="C108" t="s">
        <v>91</v>
      </c>
      <c r="D108" t="s">
        <v>113</v>
      </c>
      <c r="E108" t="s">
        <v>114</v>
      </c>
      <c r="F108">
        <v>-145.12</v>
      </c>
      <c r="H108" t="s">
        <v>91</v>
      </c>
      <c r="I108" t="s">
        <v>14</v>
      </c>
    </row>
    <row r="109" spans="1:9" x14ac:dyDescent="0.45">
      <c r="A109" s="2">
        <v>43880</v>
      </c>
      <c r="B109" t="s">
        <v>49</v>
      </c>
      <c r="C109" t="s">
        <v>103</v>
      </c>
      <c r="D109" t="s">
        <v>130</v>
      </c>
      <c r="E109" t="s">
        <v>131</v>
      </c>
      <c r="F109">
        <v>-134.71</v>
      </c>
      <c r="H109" t="s">
        <v>103</v>
      </c>
      <c r="I109" t="s">
        <v>14</v>
      </c>
    </row>
    <row r="110" spans="1:9" x14ac:dyDescent="0.45">
      <c r="A110" s="2">
        <v>43880</v>
      </c>
      <c r="B110" t="s">
        <v>49</v>
      </c>
      <c r="C110" t="s">
        <v>77</v>
      </c>
      <c r="D110" t="s">
        <v>83</v>
      </c>
      <c r="E110" t="s">
        <v>84</v>
      </c>
      <c r="F110">
        <v>-104.78</v>
      </c>
      <c r="H110" t="s">
        <v>77</v>
      </c>
      <c r="I110" t="s">
        <v>14</v>
      </c>
    </row>
    <row r="111" spans="1:9" x14ac:dyDescent="0.45">
      <c r="A111" s="2">
        <v>43881</v>
      </c>
      <c r="B111" t="s">
        <v>49</v>
      </c>
      <c r="C111" t="s">
        <v>20</v>
      </c>
      <c r="D111" t="s">
        <v>144</v>
      </c>
      <c r="E111" t="s">
        <v>145</v>
      </c>
      <c r="F111">
        <v>-116.48</v>
      </c>
      <c r="H111" t="s">
        <v>20</v>
      </c>
      <c r="I111" t="s">
        <v>14</v>
      </c>
    </row>
    <row r="112" spans="1:9" x14ac:dyDescent="0.45">
      <c r="A112" s="2">
        <v>43882</v>
      </c>
      <c r="B112" t="s">
        <v>10</v>
      </c>
      <c r="C112" t="s">
        <v>103</v>
      </c>
      <c r="D112" t="s">
        <v>130</v>
      </c>
      <c r="E112" t="s">
        <v>131</v>
      </c>
      <c r="F112">
        <v>-102.26</v>
      </c>
      <c r="H112" t="s">
        <v>103</v>
      </c>
      <c r="I112" t="s">
        <v>14</v>
      </c>
    </row>
    <row r="113" spans="1:9" x14ac:dyDescent="0.45">
      <c r="A113" s="2">
        <v>43884</v>
      </c>
      <c r="B113" t="s">
        <v>49</v>
      </c>
      <c r="C113" t="s">
        <v>117</v>
      </c>
      <c r="D113" t="s">
        <v>124</v>
      </c>
      <c r="E113" t="s">
        <v>125</v>
      </c>
      <c r="F113">
        <v>-19.02</v>
      </c>
      <c r="H113" t="s">
        <v>117</v>
      </c>
      <c r="I113" t="s">
        <v>14</v>
      </c>
    </row>
    <row r="114" spans="1:9" x14ac:dyDescent="0.45">
      <c r="A114" s="2">
        <v>43885</v>
      </c>
      <c r="B114" t="s">
        <v>49</v>
      </c>
      <c r="C114" t="s">
        <v>103</v>
      </c>
      <c r="D114" t="s">
        <v>130</v>
      </c>
      <c r="E114" t="s">
        <v>131</v>
      </c>
      <c r="F114">
        <v>-44.52</v>
      </c>
      <c r="H114" t="s">
        <v>103</v>
      </c>
      <c r="I114" t="s">
        <v>14</v>
      </c>
    </row>
    <row r="115" spans="1:9" x14ac:dyDescent="0.45">
      <c r="A115" s="2">
        <v>43886</v>
      </c>
      <c r="B115" t="s">
        <v>49</v>
      </c>
      <c r="C115" t="s">
        <v>117</v>
      </c>
      <c r="D115" t="s">
        <v>118</v>
      </c>
      <c r="E115" t="s">
        <v>119</v>
      </c>
      <c r="F115">
        <v>-83.34</v>
      </c>
      <c r="H115" t="s">
        <v>117</v>
      </c>
      <c r="I115" t="s">
        <v>14</v>
      </c>
    </row>
    <row r="116" spans="1:9" x14ac:dyDescent="0.45">
      <c r="A116" s="2">
        <v>43891</v>
      </c>
      <c r="B116" t="s">
        <v>49</v>
      </c>
      <c r="C116" t="s">
        <v>77</v>
      </c>
      <c r="D116" t="s">
        <v>96</v>
      </c>
      <c r="E116" t="s">
        <v>97</v>
      </c>
      <c r="F116">
        <v>-36.049999999999997</v>
      </c>
      <c r="H116" t="s">
        <v>77</v>
      </c>
      <c r="I116" t="s">
        <v>14</v>
      </c>
    </row>
    <row r="117" spans="1:9" x14ac:dyDescent="0.45">
      <c r="A117" s="2">
        <v>43893</v>
      </c>
      <c r="B117" t="s">
        <v>10</v>
      </c>
      <c r="C117" t="s">
        <v>91</v>
      </c>
      <c r="D117" t="s">
        <v>92</v>
      </c>
      <c r="E117" t="s">
        <v>93</v>
      </c>
      <c r="F117">
        <v>-15.31</v>
      </c>
      <c r="H117" t="s">
        <v>91</v>
      </c>
      <c r="I117" t="s">
        <v>14</v>
      </c>
    </row>
    <row r="118" spans="1:9" x14ac:dyDescent="0.45">
      <c r="A118" s="2">
        <v>43894</v>
      </c>
      <c r="B118" t="s">
        <v>46</v>
      </c>
      <c r="C118" t="s">
        <v>77</v>
      </c>
      <c r="D118" t="s">
        <v>96</v>
      </c>
      <c r="E118" t="s">
        <v>97</v>
      </c>
      <c r="F118">
        <v>-15.45</v>
      </c>
      <c r="H118" t="s">
        <v>77</v>
      </c>
      <c r="I118" t="s">
        <v>14</v>
      </c>
    </row>
    <row r="119" spans="1:9" x14ac:dyDescent="0.45">
      <c r="A119" s="2">
        <v>43901</v>
      </c>
      <c r="B119" t="s">
        <v>49</v>
      </c>
      <c r="C119" t="s">
        <v>103</v>
      </c>
      <c r="D119" t="s">
        <v>142</v>
      </c>
      <c r="E119" t="s">
        <v>143</v>
      </c>
      <c r="F119">
        <v>-87.25</v>
      </c>
      <c r="H119" t="s">
        <v>103</v>
      </c>
      <c r="I119" t="s">
        <v>14</v>
      </c>
    </row>
    <row r="120" spans="1:9" x14ac:dyDescent="0.45">
      <c r="A120" s="2">
        <v>43902</v>
      </c>
      <c r="B120" t="s">
        <v>10</v>
      </c>
      <c r="C120" t="s">
        <v>91</v>
      </c>
      <c r="D120" t="s">
        <v>122</v>
      </c>
      <c r="E120" t="s">
        <v>123</v>
      </c>
      <c r="F120">
        <v>-35.74</v>
      </c>
      <c r="H120" t="s">
        <v>91</v>
      </c>
      <c r="I120" t="s">
        <v>14</v>
      </c>
    </row>
    <row r="121" spans="1:9" x14ac:dyDescent="0.45">
      <c r="A121" s="2">
        <v>43904</v>
      </c>
      <c r="B121" t="s">
        <v>10</v>
      </c>
      <c r="C121" t="s">
        <v>77</v>
      </c>
      <c r="D121" t="s">
        <v>96</v>
      </c>
      <c r="E121" t="s">
        <v>97</v>
      </c>
      <c r="F121">
        <v>-32.950000000000003</v>
      </c>
      <c r="H121" t="s">
        <v>77</v>
      </c>
      <c r="I121" t="s">
        <v>14</v>
      </c>
    </row>
    <row r="122" spans="1:9" x14ac:dyDescent="0.45">
      <c r="A122" s="2">
        <v>43905</v>
      </c>
      <c r="B122" t="s">
        <v>10</v>
      </c>
      <c r="C122" t="s">
        <v>20</v>
      </c>
      <c r="D122" t="s">
        <v>146</v>
      </c>
      <c r="E122" t="s">
        <v>147</v>
      </c>
      <c r="F122">
        <v>-34.770000000000003</v>
      </c>
      <c r="H122" t="s">
        <v>20</v>
      </c>
      <c r="I122" t="s">
        <v>14</v>
      </c>
    </row>
    <row r="123" spans="1:9" x14ac:dyDescent="0.45">
      <c r="A123" s="2">
        <v>43906</v>
      </c>
      <c r="B123" t="s">
        <v>10</v>
      </c>
      <c r="C123" t="s">
        <v>77</v>
      </c>
      <c r="D123" t="s">
        <v>83</v>
      </c>
      <c r="E123" t="s">
        <v>84</v>
      </c>
      <c r="F123">
        <v>-137.29</v>
      </c>
      <c r="H123" t="s">
        <v>77</v>
      </c>
      <c r="I123" t="s">
        <v>14</v>
      </c>
    </row>
    <row r="124" spans="1:9" x14ac:dyDescent="0.45">
      <c r="A124" s="2">
        <v>43913</v>
      </c>
      <c r="B124" t="s">
        <v>10</v>
      </c>
      <c r="C124" t="s">
        <v>117</v>
      </c>
      <c r="D124" t="s">
        <v>132</v>
      </c>
      <c r="E124" t="s">
        <v>133</v>
      </c>
      <c r="F124">
        <v>-121.36</v>
      </c>
      <c r="H124" t="s">
        <v>117</v>
      </c>
      <c r="I124" t="s">
        <v>14</v>
      </c>
    </row>
    <row r="125" spans="1:9" x14ac:dyDescent="0.45">
      <c r="A125" s="2">
        <v>43913</v>
      </c>
      <c r="B125" t="s">
        <v>46</v>
      </c>
      <c r="C125" t="s">
        <v>98</v>
      </c>
      <c r="D125" t="s">
        <v>134</v>
      </c>
      <c r="E125" t="s">
        <v>135</v>
      </c>
      <c r="F125">
        <v>-121.87</v>
      </c>
      <c r="H125" t="s">
        <v>98</v>
      </c>
      <c r="I125" t="s">
        <v>14</v>
      </c>
    </row>
    <row r="126" spans="1:9" x14ac:dyDescent="0.45">
      <c r="A126" s="2">
        <v>43913</v>
      </c>
      <c r="B126" t="s">
        <v>49</v>
      </c>
      <c r="C126" t="s">
        <v>77</v>
      </c>
      <c r="D126" t="s">
        <v>96</v>
      </c>
      <c r="E126" t="s">
        <v>97</v>
      </c>
      <c r="F126">
        <v>-59.95</v>
      </c>
      <c r="H126" t="s">
        <v>77</v>
      </c>
      <c r="I126" t="s">
        <v>14</v>
      </c>
    </row>
    <row r="127" spans="1:9" x14ac:dyDescent="0.45">
      <c r="A127" s="2">
        <v>43916</v>
      </c>
      <c r="B127" t="s">
        <v>49</v>
      </c>
      <c r="C127" t="s">
        <v>110</v>
      </c>
      <c r="D127" t="s">
        <v>120</v>
      </c>
      <c r="E127" t="s">
        <v>121</v>
      </c>
      <c r="F127">
        <v>-128.76</v>
      </c>
      <c r="H127" t="s">
        <v>110</v>
      </c>
      <c r="I127" t="s">
        <v>14</v>
      </c>
    </row>
    <row r="128" spans="1:9" x14ac:dyDescent="0.45">
      <c r="A128" s="2">
        <v>43926</v>
      </c>
      <c r="B128" t="s">
        <v>46</v>
      </c>
      <c r="C128" t="s">
        <v>77</v>
      </c>
      <c r="D128" t="s">
        <v>96</v>
      </c>
      <c r="E128" t="s">
        <v>97</v>
      </c>
      <c r="F128">
        <v>-118.23</v>
      </c>
      <c r="H128" t="s">
        <v>77</v>
      </c>
      <c r="I128" t="s">
        <v>14</v>
      </c>
    </row>
    <row r="129" spans="1:9" x14ac:dyDescent="0.45">
      <c r="A129" s="2">
        <v>43933</v>
      </c>
      <c r="B129" t="s">
        <v>49</v>
      </c>
      <c r="C129" t="s">
        <v>20</v>
      </c>
      <c r="D129" t="s">
        <v>144</v>
      </c>
      <c r="E129" t="s">
        <v>145</v>
      </c>
      <c r="F129">
        <v>-34.9</v>
      </c>
      <c r="H129" t="s">
        <v>20</v>
      </c>
      <c r="I129" t="s">
        <v>14</v>
      </c>
    </row>
    <row r="130" spans="1:9" x14ac:dyDescent="0.45">
      <c r="A130" s="2">
        <v>43933</v>
      </c>
      <c r="B130" t="s">
        <v>46</v>
      </c>
      <c r="C130" t="s">
        <v>20</v>
      </c>
      <c r="D130" t="s">
        <v>146</v>
      </c>
      <c r="E130" t="s">
        <v>147</v>
      </c>
      <c r="F130">
        <v>-60.53</v>
      </c>
      <c r="H130" t="s">
        <v>20</v>
      </c>
      <c r="I130" t="s">
        <v>14</v>
      </c>
    </row>
    <row r="131" spans="1:9" x14ac:dyDescent="0.45">
      <c r="A131" s="2">
        <v>43935</v>
      </c>
      <c r="B131" t="s">
        <v>49</v>
      </c>
      <c r="C131" t="s">
        <v>88</v>
      </c>
      <c r="D131" t="s">
        <v>136</v>
      </c>
      <c r="E131" t="s">
        <v>137</v>
      </c>
      <c r="F131">
        <v>-116.98</v>
      </c>
      <c r="H131" t="s">
        <v>88</v>
      </c>
      <c r="I131" t="s">
        <v>14</v>
      </c>
    </row>
    <row r="132" spans="1:9" x14ac:dyDescent="0.45">
      <c r="A132" s="2">
        <v>43935</v>
      </c>
      <c r="B132" t="s">
        <v>10</v>
      </c>
      <c r="C132" t="s">
        <v>91</v>
      </c>
      <c r="D132" t="s">
        <v>122</v>
      </c>
      <c r="E132" t="s">
        <v>123</v>
      </c>
      <c r="F132">
        <v>-16.89</v>
      </c>
      <c r="H132" t="s">
        <v>91</v>
      </c>
      <c r="I132" t="s">
        <v>14</v>
      </c>
    </row>
    <row r="133" spans="1:9" x14ac:dyDescent="0.45">
      <c r="A133" s="2">
        <v>43936</v>
      </c>
      <c r="B133" t="s">
        <v>49</v>
      </c>
      <c r="C133" t="s">
        <v>117</v>
      </c>
      <c r="D133" t="s">
        <v>124</v>
      </c>
      <c r="E133" t="s">
        <v>125</v>
      </c>
      <c r="F133">
        <v>-111.45</v>
      </c>
      <c r="H133" t="s">
        <v>117</v>
      </c>
      <c r="I133" t="s">
        <v>14</v>
      </c>
    </row>
    <row r="134" spans="1:9" x14ac:dyDescent="0.45">
      <c r="A134" s="2">
        <v>43937</v>
      </c>
      <c r="B134" t="s">
        <v>46</v>
      </c>
      <c r="C134" t="s">
        <v>20</v>
      </c>
      <c r="D134" t="s">
        <v>144</v>
      </c>
      <c r="E134" t="s">
        <v>145</v>
      </c>
      <c r="F134">
        <v>-35</v>
      </c>
      <c r="H134" t="s">
        <v>20</v>
      </c>
      <c r="I134" t="s">
        <v>14</v>
      </c>
    </row>
    <row r="135" spans="1:9" x14ac:dyDescent="0.45">
      <c r="A135" s="2">
        <v>43940</v>
      </c>
      <c r="B135" t="s">
        <v>49</v>
      </c>
      <c r="C135" t="s">
        <v>88</v>
      </c>
      <c r="D135" t="s">
        <v>136</v>
      </c>
      <c r="E135" t="s">
        <v>137</v>
      </c>
      <c r="F135">
        <v>-79.48</v>
      </c>
      <c r="H135" t="s">
        <v>88</v>
      </c>
      <c r="I135" t="s">
        <v>14</v>
      </c>
    </row>
    <row r="136" spans="1:9" x14ac:dyDescent="0.45">
      <c r="A136" s="2">
        <v>43942</v>
      </c>
      <c r="B136" t="s">
        <v>49</v>
      </c>
      <c r="C136" t="s">
        <v>77</v>
      </c>
      <c r="D136" t="s">
        <v>96</v>
      </c>
      <c r="E136" t="s">
        <v>97</v>
      </c>
      <c r="F136">
        <v>-38.72</v>
      </c>
      <c r="H136" t="s">
        <v>77</v>
      </c>
      <c r="I136" t="s">
        <v>14</v>
      </c>
    </row>
    <row r="137" spans="1:9" x14ac:dyDescent="0.45">
      <c r="A137" s="2">
        <v>43943</v>
      </c>
      <c r="B137" t="s">
        <v>46</v>
      </c>
      <c r="C137" t="s">
        <v>20</v>
      </c>
      <c r="D137" t="s">
        <v>108</v>
      </c>
      <c r="E137" t="s">
        <v>109</v>
      </c>
      <c r="F137">
        <v>-113.97</v>
      </c>
      <c r="H137" t="s">
        <v>20</v>
      </c>
      <c r="I137" t="s">
        <v>14</v>
      </c>
    </row>
    <row r="138" spans="1:9" x14ac:dyDescent="0.45">
      <c r="A138" s="2">
        <v>43944</v>
      </c>
      <c r="B138" t="s">
        <v>49</v>
      </c>
      <c r="C138" t="s">
        <v>11</v>
      </c>
      <c r="D138" t="s">
        <v>106</v>
      </c>
      <c r="E138" t="s">
        <v>107</v>
      </c>
      <c r="F138">
        <v>2197.16</v>
      </c>
      <c r="H138" t="s">
        <v>12</v>
      </c>
      <c r="I138" t="s">
        <v>13</v>
      </c>
    </row>
    <row r="139" spans="1:9" x14ac:dyDescent="0.45">
      <c r="A139" s="2">
        <v>43954</v>
      </c>
      <c r="B139" t="s">
        <v>46</v>
      </c>
      <c r="C139" t="s">
        <v>88</v>
      </c>
      <c r="D139" t="s">
        <v>89</v>
      </c>
      <c r="E139" t="s">
        <v>90</v>
      </c>
      <c r="F139">
        <v>-28.38</v>
      </c>
      <c r="H139" t="s">
        <v>88</v>
      </c>
      <c r="I139" t="s">
        <v>14</v>
      </c>
    </row>
    <row r="140" spans="1:9" x14ac:dyDescent="0.45">
      <c r="A140" s="2">
        <v>43956</v>
      </c>
      <c r="B140" t="s">
        <v>10</v>
      </c>
      <c r="C140" t="s">
        <v>98</v>
      </c>
      <c r="D140" t="s">
        <v>134</v>
      </c>
      <c r="E140" t="s">
        <v>135</v>
      </c>
      <c r="F140">
        <v>-124.61</v>
      </c>
      <c r="H140" t="s">
        <v>98</v>
      </c>
      <c r="I140" t="s">
        <v>14</v>
      </c>
    </row>
    <row r="141" spans="1:9" x14ac:dyDescent="0.45">
      <c r="A141" s="2">
        <v>43975</v>
      </c>
      <c r="B141" t="s">
        <v>46</v>
      </c>
      <c r="C141" t="s">
        <v>85</v>
      </c>
      <c r="D141" t="s">
        <v>101</v>
      </c>
      <c r="E141" t="s">
        <v>102</v>
      </c>
      <c r="F141">
        <v>-66.39</v>
      </c>
      <c r="H141" t="s">
        <v>85</v>
      </c>
      <c r="I141" t="s">
        <v>14</v>
      </c>
    </row>
    <row r="142" spans="1:9" x14ac:dyDescent="0.45">
      <c r="A142" s="2">
        <v>43983</v>
      </c>
      <c r="B142" t="s">
        <v>49</v>
      </c>
      <c r="C142" t="s">
        <v>103</v>
      </c>
      <c r="D142" t="s">
        <v>142</v>
      </c>
      <c r="E142" t="s">
        <v>143</v>
      </c>
      <c r="F142">
        <v>-83.71</v>
      </c>
      <c r="H142" t="s">
        <v>103</v>
      </c>
      <c r="I142" t="s">
        <v>14</v>
      </c>
    </row>
    <row r="143" spans="1:9" x14ac:dyDescent="0.45">
      <c r="A143" s="2">
        <v>43985</v>
      </c>
      <c r="B143" t="s">
        <v>10</v>
      </c>
      <c r="C143" t="s">
        <v>117</v>
      </c>
      <c r="D143" t="s">
        <v>124</v>
      </c>
      <c r="E143" t="s">
        <v>125</v>
      </c>
      <c r="F143">
        <v>-40.86</v>
      </c>
      <c r="H143" t="s">
        <v>117</v>
      </c>
      <c r="I143" t="s">
        <v>14</v>
      </c>
    </row>
    <row r="144" spans="1:9" x14ac:dyDescent="0.45">
      <c r="A144" s="2">
        <v>43988</v>
      </c>
      <c r="B144" t="s">
        <v>49</v>
      </c>
      <c r="C144" t="s">
        <v>88</v>
      </c>
      <c r="D144" t="s">
        <v>136</v>
      </c>
      <c r="E144" t="s">
        <v>137</v>
      </c>
      <c r="F144">
        <v>-139.69999999999999</v>
      </c>
      <c r="H144" t="s">
        <v>88</v>
      </c>
      <c r="I144" t="s">
        <v>14</v>
      </c>
    </row>
    <row r="145" spans="1:9" x14ac:dyDescent="0.45">
      <c r="A145" s="2">
        <v>43990</v>
      </c>
      <c r="B145" t="s">
        <v>10</v>
      </c>
      <c r="C145" t="s">
        <v>117</v>
      </c>
      <c r="D145" t="s">
        <v>118</v>
      </c>
      <c r="E145" t="s">
        <v>119</v>
      </c>
      <c r="F145">
        <v>-14.44</v>
      </c>
      <c r="H145" t="s">
        <v>117</v>
      </c>
      <c r="I145" t="s">
        <v>14</v>
      </c>
    </row>
    <row r="146" spans="1:9" x14ac:dyDescent="0.45">
      <c r="A146" s="2">
        <v>43991</v>
      </c>
      <c r="B146" t="s">
        <v>10</v>
      </c>
      <c r="C146" t="s">
        <v>85</v>
      </c>
      <c r="D146" t="s">
        <v>140</v>
      </c>
      <c r="E146" t="s">
        <v>141</v>
      </c>
      <c r="F146">
        <v>-102.21</v>
      </c>
      <c r="H146" t="s">
        <v>85</v>
      </c>
      <c r="I146" t="s">
        <v>14</v>
      </c>
    </row>
    <row r="147" spans="1:9" x14ac:dyDescent="0.45">
      <c r="A147" s="2">
        <v>43991</v>
      </c>
      <c r="B147" t="s">
        <v>46</v>
      </c>
      <c r="C147" t="s">
        <v>110</v>
      </c>
      <c r="D147" t="s">
        <v>120</v>
      </c>
      <c r="E147" t="s">
        <v>121</v>
      </c>
      <c r="F147">
        <v>-82.21</v>
      </c>
      <c r="H147" t="s">
        <v>110</v>
      </c>
      <c r="I147" t="s">
        <v>14</v>
      </c>
    </row>
    <row r="148" spans="1:9" x14ac:dyDescent="0.45">
      <c r="A148" s="2">
        <v>43992</v>
      </c>
      <c r="B148" t="s">
        <v>49</v>
      </c>
      <c r="C148" t="s">
        <v>91</v>
      </c>
      <c r="D148" t="s">
        <v>122</v>
      </c>
      <c r="E148" t="s">
        <v>123</v>
      </c>
      <c r="F148">
        <v>-148.11000000000001</v>
      </c>
      <c r="H148" t="s">
        <v>91</v>
      </c>
      <c r="I148" t="s">
        <v>14</v>
      </c>
    </row>
    <row r="149" spans="1:9" x14ac:dyDescent="0.45">
      <c r="A149" s="2">
        <v>43997</v>
      </c>
      <c r="B149" t="s">
        <v>46</v>
      </c>
      <c r="C149" t="s">
        <v>11</v>
      </c>
      <c r="D149" t="s">
        <v>106</v>
      </c>
      <c r="E149" t="s">
        <v>107</v>
      </c>
      <c r="F149">
        <v>2361.84</v>
      </c>
      <c r="H149" t="s">
        <v>12</v>
      </c>
      <c r="I149" t="s">
        <v>13</v>
      </c>
    </row>
    <row r="150" spans="1:9" x14ac:dyDescent="0.45">
      <c r="A150" s="2">
        <v>44000</v>
      </c>
      <c r="B150" t="s">
        <v>46</v>
      </c>
      <c r="C150" t="s">
        <v>91</v>
      </c>
      <c r="D150" t="s">
        <v>113</v>
      </c>
      <c r="E150" t="s">
        <v>114</v>
      </c>
      <c r="F150">
        <v>-47.01</v>
      </c>
      <c r="H150" t="s">
        <v>91</v>
      </c>
      <c r="I150" t="s">
        <v>14</v>
      </c>
    </row>
    <row r="151" spans="1:9" x14ac:dyDescent="0.45">
      <c r="A151" s="2">
        <v>44002</v>
      </c>
      <c r="B151" t="s">
        <v>10</v>
      </c>
      <c r="C151" t="s">
        <v>20</v>
      </c>
      <c r="D151" t="s">
        <v>108</v>
      </c>
      <c r="E151" t="s">
        <v>109</v>
      </c>
      <c r="F151">
        <v>-110.01</v>
      </c>
      <c r="H151" t="s">
        <v>20</v>
      </c>
      <c r="I151" t="s">
        <v>14</v>
      </c>
    </row>
    <row r="152" spans="1:9" x14ac:dyDescent="0.45">
      <c r="A152" s="2">
        <v>44014</v>
      </c>
      <c r="B152" t="s">
        <v>46</v>
      </c>
      <c r="C152" t="s">
        <v>103</v>
      </c>
      <c r="D152" t="s">
        <v>104</v>
      </c>
      <c r="E152" t="s">
        <v>105</v>
      </c>
      <c r="F152">
        <v>-69.64</v>
      </c>
      <c r="H152" t="s">
        <v>103</v>
      </c>
      <c r="I152" t="s">
        <v>14</v>
      </c>
    </row>
    <row r="153" spans="1:9" x14ac:dyDescent="0.45">
      <c r="A153" s="2">
        <v>44024</v>
      </c>
      <c r="B153" t="s">
        <v>49</v>
      </c>
      <c r="C153" t="s">
        <v>117</v>
      </c>
      <c r="D153" t="s">
        <v>132</v>
      </c>
      <c r="E153" t="s">
        <v>133</v>
      </c>
      <c r="F153">
        <v>-106.55</v>
      </c>
      <c r="H153" t="s">
        <v>117</v>
      </c>
      <c r="I153" t="s">
        <v>14</v>
      </c>
    </row>
    <row r="154" spans="1:9" x14ac:dyDescent="0.45">
      <c r="A154" s="2">
        <v>44025</v>
      </c>
      <c r="B154" t="s">
        <v>46</v>
      </c>
      <c r="C154" t="s">
        <v>80</v>
      </c>
      <c r="D154" t="s">
        <v>94</v>
      </c>
      <c r="E154" t="s">
        <v>95</v>
      </c>
      <c r="F154">
        <v>-82.88</v>
      </c>
      <c r="H154" t="s">
        <v>80</v>
      </c>
      <c r="I154" t="s">
        <v>14</v>
      </c>
    </row>
    <row r="155" spans="1:9" x14ac:dyDescent="0.45">
      <c r="A155" s="2">
        <v>44027</v>
      </c>
      <c r="B155" t="s">
        <v>10</v>
      </c>
      <c r="C155" t="s">
        <v>103</v>
      </c>
      <c r="D155" t="s">
        <v>142</v>
      </c>
      <c r="E155" t="s">
        <v>143</v>
      </c>
      <c r="F155">
        <v>-125.08</v>
      </c>
      <c r="H155" t="s">
        <v>103</v>
      </c>
      <c r="I155" t="s">
        <v>14</v>
      </c>
    </row>
    <row r="156" spans="1:9" x14ac:dyDescent="0.45">
      <c r="A156" s="2">
        <v>44028</v>
      </c>
      <c r="B156" t="s">
        <v>46</v>
      </c>
      <c r="C156" t="s">
        <v>91</v>
      </c>
      <c r="D156" t="s">
        <v>92</v>
      </c>
      <c r="E156" t="s">
        <v>93</v>
      </c>
      <c r="F156">
        <v>-138.29</v>
      </c>
      <c r="H156" t="s">
        <v>91</v>
      </c>
      <c r="I156" t="s">
        <v>14</v>
      </c>
    </row>
    <row r="157" spans="1:9" x14ac:dyDescent="0.45">
      <c r="A157" s="2">
        <v>44029</v>
      </c>
      <c r="B157" t="s">
        <v>49</v>
      </c>
      <c r="C157" t="s">
        <v>85</v>
      </c>
      <c r="D157" t="s">
        <v>86</v>
      </c>
      <c r="E157" t="s">
        <v>87</v>
      </c>
      <c r="F157">
        <v>-18.59</v>
      </c>
      <c r="H157" t="s">
        <v>85</v>
      </c>
      <c r="I157" t="s">
        <v>14</v>
      </c>
    </row>
    <row r="158" spans="1:9" x14ac:dyDescent="0.45">
      <c r="A158" s="2">
        <v>44030</v>
      </c>
      <c r="B158" t="s">
        <v>49</v>
      </c>
      <c r="C158" t="s">
        <v>88</v>
      </c>
      <c r="D158" t="s">
        <v>89</v>
      </c>
      <c r="E158" t="s">
        <v>90</v>
      </c>
      <c r="F158">
        <v>-115.23</v>
      </c>
      <c r="H158" t="s">
        <v>88</v>
      </c>
      <c r="I158" t="s">
        <v>14</v>
      </c>
    </row>
    <row r="159" spans="1:9" x14ac:dyDescent="0.45">
      <c r="A159" s="2">
        <v>44038</v>
      </c>
      <c r="B159" t="s">
        <v>49</v>
      </c>
      <c r="C159" t="s">
        <v>77</v>
      </c>
      <c r="D159" t="s">
        <v>96</v>
      </c>
      <c r="E159" t="s">
        <v>97</v>
      </c>
      <c r="F159">
        <v>-60.43</v>
      </c>
      <c r="H159" t="s">
        <v>77</v>
      </c>
      <c r="I159" t="s">
        <v>14</v>
      </c>
    </row>
    <row r="160" spans="1:9" x14ac:dyDescent="0.45">
      <c r="A160" s="2">
        <v>44038</v>
      </c>
      <c r="B160" t="s">
        <v>49</v>
      </c>
      <c r="C160" t="s">
        <v>11</v>
      </c>
      <c r="D160" t="s">
        <v>115</v>
      </c>
      <c r="E160" t="s">
        <v>116</v>
      </c>
      <c r="F160">
        <v>2776.79</v>
      </c>
      <c r="H160" t="s">
        <v>12</v>
      </c>
      <c r="I160" t="s">
        <v>13</v>
      </c>
    </row>
    <row r="161" spans="1:9" x14ac:dyDescent="0.45">
      <c r="A161" s="2">
        <v>44046</v>
      </c>
      <c r="B161" t="s">
        <v>46</v>
      </c>
      <c r="C161" t="s">
        <v>11</v>
      </c>
      <c r="D161" t="s">
        <v>115</v>
      </c>
      <c r="E161" t="s">
        <v>116</v>
      </c>
      <c r="F161">
        <v>2164.2600000000002</v>
      </c>
      <c r="H161" t="s">
        <v>12</v>
      </c>
      <c r="I161" t="s">
        <v>13</v>
      </c>
    </row>
    <row r="162" spans="1:9" x14ac:dyDescent="0.45">
      <c r="A162" s="2">
        <v>44049</v>
      </c>
      <c r="B162" t="s">
        <v>49</v>
      </c>
      <c r="C162" t="s">
        <v>88</v>
      </c>
      <c r="D162" t="s">
        <v>89</v>
      </c>
      <c r="E162" t="s">
        <v>90</v>
      </c>
      <c r="F162">
        <v>-26.71</v>
      </c>
      <c r="H162" t="s">
        <v>88</v>
      </c>
      <c r="I162" t="s">
        <v>14</v>
      </c>
    </row>
    <row r="163" spans="1:9" x14ac:dyDescent="0.45">
      <c r="A163" s="2">
        <v>44050</v>
      </c>
      <c r="B163" t="s">
        <v>10</v>
      </c>
      <c r="C163" t="s">
        <v>110</v>
      </c>
      <c r="D163" t="s">
        <v>111</v>
      </c>
      <c r="E163" t="s">
        <v>112</v>
      </c>
      <c r="F163">
        <v>-29.53</v>
      </c>
      <c r="H163" t="s">
        <v>110</v>
      </c>
      <c r="I163" t="s">
        <v>14</v>
      </c>
    </row>
    <row r="164" spans="1:9" x14ac:dyDescent="0.45">
      <c r="A164" s="2">
        <v>44050</v>
      </c>
      <c r="B164" t="s">
        <v>46</v>
      </c>
      <c r="C164" t="s">
        <v>98</v>
      </c>
      <c r="D164" t="s">
        <v>148</v>
      </c>
      <c r="E164" t="s">
        <v>149</v>
      </c>
      <c r="F164">
        <v>-86.23</v>
      </c>
      <c r="H164" t="s">
        <v>98</v>
      </c>
      <c r="I164" t="s">
        <v>14</v>
      </c>
    </row>
    <row r="165" spans="1:9" x14ac:dyDescent="0.45">
      <c r="A165" s="2">
        <v>44054</v>
      </c>
      <c r="B165" t="s">
        <v>10</v>
      </c>
      <c r="C165" t="s">
        <v>88</v>
      </c>
      <c r="D165" t="s">
        <v>89</v>
      </c>
      <c r="E165" t="s">
        <v>90</v>
      </c>
      <c r="F165">
        <v>-134.80000000000001</v>
      </c>
      <c r="H165" t="s">
        <v>88</v>
      </c>
      <c r="I165" t="s">
        <v>14</v>
      </c>
    </row>
    <row r="166" spans="1:9" x14ac:dyDescent="0.45">
      <c r="A166" s="2">
        <v>44060</v>
      </c>
      <c r="B166" t="s">
        <v>10</v>
      </c>
      <c r="C166" t="s">
        <v>98</v>
      </c>
      <c r="D166" t="s">
        <v>99</v>
      </c>
      <c r="E166" t="s">
        <v>100</v>
      </c>
      <c r="F166">
        <v>-97.12</v>
      </c>
      <c r="H166" t="s">
        <v>98</v>
      </c>
      <c r="I166" t="s">
        <v>14</v>
      </c>
    </row>
    <row r="167" spans="1:9" x14ac:dyDescent="0.45">
      <c r="A167" s="2">
        <v>44064</v>
      </c>
      <c r="B167" t="s">
        <v>10</v>
      </c>
      <c r="C167" t="s">
        <v>110</v>
      </c>
      <c r="D167" t="s">
        <v>111</v>
      </c>
      <c r="E167" t="s">
        <v>112</v>
      </c>
      <c r="F167">
        <v>-21.51</v>
      </c>
      <c r="H167" t="s">
        <v>110</v>
      </c>
      <c r="I167" t="s">
        <v>14</v>
      </c>
    </row>
    <row r="168" spans="1:9" x14ac:dyDescent="0.45">
      <c r="A168" s="2">
        <v>44065</v>
      </c>
      <c r="B168" t="s">
        <v>49</v>
      </c>
      <c r="C168" t="s">
        <v>110</v>
      </c>
      <c r="D168" t="s">
        <v>126</v>
      </c>
      <c r="E168" t="s">
        <v>127</v>
      </c>
      <c r="F168">
        <v>-33.74</v>
      </c>
      <c r="H168" t="s">
        <v>110</v>
      </c>
      <c r="I168" t="s">
        <v>14</v>
      </c>
    </row>
    <row r="169" spans="1:9" x14ac:dyDescent="0.45">
      <c r="A169" s="2">
        <v>44069</v>
      </c>
      <c r="B169" t="s">
        <v>46</v>
      </c>
      <c r="C169" t="s">
        <v>91</v>
      </c>
      <c r="D169" t="s">
        <v>113</v>
      </c>
      <c r="E169" t="s">
        <v>114</v>
      </c>
      <c r="F169">
        <v>-55.93</v>
      </c>
      <c r="H169" t="s">
        <v>91</v>
      </c>
      <c r="I169" t="s">
        <v>14</v>
      </c>
    </row>
    <row r="170" spans="1:9" x14ac:dyDescent="0.45">
      <c r="A170" s="2">
        <v>44071</v>
      </c>
      <c r="B170" t="s">
        <v>10</v>
      </c>
      <c r="C170" t="s">
        <v>103</v>
      </c>
      <c r="D170" t="s">
        <v>104</v>
      </c>
      <c r="E170" t="s">
        <v>105</v>
      </c>
      <c r="F170">
        <v>-101.16</v>
      </c>
      <c r="H170" t="s">
        <v>103</v>
      </c>
      <c r="I170" t="s">
        <v>14</v>
      </c>
    </row>
    <row r="171" spans="1:9" x14ac:dyDescent="0.45">
      <c r="A171" s="2">
        <v>44077</v>
      </c>
      <c r="B171" t="s">
        <v>49</v>
      </c>
      <c r="C171" t="s">
        <v>11</v>
      </c>
      <c r="D171" t="s">
        <v>106</v>
      </c>
      <c r="E171" t="s">
        <v>107</v>
      </c>
      <c r="F171">
        <v>1966.2</v>
      </c>
      <c r="H171" t="s">
        <v>12</v>
      </c>
      <c r="I171" t="s">
        <v>13</v>
      </c>
    </row>
    <row r="172" spans="1:9" x14ac:dyDescent="0.45">
      <c r="A172" s="2">
        <v>44078</v>
      </c>
      <c r="B172" t="s">
        <v>49</v>
      </c>
      <c r="C172" t="s">
        <v>98</v>
      </c>
      <c r="D172" t="s">
        <v>134</v>
      </c>
      <c r="E172" t="s">
        <v>135</v>
      </c>
      <c r="F172">
        <v>-139.52000000000001</v>
      </c>
      <c r="H172" t="s">
        <v>98</v>
      </c>
      <c r="I172" t="s">
        <v>14</v>
      </c>
    </row>
    <row r="173" spans="1:9" x14ac:dyDescent="0.45">
      <c r="A173" s="2">
        <v>44082</v>
      </c>
      <c r="B173" t="s">
        <v>10</v>
      </c>
      <c r="C173" t="s">
        <v>98</v>
      </c>
      <c r="D173" t="s">
        <v>99</v>
      </c>
      <c r="E173" t="s">
        <v>100</v>
      </c>
      <c r="F173">
        <v>-56.39</v>
      </c>
      <c r="H173" t="s">
        <v>98</v>
      </c>
      <c r="I173" t="s">
        <v>14</v>
      </c>
    </row>
    <row r="174" spans="1:9" x14ac:dyDescent="0.45">
      <c r="A174" s="2">
        <v>44082</v>
      </c>
      <c r="B174" t="s">
        <v>46</v>
      </c>
      <c r="C174" t="s">
        <v>98</v>
      </c>
      <c r="D174" t="s">
        <v>148</v>
      </c>
      <c r="E174" t="s">
        <v>149</v>
      </c>
      <c r="F174">
        <v>-63.66</v>
      </c>
      <c r="H174" t="s">
        <v>98</v>
      </c>
      <c r="I174" t="s">
        <v>14</v>
      </c>
    </row>
    <row r="175" spans="1:9" x14ac:dyDescent="0.45">
      <c r="A175" s="2">
        <v>44083</v>
      </c>
      <c r="B175" t="s">
        <v>10</v>
      </c>
      <c r="C175" t="s">
        <v>117</v>
      </c>
      <c r="D175" t="s">
        <v>118</v>
      </c>
      <c r="E175" t="s">
        <v>119</v>
      </c>
      <c r="F175">
        <v>-135.31</v>
      </c>
      <c r="H175" t="s">
        <v>117</v>
      </c>
      <c r="I175" t="s">
        <v>14</v>
      </c>
    </row>
    <row r="176" spans="1:9" x14ac:dyDescent="0.45">
      <c r="A176" s="2">
        <v>44088</v>
      </c>
      <c r="B176" t="s">
        <v>10</v>
      </c>
      <c r="C176" t="s">
        <v>88</v>
      </c>
      <c r="D176" t="s">
        <v>138</v>
      </c>
      <c r="E176" t="s">
        <v>139</v>
      </c>
      <c r="F176">
        <v>-29.25</v>
      </c>
      <c r="H176" t="s">
        <v>88</v>
      </c>
      <c r="I176" t="s">
        <v>14</v>
      </c>
    </row>
    <row r="177" spans="1:9" x14ac:dyDescent="0.45">
      <c r="A177" s="2">
        <v>44091</v>
      </c>
      <c r="B177" t="s">
        <v>10</v>
      </c>
      <c r="C177" t="s">
        <v>85</v>
      </c>
      <c r="D177" t="s">
        <v>86</v>
      </c>
      <c r="E177" t="s">
        <v>87</v>
      </c>
      <c r="F177">
        <v>-137.74</v>
      </c>
      <c r="H177" t="s">
        <v>85</v>
      </c>
      <c r="I177" t="s">
        <v>14</v>
      </c>
    </row>
    <row r="178" spans="1:9" x14ac:dyDescent="0.45">
      <c r="A178" s="2">
        <v>44092</v>
      </c>
      <c r="B178" t="s">
        <v>46</v>
      </c>
      <c r="C178" t="s">
        <v>117</v>
      </c>
      <c r="D178" t="s">
        <v>132</v>
      </c>
      <c r="E178" t="s">
        <v>133</v>
      </c>
      <c r="F178">
        <v>-42.96</v>
      </c>
      <c r="H178" t="s">
        <v>117</v>
      </c>
      <c r="I178" t="s">
        <v>14</v>
      </c>
    </row>
    <row r="179" spans="1:9" x14ac:dyDescent="0.45">
      <c r="A179" s="2">
        <v>44095</v>
      </c>
      <c r="B179" t="s">
        <v>10</v>
      </c>
      <c r="C179" t="s">
        <v>80</v>
      </c>
      <c r="D179" t="s">
        <v>128</v>
      </c>
      <c r="E179" t="s">
        <v>129</v>
      </c>
      <c r="F179">
        <v>-56.35</v>
      </c>
      <c r="H179" t="s">
        <v>80</v>
      </c>
      <c r="I179" t="s">
        <v>14</v>
      </c>
    </row>
    <row r="180" spans="1:9" x14ac:dyDescent="0.45">
      <c r="A180" s="2">
        <v>44096</v>
      </c>
      <c r="B180" t="s">
        <v>10</v>
      </c>
      <c r="C180" t="s">
        <v>91</v>
      </c>
      <c r="D180" t="s">
        <v>92</v>
      </c>
      <c r="E180" t="s">
        <v>93</v>
      </c>
      <c r="F180">
        <v>-148.47</v>
      </c>
      <c r="H180" t="s">
        <v>91</v>
      </c>
      <c r="I180" t="s">
        <v>14</v>
      </c>
    </row>
    <row r="181" spans="1:9" x14ac:dyDescent="0.45">
      <c r="A181" s="2">
        <v>44101</v>
      </c>
      <c r="B181" t="s">
        <v>46</v>
      </c>
      <c r="C181" t="s">
        <v>91</v>
      </c>
      <c r="D181" t="s">
        <v>92</v>
      </c>
      <c r="E181" t="s">
        <v>93</v>
      </c>
      <c r="F181">
        <v>-149.04</v>
      </c>
      <c r="H181" t="s">
        <v>91</v>
      </c>
      <c r="I181" t="s">
        <v>14</v>
      </c>
    </row>
    <row r="182" spans="1:9" x14ac:dyDescent="0.45">
      <c r="A182" s="2">
        <v>44105</v>
      </c>
      <c r="B182" t="s">
        <v>49</v>
      </c>
      <c r="C182" t="s">
        <v>85</v>
      </c>
      <c r="D182" t="s">
        <v>101</v>
      </c>
      <c r="E182" t="s">
        <v>102</v>
      </c>
      <c r="F182">
        <v>-26.64</v>
      </c>
      <c r="H182" t="s">
        <v>85</v>
      </c>
      <c r="I182" t="s">
        <v>14</v>
      </c>
    </row>
    <row r="183" spans="1:9" x14ac:dyDescent="0.45">
      <c r="A183" s="2">
        <v>44111</v>
      </c>
      <c r="B183" t="s">
        <v>10</v>
      </c>
      <c r="C183" t="s">
        <v>91</v>
      </c>
      <c r="D183" t="s">
        <v>92</v>
      </c>
      <c r="E183" t="s">
        <v>93</v>
      </c>
      <c r="F183">
        <v>-104.28</v>
      </c>
      <c r="H183" t="s">
        <v>91</v>
      </c>
      <c r="I183" t="s">
        <v>14</v>
      </c>
    </row>
    <row r="184" spans="1:9" x14ac:dyDescent="0.45">
      <c r="A184" s="2">
        <v>44117</v>
      </c>
      <c r="B184" t="s">
        <v>49</v>
      </c>
      <c r="C184" t="s">
        <v>77</v>
      </c>
      <c r="D184" t="s">
        <v>83</v>
      </c>
      <c r="E184" t="s">
        <v>84</v>
      </c>
      <c r="F184">
        <v>-36.44</v>
      </c>
      <c r="H184" t="s">
        <v>77</v>
      </c>
      <c r="I184" t="s">
        <v>14</v>
      </c>
    </row>
    <row r="185" spans="1:9" x14ac:dyDescent="0.45">
      <c r="A185" s="2">
        <v>44124</v>
      </c>
      <c r="B185" t="s">
        <v>46</v>
      </c>
      <c r="C185" t="s">
        <v>88</v>
      </c>
      <c r="D185" t="s">
        <v>89</v>
      </c>
      <c r="E185" t="s">
        <v>90</v>
      </c>
      <c r="F185">
        <v>-28.6</v>
      </c>
      <c r="H185" t="s">
        <v>88</v>
      </c>
      <c r="I185" t="s">
        <v>14</v>
      </c>
    </row>
    <row r="186" spans="1:9" x14ac:dyDescent="0.45">
      <c r="A186" s="2">
        <v>44125</v>
      </c>
      <c r="B186" t="s">
        <v>10</v>
      </c>
      <c r="C186" t="s">
        <v>103</v>
      </c>
      <c r="D186" t="s">
        <v>104</v>
      </c>
      <c r="E186" t="s">
        <v>105</v>
      </c>
      <c r="F186">
        <v>-146.63</v>
      </c>
      <c r="H186" t="s">
        <v>103</v>
      </c>
      <c r="I186" t="s">
        <v>14</v>
      </c>
    </row>
    <row r="187" spans="1:9" x14ac:dyDescent="0.45">
      <c r="A187" s="2">
        <v>44127</v>
      </c>
      <c r="B187" t="s">
        <v>10</v>
      </c>
      <c r="C187" t="s">
        <v>11</v>
      </c>
      <c r="D187" t="s">
        <v>115</v>
      </c>
      <c r="E187" t="s">
        <v>116</v>
      </c>
      <c r="F187">
        <v>2466.81</v>
      </c>
      <c r="H187" t="s">
        <v>12</v>
      </c>
      <c r="I187" t="s">
        <v>13</v>
      </c>
    </row>
    <row r="188" spans="1:9" x14ac:dyDescent="0.45">
      <c r="A188" s="2">
        <v>44131</v>
      </c>
      <c r="B188" t="s">
        <v>46</v>
      </c>
      <c r="C188" t="s">
        <v>11</v>
      </c>
      <c r="D188" t="s">
        <v>115</v>
      </c>
      <c r="E188" t="s">
        <v>116</v>
      </c>
      <c r="F188">
        <v>2568.59</v>
      </c>
      <c r="H188" t="s">
        <v>12</v>
      </c>
      <c r="I188" t="s">
        <v>13</v>
      </c>
    </row>
    <row r="189" spans="1:9" x14ac:dyDescent="0.45">
      <c r="A189" s="2">
        <v>44132</v>
      </c>
      <c r="B189" t="s">
        <v>49</v>
      </c>
      <c r="C189" t="s">
        <v>91</v>
      </c>
      <c r="D189" t="s">
        <v>122</v>
      </c>
      <c r="E189" t="s">
        <v>123</v>
      </c>
      <c r="F189">
        <v>-134.96</v>
      </c>
      <c r="H189" t="s">
        <v>91</v>
      </c>
      <c r="I189" t="s">
        <v>14</v>
      </c>
    </row>
    <row r="190" spans="1:9" x14ac:dyDescent="0.45">
      <c r="A190" s="2">
        <v>44136</v>
      </c>
      <c r="B190" t="s">
        <v>46</v>
      </c>
      <c r="C190" t="s">
        <v>80</v>
      </c>
      <c r="D190" t="s">
        <v>128</v>
      </c>
      <c r="E190" t="s">
        <v>129</v>
      </c>
      <c r="F190">
        <v>-13.51</v>
      </c>
      <c r="H190" t="s">
        <v>80</v>
      </c>
      <c r="I190" t="s">
        <v>14</v>
      </c>
    </row>
    <row r="191" spans="1:9" x14ac:dyDescent="0.45">
      <c r="A191" s="2">
        <v>44140</v>
      </c>
      <c r="B191" t="s">
        <v>49</v>
      </c>
      <c r="C191" t="s">
        <v>117</v>
      </c>
      <c r="D191" t="s">
        <v>132</v>
      </c>
      <c r="E191" t="s">
        <v>133</v>
      </c>
      <c r="F191">
        <v>-120.94</v>
      </c>
      <c r="H191" t="s">
        <v>117</v>
      </c>
      <c r="I191" t="s">
        <v>14</v>
      </c>
    </row>
    <row r="192" spans="1:9" x14ac:dyDescent="0.45">
      <c r="A192" s="2">
        <v>44140</v>
      </c>
      <c r="B192" t="s">
        <v>49</v>
      </c>
      <c r="C192" t="s">
        <v>11</v>
      </c>
      <c r="D192" t="s">
        <v>115</v>
      </c>
      <c r="E192" t="s">
        <v>116</v>
      </c>
      <c r="F192">
        <v>2930.88</v>
      </c>
      <c r="H192" t="s">
        <v>12</v>
      </c>
      <c r="I192" t="s">
        <v>13</v>
      </c>
    </row>
    <row r="193" spans="1:9" x14ac:dyDescent="0.45">
      <c r="A193" s="2">
        <v>44144</v>
      </c>
      <c r="B193" t="s">
        <v>49</v>
      </c>
      <c r="C193" t="s">
        <v>110</v>
      </c>
      <c r="D193" t="s">
        <v>120</v>
      </c>
      <c r="E193" t="s">
        <v>121</v>
      </c>
      <c r="F193">
        <v>-77.36</v>
      </c>
      <c r="H193" t="s">
        <v>110</v>
      </c>
      <c r="I193" t="s">
        <v>14</v>
      </c>
    </row>
    <row r="194" spans="1:9" x14ac:dyDescent="0.45">
      <c r="A194" s="2">
        <v>44145</v>
      </c>
      <c r="B194" t="s">
        <v>46</v>
      </c>
      <c r="C194" t="s">
        <v>91</v>
      </c>
      <c r="D194" t="s">
        <v>92</v>
      </c>
      <c r="E194" t="s">
        <v>93</v>
      </c>
      <c r="F194">
        <v>-135.56</v>
      </c>
      <c r="H194" t="s">
        <v>91</v>
      </c>
      <c r="I194" t="s">
        <v>14</v>
      </c>
    </row>
    <row r="195" spans="1:9" x14ac:dyDescent="0.45">
      <c r="A195" s="2">
        <v>44147</v>
      </c>
      <c r="B195" t="s">
        <v>49</v>
      </c>
      <c r="C195" t="s">
        <v>80</v>
      </c>
      <c r="D195" t="s">
        <v>81</v>
      </c>
      <c r="E195" t="s">
        <v>82</v>
      </c>
      <c r="F195">
        <v>-116.07</v>
      </c>
      <c r="H195" t="s">
        <v>80</v>
      </c>
      <c r="I195" t="s">
        <v>14</v>
      </c>
    </row>
    <row r="196" spans="1:9" x14ac:dyDescent="0.45">
      <c r="A196" s="2">
        <v>44148</v>
      </c>
      <c r="B196" t="s">
        <v>10</v>
      </c>
      <c r="C196" t="s">
        <v>88</v>
      </c>
      <c r="D196" t="s">
        <v>89</v>
      </c>
      <c r="E196" t="s">
        <v>90</v>
      </c>
      <c r="F196">
        <v>-85.31</v>
      </c>
      <c r="H196" t="s">
        <v>88</v>
      </c>
      <c r="I196" t="s">
        <v>14</v>
      </c>
    </row>
    <row r="197" spans="1:9" x14ac:dyDescent="0.45">
      <c r="A197" s="2">
        <v>44150</v>
      </c>
      <c r="B197" t="s">
        <v>10</v>
      </c>
      <c r="C197" t="s">
        <v>11</v>
      </c>
      <c r="D197" t="s">
        <v>115</v>
      </c>
      <c r="E197" t="s">
        <v>116</v>
      </c>
      <c r="F197">
        <v>2796.23</v>
      </c>
      <c r="H197" t="s">
        <v>12</v>
      </c>
      <c r="I197" t="s">
        <v>13</v>
      </c>
    </row>
    <row r="198" spans="1:9" x14ac:dyDescent="0.45">
      <c r="A198" s="2">
        <v>44166</v>
      </c>
      <c r="B198" t="s">
        <v>49</v>
      </c>
      <c r="C198" t="s">
        <v>98</v>
      </c>
      <c r="D198" t="s">
        <v>148</v>
      </c>
      <c r="E198" t="s">
        <v>149</v>
      </c>
      <c r="F198">
        <v>-147.41</v>
      </c>
      <c r="H198" t="s">
        <v>98</v>
      </c>
      <c r="I198" t="s">
        <v>14</v>
      </c>
    </row>
    <row r="199" spans="1:9" x14ac:dyDescent="0.45">
      <c r="A199" s="2">
        <v>44171</v>
      </c>
      <c r="B199" t="s">
        <v>49</v>
      </c>
      <c r="C199" t="s">
        <v>85</v>
      </c>
      <c r="D199" t="s">
        <v>101</v>
      </c>
      <c r="E199" t="s">
        <v>102</v>
      </c>
      <c r="F199">
        <v>-146.31</v>
      </c>
      <c r="H199" t="s">
        <v>85</v>
      </c>
      <c r="I199" t="s">
        <v>14</v>
      </c>
    </row>
    <row r="200" spans="1:9" x14ac:dyDescent="0.45">
      <c r="A200" s="2">
        <v>44171</v>
      </c>
      <c r="B200" t="s">
        <v>10</v>
      </c>
      <c r="C200" t="s">
        <v>88</v>
      </c>
      <c r="D200" t="s">
        <v>89</v>
      </c>
      <c r="E200" t="s">
        <v>90</v>
      </c>
      <c r="F200">
        <v>-128.68</v>
      </c>
      <c r="H200" t="s">
        <v>88</v>
      </c>
      <c r="I200" t="s">
        <v>14</v>
      </c>
    </row>
    <row r="201" spans="1:9" x14ac:dyDescent="0.45">
      <c r="A201" s="2">
        <v>44187</v>
      </c>
      <c r="B201" t="s">
        <v>10</v>
      </c>
      <c r="C201" t="s">
        <v>98</v>
      </c>
      <c r="D201" t="s">
        <v>134</v>
      </c>
      <c r="E201" t="s">
        <v>135</v>
      </c>
      <c r="F201">
        <v>-56.46</v>
      </c>
      <c r="H201" t="s">
        <v>98</v>
      </c>
      <c r="I201" t="s">
        <v>14</v>
      </c>
    </row>
    <row r="202" spans="1:9" x14ac:dyDescent="0.45">
      <c r="A202" s="2">
        <v>44208</v>
      </c>
      <c r="B202" t="s">
        <v>10</v>
      </c>
      <c r="C202" t="s">
        <v>110</v>
      </c>
      <c r="D202" t="s">
        <v>120</v>
      </c>
      <c r="E202" t="s">
        <v>121</v>
      </c>
      <c r="F202">
        <v>-28.55</v>
      </c>
      <c r="H202" t="s">
        <v>110</v>
      </c>
      <c r="I202" t="s">
        <v>14</v>
      </c>
    </row>
    <row r="203" spans="1:9" x14ac:dyDescent="0.45">
      <c r="A203" s="2">
        <v>44210</v>
      </c>
      <c r="B203" t="s">
        <v>46</v>
      </c>
      <c r="C203" t="s">
        <v>77</v>
      </c>
      <c r="D203" t="s">
        <v>78</v>
      </c>
      <c r="E203" t="s">
        <v>79</v>
      </c>
      <c r="F203">
        <v>-148.35</v>
      </c>
      <c r="H203" t="s">
        <v>77</v>
      </c>
      <c r="I203" t="s">
        <v>14</v>
      </c>
    </row>
    <row r="204" spans="1:9" x14ac:dyDescent="0.45">
      <c r="A204" s="2">
        <v>44216</v>
      </c>
      <c r="B204" t="s">
        <v>10</v>
      </c>
      <c r="C204" t="s">
        <v>20</v>
      </c>
      <c r="D204" t="s">
        <v>146</v>
      </c>
      <c r="E204" t="s">
        <v>147</v>
      </c>
      <c r="F204">
        <v>-102.75</v>
      </c>
      <c r="H204" t="s">
        <v>20</v>
      </c>
      <c r="I204" t="s">
        <v>14</v>
      </c>
    </row>
    <row r="205" spans="1:9" x14ac:dyDescent="0.45">
      <c r="A205" s="2">
        <v>44219</v>
      </c>
      <c r="B205" t="s">
        <v>10</v>
      </c>
      <c r="C205" t="s">
        <v>88</v>
      </c>
      <c r="D205" t="s">
        <v>136</v>
      </c>
      <c r="E205" t="s">
        <v>137</v>
      </c>
      <c r="F205">
        <v>-120.96</v>
      </c>
      <c r="H205" t="s">
        <v>88</v>
      </c>
      <c r="I205" t="s">
        <v>14</v>
      </c>
    </row>
    <row r="206" spans="1:9" x14ac:dyDescent="0.45">
      <c r="A206" s="2">
        <v>44219</v>
      </c>
      <c r="B206" t="s">
        <v>49</v>
      </c>
      <c r="C206" t="s">
        <v>103</v>
      </c>
      <c r="D206" t="s">
        <v>104</v>
      </c>
      <c r="E206" t="s">
        <v>105</v>
      </c>
      <c r="F206">
        <v>-69.7</v>
      </c>
      <c r="H206" t="s">
        <v>103</v>
      </c>
      <c r="I206" t="s">
        <v>14</v>
      </c>
    </row>
    <row r="207" spans="1:9" x14ac:dyDescent="0.45">
      <c r="A207" s="2">
        <v>44220</v>
      </c>
      <c r="B207" t="s">
        <v>46</v>
      </c>
      <c r="C207" t="s">
        <v>110</v>
      </c>
      <c r="D207" t="s">
        <v>120</v>
      </c>
      <c r="E207" t="s">
        <v>121</v>
      </c>
      <c r="F207">
        <v>-62.51</v>
      </c>
      <c r="H207" t="s">
        <v>110</v>
      </c>
      <c r="I207" t="s">
        <v>14</v>
      </c>
    </row>
    <row r="208" spans="1:9" x14ac:dyDescent="0.45">
      <c r="A208" s="2">
        <v>44231</v>
      </c>
      <c r="B208" t="s">
        <v>49</v>
      </c>
      <c r="C208" t="s">
        <v>103</v>
      </c>
      <c r="D208" t="s">
        <v>104</v>
      </c>
      <c r="E208" t="s">
        <v>105</v>
      </c>
      <c r="F208">
        <v>-117.22</v>
      </c>
      <c r="H208" t="s">
        <v>103</v>
      </c>
      <c r="I208" t="s">
        <v>14</v>
      </c>
    </row>
    <row r="209" spans="1:9" x14ac:dyDescent="0.45">
      <c r="A209" s="2">
        <v>44242</v>
      </c>
      <c r="B209" t="s">
        <v>49</v>
      </c>
      <c r="C209" t="s">
        <v>85</v>
      </c>
      <c r="D209" t="s">
        <v>140</v>
      </c>
      <c r="E209" t="s">
        <v>141</v>
      </c>
      <c r="F209">
        <v>-41.97</v>
      </c>
      <c r="H209" t="s">
        <v>85</v>
      </c>
      <c r="I209" t="s">
        <v>14</v>
      </c>
    </row>
    <row r="210" spans="1:9" x14ac:dyDescent="0.45">
      <c r="A210" s="2">
        <v>44248</v>
      </c>
      <c r="B210" t="s">
        <v>46</v>
      </c>
      <c r="C210" t="s">
        <v>117</v>
      </c>
      <c r="D210" t="s">
        <v>124</v>
      </c>
      <c r="E210" t="s">
        <v>125</v>
      </c>
      <c r="F210">
        <v>-74.31</v>
      </c>
      <c r="H210" t="s">
        <v>117</v>
      </c>
      <c r="I210" t="s">
        <v>14</v>
      </c>
    </row>
    <row r="211" spans="1:9" x14ac:dyDescent="0.45">
      <c r="A211" s="2">
        <v>44249</v>
      </c>
      <c r="B211" t="s">
        <v>10</v>
      </c>
      <c r="C211" t="s">
        <v>88</v>
      </c>
      <c r="D211" t="s">
        <v>89</v>
      </c>
      <c r="E211" t="s">
        <v>90</v>
      </c>
      <c r="F211">
        <v>-99.6</v>
      </c>
      <c r="H211" t="s">
        <v>88</v>
      </c>
      <c r="I211" t="s">
        <v>14</v>
      </c>
    </row>
    <row r="212" spans="1:9" x14ac:dyDescent="0.45">
      <c r="A212" s="2">
        <v>44251</v>
      </c>
      <c r="B212" t="s">
        <v>46</v>
      </c>
      <c r="C212" t="s">
        <v>110</v>
      </c>
      <c r="D212" t="s">
        <v>111</v>
      </c>
      <c r="E212" t="s">
        <v>112</v>
      </c>
      <c r="F212">
        <v>-85.19</v>
      </c>
      <c r="H212" t="s">
        <v>110</v>
      </c>
      <c r="I212" t="s">
        <v>14</v>
      </c>
    </row>
    <row r="213" spans="1:9" x14ac:dyDescent="0.45">
      <c r="A213" s="2">
        <v>44255</v>
      </c>
      <c r="B213" t="s">
        <v>49</v>
      </c>
      <c r="C213" t="s">
        <v>117</v>
      </c>
      <c r="D213" t="s">
        <v>118</v>
      </c>
      <c r="E213" t="s">
        <v>119</v>
      </c>
      <c r="F213">
        <v>-63.41</v>
      </c>
      <c r="H213" t="s">
        <v>117</v>
      </c>
      <c r="I213" t="s">
        <v>14</v>
      </c>
    </row>
    <row r="214" spans="1:9" x14ac:dyDescent="0.45">
      <c r="A214" s="2">
        <v>44257</v>
      </c>
      <c r="B214" t="s">
        <v>10</v>
      </c>
      <c r="C214" t="s">
        <v>98</v>
      </c>
      <c r="D214" t="s">
        <v>134</v>
      </c>
      <c r="E214" t="s">
        <v>135</v>
      </c>
      <c r="F214">
        <v>-63.2</v>
      </c>
      <c r="H214" t="s">
        <v>98</v>
      </c>
      <c r="I214" t="s">
        <v>14</v>
      </c>
    </row>
    <row r="215" spans="1:9" x14ac:dyDescent="0.45">
      <c r="A215" s="2">
        <v>44258</v>
      </c>
      <c r="B215" t="s">
        <v>10</v>
      </c>
      <c r="C215" t="s">
        <v>91</v>
      </c>
      <c r="D215" t="s">
        <v>122</v>
      </c>
      <c r="E215" t="s">
        <v>123</v>
      </c>
      <c r="F215">
        <v>-100.88</v>
      </c>
      <c r="H215" t="s">
        <v>91</v>
      </c>
      <c r="I215" t="s">
        <v>14</v>
      </c>
    </row>
    <row r="216" spans="1:9" x14ac:dyDescent="0.45">
      <c r="A216" s="2">
        <v>44265</v>
      </c>
      <c r="B216" t="s">
        <v>49</v>
      </c>
      <c r="C216" t="s">
        <v>98</v>
      </c>
      <c r="D216" t="s">
        <v>99</v>
      </c>
      <c r="E216" t="s">
        <v>100</v>
      </c>
      <c r="F216">
        <v>-58.47</v>
      </c>
      <c r="H216" t="s">
        <v>98</v>
      </c>
      <c r="I216" t="s">
        <v>14</v>
      </c>
    </row>
    <row r="217" spans="1:9" x14ac:dyDescent="0.45">
      <c r="A217" s="2">
        <v>44266</v>
      </c>
      <c r="B217" t="s">
        <v>46</v>
      </c>
      <c r="C217" t="s">
        <v>20</v>
      </c>
      <c r="D217" t="s">
        <v>144</v>
      </c>
      <c r="E217" t="s">
        <v>145</v>
      </c>
      <c r="F217">
        <v>-96.59</v>
      </c>
      <c r="H217" t="s">
        <v>20</v>
      </c>
      <c r="I217" t="s">
        <v>14</v>
      </c>
    </row>
    <row r="218" spans="1:9" x14ac:dyDescent="0.45">
      <c r="A218" s="2">
        <v>44268</v>
      </c>
      <c r="B218" t="s">
        <v>10</v>
      </c>
      <c r="C218" t="s">
        <v>85</v>
      </c>
      <c r="D218" t="s">
        <v>101</v>
      </c>
      <c r="E218" t="s">
        <v>102</v>
      </c>
      <c r="F218">
        <v>-66.08</v>
      </c>
      <c r="H218" t="s">
        <v>85</v>
      </c>
      <c r="I218" t="s">
        <v>14</v>
      </c>
    </row>
    <row r="219" spans="1:9" x14ac:dyDescent="0.45">
      <c r="A219" s="2">
        <v>44268</v>
      </c>
      <c r="B219" t="s">
        <v>10</v>
      </c>
      <c r="C219" t="s">
        <v>98</v>
      </c>
      <c r="D219" t="s">
        <v>148</v>
      </c>
      <c r="E219" t="s">
        <v>149</v>
      </c>
      <c r="F219">
        <v>-147.18</v>
      </c>
      <c r="H219" t="s">
        <v>98</v>
      </c>
      <c r="I219" t="s">
        <v>14</v>
      </c>
    </row>
    <row r="220" spans="1:9" x14ac:dyDescent="0.45">
      <c r="A220" s="2">
        <v>44270</v>
      </c>
      <c r="B220" t="s">
        <v>10</v>
      </c>
      <c r="C220" t="s">
        <v>91</v>
      </c>
      <c r="D220" t="s">
        <v>113</v>
      </c>
      <c r="E220" t="s">
        <v>114</v>
      </c>
      <c r="F220">
        <v>-73.52</v>
      </c>
      <c r="H220" t="s">
        <v>91</v>
      </c>
      <c r="I220" t="s">
        <v>14</v>
      </c>
    </row>
    <row r="221" spans="1:9" x14ac:dyDescent="0.45">
      <c r="A221" s="2">
        <v>44271</v>
      </c>
      <c r="B221" t="s">
        <v>46</v>
      </c>
      <c r="C221" t="s">
        <v>11</v>
      </c>
      <c r="D221" t="s">
        <v>115</v>
      </c>
      <c r="E221" t="s">
        <v>116</v>
      </c>
      <c r="F221">
        <v>2200.38</v>
      </c>
      <c r="H221" t="s">
        <v>12</v>
      </c>
      <c r="I221" t="s">
        <v>13</v>
      </c>
    </row>
    <row r="222" spans="1:9" x14ac:dyDescent="0.45">
      <c r="A222" s="2">
        <v>44273</v>
      </c>
      <c r="B222" t="s">
        <v>46</v>
      </c>
      <c r="C222" t="s">
        <v>11</v>
      </c>
      <c r="D222" t="s">
        <v>106</v>
      </c>
      <c r="E222" t="s">
        <v>107</v>
      </c>
      <c r="F222">
        <v>2605.3200000000002</v>
      </c>
      <c r="H222" t="s">
        <v>12</v>
      </c>
      <c r="I222" t="s">
        <v>13</v>
      </c>
    </row>
    <row r="223" spans="1:9" x14ac:dyDescent="0.45">
      <c r="A223" s="2">
        <v>44279</v>
      </c>
      <c r="B223" t="s">
        <v>10</v>
      </c>
      <c r="C223" t="s">
        <v>85</v>
      </c>
      <c r="D223" t="s">
        <v>101</v>
      </c>
      <c r="E223" t="s">
        <v>102</v>
      </c>
      <c r="F223">
        <v>-32.75</v>
      </c>
      <c r="H223" t="s">
        <v>85</v>
      </c>
      <c r="I223" t="s">
        <v>14</v>
      </c>
    </row>
    <row r="224" spans="1:9" x14ac:dyDescent="0.45">
      <c r="A224" s="2">
        <v>44280</v>
      </c>
      <c r="B224" t="s">
        <v>46</v>
      </c>
      <c r="C224" t="s">
        <v>20</v>
      </c>
      <c r="D224" t="s">
        <v>108</v>
      </c>
      <c r="E224" t="s">
        <v>109</v>
      </c>
      <c r="F224">
        <v>-43.25</v>
      </c>
      <c r="H224" t="s">
        <v>20</v>
      </c>
      <c r="I224" t="s">
        <v>14</v>
      </c>
    </row>
    <row r="225" spans="1:9" x14ac:dyDescent="0.45">
      <c r="A225" s="2">
        <v>44289</v>
      </c>
      <c r="B225" t="s">
        <v>49</v>
      </c>
      <c r="C225" t="s">
        <v>80</v>
      </c>
      <c r="D225" t="s">
        <v>94</v>
      </c>
      <c r="E225" t="s">
        <v>95</v>
      </c>
      <c r="F225">
        <v>-19.47</v>
      </c>
      <c r="H225" t="s">
        <v>80</v>
      </c>
      <c r="I225" t="s">
        <v>14</v>
      </c>
    </row>
    <row r="226" spans="1:9" x14ac:dyDescent="0.45">
      <c r="A226" s="2">
        <v>44298</v>
      </c>
      <c r="B226" t="s">
        <v>46</v>
      </c>
      <c r="C226" t="s">
        <v>88</v>
      </c>
      <c r="D226" t="s">
        <v>138</v>
      </c>
      <c r="E226" t="s">
        <v>139</v>
      </c>
      <c r="F226">
        <v>-126.69</v>
      </c>
      <c r="H226" t="s">
        <v>88</v>
      </c>
      <c r="I226" t="s">
        <v>14</v>
      </c>
    </row>
    <row r="227" spans="1:9" x14ac:dyDescent="0.45">
      <c r="A227" s="2">
        <v>44298</v>
      </c>
      <c r="B227" t="s">
        <v>10</v>
      </c>
      <c r="C227" t="s">
        <v>85</v>
      </c>
      <c r="D227" t="s">
        <v>140</v>
      </c>
      <c r="E227" t="s">
        <v>141</v>
      </c>
      <c r="F227">
        <v>-115.67</v>
      </c>
      <c r="H227" t="s">
        <v>85</v>
      </c>
      <c r="I227" t="s">
        <v>14</v>
      </c>
    </row>
    <row r="228" spans="1:9" x14ac:dyDescent="0.45">
      <c r="A228" s="2">
        <v>44301</v>
      </c>
      <c r="B228" t="s">
        <v>46</v>
      </c>
      <c r="C228" t="s">
        <v>91</v>
      </c>
      <c r="D228" t="s">
        <v>113</v>
      </c>
      <c r="E228" t="s">
        <v>114</v>
      </c>
      <c r="F228">
        <v>-48.96</v>
      </c>
      <c r="H228" t="s">
        <v>91</v>
      </c>
      <c r="I228" t="s">
        <v>14</v>
      </c>
    </row>
    <row r="229" spans="1:9" x14ac:dyDescent="0.45">
      <c r="A229" s="2">
        <v>44302</v>
      </c>
      <c r="B229" t="s">
        <v>46</v>
      </c>
      <c r="C229" t="s">
        <v>117</v>
      </c>
      <c r="D229" t="s">
        <v>132</v>
      </c>
      <c r="E229" t="s">
        <v>133</v>
      </c>
      <c r="F229">
        <v>-147.78</v>
      </c>
      <c r="H229" t="s">
        <v>117</v>
      </c>
      <c r="I229" t="s">
        <v>14</v>
      </c>
    </row>
    <row r="230" spans="1:9" x14ac:dyDescent="0.45">
      <c r="A230" s="2">
        <v>44303</v>
      </c>
      <c r="B230" t="s">
        <v>10</v>
      </c>
      <c r="C230" t="s">
        <v>80</v>
      </c>
      <c r="D230" t="s">
        <v>94</v>
      </c>
      <c r="E230" t="s">
        <v>95</v>
      </c>
      <c r="F230">
        <v>-129.44</v>
      </c>
      <c r="H230" t="s">
        <v>80</v>
      </c>
      <c r="I230" t="s">
        <v>14</v>
      </c>
    </row>
    <row r="231" spans="1:9" x14ac:dyDescent="0.45">
      <c r="A231" s="2">
        <v>44304</v>
      </c>
      <c r="B231" t="s">
        <v>49</v>
      </c>
      <c r="C231" t="s">
        <v>103</v>
      </c>
      <c r="D231" t="s">
        <v>130</v>
      </c>
      <c r="E231" t="s">
        <v>131</v>
      </c>
      <c r="F231">
        <v>-143.34</v>
      </c>
      <c r="H231" t="s">
        <v>103</v>
      </c>
      <c r="I231" t="s">
        <v>14</v>
      </c>
    </row>
    <row r="232" spans="1:9" x14ac:dyDescent="0.45">
      <c r="A232" s="2">
        <v>44304</v>
      </c>
      <c r="B232" t="s">
        <v>49</v>
      </c>
      <c r="C232" t="s">
        <v>103</v>
      </c>
      <c r="D232" t="s">
        <v>104</v>
      </c>
      <c r="E232" t="s">
        <v>105</v>
      </c>
      <c r="F232">
        <v>-83.1</v>
      </c>
      <c r="H232" t="s">
        <v>103</v>
      </c>
      <c r="I232" t="s">
        <v>14</v>
      </c>
    </row>
    <row r="233" spans="1:9" x14ac:dyDescent="0.45">
      <c r="A233" s="2">
        <v>44320</v>
      </c>
      <c r="B233" t="s">
        <v>49</v>
      </c>
      <c r="C233" t="s">
        <v>103</v>
      </c>
      <c r="D233" t="s">
        <v>130</v>
      </c>
      <c r="E233" t="s">
        <v>131</v>
      </c>
      <c r="F233">
        <v>-67.11</v>
      </c>
      <c r="H233" t="s">
        <v>103</v>
      </c>
      <c r="I233" t="s">
        <v>14</v>
      </c>
    </row>
    <row r="234" spans="1:9" x14ac:dyDescent="0.45">
      <c r="A234" s="2">
        <v>44322</v>
      </c>
      <c r="B234" t="s">
        <v>46</v>
      </c>
      <c r="C234" t="s">
        <v>110</v>
      </c>
      <c r="D234" t="s">
        <v>111</v>
      </c>
      <c r="E234" t="s">
        <v>112</v>
      </c>
      <c r="F234">
        <v>-48.33</v>
      </c>
      <c r="H234" t="s">
        <v>110</v>
      </c>
      <c r="I234" t="s">
        <v>14</v>
      </c>
    </row>
    <row r="235" spans="1:9" x14ac:dyDescent="0.45">
      <c r="A235" s="2">
        <v>44323</v>
      </c>
      <c r="B235" t="s">
        <v>49</v>
      </c>
      <c r="C235" t="s">
        <v>20</v>
      </c>
      <c r="D235" t="s">
        <v>146</v>
      </c>
      <c r="E235" t="s">
        <v>147</v>
      </c>
      <c r="F235">
        <v>-38.43</v>
      </c>
      <c r="H235" t="s">
        <v>20</v>
      </c>
      <c r="I235" t="s">
        <v>14</v>
      </c>
    </row>
    <row r="236" spans="1:9" x14ac:dyDescent="0.45">
      <c r="A236" s="2">
        <v>44328</v>
      </c>
      <c r="B236" t="s">
        <v>49</v>
      </c>
      <c r="C236" t="s">
        <v>88</v>
      </c>
      <c r="D236" t="s">
        <v>136</v>
      </c>
      <c r="E236" t="s">
        <v>137</v>
      </c>
      <c r="F236">
        <v>-104.32</v>
      </c>
      <c r="H236" t="s">
        <v>88</v>
      </c>
      <c r="I236" t="s">
        <v>14</v>
      </c>
    </row>
    <row r="237" spans="1:9" x14ac:dyDescent="0.45">
      <c r="A237" s="2">
        <v>44329</v>
      </c>
      <c r="B237" t="s">
        <v>10</v>
      </c>
      <c r="C237" t="s">
        <v>110</v>
      </c>
      <c r="D237" t="s">
        <v>120</v>
      </c>
      <c r="E237" t="s">
        <v>121</v>
      </c>
      <c r="F237">
        <v>-142.63999999999999</v>
      </c>
      <c r="H237" t="s">
        <v>110</v>
      </c>
      <c r="I237" t="s">
        <v>14</v>
      </c>
    </row>
    <row r="238" spans="1:9" x14ac:dyDescent="0.45">
      <c r="A238" s="2">
        <v>44335</v>
      </c>
      <c r="B238" t="s">
        <v>46</v>
      </c>
      <c r="C238" t="s">
        <v>77</v>
      </c>
      <c r="D238" t="s">
        <v>96</v>
      </c>
      <c r="E238" t="s">
        <v>97</v>
      </c>
      <c r="F238">
        <v>-118.12</v>
      </c>
      <c r="H238" t="s">
        <v>77</v>
      </c>
      <c r="I238" t="s">
        <v>14</v>
      </c>
    </row>
    <row r="239" spans="1:9" x14ac:dyDescent="0.45">
      <c r="A239" s="2">
        <v>44344</v>
      </c>
      <c r="B239" t="s">
        <v>46</v>
      </c>
      <c r="C239" t="s">
        <v>11</v>
      </c>
      <c r="D239" t="s">
        <v>115</v>
      </c>
      <c r="E239" t="s">
        <v>116</v>
      </c>
      <c r="F239">
        <v>2890.26</v>
      </c>
      <c r="H239" t="s">
        <v>12</v>
      </c>
      <c r="I239" t="s">
        <v>13</v>
      </c>
    </row>
    <row r="240" spans="1:9" x14ac:dyDescent="0.45">
      <c r="A240" s="2">
        <v>44356</v>
      </c>
      <c r="B240" t="s">
        <v>49</v>
      </c>
      <c r="C240" t="s">
        <v>77</v>
      </c>
      <c r="D240" t="s">
        <v>83</v>
      </c>
      <c r="E240" t="s">
        <v>84</v>
      </c>
      <c r="F240">
        <v>-15.65</v>
      </c>
      <c r="H240" t="s">
        <v>77</v>
      </c>
      <c r="I240" t="s">
        <v>14</v>
      </c>
    </row>
    <row r="241" spans="1:9" x14ac:dyDescent="0.45">
      <c r="A241" s="2">
        <v>44363</v>
      </c>
      <c r="B241" t="s">
        <v>10</v>
      </c>
      <c r="C241" t="s">
        <v>98</v>
      </c>
      <c r="D241" t="s">
        <v>99</v>
      </c>
      <c r="E241" t="s">
        <v>100</v>
      </c>
      <c r="F241">
        <v>-122.09</v>
      </c>
      <c r="H241" t="s">
        <v>98</v>
      </c>
      <c r="I241" t="s">
        <v>14</v>
      </c>
    </row>
    <row r="242" spans="1:9" x14ac:dyDescent="0.45">
      <c r="A242" s="2">
        <v>44364</v>
      </c>
      <c r="B242" t="s">
        <v>46</v>
      </c>
      <c r="C242" t="s">
        <v>20</v>
      </c>
      <c r="D242" t="s">
        <v>146</v>
      </c>
      <c r="E242" t="s">
        <v>147</v>
      </c>
      <c r="F242">
        <v>-34.31</v>
      </c>
      <c r="H242" t="s">
        <v>20</v>
      </c>
      <c r="I242" t="s">
        <v>14</v>
      </c>
    </row>
    <row r="243" spans="1:9" x14ac:dyDescent="0.45">
      <c r="A243" s="2">
        <v>44366</v>
      </c>
      <c r="B243" t="s">
        <v>49</v>
      </c>
      <c r="C243" t="s">
        <v>11</v>
      </c>
      <c r="D243" t="s">
        <v>106</v>
      </c>
      <c r="E243" t="s">
        <v>107</v>
      </c>
      <c r="F243">
        <v>2904.98</v>
      </c>
      <c r="H243" t="s">
        <v>12</v>
      </c>
      <c r="I243" t="s">
        <v>13</v>
      </c>
    </row>
    <row r="244" spans="1:9" x14ac:dyDescent="0.45">
      <c r="A244" s="2">
        <v>44371</v>
      </c>
      <c r="B244" t="s">
        <v>49</v>
      </c>
      <c r="C244" t="s">
        <v>117</v>
      </c>
      <c r="D244" t="s">
        <v>118</v>
      </c>
      <c r="E244" t="s">
        <v>119</v>
      </c>
      <c r="F244">
        <v>-17.420000000000002</v>
      </c>
      <c r="H244" t="s">
        <v>117</v>
      </c>
      <c r="I244" t="s">
        <v>14</v>
      </c>
    </row>
    <row r="245" spans="1:9" x14ac:dyDescent="0.45">
      <c r="A245" s="2">
        <v>44372</v>
      </c>
      <c r="B245" t="s">
        <v>46</v>
      </c>
      <c r="C245" t="s">
        <v>11</v>
      </c>
      <c r="D245" t="s">
        <v>106</v>
      </c>
      <c r="E245" t="s">
        <v>107</v>
      </c>
      <c r="F245">
        <v>2208.73</v>
      </c>
      <c r="H245" t="s">
        <v>12</v>
      </c>
      <c r="I245" t="s">
        <v>13</v>
      </c>
    </row>
    <row r="246" spans="1:9" x14ac:dyDescent="0.45">
      <c r="A246" s="2">
        <v>44379</v>
      </c>
      <c r="B246" t="s">
        <v>46</v>
      </c>
      <c r="C246" t="s">
        <v>91</v>
      </c>
      <c r="D246" t="s">
        <v>92</v>
      </c>
      <c r="E246" t="s">
        <v>93</v>
      </c>
      <c r="F246">
        <v>-112.82</v>
      </c>
      <c r="H246" t="s">
        <v>91</v>
      </c>
      <c r="I246" t="s">
        <v>14</v>
      </c>
    </row>
    <row r="247" spans="1:9" x14ac:dyDescent="0.45">
      <c r="A247" s="2">
        <v>44388</v>
      </c>
      <c r="B247" t="s">
        <v>10</v>
      </c>
      <c r="C247" t="s">
        <v>88</v>
      </c>
      <c r="D247" t="s">
        <v>89</v>
      </c>
      <c r="E247" t="s">
        <v>90</v>
      </c>
      <c r="F247">
        <v>-42.64</v>
      </c>
      <c r="H247" t="s">
        <v>88</v>
      </c>
      <c r="I247" t="s">
        <v>14</v>
      </c>
    </row>
    <row r="248" spans="1:9" x14ac:dyDescent="0.45">
      <c r="A248" s="2">
        <v>44391</v>
      </c>
      <c r="B248" t="s">
        <v>10</v>
      </c>
      <c r="C248" t="s">
        <v>103</v>
      </c>
      <c r="D248" t="s">
        <v>130</v>
      </c>
      <c r="E248" t="s">
        <v>131</v>
      </c>
      <c r="F248">
        <v>-142.03</v>
      </c>
      <c r="H248" t="s">
        <v>103</v>
      </c>
      <c r="I248" t="s">
        <v>14</v>
      </c>
    </row>
    <row r="249" spans="1:9" x14ac:dyDescent="0.45">
      <c r="A249" s="2">
        <v>44392</v>
      </c>
      <c r="B249" t="s">
        <v>46</v>
      </c>
      <c r="C249" t="s">
        <v>88</v>
      </c>
      <c r="D249" t="s">
        <v>136</v>
      </c>
      <c r="E249" t="s">
        <v>137</v>
      </c>
      <c r="F249">
        <v>-41.91</v>
      </c>
      <c r="H249" t="s">
        <v>88</v>
      </c>
      <c r="I249" t="s">
        <v>14</v>
      </c>
    </row>
    <row r="250" spans="1:9" x14ac:dyDescent="0.45">
      <c r="A250" s="2">
        <v>44394</v>
      </c>
      <c r="B250" t="s">
        <v>10</v>
      </c>
      <c r="C250" t="s">
        <v>88</v>
      </c>
      <c r="D250" t="s">
        <v>138</v>
      </c>
      <c r="E250" t="s">
        <v>139</v>
      </c>
      <c r="F250">
        <v>-138.09</v>
      </c>
      <c r="H250" t="s">
        <v>88</v>
      </c>
      <c r="I250" t="s">
        <v>14</v>
      </c>
    </row>
    <row r="251" spans="1:9" x14ac:dyDescent="0.45">
      <c r="A251" s="2">
        <v>44395</v>
      </c>
      <c r="B251" t="s">
        <v>49</v>
      </c>
      <c r="C251" t="s">
        <v>98</v>
      </c>
      <c r="D251" t="s">
        <v>148</v>
      </c>
      <c r="E251" t="s">
        <v>149</v>
      </c>
      <c r="F251">
        <v>-37.22</v>
      </c>
      <c r="H251" t="s">
        <v>98</v>
      </c>
      <c r="I251" t="s">
        <v>14</v>
      </c>
    </row>
    <row r="252" spans="1:9" x14ac:dyDescent="0.45">
      <c r="A252" s="2">
        <v>44395</v>
      </c>
      <c r="B252" t="s">
        <v>10</v>
      </c>
      <c r="C252" t="s">
        <v>103</v>
      </c>
      <c r="D252" t="s">
        <v>130</v>
      </c>
      <c r="E252" t="s">
        <v>131</v>
      </c>
      <c r="F252">
        <v>-117.76</v>
      </c>
      <c r="H252" t="s">
        <v>103</v>
      </c>
      <c r="I252" t="s">
        <v>14</v>
      </c>
    </row>
    <row r="253" spans="1:9" x14ac:dyDescent="0.45">
      <c r="A253" s="2">
        <v>44405</v>
      </c>
      <c r="B253" t="s">
        <v>49</v>
      </c>
      <c r="C253" t="s">
        <v>77</v>
      </c>
      <c r="D253" t="s">
        <v>96</v>
      </c>
      <c r="E253" t="s">
        <v>97</v>
      </c>
      <c r="F253">
        <v>-110.17</v>
      </c>
      <c r="H253" t="s">
        <v>77</v>
      </c>
      <c r="I253" t="s">
        <v>14</v>
      </c>
    </row>
    <row r="254" spans="1:9" x14ac:dyDescent="0.45">
      <c r="A254" s="2">
        <v>44419</v>
      </c>
      <c r="B254" t="s">
        <v>10</v>
      </c>
      <c r="C254" t="s">
        <v>91</v>
      </c>
      <c r="D254" t="s">
        <v>122</v>
      </c>
      <c r="E254" t="s">
        <v>123</v>
      </c>
      <c r="F254">
        <v>-26.66</v>
      </c>
      <c r="H254" t="s">
        <v>91</v>
      </c>
      <c r="I254" t="s">
        <v>14</v>
      </c>
    </row>
    <row r="255" spans="1:9" x14ac:dyDescent="0.45">
      <c r="A255" s="2">
        <v>44419</v>
      </c>
      <c r="B255" t="s">
        <v>10</v>
      </c>
      <c r="C255" t="s">
        <v>110</v>
      </c>
      <c r="D255" t="s">
        <v>120</v>
      </c>
      <c r="E255" t="s">
        <v>121</v>
      </c>
      <c r="F255">
        <v>-44.26</v>
      </c>
      <c r="H255" t="s">
        <v>110</v>
      </c>
      <c r="I255" t="s">
        <v>14</v>
      </c>
    </row>
    <row r="256" spans="1:9" x14ac:dyDescent="0.45">
      <c r="A256" s="2">
        <v>44421</v>
      </c>
      <c r="B256" t="s">
        <v>46</v>
      </c>
      <c r="C256" t="s">
        <v>91</v>
      </c>
      <c r="D256" t="s">
        <v>92</v>
      </c>
      <c r="E256" t="s">
        <v>93</v>
      </c>
      <c r="F256">
        <v>-47.62</v>
      </c>
      <c r="H256" t="s">
        <v>91</v>
      </c>
      <c r="I256" t="s">
        <v>14</v>
      </c>
    </row>
    <row r="257" spans="1:9" x14ac:dyDescent="0.45">
      <c r="A257" s="2">
        <v>44426</v>
      </c>
      <c r="B257" t="s">
        <v>10</v>
      </c>
      <c r="C257" t="s">
        <v>117</v>
      </c>
      <c r="D257" t="s">
        <v>124</v>
      </c>
      <c r="E257" t="s">
        <v>125</v>
      </c>
      <c r="F257">
        <v>-55.1</v>
      </c>
      <c r="H257" t="s">
        <v>117</v>
      </c>
      <c r="I257" t="s">
        <v>14</v>
      </c>
    </row>
    <row r="258" spans="1:9" x14ac:dyDescent="0.45">
      <c r="A258" s="2">
        <v>44428</v>
      </c>
      <c r="B258" t="s">
        <v>10</v>
      </c>
      <c r="C258" t="s">
        <v>110</v>
      </c>
      <c r="D258" t="s">
        <v>120</v>
      </c>
      <c r="E258" t="s">
        <v>121</v>
      </c>
      <c r="F258">
        <v>-46.19</v>
      </c>
      <c r="H258" t="s">
        <v>110</v>
      </c>
      <c r="I258" t="s">
        <v>14</v>
      </c>
    </row>
    <row r="259" spans="1:9" x14ac:dyDescent="0.45">
      <c r="A259" s="2">
        <v>44429</v>
      </c>
      <c r="B259" t="s">
        <v>10</v>
      </c>
      <c r="C259" t="s">
        <v>103</v>
      </c>
      <c r="D259" t="s">
        <v>104</v>
      </c>
      <c r="E259" t="s">
        <v>105</v>
      </c>
      <c r="F259">
        <v>-32.04</v>
      </c>
      <c r="H259" t="s">
        <v>103</v>
      </c>
      <c r="I259" t="s">
        <v>14</v>
      </c>
    </row>
    <row r="260" spans="1:9" x14ac:dyDescent="0.45">
      <c r="A260" s="2">
        <v>44431</v>
      </c>
      <c r="B260" t="s">
        <v>49</v>
      </c>
      <c r="C260" t="s">
        <v>91</v>
      </c>
      <c r="D260" t="s">
        <v>92</v>
      </c>
      <c r="E260" t="s">
        <v>93</v>
      </c>
      <c r="F260">
        <v>-143.29</v>
      </c>
      <c r="H260" t="s">
        <v>91</v>
      </c>
      <c r="I260" t="s">
        <v>14</v>
      </c>
    </row>
    <row r="261" spans="1:9" x14ac:dyDescent="0.45">
      <c r="A261" s="2">
        <v>44431</v>
      </c>
      <c r="B261" t="s">
        <v>49</v>
      </c>
      <c r="C261" t="s">
        <v>103</v>
      </c>
      <c r="D261" t="s">
        <v>130</v>
      </c>
      <c r="E261" t="s">
        <v>131</v>
      </c>
      <c r="F261">
        <v>-129.46</v>
      </c>
      <c r="H261" t="s">
        <v>103</v>
      </c>
      <c r="I261" t="s">
        <v>14</v>
      </c>
    </row>
    <row r="262" spans="1:9" x14ac:dyDescent="0.45">
      <c r="A262" s="2">
        <v>44432</v>
      </c>
      <c r="B262" t="s">
        <v>49</v>
      </c>
      <c r="C262" t="s">
        <v>117</v>
      </c>
      <c r="D262" t="s">
        <v>118</v>
      </c>
      <c r="E262" t="s">
        <v>119</v>
      </c>
      <c r="F262">
        <v>-34.89</v>
      </c>
      <c r="H262" t="s">
        <v>117</v>
      </c>
      <c r="I262" t="s">
        <v>14</v>
      </c>
    </row>
    <row r="263" spans="1:9" x14ac:dyDescent="0.45">
      <c r="A263" s="2">
        <v>44435</v>
      </c>
      <c r="B263" t="s">
        <v>46</v>
      </c>
      <c r="C263" t="s">
        <v>80</v>
      </c>
      <c r="D263" t="s">
        <v>94</v>
      </c>
      <c r="E263" t="s">
        <v>95</v>
      </c>
      <c r="F263">
        <v>-77.95</v>
      </c>
      <c r="H263" t="s">
        <v>80</v>
      </c>
      <c r="I263" t="s">
        <v>14</v>
      </c>
    </row>
    <row r="264" spans="1:9" x14ac:dyDescent="0.45">
      <c r="A264" s="2">
        <v>44436</v>
      </c>
      <c r="B264" t="s">
        <v>49</v>
      </c>
      <c r="C264" t="s">
        <v>110</v>
      </c>
      <c r="D264" t="s">
        <v>120</v>
      </c>
      <c r="E264" t="s">
        <v>121</v>
      </c>
      <c r="F264">
        <v>-72.08</v>
      </c>
      <c r="H264" t="s">
        <v>110</v>
      </c>
      <c r="I264" t="s">
        <v>14</v>
      </c>
    </row>
    <row r="265" spans="1:9" x14ac:dyDescent="0.45">
      <c r="A265" s="2">
        <v>44443</v>
      </c>
      <c r="B265" t="s">
        <v>46</v>
      </c>
      <c r="C265" t="s">
        <v>11</v>
      </c>
      <c r="D265" t="s">
        <v>106</v>
      </c>
      <c r="E265" t="s">
        <v>107</v>
      </c>
      <c r="F265">
        <v>2239.94</v>
      </c>
      <c r="H265" t="s">
        <v>12</v>
      </c>
      <c r="I265" t="s">
        <v>13</v>
      </c>
    </row>
    <row r="266" spans="1:9" x14ac:dyDescent="0.45">
      <c r="A266" s="2">
        <v>44443</v>
      </c>
      <c r="B266" t="s">
        <v>49</v>
      </c>
      <c r="C266" t="s">
        <v>91</v>
      </c>
      <c r="D266" t="s">
        <v>122</v>
      </c>
      <c r="E266" t="s">
        <v>123</v>
      </c>
      <c r="F266">
        <v>-91.69</v>
      </c>
      <c r="H266" t="s">
        <v>91</v>
      </c>
      <c r="I266" t="s">
        <v>14</v>
      </c>
    </row>
    <row r="267" spans="1:9" x14ac:dyDescent="0.45">
      <c r="A267" s="2">
        <v>44445</v>
      </c>
      <c r="B267" t="s">
        <v>49</v>
      </c>
      <c r="C267" t="s">
        <v>77</v>
      </c>
      <c r="D267" t="s">
        <v>78</v>
      </c>
      <c r="E267" t="s">
        <v>79</v>
      </c>
      <c r="F267">
        <v>-12.28</v>
      </c>
      <c r="H267" t="s">
        <v>77</v>
      </c>
      <c r="I267" t="s">
        <v>14</v>
      </c>
    </row>
    <row r="268" spans="1:9" x14ac:dyDescent="0.45">
      <c r="A268" s="2">
        <v>44450</v>
      </c>
      <c r="B268" t="s">
        <v>49</v>
      </c>
      <c r="C268" t="s">
        <v>117</v>
      </c>
      <c r="D268" t="s">
        <v>124</v>
      </c>
      <c r="E268" t="s">
        <v>125</v>
      </c>
      <c r="F268">
        <v>-129.76</v>
      </c>
      <c r="H268" t="s">
        <v>117</v>
      </c>
      <c r="I268" t="s">
        <v>14</v>
      </c>
    </row>
    <row r="269" spans="1:9" x14ac:dyDescent="0.45">
      <c r="A269" s="2">
        <v>44451</v>
      </c>
      <c r="B269" t="s">
        <v>49</v>
      </c>
      <c r="C269" t="s">
        <v>91</v>
      </c>
      <c r="D269" t="s">
        <v>122</v>
      </c>
      <c r="E269" t="s">
        <v>123</v>
      </c>
      <c r="F269">
        <v>-93.03</v>
      </c>
      <c r="H269" t="s">
        <v>91</v>
      </c>
      <c r="I269" t="s">
        <v>14</v>
      </c>
    </row>
    <row r="270" spans="1:9" x14ac:dyDescent="0.45">
      <c r="A270" s="2">
        <v>44459</v>
      </c>
      <c r="B270" t="s">
        <v>46</v>
      </c>
      <c r="C270" t="s">
        <v>80</v>
      </c>
      <c r="D270" t="s">
        <v>81</v>
      </c>
      <c r="E270" t="s">
        <v>82</v>
      </c>
      <c r="F270">
        <v>-64.28</v>
      </c>
      <c r="H270" t="s">
        <v>80</v>
      </c>
      <c r="I270" t="s">
        <v>14</v>
      </c>
    </row>
    <row r="271" spans="1:9" x14ac:dyDescent="0.45">
      <c r="A271" s="2">
        <v>44461</v>
      </c>
      <c r="B271" t="s">
        <v>10</v>
      </c>
      <c r="C271" t="s">
        <v>20</v>
      </c>
      <c r="D271" t="s">
        <v>144</v>
      </c>
      <c r="E271" t="s">
        <v>145</v>
      </c>
      <c r="F271">
        <v>-96.11</v>
      </c>
      <c r="H271" t="s">
        <v>20</v>
      </c>
      <c r="I271" t="s">
        <v>14</v>
      </c>
    </row>
    <row r="272" spans="1:9" x14ac:dyDescent="0.45">
      <c r="A272" s="2">
        <v>44463</v>
      </c>
      <c r="B272" t="s">
        <v>46</v>
      </c>
      <c r="C272" t="s">
        <v>11</v>
      </c>
      <c r="D272" t="s">
        <v>115</v>
      </c>
      <c r="E272" t="s">
        <v>116</v>
      </c>
      <c r="F272">
        <v>2513.5700000000002</v>
      </c>
      <c r="H272" t="s">
        <v>12</v>
      </c>
      <c r="I272" t="s">
        <v>13</v>
      </c>
    </row>
    <row r="273" spans="1:9" x14ac:dyDescent="0.45">
      <c r="A273" s="2">
        <v>44463</v>
      </c>
      <c r="B273" t="s">
        <v>46</v>
      </c>
      <c r="C273" t="s">
        <v>98</v>
      </c>
      <c r="D273" t="s">
        <v>134</v>
      </c>
      <c r="E273" t="s">
        <v>135</v>
      </c>
      <c r="F273">
        <v>-55.01</v>
      </c>
      <c r="H273" t="s">
        <v>98</v>
      </c>
      <c r="I273" t="s">
        <v>14</v>
      </c>
    </row>
    <row r="274" spans="1:9" x14ac:dyDescent="0.45">
      <c r="A274" s="2">
        <v>44463</v>
      </c>
      <c r="B274" t="s">
        <v>46</v>
      </c>
      <c r="C274" t="s">
        <v>117</v>
      </c>
      <c r="D274" t="s">
        <v>118</v>
      </c>
      <c r="E274" t="s">
        <v>119</v>
      </c>
      <c r="F274">
        <v>-102.42</v>
      </c>
      <c r="H274" t="s">
        <v>117</v>
      </c>
      <c r="I274" t="s">
        <v>14</v>
      </c>
    </row>
    <row r="275" spans="1:9" x14ac:dyDescent="0.45">
      <c r="A275" s="2">
        <v>44464</v>
      </c>
      <c r="B275" t="s">
        <v>10</v>
      </c>
      <c r="C275" t="s">
        <v>85</v>
      </c>
      <c r="D275" t="s">
        <v>86</v>
      </c>
      <c r="E275" t="s">
        <v>87</v>
      </c>
      <c r="F275">
        <v>-18</v>
      </c>
      <c r="H275" t="s">
        <v>85</v>
      </c>
      <c r="I275" t="s">
        <v>14</v>
      </c>
    </row>
    <row r="276" spans="1:9" x14ac:dyDescent="0.45">
      <c r="A276" s="2">
        <v>44475</v>
      </c>
      <c r="B276" t="s">
        <v>10</v>
      </c>
      <c r="C276" t="s">
        <v>88</v>
      </c>
      <c r="D276" t="s">
        <v>136</v>
      </c>
      <c r="E276" t="s">
        <v>137</v>
      </c>
      <c r="F276">
        <v>-129.06</v>
      </c>
      <c r="H276" t="s">
        <v>88</v>
      </c>
      <c r="I276" t="s">
        <v>14</v>
      </c>
    </row>
    <row r="277" spans="1:9" x14ac:dyDescent="0.45">
      <c r="A277" s="2">
        <v>44484</v>
      </c>
      <c r="B277" t="s">
        <v>46</v>
      </c>
      <c r="C277" t="s">
        <v>11</v>
      </c>
      <c r="D277" t="s">
        <v>106</v>
      </c>
      <c r="E277" t="s">
        <v>107</v>
      </c>
      <c r="F277">
        <v>2827.13</v>
      </c>
      <c r="H277" t="s">
        <v>12</v>
      </c>
      <c r="I277" t="s">
        <v>13</v>
      </c>
    </row>
    <row r="278" spans="1:9" x14ac:dyDescent="0.45">
      <c r="A278" s="2">
        <v>44489</v>
      </c>
      <c r="B278" t="s">
        <v>46</v>
      </c>
      <c r="C278" t="s">
        <v>117</v>
      </c>
      <c r="D278" t="s">
        <v>132</v>
      </c>
      <c r="E278" t="s">
        <v>133</v>
      </c>
      <c r="F278">
        <v>-99.18</v>
      </c>
      <c r="H278" t="s">
        <v>117</v>
      </c>
      <c r="I278" t="s">
        <v>14</v>
      </c>
    </row>
    <row r="279" spans="1:9" x14ac:dyDescent="0.45">
      <c r="A279" s="2">
        <v>44494</v>
      </c>
      <c r="B279" t="s">
        <v>46</v>
      </c>
      <c r="C279" t="s">
        <v>20</v>
      </c>
      <c r="D279" t="s">
        <v>144</v>
      </c>
      <c r="E279" t="s">
        <v>145</v>
      </c>
      <c r="F279">
        <v>-15.83</v>
      </c>
      <c r="H279" t="s">
        <v>20</v>
      </c>
      <c r="I279" t="s">
        <v>14</v>
      </c>
    </row>
    <row r="280" spans="1:9" x14ac:dyDescent="0.45">
      <c r="A280" s="2">
        <v>44494</v>
      </c>
      <c r="B280" t="s">
        <v>10</v>
      </c>
      <c r="C280" t="s">
        <v>20</v>
      </c>
      <c r="D280" t="s">
        <v>108</v>
      </c>
      <c r="E280" t="s">
        <v>109</v>
      </c>
      <c r="F280">
        <v>-45.36</v>
      </c>
      <c r="H280" t="s">
        <v>20</v>
      </c>
      <c r="I280" t="s">
        <v>14</v>
      </c>
    </row>
    <row r="281" spans="1:9" x14ac:dyDescent="0.45">
      <c r="A281" s="2">
        <v>44495</v>
      </c>
      <c r="B281" t="s">
        <v>49</v>
      </c>
      <c r="C281" t="s">
        <v>117</v>
      </c>
      <c r="D281" t="s">
        <v>118</v>
      </c>
      <c r="E281" t="s">
        <v>119</v>
      </c>
      <c r="F281">
        <v>-67.28</v>
      </c>
      <c r="H281" t="s">
        <v>117</v>
      </c>
      <c r="I281" t="s">
        <v>14</v>
      </c>
    </row>
    <row r="282" spans="1:9" x14ac:dyDescent="0.45">
      <c r="A282" s="2">
        <v>44502</v>
      </c>
      <c r="B282" t="s">
        <v>46</v>
      </c>
      <c r="C282" t="s">
        <v>103</v>
      </c>
      <c r="D282" t="s">
        <v>130</v>
      </c>
      <c r="E282" t="s">
        <v>131</v>
      </c>
      <c r="F282">
        <v>-72.239999999999995</v>
      </c>
      <c r="H282" t="s">
        <v>103</v>
      </c>
      <c r="I282" t="s">
        <v>14</v>
      </c>
    </row>
    <row r="283" spans="1:9" x14ac:dyDescent="0.45">
      <c r="A283" s="2">
        <v>44503</v>
      </c>
      <c r="B283" t="s">
        <v>10</v>
      </c>
      <c r="C283" t="s">
        <v>117</v>
      </c>
      <c r="D283" t="s">
        <v>118</v>
      </c>
      <c r="E283" t="s">
        <v>119</v>
      </c>
      <c r="F283">
        <v>-87.69</v>
      </c>
      <c r="H283" t="s">
        <v>117</v>
      </c>
      <c r="I283" t="s">
        <v>14</v>
      </c>
    </row>
    <row r="284" spans="1:9" x14ac:dyDescent="0.45">
      <c r="A284" s="2">
        <v>44504</v>
      </c>
      <c r="B284" t="s">
        <v>46</v>
      </c>
      <c r="C284" t="s">
        <v>20</v>
      </c>
      <c r="D284" t="s">
        <v>108</v>
      </c>
      <c r="E284" t="s">
        <v>109</v>
      </c>
      <c r="F284">
        <v>-128.38999999999999</v>
      </c>
      <c r="H284" t="s">
        <v>20</v>
      </c>
      <c r="I284" t="s">
        <v>14</v>
      </c>
    </row>
    <row r="285" spans="1:9" x14ac:dyDescent="0.45">
      <c r="A285" s="2">
        <v>44505</v>
      </c>
      <c r="B285" t="s">
        <v>10</v>
      </c>
      <c r="C285" t="s">
        <v>103</v>
      </c>
      <c r="D285" t="s">
        <v>104</v>
      </c>
      <c r="E285" t="s">
        <v>105</v>
      </c>
      <c r="F285">
        <v>-70.31</v>
      </c>
      <c r="H285" t="s">
        <v>103</v>
      </c>
      <c r="I285" t="s">
        <v>14</v>
      </c>
    </row>
    <row r="286" spans="1:9" x14ac:dyDescent="0.45">
      <c r="A286" s="2">
        <v>44507</v>
      </c>
      <c r="B286" t="s">
        <v>46</v>
      </c>
      <c r="C286" t="s">
        <v>117</v>
      </c>
      <c r="D286" t="s">
        <v>132</v>
      </c>
      <c r="E286" t="s">
        <v>133</v>
      </c>
      <c r="F286">
        <v>-120.02</v>
      </c>
      <c r="H286" t="s">
        <v>117</v>
      </c>
      <c r="I286" t="s">
        <v>14</v>
      </c>
    </row>
    <row r="287" spans="1:9" x14ac:dyDescent="0.45">
      <c r="A287" s="2">
        <v>44517</v>
      </c>
      <c r="B287" t="s">
        <v>46</v>
      </c>
      <c r="C287" t="s">
        <v>85</v>
      </c>
      <c r="D287" t="s">
        <v>101</v>
      </c>
      <c r="E287" t="s">
        <v>102</v>
      </c>
      <c r="F287">
        <v>-114.81</v>
      </c>
      <c r="H287" t="s">
        <v>85</v>
      </c>
      <c r="I287" t="s">
        <v>14</v>
      </c>
    </row>
    <row r="288" spans="1:9" x14ac:dyDescent="0.45">
      <c r="A288" s="2">
        <v>44521</v>
      </c>
      <c r="B288" t="s">
        <v>46</v>
      </c>
      <c r="C288" t="s">
        <v>91</v>
      </c>
      <c r="D288" t="s">
        <v>113</v>
      </c>
      <c r="E288" t="s">
        <v>114</v>
      </c>
      <c r="F288">
        <v>-19.36</v>
      </c>
      <c r="H288" t="s">
        <v>91</v>
      </c>
      <c r="I288" t="s">
        <v>14</v>
      </c>
    </row>
    <row r="289" spans="1:9" x14ac:dyDescent="0.45">
      <c r="A289" s="2">
        <v>44524</v>
      </c>
      <c r="B289" t="s">
        <v>46</v>
      </c>
      <c r="C289" t="s">
        <v>80</v>
      </c>
      <c r="D289" t="s">
        <v>81</v>
      </c>
      <c r="E289" t="s">
        <v>82</v>
      </c>
      <c r="F289">
        <v>-113.59</v>
      </c>
      <c r="H289" t="s">
        <v>80</v>
      </c>
      <c r="I289" t="s">
        <v>14</v>
      </c>
    </row>
    <row r="290" spans="1:9" x14ac:dyDescent="0.45">
      <c r="A290" s="2">
        <v>44524</v>
      </c>
      <c r="B290" t="s">
        <v>49</v>
      </c>
      <c r="C290" t="s">
        <v>98</v>
      </c>
      <c r="D290" t="s">
        <v>99</v>
      </c>
      <c r="E290" t="s">
        <v>100</v>
      </c>
      <c r="F290">
        <v>-94.42</v>
      </c>
      <c r="H290" t="s">
        <v>98</v>
      </c>
      <c r="I290" t="s">
        <v>14</v>
      </c>
    </row>
    <row r="291" spans="1:9" x14ac:dyDescent="0.45">
      <c r="A291" s="2">
        <v>44528</v>
      </c>
      <c r="B291" t="s">
        <v>10</v>
      </c>
      <c r="C291" t="s">
        <v>103</v>
      </c>
      <c r="D291" t="s">
        <v>130</v>
      </c>
      <c r="E291" t="s">
        <v>131</v>
      </c>
      <c r="F291">
        <v>-17.100000000000001</v>
      </c>
      <c r="H291" t="s">
        <v>103</v>
      </c>
      <c r="I291" t="s">
        <v>14</v>
      </c>
    </row>
    <row r="292" spans="1:9" x14ac:dyDescent="0.45">
      <c r="A292" s="2">
        <v>44531</v>
      </c>
      <c r="B292" t="s">
        <v>10</v>
      </c>
      <c r="C292" t="s">
        <v>91</v>
      </c>
      <c r="D292" t="s">
        <v>92</v>
      </c>
      <c r="E292" t="s">
        <v>93</v>
      </c>
      <c r="F292">
        <v>-74.84</v>
      </c>
      <c r="H292" t="s">
        <v>91</v>
      </c>
      <c r="I292" t="s">
        <v>14</v>
      </c>
    </row>
    <row r="293" spans="1:9" x14ac:dyDescent="0.45">
      <c r="A293" s="2">
        <v>44536</v>
      </c>
      <c r="B293" t="s">
        <v>49</v>
      </c>
      <c r="C293" t="s">
        <v>20</v>
      </c>
      <c r="D293" t="s">
        <v>144</v>
      </c>
      <c r="E293" t="s">
        <v>145</v>
      </c>
      <c r="F293">
        <v>-67.39</v>
      </c>
      <c r="H293" t="s">
        <v>20</v>
      </c>
      <c r="I293" t="s">
        <v>14</v>
      </c>
    </row>
    <row r="294" spans="1:9" x14ac:dyDescent="0.45">
      <c r="A294" s="2">
        <v>44538</v>
      </c>
      <c r="B294" t="s">
        <v>10</v>
      </c>
      <c r="C294" t="s">
        <v>85</v>
      </c>
      <c r="D294" t="s">
        <v>86</v>
      </c>
      <c r="E294" t="s">
        <v>87</v>
      </c>
      <c r="F294">
        <v>-86.11</v>
      </c>
      <c r="H294" t="s">
        <v>85</v>
      </c>
      <c r="I294" t="s">
        <v>14</v>
      </c>
    </row>
    <row r="295" spans="1:9" x14ac:dyDescent="0.45">
      <c r="A295" s="2">
        <v>44539</v>
      </c>
      <c r="B295" t="s">
        <v>49</v>
      </c>
      <c r="C295" t="s">
        <v>98</v>
      </c>
      <c r="D295" t="s">
        <v>99</v>
      </c>
      <c r="E295" t="s">
        <v>100</v>
      </c>
      <c r="F295">
        <v>-80.099999999999994</v>
      </c>
      <c r="H295" t="s">
        <v>98</v>
      </c>
      <c r="I295" t="s">
        <v>14</v>
      </c>
    </row>
    <row r="296" spans="1:9" x14ac:dyDescent="0.45">
      <c r="A296" s="2">
        <v>44542</v>
      </c>
      <c r="B296" t="s">
        <v>10</v>
      </c>
      <c r="C296" t="s">
        <v>91</v>
      </c>
      <c r="D296" t="s">
        <v>122</v>
      </c>
      <c r="E296" t="s">
        <v>123</v>
      </c>
      <c r="F296">
        <v>-102.48</v>
      </c>
      <c r="H296" t="s">
        <v>91</v>
      </c>
      <c r="I296" t="s">
        <v>14</v>
      </c>
    </row>
    <row r="297" spans="1:9" x14ac:dyDescent="0.45">
      <c r="A297" s="2">
        <v>44543</v>
      </c>
      <c r="B297" t="s">
        <v>46</v>
      </c>
      <c r="C297" t="s">
        <v>88</v>
      </c>
      <c r="D297" t="s">
        <v>89</v>
      </c>
      <c r="E297" t="s">
        <v>90</v>
      </c>
      <c r="F297">
        <v>-108.75</v>
      </c>
      <c r="H297" t="s">
        <v>88</v>
      </c>
      <c r="I297" t="s">
        <v>14</v>
      </c>
    </row>
    <row r="298" spans="1:9" x14ac:dyDescent="0.45">
      <c r="A298" s="2">
        <v>44544</v>
      </c>
      <c r="B298" t="s">
        <v>46</v>
      </c>
      <c r="C298" t="s">
        <v>77</v>
      </c>
      <c r="D298" t="s">
        <v>83</v>
      </c>
      <c r="E298" t="s">
        <v>84</v>
      </c>
      <c r="F298">
        <v>-19.170000000000002</v>
      </c>
      <c r="H298" t="s">
        <v>77</v>
      </c>
      <c r="I298" t="s">
        <v>14</v>
      </c>
    </row>
    <row r="299" spans="1:9" x14ac:dyDescent="0.45">
      <c r="A299" s="2">
        <v>44546</v>
      </c>
      <c r="B299" t="s">
        <v>46</v>
      </c>
      <c r="C299" t="s">
        <v>98</v>
      </c>
      <c r="D299" t="s">
        <v>134</v>
      </c>
      <c r="E299" t="s">
        <v>135</v>
      </c>
      <c r="F299">
        <v>-149.26</v>
      </c>
      <c r="H299" t="s">
        <v>98</v>
      </c>
      <c r="I299" t="s">
        <v>14</v>
      </c>
    </row>
    <row r="300" spans="1:9" x14ac:dyDescent="0.45">
      <c r="A300" s="2">
        <v>44549</v>
      </c>
      <c r="B300" t="s">
        <v>49</v>
      </c>
      <c r="C300" t="s">
        <v>11</v>
      </c>
      <c r="D300" t="s">
        <v>115</v>
      </c>
      <c r="E300" t="s">
        <v>116</v>
      </c>
      <c r="F300">
        <v>2672.98</v>
      </c>
      <c r="H300" t="s">
        <v>12</v>
      </c>
      <c r="I300" t="s">
        <v>13</v>
      </c>
    </row>
    <row r="301" spans="1:9" x14ac:dyDescent="0.45">
      <c r="A301" s="2">
        <v>44551</v>
      </c>
      <c r="B301" t="s">
        <v>10</v>
      </c>
      <c r="C301" t="s">
        <v>80</v>
      </c>
      <c r="D301" t="s">
        <v>94</v>
      </c>
      <c r="E301" t="s">
        <v>95</v>
      </c>
      <c r="F301">
        <v>-17.21</v>
      </c>
      <c r="H301" t="s">
        <v>80</v>
      </c>
      <c r="I301" t="s">
        <v>14</v>
      </c>
    </row>
    <row r="302" spans="1:9" x14ac:dyDescent="0.45">
      <c r="A302" s="2">
        <v>44571</v>
      </c>
      <c r="B302" t="s">
        <v>10</v>
      </c>
      <c r="C302" t="s">
        <v>98</v>
      </c>
      <c r="D302" t="s">
        <v>148</v>
      </c>
      <c r="E302" t="s">
        <v>149</v>
      </c>
      <c r="F302">
        <v>-102.43</v>
      </c>
      <c r="H302" t="s">
        <v>98</v>
      </c>
      <c r="I302" t="s">
        <v>14</v>
      </c>
    </row>
    <row r="303" spans="1:9" x14ac:dyDescent="0.45">
      <c r="A303" s="2">
        <v>44571</v>
      </c>
      <c r="B303" t="s">
        <v>46</v>
      </c>
      <c r="C303" t="s">
        <v>117</v>
      </c>
      <c r="D303" t="s">
        <v>118</v>
      </c>
      <c r="E303" t="s">
        <v>119</v>
      </c>
      <c r="F303">
        <v>-146.13</v>
      </c>
      <c r="H303" t="s">
        <v>117</v>
      </c>
      <c r="I303" t="s">
        <v>14</v>
      </c>
    </row>
    <row r="304" spans="1:9" x14ac:dyDescent="0.45">
      <c r="A304" s="2">
        <v>44572</v>
      </c>
      <c r="B304" t="s">
        <v>10</v>
      </c>
      <c r="C304" t="s">
        <v>20</v>
      </c>
      <c r="D304" t="s">
        <v>144</v>
      </c>
      <c r="E304" t="s">
        <v>145</v>
      </c>
      <c r="F304">
        <v>-102.17</v>
      </c>
      <c r="H304" t="s">
        <v>20</v>
      </c>
      <c r="I304" t="s">
        <v>14</v>
      </c>
    </row>
    <row r="305" spans="1:9" x14ac:dyDescent="0.45">
      <c r="A305" s="2">
        <v>44575</v>
      </c>
      <c r="B305" t="s">
        <v>49</v>
      </c>
      <c r="C305" t="s">
        <v>77</v>
      </c>
      <c r="D305" t="s">
        <v>78</v>
      </c>
      <c r="E305" t="s">
        <v>79</v>
      </c>
      <c r="F305">
        <v>-100.85</v>
      </c>
      <c r="H305" t="s">
        <v>77</v>
      </c>
      <c r="I305" t="s">
        <v>14</v>
      </c>
    </row>
    <row r="306" spans="1:9" x14ac:dyDescent="0.45">
      <c r="A306" s="2">
        <v>44575</v>
      </c>
      <c r="B306" t="s">
        <v>46</v>
      </c>
      <c r="C306" t="s">
        <v>110</v>
      </c>
      <c r="D306" t="s">
        <v>126</v>
      </c>
      <c r="E306" t="s">
        <v>127</v>
      </c>
      <c r="F306">
        <v>-147.15</v>
      </c>
      <c r="H306" t="s">
        <v>110</v>
      </c>
      <c r="I306" t="s">
        <v>14</v>
      </c>
    </row>
    <row r="307" spans="1:9" x14ac:dyDescent="0.45">
      <c r="A307" s="2">
        <v>44576</v>
      </c>
      <c r="B307" t="s">
        <v>10</v>
      </c>
      <c r="C307" t="s">
        <v>80</v>
      </c>
      <c r="D307" t="s">
        <v>94</v>
      </c>
      <c r="E307" t="s">
        <v>95</v>
      </c>
      <c r="F307">
        <v>-19.96</v>
      </c>
      <c r="H307" t="s">
        <v>80</v>
      </c>
      <c r="I307" t="s">
        <v>14</v>
      </c>
    </row>
    <row r="308" spans="1:9" x14ac:dyDescent="0.45">
      <c r="A308" s="2">
        <v>44578</v>
      </c>
      <c r="B308" t="s">
        <v>49</v>
      </c>
      <c r="C308" t="s">
        <v>103</v>
      </c>
      <c r="D308" t="s">
        <v>142</v>
      </c>
      <c r="E308" t="s">
        <v>143</v>
      </c>
      <c r="F308">
        <v>-56.49</v>
      </c>
      <c r="H308" t="s">
        <v>103</v>
      </c>
      <c r="I308" t="s">
        <v>14</v>
      </c>
    </row>
    <row r="309" spans="1:9" x14ac:dyDescent="0.45">
      <c r="A309" s="2">
        <v>44582</v>
      </c>
      <c r="B309" t="s">
        <v>46</v>
      </c>
      <c r="C309" t="s">
        <v>117</v>
      </c>
      <c r="D309" t="s">
        <v>118</v>
      </c>
      <c r="E309" t="s">
        <v>119</v>
      </c>
      <c r="F309">
        <v>-16.739999999999998</v>
      </c>
      <c r="H309" t="s">
        <v>117</v>
      </c>
      <c r="I309" t="s">
        <v>14</v>
      </c>
    </row>
    <row r="310" spans="1:9" x14ac:dyDescent="0.45">
      <c r="A310" s="2">
        <v>44585</v>
      </c>
      <c r="B310" t="s">
        <v>49</v>
      </c>
      <c r="C310" t="s">
        <v>20</v>
      </c>
      <c r="D310" t="s">
        <v>146</v>
      </c>
      <c r="E310" t="s">
        <v>147</v>
      </c>
      <c r="F310">
        <v>-96.26</v>
      </c>
      <c r="H310" t="s">
        <v>20</v>
      </c>
      <c r="I310" t="s">
        <v>14</v>
      </c>
    </row>
    <row r="311" spans="1:9" x14ac:dyDescent="0.45">
      <c r="A311" s="2">
        <v>44589</v>
      </c>
      <c r="B311" t="s">
        <v>10</v>
      </c>
      <c r="C311" t="s">
        <v>88</v>
      </c>
      <c r="D311" t="s">
        <v>89</v>
      </c>
      <c r="E311" t="s">
        <v>90</v>
      </c>
      <c r="F311">
        <v>-146.32</v>
      </c>
      <c r="H311" t="s">
        <v>88</v>
      </c>
      <c r="I311" t="s">
        <v>14</v>
      </c>
    </row>
    <row r="312" spans="1:9" x14ac:dyDescent="0.45">
      <c r="A312" s="2">
        <v>44595</v>
      </c>
      <c r="B312" t="s">
        <v>49</v>
      </c>
      <c r="C312" t="s">
        <v>110</v>
      </c>
      <c r="D312" t="s">
        <v>120</v>
      </c>
      <c r="E312" t="s">
        <v>121</v>
      </c>
      <c r="F312">
        <v>-91.19</v>
      </c>
      <c r="H312" t="s">
        <v>110</v>
      </c>
      <c r="I312" t="s">
        <v>14</v>
      </c>
    </row>
    <row r="313" spans="1:9" x14ac:dyDescent="0.45">
      <c r="A313" s="2">
        <v>44602</v>
      </c>
      <c r="B313" t="s">
        <v>46</v>
      </c>
      <c r="C313" t="s">
        <v>80</v>
      </c>
      <c r="D313" t="s">
        <v>128</v>
      </c>
      <c r="E313" t="s">
        <v>129</v>
      </c>
      <c r="F313">
        <v>-19.5</v>
      </c>
      <c r="H313" t="s">
        <v>80</v>
      </c>
      <c r="I313" t="s">
        <v>14</v>
      </c>
    </row>
    <row r="314" spans="1:9" x14ac:dyDescent="0.45">
      <c r="A314" s="2">
        <v>44603</v>
      </c>
      <c r="B314" t="s">
        <v>10</v>
      </c>
      <c r="C314" t="s">
        <v>110</v>
      </c>
      <c r="D314" t="s">
        <v>120</v>
      </c>
      <c r="E314" t="s">
        <v>121</v>
      </c>
      <c r="F314">
        <v>-110.94</v>
      </c>
      <c r="H314" t="s">
        <v>110</v>
      </c>
      <c r="I314" t="s">
        <v>14</v>
      </c>
    </row>
    <row r="315" spans="1:9" x14ac:dyDescent="0.45">
      <c r="A315" s="2">
        <v>44605</v>
      </c>
      <c r="B315" t="s">
        <v>46</v>
      </c>
      <c r="C315" t="s">
        <v>20</v>
      </c>
      <c r="D315" t="s">
        <v>108</v>
      </c>
      <c r="E315" t="s">
        <v>109</v>
      </c>
      <c r="F315">
        <v>-24.86</v>
      </c>
      <c r="H315" t="s">
        <v>20</v>
      </c>
      <c r="I315" t="s">
        <v>14</v>
      </c>
    </row>
    <row r="316" spans="1:9" x14ac:dyDescent="0.45">
      <c r="A316" s="2">
        <v>44608</v>
      </c>
      <c r="B316" t="s">
        <v>46</v>
      </c>
      <c r="C316" t="s">
        <v>11</v>
      </c>
      <c r="D316" t="s">
        <v>106</v>
      </c>
      <c r="E316" t="s">
        <v>107</v>
      </c>
      <c r="F316">
        <v>2274.98</v>
      </c>
      <c r="H316" t="s">
        <v>12</v>
      </c>
      <c r="I316" t="s">
        <v>13</v>
      </c>
    </row>
    <row r="317" spans="1:9" x14ac:dyDescent="0.45">
      <c r="A317" s="2">
        <v>44608</v>
      </c>
      <c r="B317" t="s">
        <v>49</v>
      </c>
      <c r="C317" t="s">
        <v>91</v>
      </c>
      <c r="D317" t="s">
        <v>92</v>
      </c>
      <c r="E317" t="s">
        <v>93</v>
      </c>
      <c r="F317">
        <v>-129.96</v>
      </c>
      <c r="H317" t="s">
        <v>91</v>
      </c>
      <c r="I317" t="s">
        <v>14</v>
      </c>
    </row>
    <row r="318" spans="1:9" x14ac:dyDescent="0.45">
      <c r="A318" s="2">
        <v>44611</v>
      </c>
      <c r="B318" t="s">
        <v>46</v>
      </c>
      <c r="C318" t="s">
        <v>20</v>
      </c>
      <c r="D318" t="s">
        <v>108</v>
      </c>
      <c r="E318" t="s">
        <v>109</v>
      </c>
      <c r="F318">
        <v>-27.09</v>
      </c>
      <c r="H318" t="s">
        <v>20</v>
      </c>
      <c r="I318" t="s">
        <v>14</v>
      </c>
    </row>
    <row r="319" spans="1:9" x14ac:dyDescent="0.45">
      <c r="A319" s="2">
        <v>44611</v>
      </c>
      <c r="B319" t="s">
        <v>46</v>
      </c>
      <c r="C319" t="s">
        <v>85</v>
      </c>
      <c r="D319" t="s">
        <v>101</v>
      </c>
      <c r="E319" t="s">
        <v>102</v>
      </c>
      <c r="F319">
        <v>-25.16</v>
      </c>
      <c r="H319" t="s">
        <v>85</v>
      </c>
      <c r="I319" t="s">
        <v>14</v>
      </c>
    </row>
    <row r="320" spans="1:9" x14ac:dyDescent="0.45">
      <c r="A320" s="2">
        <v>44616</v>
      </c>
      <c r="B320" t="s">
        <v>49</v>
      </c>
      <c r="C320" t="s">
        <v>80</v>
      </c>
      <c r="D320" t="s">
        <v>94</v>
      </c>
      <c r="E320" t="s">
        <v>95</v>
      </c>
      <c r="F320">
        <v>-39.270000000000003</v>
      </c>
      <c r="H320" t="s">
        <v>80</v>
      </c>
      <c r="I320" t="s">
        <v>14</v>
      </c>
    </row>
    <row r="321" spans="1:9" x14ac:dyDescent="0.45">
      <c r="A321" s="2">
        <v>44617</v>
      </c>
      <c r="B321" t="s">
        <v>49</v>
      </c>
      <c r="C321" t="s">
        <v>85</v>
      </c>
      <c r="D321" t="s">
        <v>101</v>
      </c>
      <c r="E321" t="s">
        <v>102</v>
      </c>
      <c r="F321">
        <v>-74.849999999999994</v>
      </c>
      <c r="H321" t="s">
        <v>85</v>
      </c>
      <c r="I321" t="s">
        <v>14</v>
      </c>
    </row>
    <row r="322" spans="1:9" x14ac:dyDescent="0.45">
      <c r="A322" s="2">
        <v>44622</v>
      </c>
      <c r="B322" t="s">
        <v>49</v>
      </c>
      <c r="C322" t="s">
        <v>110</v>
      </c>
      <c r="D322" t="s">
        <v>111</v>
      </c>
      <c r="E322" t="s">
        <v>112</v>
      </c>
      <c r="F322">
        <v>-61.69</v>
      </c>
      <c r="H322" t="s">
        <v>110</v>
      </c>
      <c r="I322" t="s">
        <v>14</v>
      </c>
    </row>
    <row r="323" spans="1:9" x14ac:dyDescent="0.45">
      <c r="A323" s="2">
        <v>44625</v>
      </c>
      <c r="B323" t="s">
        <v>46</v>
      </c>
      <c r="C323" t="s">
        <v>20</v>
      </c>
      <c r="D323" t="s">
        <v>146</v>
      </c>
      <c r="E323" t="s">
        <v>147</v>
      </c>
      <c r="F323">
        <v>-27.16</v>
      </c>
      <c r="H323" t="s">
        <v>20</v>
      </c>
      <c r="I323" t="s">
        <v>14</v>
      </c>
    </row>
    <row r="324" spans="1:9" x14ac:dyDescent="0.45">
      <c r="A324" s="2">
        <v>44626</v>
      </c>
      <c r="B324" t="s">
        <v>10</v>
      </c>
      <c r="C324" t="s">
        <v>91</v>
      </c>
      <c r="D324" t="s">
        <v>92</v>
      </c>
      <c r="E324" t="s">
        <v>93</v>
      </c>
      <c r="F324">
        <v>-90.2</v>
      </c>
      <c r="H324" t="s">
        <v>91</v>
      </c>
      <c r="I324" t="s">
        <v>14</v>
      </c>
    </row>
    <row r="325" spans="1:9" x14ac:dyDescent="0.45">
      <c r="A325" s="2">
        <v>44631</v>
      </c>
      <c r="B325" t="s">
        <v>46</v>
      </c>
      <c r="C325" t="s">
        <v>77</v>
      </c>
      <c r="D325" t="s">
        <v>83</v>
      </c>
      <c r="E325" t="s">
        <v>84</v>
      </c>
      <c r="F325">
        <v>-139.66999999999999</v>
      </c>
      <c r="H325" t="s">
        <v>77</v>
      </c>
      <c r="I325" t="s">
        <v>14</v>
      </c>
    </row>
    <row r="326" spans="1:9" x14ac:dyDescent="0.45">
      <c r="A326" s="2">
        <v>44638</v>
      </c>
      <c r="B326" t="s">
        <v>46</v>
      </c>
      <c r="C326" t="s">
        <v>88</v>
      </c>
      <c r="D326" t="s">
        <v>136</v>
      </c>
      <c r="E326" t="s">
        <v>137</v>
      </c>
      <c r="F326">
        <v>-114.57</v>
      </c>
      <c r="H326" t="s">
        <v>88</v>
      </c>
      <c r="I326" t="s">
        <v>14</v>
      </c>
    </row>
    <row r="327" spans="1:9" x14ac:dyDescent="0.45">
      <c r="A327" s="2">
        <v>44641</v>
      </c>
      <c r="B327" t="s">
        <v>10</v>
      </c>
      <c r="C327" t="s">
        <v>11</v>
      </c>
      <c r="D327" t="s">
        <v>106</v>
      </c>
      <c r="E327" t="s">
        <v>107</v>
      </c>
      <c r="F327">
        <v>1814.9</v>
      </c>
      <c r="H327" t="s">
        <v>12</v>
      </c>
      <c r="I327" t="s">
        <v>13</v>
      </c>
    </row>
    <row r="328" spans="1:9" x14ac:dyDescent="0.45">
      <c r="A328" s="2">
        <v>44654</v>
      </c>
      <c r="B328" t="s">
        <v>46</v>
      </c>
      <c r="C328" t="s">
        <v>20</v>
      </c>
      <c r="D328" t="s">
        <v>144</v>
      </c>
      <c r="E328" t="s">
        <v>145</v>
      </c>
      <c r="F328">
        <v>-51.5</v>
      </c>
      <c r="H328" t="s">
        <v>20</v>
      </c>
      <c r="I328" t="s">
        <v>14</v>
      </c>
    </row>
    <row r="329" spans="1:9" x14ac:dyDescent="0.45">
      <c r="A329" s="2">
        <v>44657</v>
      </c>
      <c r="B329" t="s">
        <v>46</v>
      </c>
      <c r="C329" t="s">
        <v>91</v>
      </c>
      <c r="D329" t="s">
        <v>92</v>
      </c>
      <c r="E329" t="s">
        <v>93</v>
      </c>
      <c r="F329">
        <v>-13.86</v>
      </c>
      <c r="H329" t="s">
        <v>91</v>
      </c>
      <c r="I329" t="s">
        <v>14</v>
      </c>
    </row>
    <row r="330" spans="1:9" x14ac:dyDescent="0.45">
      <c r="A330" s="2">
        <v>44661</v>
      </c>
      <c r="B330" t="s">
        <v>49</v>
      </c>
      <c r="C330" t="s">
        <v>88</v>
      </c>
      <c r="D330" t="s">
        <v>136</v>
      </c>
      <c r="E330" t="s">
        <v>137</v>
      </c>
      <c r="F330">
        <v>-131.29</v>
      </c>
      <c r="H330" t="s">
        <v>88</v>
      </c>
      <c r="I330" t="s">
        <v>14</v>
      </c>
    </row>
    <row r="331" spans="1:9" x14ac:dyDescent="0.45">
      <c r="A331" s="2">
        <v>44668</v>
      </c>
      <c r="B331" t="s">
        <v>46</v>
      </c>
      <c r="C331" t="s">
        <v>91</v>
      </c>
      <c r="D331" t="s">
        <v>92</v>
      </c>
      <c r="E331" t="s">
        <v>93</v>
      </c>
      <c r="F331">
        <v>-106.12</v>
      </c>
      <c r="H331" t="s">
        <v>91</v>
      </c>
      <c r="I331" t="s">
        <v>14</v>
      </c>
    </row>
    <row r="332" spans="1:9" x14ac:dyDescent="0.45">
      <c r="A332" s="2">
        <v>44675</v>
      </c>
      <c r="B332" t="s">
        <v>46</v>
      </c>
      <c r="C332" t="s">
        <v>77</v>
      </c>
      <c r="D332" t="s">
        <v>96</v>
      </c>
      <c r="E332" t="s">
        <v>97</v>
      </c>
      <c r="F332">
        <v>-38.6</v>
      </c>
      <c r="H332" t="s">
        <v>77</v>
      </c>
      <c r="I332" t="s">
        <v>14</v>
      </c>
    </row>
    <row r="333" spans="1:9" x14ac:dyDescent="0.45">
      <c r="A333" s="2">
        <v>44678</v>
      </c>
      <c r="B333" t="s">
        <v>10</v>
      </c>
      <c r="C333" t="s">
        <v>11</v>
      </c>
      <c r="D333" t="s">
        <v>106</v>
      </c>
      <c r="E333" t="s">
        <v>107</v>
      </c>
      <c r="F333">
        <v>2127.02</v>
      </c>
      <c r="H333" t="s">
        <v>12</v>
      </c>
      <c r="I333" t="s">
        <v>13</v>
      </c>
    </row>
    <row r="334" spans="1:9" x14ac:dyDescent="0.45">
      <c r="A334" s="2">
        <v>44678</v>
      </c>
      <c r="B334" t="s">
        <v>10</v>
      </c>
      <c r="C334" t="s">
        <v>103</v>
      </c>
      <c r="D334" t="s">
        <v>142</v>
      </c>
      <c r="E334" t="s">
        <v>143</v>
      </c>
      <c r="F334">
        <v>-77.09</v>
      </c>
      <c r="H334" t="s">
        <v>103</v>
      </c>
      <c r="I334" t="s">
        <v>14</v>
      </c>
    </row>
    <row r="335" spans="1:9" x14ac:dyDescent="0.45">
      <c r="A335" s="2">
        <v>44679</v>
      </c>
      <c r="B335" t="s">
        <v>10</v>
      </c>
      <c r="C335" t="s">
        <v>91</v>
      </c>
      <c r="D335" t="s">
        <v>113</v>
      </c>
      <c r="E335" t="s">
        <v>114</v>
      </c>
      <c r="F335">
        <v>-10.99</v>
      </c>
      <c r="H335" t="s">
        <v>91</v>
      </c>
      <c r="I335" t="s">
        <v>14</v>
      </c>
    </row>
    <row r="336" spans="1:9" x14ac:dyDescent="0.45">
      <c r="A336" s="2">
        <v>44679</v>
      </c>
      <c r="B336" t="s">
        <v>49</v>
      </c>
      <c r="C336" t="s">
        <v>98</v>
      </c>
      <c r="D336" t="s">
        <v>99</v>
      </c>
      <c r="E336" t="s">
        <v>100</v>
      </c>
      <c r="F336">
        <v>-133.22999999999999</v>
      </c>
      <c r="H336" t="s">
        <v>98</v>
      </c>
      <c r="I336" t="s">
        <v>14</v>
      </c>
    </row>
    <row r="337" spans="1:9" x14ac:dyDescent="0.45">
      <c r="A337" s="2">
        <v>44682</v>
      </c>
      <c r="B337" t="s">
        <v>46</v>
      </c>
      <c r="C337" t="s">
        <v>77</v>
      </c>
      <c r="D337" t="s">
        <v>83</v>
      </c>
      <c r="E337" t="s">
        <v>84</v>
      </c>
      <c r="F337">
        <v>-19.239999999999998</v>
      </c>
      <c r="H337" t="s">
        <v>77</v>
      </c>
      <c r="I337" t="s">
        <v>14</v>
      </c>
    </row>
    <row r="338" spans="1:9" x14ac:dyDescent="0.45">
      <c r="A338" s="2">
        <v>44688</v>
      </c>
      <c r="B338" t="s">
        <v>10</v>
      </c>
      <c r="C338" t="s">
        <v>103</v>
      </c>
      <c r="D338" t="s">
        <v>142</v>
      </c>
      <c r="E338" t="s">
        <v>143</v>
      </c>
      <c r="F338">
        <v>-126.1</v>
      </c>
      <c r="H338" t="s">
        <v>103</v>
      </c>
      <c r="I338" t="s">
        <v>14</v>
      </c>
    </row>
    <row r="339" spans="1:9" x14ac:dyDescent="0.45">
      <c r="A339" s="2">
        <v>44688</v>
      </c>
      <c r="B339" t="s">
        <v>46</v>
      </c>
      <c r="C339" t="s">
        <v>103</v>
      </c>
      <c r="D339" t="s">
        <v>142</v>
      </c>
      <c r="E339" t="s">
        <v>143</v>
      </c>
      <c r="F339">
        <v>-142.61000000000001</v>
      </c>
      <c r="H339" t="s">
        <v>103</v>
      </c>
      <c r="I339" t="s">
        <v>14</v>
      </c>
    </row>
    <row r="340" spans="1:9" x14ac:dyDescent="0.45">
      <c r="A340" s="2">
        <v>44696</v>
      </c>
      <c r="B340" t="s">
        <v>46</v>
      </c>
      <c r="C340" t="s">
        <v>85</v>
      </c>
      <c r="D340" t="s">
        <v>140</v>
      </c>
      <c r="E340" t="s">
        <v>141</v>
      </c>
      <c r="F340">
        <v>-118.74</v>
      </c>
      <c r="H340" t="s">
        <v>85</v>
      </c>
      <c r="I340" t="s">
        <v>14</v>
      </c>
    </row>
    <row r="341" spans="1:9" x14ac:dyDescent="0.45">
      <c r="A341" s="2">
        <v>44700</v>
      </c>
      <c r="B341" t="s">
        <v>46</v>
      </c>
      <c r="C341" t="s">
        <v>103</v>
      </c>
      <c r="D341" t="s">
        <v>130</v>
      </c>
      <c r="E341" t="s">
        <v>131</v>
      </c>
      <c r="F341">
        <v>-28.51</v>
      </c>
      <c r="H341" t="s">
        <v>103</v>
      </c>
      <c r="I341" t="s">
        <v>14</v>
      </c>
    </row>
    <row r="342" spans="1:9" x14ac:dyDescent="0.45">
      <c r="A342" s="2">
        <v>44708</v>
      </c>
      <c r="B342" t="s">
        <v>49</v>
      </c>
      <c r="C342" t="s">
        <v>117</v>
      </c>
      <c r="D342" t="s">
        <v>132</v>
      </c>
      <c r="E342" t="s">
        <v>133</v>
      </c>
      <c r="F342">
        <v>-143.03</v>
      </c>
      <c r="H342" t="s">
        <v>117</v>
      </c>
      <c r="I342" t="s">
        <v>14</v>
      </c>
    </row>
    <row r="343" spans="1:9" x14ac:dyDescent="0.45">
      <c r="A343" s="2">
        <v>44718</v>
      </c>
      <c r="B343" t="s">
        <v>49</v>
      </c>
      <c r="C343" t="s">
        <v>20</v>
      </c>
      <c r="D343" t="s">
        <v>146</v>
      </c>
      <c r="E343" t="s">
        <v>147</v>
      </c>
      <c r="F343">
        <v>-91.07</v>
      </c>
      <c r="H343" t="s">
        <v>20</v>
      </c>
      <c r="I343" t="s">
        <v>14</v>
      </c>
    </row>
    <row r="344" spans="1:9" x14ac:dyDescent="0.45">
      <c r="A344" s="2">
        <v>44721</v>
      </c>
      <c r="B344" t="s">
        <v>46</v>
      </c>
      <c r="C344" t="s">
        <v>103</v>
      </c>
      <c r="D344" t="s">
        <v>130</v>
      </c>
      <c r="E344" t="s">
        <v>131</v>
      </c>
      <c r="F344">
        <v>-51.23</v>
      </c>
      <c r="H344" t="s">
        <v>103</v>
      </c>
      <c r="I344" t="s">
        <v>14</v>
      </c>
    </row>
    <row r="345" spans="1:9" x14ac:dyDescent="0.45">
      <c r="A345" s="2">
        <v>44722</v>
      </c>
      <c r="B345" t="s">
        <v>46</v>
      </c>
      <c r="C345" t="s">
        <v>117</v>
      </c>
      <c r="D345" t="s">
        <v>118</v>
      </c>
      <c r="E345" t="s">
        <v>119</v>
      </c>
      <c r="F345">
        <v>-87.92</v>
      </c>
      <c r="H345" t="s">
        <v>117</v>
      </c>
      <c r="I345" t="s">
        <v>14</v>
      </c>
    </row>
    <row r="346" spans="1:9" x14ac:dyDescent="0.45">
      <c r="A346" s="2">
        <v>44724</v>
      </c>
      <c r="B346" t="s">
        <v>46</v>
      </c>
      <c r="C346" t="s">
        <v>11</v>
      </c>
      <c r="D346" t="s">
        <v>106</v>
      </c>
      <c r="E346" t="s">
        <v>107</v>
      </c>
      <c r="F346">
        <v>2252.04</v>
      </c>
      <c r="H346" t="s">
        <v>12</v>
      </c>
      <c r="I346" t="s">
        <v>13</v>
      </c>
    </row>
    <row r="347" spans="1:9" x14ac:dyDescent="0.45">
      <c r="A347" s="2">
        <v>44728</v>
      </c>
      <c r="B347" t="s">
        <v>46</v>
      </c>
      <c r="C347" t="s">
        <v>85</v>
      </c>
      <c r="D347" t="s">
        <v>86</v>
      </c>
      <c r="E347" t="s">
        <v>87</v>
      </c>
      <c r="F347">
        <v>-129.35</v>
      </c>
      <c r="H347" t="s">
        <v>85</v>
      </c>
      <c r="I347" t="s">
        <v>14</v>
      </c>
    </row>
    <row r="348" spans="1:9" x14ac:dyDescent="0.45">
      <c r="A348" s="2">
        <v>44730</v>
      </c>
      <c r="B348" t="s">
        <v>46</v>
      </c>
      <c r="C348" t="s">
        <v>85</v>
      </c>
      <c r="D348" t="s">
        <v>140</v>
      </c>
      <c r="E348" t="s">
        <v>141</v>
      </c>
      <c r="F348">
        <v>-51.38</v>
      </c>
      <c r="H348" t="s">
        <v>85</v>
      </c>
      <c r="I348" t="s">
        <v>14</v>
      </c>
    </row>
    <row r="349" spans="1:9" x14ac:dyDescent="0.45">
      <c r="A349" s="2">
        <v>44735</v>
      </c>
      <c r="B349" t="s">
        <v>46</v>
      </c>
      <c r="C349" t="s">
        <v>20</v>
      </c>
      <c r="D349" t="s">
        <v>144</v>
      </c>
      <c r="E349" t="s">
        <v>145</v>
      </c>
      <c r="F349">
        <v>-82.22</v>
      </c>
      <c r="H349" t="s">
        <v>20</v>
      </c>
      <c r="I349" t="s">
        <v>14</v>
      </c>
    </row>
    <row r="350" spans="1:9" x14ac:dyDescent="0.45">
      <c r="A350" s="2">
        <v>44754</v>
      </c>
      <c r="B350" t="s">
        <v>46</v>
      </c>
      <c r="C350" t="s">
        <v>88</v>
      </c>
      <c r="D350" t="s">
        <v>89</v>
      </c>
      <c r="E350" t="s">
        <v>90</v>
      </c>
      <c r="F350">
        <v>-106.1</v>
      </c>
      <c r="H350" t="s">
        <v>88</v>
      </c>
      <c r="I350" t="s">
        <v>14</v>
      </c>
    </row>
    <row r="351" spans="1:9" x14ac:dyDescent="0.45">
      <c r="A351" s="2">
        <v>44761</v>
      </c>
      <c r="B351" t="s">
        <v>49</v>
      </c>
      <c r="C351" t="s">
        <v>103</v>
      </c>
      <c r="D351" t="s">
        <v>104</v>
      </c>
      <c r="E351" t="s">
        <v>105</v>
      </c>
      <c r="F351">
        <v>-62</v>
      </c>
      <c r="H351" t="s">
        <v>103</v>
      </c>
      <c r="I351" t="s">
        <v>14</v>
      </c>
    </row>
    <row r="352" spans="1:9" x14ac:dyDescent="0.45">
      <c r="A352" s="2">
        <v>44763</v>
      </c>
      <c r="B352" t="s">
        <v>46</v>
      </c>
      <c r="C352" t="s">
        <v>88</v>
      </c>
      <c r="D352" t="s">
        <v>138</v>
      </c>
      <c r="E352" t="s">
        <v>139</v>
      </c>
      <c r="F352">
        <v>-136.05000000000001</v>
      </c>
      <c r="H352" t="s">
        <v>88</v>
      </c>
      <c r="I352" t="s">
        <v>14</v>
      </c>
    </row>
    <row r="353" spans="1:9" x14ac:dyDescent="0.45">
      <c r="A353" s="2">
        <v>44767</v>
      </c>
      <c r="B353" t="s">
        <v>10</v>
      </c>
      <c r="C353" t="s">
        <v>91</v>
      </c>
      <c r="D353" t="s">
        <v>122</v>
      </c>
      <c r="E353" t="s">
        <v>123</v>
      </c>
      <c r="F353">
        <v>-31.82</v>
      </c>
      <c r="H353" t="s">
        <v>91</v>
      </c>
      <c r="I353" t="s">
        <v>14</v>
      </c>
    </row>
    <row r="354" spans="1:9" x14ac:dyDescent="0.45">
      <c r="A354" s="2">
        <v>44770</v>
      </c>
      <c r="B354" t="s">
        <v>46</v>
      </c>
      <c r="C354" t="s">
        <v>117</v>
      </c>
      <c r="D354" t="s">
        <v>124</v>
      </c>
      <c r="E354" t="s">
        <v>125</v>
      </c>
      <c r="F354">
        <v>-41.4</v>
      </c>
      <c r="H354" t="s">
        <v>117</v>
      </c>
      <c r="I354" t="s">
        <v>14</v>
      </c>
    </row>
    <row r="355" spans="1:9" x14ac:dyDescent="0.45">
      <c r="A355" s="2">
        <v>44774</v>
      </c>
      <c r="B355" t="s">
        <v>49</v>
      </c>
      <c r="C355" t="s">
        <v>98</v>
      </c>
      <c r="D355" t="s">
        <v>99</v>
      </c>
      <c r="E355" t="s">
        <v>100</v>
      </c>
      <c r="F355">
        <v>-32.07</v>
      </c>
      <c r="H355" t="s">
        <v>98</v>
      </c>
      <c r="I355" t="s">
        <v>14</v>
      </c>
    </row>
    <row r="356" spans="1:9" x14ac:dyDescent="0.45">
      <c r="A356" s="2">
        <v>44777</v>
      </c>
      <c r="B356" t="s">
        <v>46</v>
      </c>
      <c r="C356" t="s">
        <v>103</v>
      </c>
      <c r="D356" t="s">
        <v>130</v>
      </c>
      <c r="E356" t="s">
        <v>131</v>
      </c>
      <c r="F356">
        <v>-147.54</v>
      </c>
      <c r="H356" t="s">
        <v>103</v>
      </c>
      <c r="I356" t="s">
        <v>14</v>
      </c>
    </row>
    <row r="357" spans="1:9" x14ac:dyDescent="0.45">
      <c r="A357" s="2">
        <v>44777</v>
      </c>
      <c r="B357" t="s">
        <v>46</v>
      </c>
      <c r="C357" t="s">
        <v>11</v>
      </c>
      <c r="D357" t="s">
        <v>106</v>
      </c>
      <c r="E357" t="s">
        <v>107</v>
      </c>
      <c r="F357">
        <v>2913.08</v>
      </c>
      <c r="H357" t="s">
        <v>12</v>
      </c>
      <c r="I357" t="s">
        <v>13</v>
      </c>
    </row>
    <row r="358" spans="1:9" x14ac:dyDescent="0.45">
      <c r="A358" s="2">
        <v>44778</v>
      </c>
      <c r="B358" t="s">
        <v>10</v>
      </c>
      <c r="C358" t="s">
        <v>77</v>
      </c>
      <c r="D358" t="s">
        <v>96</v>
      </c>
      <c r="E358" t="s">
        <v>97</v>
      </c>
      <c r="F358">
        <v>-87.46</v>
      </c>
      <c r="H358" t="s">
        <v>77</v>
      </c>
      <c r="I358" t="s">
        <v>14</v>
      </c>
    </row>
    <row r="359" spans="1:9" x14ac:dyDescent="0.45">
      <c r="A359" s="2">
        <v>44786</v>
      </c>
      <c r="B359" t="s">
        <v>10</v>
      </c>
      <c r="C359" t="s">
        <v>77</v>
      </c>
      <c r="D359" t="s">
        <v>83</v>
      </c>
      <c r="E359" t="s">
        <v>84</v>
      </c>
      <c r="F359">
        <v>-29.29</v>
      </c>
      <c r="H359" t="s">
        <v>77</v>
      </c>
      <c r="I359" t="s">
        <v>14</v>
      </c>
    </row>
    <row r="360" spans="1:9" x14ac:dyDescent="0.45">
      <c r="A360" s="2">
        <v>44787</v>
      </c>
      <c r="B360" t="s">
        <v>10</v>
      </c>
      <c r="C360" t="s">
        <v>77</v>
      </c>
      <c r="D360" t="s">
        <v>78</v>
      </c>
      <c r="E360" t="s">
        <v>79</v>
      </c>
      <c r="F360">
        <v>-37.21</v>
      </c>
      <c r="H360" t="s">
        <v>77</v>
      </c>
      <c r="I360" t="s">
        <v>14</v>
      </c>
    </row>
    <row r="361" spans="1:9" x14ac:dyDescent="0.45">
      <c r="A361" s="2">
        <v>44788</v>
      </c>
      <c r="B361" t="s">
        <v>10</v>
      </c>
      <c r="C361" t="s">
        <v>85</v>
      </c>
      <c r="D361" t="s">
        <v>86</v>
      </c>
      <c r="E361" t="s">
        <v>87</v>
      </c>
      <c r="F361">
        <v>-37.26</v>
      </c>
      <c r="H361" t="s">
        <v>85</v>
      </c>
      <c r="I361" t="s">
        <v>14</v>
      </c>
    </row>
    <row r="362" spans="1:9" x14ac:dyDescent="0.45">
      <c r="A362" s="2">
        <v>44788</v>
      </c>
      <c r="B362" t="s">
        <v>46</v>
      </c>
      <c r="C362" t="s">
        <v>80</v>
      </c>
      <c r="D362" t="s">
        <v>94</v>
      </c>
      <c r="E362" t="s">
        <v>95</v>
      </c>
      <c r="F362">
        <v>-120.27</v>
      </c>
      <c r="H362" t="s">
        <v>80</v>
      </c>
      <c r="I362" t="s">
        <v>14</v>
      </c>
    </row>
    <row r="363" spans="1:9" x14ac:dyDescent="0.45">
      <c r="A363" s="2">
        <v>44789</v>
      </c>
      <c r="B363" t="s">
        <v>10</v>
      </c>
      <c r="C363" t="s">
        <v>85</v>
      </c>
      <c r="D363" t="s">
        <v>140</v>
      </c>
      <c r="E363" t="s">
        <v>141</v>
      </c>
      <c r="F363">
        <v>-71.55</v>
      </c>
      <c r="H363" t="s">
        <v>85</v>
      </c>
      <c r="I363" t="s">
        <v>14</v>
      </c>
    </row>
    <row r="364" spans="1:9" x14ac:dyDescent="0.45">
      <c r="A364" s="2">
        <v>44791</v>
      </c>
      <c r="B364" t="s">
        <v>46</v>
      </c>
      <c r="C364" t="s">
        <v>117</v>
      </c>
      <c r="D364" t="s">
        <v>118</v>
      </c>
      <c r="E364" t="s">
        <v>119</v>
      </c>
      <c r="F364">
        <v>-116.37</v>
      </c>
      <c r="H364" t="s">
        <v>117</v>
      </c>
      <c r="I364" t="s">
        <v>14</v>
      </c>
    </row>
    <row r="365" spans="1:9" x14ac:dyDescent="0.45">
      <c r="A365" s="2">
        <v>44796</v>
      </c>
      <c r="B365" t="s">
        <v>49</v>
      </c>
      <c r="C365" t="s">
        <v>110</v>
      </c>
      <c r="D365" t="s">
        <v>111</v>
      </c>
      <c r="E365" t="s">
        <v>112</v>
      </c>
      <c r="F365">
        <v>-60.4</v>
      </c>
      <c r="H365" t="s">
        <v>110</v>
      </c>
      <c r="I365" t="s">
        <v>14</v>
      </c>
    </row>
    <row r="366" spans="1:9" x14ac:dyDescent="0.45">
      <c r="A366" s="2">
        <v>44798</v>
      </c>
      <c r="B366" t="s">
        <v>46</v>
      </c>
      <c r="C366" t="s">
        <v>88</v>
      </c>
      <c r="D366" t="s">
        <v>89</v>
      </c>
      <c r="E366" t="s">
        <v>90</v>
      </c>
      <c r="F366">
        <v>-14.4</v>
      </c>
      <c r="H366" t="s">
        <v>88</v>
      </c>
      <c r="I366" t="s">
        <v>14</v>
      </c>
    </row>
    <row r="367" spans="1:9" x14ac:dyDescent="0.45">
      <c r="A367" s="2">
        <v>44801</v>
      </c>
      <c r="B367" t="s">
        <v>46</v>
      </c>
      <c r="C367" t="s">
        <v>77</v>
      </c>
      <c r="D367" t="s">
        <v>96</v>
      </c>
      <c r="E367" t="s">
        <v>97</v>
      </c>
      <c r="F367">
        <v>-95.83</v>
      </c>
      <c r="H367" t="s">
        <v>77</v>
      </c>
      <c r="I367" t="s">
        <v>14</v>
      </c>
    </row>
    <row r="368" spans="1:9" x14ac:dyDescent="0.45">
      <c r="A368" s="2">
        <v>44806</v>
      </c>
      <c r="B368" t="s">
        <v>49</v>
      </c>
      <c r="C368" t="s">
        <v>117</v>
      </c>
      <c r="D368" t="s">
        <v>124</v>
      </c>
      <c r="E368" t="s">
        <v>125</v>
      </c>
      <c r="F368">
        <v>-79.69</v>
      </c>
      <c r="H368" t="s">
        <v>117</v>
      </c>
      <c r="I368" t="s">
        <v>14</v>
      </c>
    </row>
    <row r="369" spans="1:9" x14ac:dyDescent="0.45">
      <c r="A369" s="2">
        <v>44809</v>
      </c>
      <c r="B369" t="s">
        <v>46</v>
      </c>
      <c r="C369" t="s">
        <v>80</v>
      </c>
      <c r="D369" t="s">
        <v>94</v>
      </c>
      <c r="E369" t="s">
        <v>95</v>
      </c>
      <c r="F369">
        <v>-70.02</v>
      </c>
      <c r="H369" t="s">
        <v>80</v>
      </c>
      <c r="I369" t="s">
        <v>14</v>
      </c>
    </row>
    <row r="370" spans="1:9" x14ac:dyDescent="0.45">
      <c r="A370" s="2">
        <v>44810</v>
      </c>
      <c r="B370" t="s">
        <v>46</v>
      </c>
      <c r="C370" t="s">
        <v>98</v>
      </c>
      <c r="D370" t="s">
        <v>134</v>
      </c>
      <c r="E370" t="s">
        <v>135</v>
      </c>
      <c r="F370">
        <v>-72.45</v>
      </c>
      <c r="H370" t="s">
        <v>98</v>
      </c>
      <c r="I370" t="s">
        <v>14</v>
      </c>
    </row>
    <row r="371" spans="1:9" x14ac:dyDescent="0.45">
      <c r="A371" s="2">
        <v>44814</v>
      </c>
      <c r="B371" t="s">
        <v>10</v>
      </c>
      <c r="C371" t="s">
        <v>91</v>
      </c>
      <c r="D371" t="s">
        <v>122</v>
      </c>
      <c r="E371" t="s">
        <v>123</v>
      </c>
      <c r="F371">
        <v>-25.58</v>
      </c>
      <c r="H371" t="s">
        <v>91</v>
      </c>
      <c r="I371" t="s">
        <v>14</v>
      </c>
    </row>
    <row r="372" spans="1:9" x14ac:dyDescent="0.45">
      <c r="A372" s="2">
        <v>44818</v>
      </c>
      <c r="B372" t="s">
        <v>49</v>
      </c>
      <c r="C372" t="s">
        <v>80</v>
      </c>
      <c r="D372" t="s">
        <v>128</v>
      </c>
      <c r="E372" t="s">
        <v>129</v>
      </c>
      <c r="F372">
        <v>-87.47</v>
      </c>
      <c r="H372" t="s">
        <v>80</v>
      </c>
      <c r="I372" t="s">
        <v>14</v>
      </c>
    </row>
    <row r="373" spans="1:9" x14ac:dyDescent="0.45">
      <c r="A373" s="2">
        <v>44819</v>
      </c>
      <c r="B373" t="s">
        <v>49</v>
      </c>
      <c r="C373" t="s">
        <v>88</v>
      </c>
      <c r="D373" t="s">
        <v>136</v>
      </c>
      <c r="E373" t="s">
        <v>137</v>
      </c>
      <c r="F373">
        <v>-142.55000000000001</v>
      </c>
      <c r="H373" t="s">
        <v>88</v>
      </c>
      <c r="I373" t="s">
        <v>14</v>
      </c>
    </row>
    <row r="374" spans="1:9" x14ac:dyDescent="0.45">
      <c r="A374" s="2">
        <v>44819</v>
      </c>
      <c r="B374" t="s">
        <v>49</v>
      </c>
      <c r="C374" t="s">
        <v>98</v>
      </c>
      <c r="D374" t="s">
        <v>134</v>
      </c>
      <c r="E374" t="s">
        <v>135</v>
      </c>
      <c r="F374">
        <v>-67.819999999999993</v>
      </c>
      <c r="H374" t="s">
        <v>98</v>
      </c>
      <c r="I374" t="s">
        <v>14</v>
      </c>
    </row>
    <row r="375" spans="1:9" x14ac:dyDescent="0.45">
      <c r="A375" s="2">
        <v>44822</v>
      </c>
      <c r="B375" t="s">
        <v>46</v>
      </c>
      <c r="C375" t="s">
        <v>110</v>
      </c>
      <c r="D375" t="s">
        <v>111</v>
      </c>
      <c r="E375" t="s">
        <v>112</v>
      </c>
      <c r="F375">
        <v>-83.22</v>
      </c>
      <c r="H375" t="s">
        <v>110</v>
      </c>
      <c r="I375" t="s">
        <v>14</v>
      </c>
    </row>
    <row r="376" spans="1:9" x14ac:dyDescent="0.45">
      <c r="A376" s="2">
        <v>44827</v>
      </c>
      <c r="B376" t="s">
        <v>49</v>
      </c>
      <c r="C376" t="s">
        <v>11</v>
      </c>
      <c r="D376" t="s">
        <v>106</v>
      </c>
      <c r="E376" t="s">
        <v>107</v>
      </c>
      <c r="F376">
        <v>2551.7600000000002</v>
      </c>
      <c r="H376" t="s">
        <v>12</v>
      </c>
      <c r="I376" t="s">
        <v>13</v>
      </c>
    </row>
    <row r="377" spans="1:9" x14ac:dyDescent="0.45">
      <c r="A377" s="2">
        <v>44828</v>
      </c>
      <c r="B377" t="s">
        <v>49</v>
      </c>
      <c r="C377" t="s">
        <v>20</v>
      </c>
      <c r="D377" t="s">
        <v>146</v>
      </c>
      <c r="E377" t="s">
        <v>147</v>
      </c>
      <c r="F377">
        <v>-50.91</v>
      </c>
      <c r="H377" t="s">
        <v>20</v>
      </c>
      <c r="I377" t="s">
        <v>14</v>
      </c>
    </row>
    <row r="378" spans="1:9" x14ac:dyDescent="0.45">
      <c r="A378" s="2">
        <v>44831</v>
      </c>
      <c r="B378" t="s">
        <v>49</v>
      </c>
      <c r="C378" t="s">
        <v>77</v>
      </c>
      <c r="D378" t="s">
        <v>78</v>
      </c>
      <c r="E378" t="s">
        <v>79</v>
      </c>
      <c r="F378">
        <v>-50.51</v>
      </c>
      <c r="H378" t="s">
        <v>77</v>
      </c>
      <c r="I378" t="s">
        <v>14</v>
      </c>
    </row>
    <row r="379" spans="1:9" x14ac:dyDescent="0.45">
      <c r="A379" s="2">
        <v>44838</v>
      </c>
      <c r="B379" t="s">
        <v>49</v>
      </c>
      <c r="C379" t="s">
        <v>20</v>
      </c>
      <c r="D379" t="s">
        <v>144</v>
      </c>
      <c r="E379" t="s">
        <v>145</v>
      </c>
      <c r="F379">
        <v>-76.42</v>
      </c>
      <c r="H379" t="s">
        <v>20</v>
      </c>
      <c r="I379" t="s">
        <v>14</v>
      </c>
    </row>
    <row r="380" spans="1:9" x14ac:dyDescent="0.45">
      <c r="A380" s="2">
        <v>44839</v>
      </c>
      <c r="B380" t="s">
        <v>46</v>
      </c>
      <c r="C380" t="s">
        <v>110</v>
      </c>
      <c r="D380" t="s">
        <v>120</v>
      </c>
      <c r="E380" t="s">
        <v>121</v>
      </c>
      <c r="F380">
        <v>-130.69999999999999</v>
      </c>
      <c r="H380" t="s">
        <v>110</v>
      </c>
      <c r="I380" t="s">
        <v>14</v>
      </c>
    </row>
    <row r="381" spans="1:9" x14ac:dyDescent="0.45">
      <c r="A381" s="2">
        <v>44847</v>
      </c>
      <c r="B381" t="s">
        <v>46</v>
      </c>
      <c r="C381" t="s">
        <v>11</v>
      </c>
      <c r="D381" t="s">
        <v>115</v>
      </c>
      <c r="E381" t="s">
        <v>116</v>
      </c>
      <c r="F381">
        <v>2566.0700000000002</v>
      </c>
      <c r="H381" t="s">
        <v>12</v>
      </c>
      <c r="I381" t="s">
        <v>13</v>
      </c>
    </row>
    <row r="382" spans="1:9" x14ac:dyDescent="0.45">
      <c r="A382" s="2">
        <v>44852</v>
      </c>
      <c r="B382" t="s">
        <v>49</v>
      </c>
      <c r="C382" t="s">
        <v>110</v>
      </c>
      <c r="D382" t="s">
        <v>111</v>
      </c>
      <c r="E382" t="s">
        <v>112</v>
      </c>
      <c r="F382">
        <v>-84.15</v>
      </c>
      <c r="H382" t="s">
        <v>110</v>
      </c>
      <c r="I382" t="s">
        <v>14</v>
      </c>
    </row>
    <row r="383" spans="1:9" x14ac:dyDescent="0.45">
      <c r="A383" s="2">
        <v>44857</v>
      </c>
      <c r="B383" t="s">
        <v>10</v>
      </c>
      <c r="C383" t="s">
        <v>110</v>
      </c>
      <c r="D383" t="s">
        <v>126</v>
      </c>
      <c r="E383" t="s">
        <v>127</v>
      </c>
      <c r="F383">
        <v>-15.76</v>
      </c>
      <c r="H383" t="s">
        <v>110</v>
      </c>
      <c r="I383" t="s">
        <v>14</v>
      </c>
    </row>
    <row r="384" spans="1:9" x14ac:dyDescent="0.45">
      <c r="A384" s="2">
        <v>44861</v>
      </c>
      <c r="B384" t="s">
        <v>10</v>
      </c>
      <c r="C384" t="s">
        <v>110</v>
      </c>
      <c r="D384" t="s">
        <v>111</v>
      </c>
      <c r="E384" t="s">
        <v>112</v>
      </c>
      <c r="F384">
        <v>-86.19</v>
      </c>
      <c r="H384" t="s">
        <v>110</v>
      </c>
      <c r="I384" t="s">
        <v>14</v>
      </c>
    </row>
    <row r="385" spans="1:9" x14ac:dyDescent="0.45">
      <c r="A385" s="2">
        <v>44870</v>
      </c>
      <c r="B385" t="s">
        <v>49</v>
      </c>
      <c r="C385" t="s">
        <v>77</v>
      </c>
      <c r="D385" t="s">
        <v>96</v>
      </c>
      <c r="E385" t="s">
        <v>97</v>
      </c>
      <c r="F385">
        <v>-20.39</v>
      </c>
      <c r="H385" t="s">
        <v>77</v>
      </c>
      <c r="I385" t="s">
        <v>14</v>
      </c>
    </row>
    <row r="386" spans="1:9" x14ac:dyDescent="0.45">
      <c r="A386" s="2">
        <v>44872</v>
      </c>
      <c r="B386" t="s">
        <v>46</v>
      </c>
      <c r="C386" t="s">
        <v>11</v>
      </c>
      <c r="D386" t="s">
        <v>115</v>
      </c>
      <c r="E386" t="s">
        <v>116</v>
      </c>
      <c r="F386">
        <v>2990.93</v>
      </c>
      <c r="H386" t="s">
        <v>12</v>
      </c>
      <c r="I386" t="s">
        <v>13</v>
      </c>
    </row>
    <row r="387" spans="1:9" x14ac:dyDescent="0.45">
      <c r="A387" s="2">
        <v>44872</v>
      </c>
      <c r="B387" t="s">
        <v>10</v>
      </c>
      <c r="C387" t="s">
        <v>88</v>
      </c>
      <c r="D387" t="s">
        <v>138</v>
      </c>
      <c r="E387" t="s">
        <v>139</v>
      </c>
      <c r="F387">
        <v>-68.709999999999994</v>
      </c>
      <c r="H387" t="s">
        <v>88</v>
      </c>
      <c r="I387" t="s">
        <v>14</v>
      </c>
    </row>
    <row r="388" spans="1:9" x14ac:dyDescent="0.45">
      <c r="A388" s="2">
        <v>44875</v>
      </c>
      <c r="B388" t="s">
        <v>49</v>
      </c>
      <c r="C388" t="s">
        <v>117</v>
      </c>
      <c r="D388" t="s">
        <v>118</v>
      </c>
      <c r="E388" t="s">
        <v>119</v>
      </c>
      <c r="F388">
        <v>-137.55000000000001</v>
      </c>
      <c r="H388" t="s">
        <v>117</v>
      </c>
      <c r="I388" t="s">
        <v>14</v>
      </c>
    </row>
    <row r="389" spans="1:9" x14ac:dyDescent="0.45">
      <c r="A389" s="2">
        <v>44876</v>
      </c>
      <c r="B389" t="s">
        <v>10</v>
      </c>
      <c r="C389" t="s">
        <v>98</v>
      </c>
      <c r="D389" t="s">
        <v>134</v>
      </c>
      <c r="E389" t="s">
        <v>135</v>
      </c>
      <c r="F389">
        <v>-44.55</v>
      </c>
      <c r="H389" t="s">
        <v>98</v>
      </c>
      <c r="I389" t="s">
        <v>14</v>
      </c>
    </row>
    <row r="390" spans="1:9" x14ac:dyDescent="0.45">
      <c r="A390" s="2">
        <v>44877</v>
      </c>
      <c r="B390" t="s">
        <v>49</v>
      </c>
      <c r="C390" t="s">
        <v>85</v>
      </c>
      <c r="D390" t="s">
        <v>86</v>
      </c>
      <c r="E390" t="s">
        <v>87</v>
      </c>
      <c r="F390">
        <v>-82.92</v>
      </c>
      <c r="H390" t="s">
        <v>85</v>
      </c>
      <c r="I390" t="s">
        <v>14</v>
      </c>
    </row>
    <row r="391" spans="1:9" x14ac:dyDescent="0.45">
      <c r="A391" s="2">
        <v>44886</v>
      </c>
      <c r="B391" t="s">
        <v>46</v>
      </c>
      <c r="C391" t="s">
        <v>88</v>
      </c>
      <c r="D391" t="s">
        <v>136</v>
      </c>
      <c r="E391" t="s">
        <v>137</v>
      </c>
      <c r="F391">
        <v>-108.25</v>
      </c>
      <c r="H391" t="s">
        <v>88</v>
      </c>
      <c r="I391" t="s">
        <v>14</v>
      </c>
    </row>
    <row r="392" spans="1:9" x14ac:dyDescent="0.45">
      <c r="A392" s="2">
        <v>44886</v>
      </c>
      <c r="B392" t="s">
        <v>10</v>
      </c>
      <c r="C392" t="s">
        <v>110</v>
      </c>
      <c r="D392" t="s">
        <v>120</v>
      </c>
      <c r="E392" t="s">
        <v>121</v>
      </c>
      <c r="F392">
        <v>-42.6</v>
      </c>
      <c r="H392" t="s">
        <v>110</v>
      </c>
      <c r="I392" t="s">
        <v>14</v>
      </c>
    </row>
    <row r="393" spans="1:9" x14ac:dyDescent="0.45">
      <c r="A393" s="2">
        <v>44889</v>
      </c>
      <c r="B393" t="s">
        <v>49</v>
      </c>
      <c r="C393" t="s">
        <v>11</v>
      </c>
      <c r="D393" t="s">
        <v>115</v>
      </c>
      <c r="E393" t="s">
        <v>116</v>
      </c>
      <c r="F393">
        <v>1969.92</v>
      </c>
      <c r="H393" t="s">
        <v>12</v>
      </c>
      <c r="I393" t="s">
        <v>13</v>
      </c>
    </row>
    <row r="394" spans="1:9" x14ac:dyDescent="0.45">
      <c r="A394" s="2">
        <v>44900</v>
      </c>
      <c r="B394" t="s">
        <v>10</v>
      </c>
      <c r="C394" t="s">
        <v>11</v>
      </c>
      <c r="D394" t="s">
        <v>106</v>
      </c>
      <c r="E394" t="s">
        <v>107</v>
      </c>
      <c r="F394">
        <v>2564.35</v>
      </c>
      <c r="H394" t="s">
        <v>12</v>
      </c>
      <c r="I394" t="s">
        <v>13</v>
      </c>
    </row>
    <row r="395" spans="1:9" x14ac:dyDescent="0.45">
      <c r="A395" s="2">
        <v>44901</v>
      </c>
      <c r="B395" t="s">
        <v>46</v>
      </c>
      <c r="C395" t="s">
        <v>98</v>
      </c>
      <c r="D395" t="s">
        <v>99</v>
      </c>
      <c r="E395" t="s">
        <v>100</v>
      </c>
      <c r="F395">
        <v>-74.91</v>
      </c>
      <c r="H395" t="s">
        <v>98</v>
      </c>
      <c r="I395" t="s">
        <v>14</v>
      </c>
    </row>
    <row r="396" spans="1:9" x14ac:dyDescent="0.45">
      <c r="A396" s="2">
        <v>44904</v>
      </c>
      <c r="B396" t="s">
        <v>49</v>
      </c>
      <c r="C396" t="s">
        <v>98</v>
      </c>
      <c r="D396" t="s">
        <v>134</v>
      </c>
      <c r="E396" t="s">
        <v>135</v>
      </c>
      <c r="F396">
        <v>-19.649999999999999</v>
      </c>
      <c r="H396" t="s">
        <v>98</v>
      </c>
      <c r="I396" t="s">
        <v>14</v>
      </c>
    </row>
    <row r="397" spans="1:9" x14ac:dyDescent="0.45">
      <c r="A397" s="2">
        <v>44907</v>
      </c>
      <c r="B397" t="s">
        <v>10</v>
      </c>
      <c r="C397" t="s">
        <v>80</v>
      </c>
      <c r="D397" t="s">
        <v>128</v>
      </c>
      <c r="E397" t="s">
        <v>129</v>
      </c>
      <c r="F397">
        <v>-58.09</v>
      </c>
      <c r="H397" t="s">
        <v>80</v>
      </c>
      <c r="I397" t="s">
        <v>14</v>
      </c>
    </row>
    <row r="398" spans="1:9" x14ac:dyDescent="0.45">
      <c r="A398" s="2">
        <v>44910</v>
      </c>
      <c r="B398" t="s">
        <v>49</v>
      </c>
      <c r="C398" t="s">
        <v>77</v>
      </c>
      <c r="D398" t="s">
        <v>78</v>
      </c>
      <c r="E398" t="s">
        <v>79</v>
      </c>
      <c r="F398">
        <v>-31.92</v>
      </c>
      <c r="H398" t="s">
        <v>77</v>
      </c>
      <c r="I398" t="s">
        <v>14</v>
      </c>
    </row>
    <row r="399" spans="1:9" x14ac:dyDescent="0.45">
      <c r="A399" s="2">
        <v>44918</v>
      </c>
      <c r="B399" t="s">
        <v>49</v>
      </c>
      <c r="C399" t="s">
        <v>77</v>
      </c>
      <c r="D399" t="s">
        <v>83</v>
      </c>
      <c r="E399" t="s">
        <v>84</v>
      </c>
      <c r="F399">
        <v>-73.28</v>
      </c>
      <c r="H399" t="s">
        <v>77</v>
      </c>
      <c r="I399" t="s">
        <v>14</v>
      </c>
    </row>
    <row r="400" spans="1:9" x14ac:dyDescent="0.45">
      <c r="A400" s="2">
        <v>44919</v>
      </c>
      <c r="B400" t="s">
        <v>10</v>
      </c>
      <c r="C400" t="s">
        <v>11</v>
      </c>
      <c r="D400" t="s">
        <v>115</v>
      </c>
      <c r="E400" t="s">
        <v>116</v>
      </c>
      <c r="F400">
        <v>2101.94</v>
      </c>
      <c r="H400" t="s">
        <v>12</v>
      </c>
      <c r="I400" t="s">
        <v>13</v>
      </c>
    </row>
    <row r="401" spans="1:9" x14ac:dyDescent="0.45">
      <c r="A401" s="2">
        <v>44922</v>
      </c>
      <c r="B401" t="s">
        <v>49</v>
      </c>
      <c r="C401" t="s">
        <v>80</v>
      </c>
      <c r="D401" t="s">
        <v>128</v>
      </c>
      <c r="E401" t="s">
        <v>129</v>
      </c>
      <c r="F401">
        <v>-44.14</v>
      </c>
      <c r="H401" t="s">
        <v>80</v>
      </c>
      <c r="I401" t="s">
        <v>14</v>
      </c>
    </row>
    <row r="402" spans="1:9" x14ac:dyDescent="0.45">
      <c r="A402" s="2">
        <v>44928</v>
      </c>
      <c r="B402" t="s">
        <v>46</v>
      </c>
      <c r="C402" t="s">
        <v>20</v>
      </c>
      <c r="D402" t="s">
        <v>146</v>
      </c>
      <c r="E402" t="s">
        <v>147</v>
      </c>
      <c r="F402">
        <v>-98.2</v>
      </c>
      <c r="H402" t="s">
        <v>20</v>
      </c>
      <c r="I402" t="s">
        <v>14</v>
      </c>
    </row>
    <row r="403" spans="1:9" x14ac:dyDescent="0.45">
      <c r="A403" s="2">
        <v>44933</v>
      </c>
      <c r="B403" t="s">
        <v>46</v>
      </c>
      <c r="C403" t="s">
        <v>98</v>
      </c>
      <c r="D403" t="s">
        <v>148</v>
      </c>
      <c r="E403" t="s">
        <v>149</v>
      </c>
      <c r="F403">
        <v>-21.22</v>
      </c>
      <c r="H403" t="s">
        <v>98</v>
      </c>
      <c r="I403" t="s">
        <v>14</v>
      </c>
    </row>
    <row r="404" spans="1:9" x14ac:dyDescent="0.45">
      <c r="A404" s="2">
        <v>44934</v>
      </c>
      <c r="B404" t="s">
        <v>46</v>
      </c>
      <c r="C404" t="s">
        <v>98</v>
      </c>
      <c r="D404" t="s">
        <v>134</v>
      </c>
      <c r="E404" t="s">
        <v>135</v>
      </c>
      <c r="F404">
        <v>-28.37</v>
      </c>
      <c r="H404" t="s">
        <v>98</v>
      </c>
      <c r="I404" t="s">
        <v>14</v>
      </c>
    </row>
    <row r="405" spans="1:9" x14ac:dyDescent="0.45">
      <c r="A405" s="2">
        <v>44934</v>
      </c>
      <c r="B405" t="s">
        <v>10</v>
      </c>
      <c r="C405" t="s">
        <v>117</v>
      </c>
      <c r="D405" t="s">
        <v>118</v>
      </c>
      <c r="E405" t="s">
        <v>119</v>
      </c>
      <c r="F405">
        <v>-45.81</v>
      </c>
      <c r="H405" t="s">
        <v>117</v>
      </c>
      <c r="I405" t="s">
        <v>14</v>
      </c>
    </row>
    <row r="406" spans="1:9" x14ac:dyDescent="0.45">
      <c r="A406" s="2">
        <v>44947</v>
      </c>
      <c r="B406" t="s">
        <v>46</v>
      </c>
      <c r="C406" t="s">
        <v>117</v>
      </c>
      <c r="D406" t="s">
        <v>118</v>
      </c>
      <c r="E406" t="s">
        <v>119</v>
      </c>
      <c r="F406">
        <v>-93.75</v>
      </c>
      <c r="H406" t="s">
        <v>117</v>
      </c>
      <c r="I406" t="s">
        <v>14</v>
      </c>
    </row>
    <row r="407" spans="1:9" x14ac:dyDescent="0.45">
      <c r="A407" s="2">
        <v>44947</v>
      </c>
      <c r="B407" t="s">
        <v>46</v>
      </c>
      <c r="C407" t="s">
        <v>103</v>
      </c>
      <c r="D407" t="s">
        <v>142</v>
      </c>
      <c r="E407" t="s">
        <v>143</v>
      </c>
      <c r="F407">
        <v>-77.02</v>
      </c>
      <c r="H407" t="s">
        <v>103</v>
      </c>
      <c r="I407" t="s">
        <v>14</v>
      </c>
    </row>
    <row r="408" spans="1:9" x14ac:dyDescent="0.45">
      <c r="A408" s="2">
        <v>44950</v>
      </c>
      <c r="B408" t="s">
        <v>46</v>
      </c>
      <c r="C408" t="s">
        <v>80</v>
      </c>
      <c r="D408" t="s">
        <v>128</v>
      </c>
      <c r="E408" t="s">
        <v>129</v>
      </c>
      <c r="F408">
        <v>-31.9</v>
      </c>
      <c r="H408" t="s">
        <v>80</v>
      </c>
      <c r="I408" t="s">
        <v>14</v>
      </c>
    </row>
    <row r="409" spans="1:9" x14ac:dyDescent="0.45">
      <c r="A409" s="2">
        <v>44958</v>
      </c>
      <c r="B409" t="s">
        <v>49</v>
      </c>
      <c r="C409" t="s">
        <v>117</v>
      </c>
      <c r="D409" t="s">
        <v>132</v>
      </c>
      <c r="E409" t="s">
        <v>133</v>
      </c>
      <c r="F409">
        <v>-38.450000000000003</v>
      </c>
      <c r="H409" t="s">
        <v>117</v>
      </c>
      <c r="I409" t="s">
        <v>14</v>
      </c>
    </row>
    <row r="410" spans="1:9" x14ac:dyDescent="0.45">
      <c r="A410" s="2">
        <v>44963</v>
      </c>
      <c r="B410" t="s">
        <v>10</v>
      </c>
      <c r="C410" t="s">
        <v>110</v>
      </c>
      <c r="D410" t="s">
        <v>126</v>
      </c>
      <c r="E410" t="s">
        <v>127</v>
      </c>
      <c r="F410">
        <v>-98.63</v>
      </c>
      <c r="H410" t="s">
        <v>110</v>
      </c>
      <c r="I410" t="s">
        <v>14</v>
      </c>
    </row>
    <row r="411" spans="1:9" x14ac:dyDescent="0.45">
      <c r="A411" s="2">
        <v>44963</v>
      </c>
      <c r="B411" t="s">
        <v>49</v>
      </c>
      <c r="C411" t="s">
        <v>91</v>
      </c>
      <c r="D411" t="s">
        <v>122</v>
      </c>
      <c r="E411" t="s">
        <v>123</v>
      </c>
      <c r="F411">
        <v>-12.78</v>
      </c>
      <c r="H411" t="s">
        <v>91</v>
      </c>
      <c r="I411" t="s">
        <v>14</v>
      </c>
    </row>
    <row r="412" spans="1:9" x14ac:dyDescent="0.45">
      <c r="A412" s="2">
        <v>44967</v>
      </c>
      <c r="B412" t="s">
        <v>49</v>
      </c>
      <c r="C412" t="s">
        <v>80</v>
      </c>
      <c r="D412" t="s">
        <v>128</v>
      </c>
      <c r="E412" t="s">
        <v>129</v>
      </c>
      <c r="F412">
        <v>-93.88</v>
      </c>
      <c r="H412" t="s">
        <v>80</v>
      </c>
      <c r="I412" t="s">
        <v>14</v>
      </c>
    </row>
    <row r="413" spans="1:9" x14ac:dyDescent="0.45">
      <c r="A413" s="2">
        <v>44969</v>
      </c>
      <c r="B413" t="s">
        <v>49</v>
      </c>
      <c r="C413" t="s">
        <v>11</v>
      </c>
      <c r="D413" t="s">
        <v>106</v>
      </c>
      <c r="E413" t="s">
        <v>107</v>
      </c>
      <c r="F413">
        <v>2711.13</v>
      </c>
      <c r="H413" t="s">
        <v>12</v>
      </c>
      <c r="I413" t="s">
        <v>13</v>
      </c>
    </row>
    <row r="414" spans="1:9" x14ac:dyDescent="0.45">
      <c r="A414" s="2">
        <v>44974</v>
      </c>
      <c r="B414" t="s">
        <v>49</v>
      </c>
      <c r="C414" t="s">
        <v>77</v>
      </c>
      <c r="D414" t="s">
        <v>78</v>
      </c>
      <c r="E414" t="s">
        <v>79</v>
      </c>
      <c r="F414">
        <v>-100.36</v>
      </c>
      <c r="H414" t="s">
        <v>77</v>
      </c>
      <c r="I414" t="s">
        <v>14</v>
      </c>
    </row>
    <row r="415" spans="1:9" x14ac:dyDescent="0.45">
      <c r="A415" s="2">
        <v>44988</v>
      </c>
      <c r="B415" t="s">
        <v>10</v>
      </c>
      <c r="C415" t="s">
        <v>103</v>
      </c>
      <c r="D415" t="s">
        <v>142</v>
      </c>
      <c r="E415" t="s">
        <v>143</v>
      </c>
      <c r="F415">
        <v>-52.23</v>
      </c>
      <c r="H415" t="s">
        <v>103</v>
      </c>
      <c r="I415" t="s">
        <v>14</v>
      </c>
    </row>
    <row r="416" spans="1:9" x14ac:dyDescent="0.45">
      <c r="A416" s="2">
        <v>44993</v>
      </c>
      <c r="B416" t="s">
        <v>10</v>
      </c>
      <c r="C416" t="s">
        <v>88</v>
      </c>
      <c r="D416" t="s">
        <v>89</v>
      </c>
      <c r="E416" t="s">
        <v>90</v>
      </c>
      <c r="F416">
        <v>-132.47999999999999</v>
      </c>
      <c r="H416" t="s">
        <v>88</v>
      </c>
      <c r="I416" t="s">
        <v>14</v>
      </c>
    </row>
    <row r="417" spans="1:9" x14ac:dyDescent="0.45">
      <c r="A417" s="2">
        <v>44994</v>
      </c>
      <c r="B417" t="s">
        <v>49</v>
      </c>
      <c r="C417" t="s">
        <v>80</v>
      </c>
      <c r="D417" t="s">
        <v>81</v>
      </c>
      <c r="E417" t="s">
        <v>82</v>
      </c>
      <c r="F417">
        <v>-112.28</v>
      </c>
      <c r="H417" t="s">
        <v>80</v>
      </c>
      <c r="I417" t="s">
        <v>14</v>
      </c>
    </row>
    <row r="418" spans="1:9" x14ac:dyDescent="0.45">
      <c r="A418" s="2">
        <v>44996</v>
      </c>
      <c r="B418" t="s">
        <v>10</v>
      </c>
      <c r="C418" t="s">
        <v>103</v>
      </c>
      <c r="D418" t="s">
        <v>104</v>
      </c>
      <c r="E418" t="s">
        <v>105</v>
      </c>
      <c r="F418">
        <v>-140.80000000000001</v>
      </c>
      <c r="H418" t="s">
        <v>103</v>
      </c>
      <c r="I418" t="s">
        <v>14</v>
      </c>
    </row>
    <row r="419" spans="1:9" x14ac:dyDescent="0.45">
      <c r="A419" s="2">
        <v>44999</v>
      </c>
      <c r="B419" t="s">
        <v>10</v>
      </c>
      <c r="C419" t="s">
        <v>110</v>
      </c>
      <c r="D419" t="s">
        <v>120</v>
      </c>
      <c r="E419" t="s">
        <v>121</v>
      </c>
      <c r="F419">
        <v>-104.92</v>
      </c>
      <c r="H419" t="s">
        <v>110</v>
      </c>
      <c r="I419" t="s">
        <v>14</v>
      </c>
    </row>
    <row r="420" spans="1:9" x14ac:dyDescent="0.45">
      <c r="A420" s="2">
        <v>45000</v>
      </c>
      <c r="B420" t="s">
        <v>46</v>
      </c>
      <c r="C420" t="s">
        <v>80</v>
      </c>
      <c r="D420" t="s">
        <v>128</v>
      </c>
      <c r="E420" t="s">
        <v>129</v>
      </c>
      <c r="F420">
        <v>-137.5</v>
      </c>
      <c r="H420" t="s">
        <v>80</v>
      </c>
      <c r="I420" t="s">
        <v>14</v>
      </c>
    </row>
    <row r="421" spans="1:9" x14ac:dyDescent="0.45">
      <c r="A421" s="2">
        <v>45001</v>
      </c>
      <c r="B421" t="s">
        <v>49</v>
      </c>
      <c r="C421" t="s">
        <v>20</v>
      </c>
      <c r="D421" t="s">
        <v>108</v>
      </c>
      <c r="E421" t="s">
        <v>109</v>
      </c>
      <c r="F421">
        <v>-45.24</v>
      </c>
      <c r="H421" t="s">
        <v>20</v>
      </c>
      <c r="I421" t="s">
        <v>14</v>
      </c>
    </row>
    <row r="422" spans="1:9" x14ac:dyDescent="0.45">
      <c r="A422" s="2">
        <v>45004</v>
      </c>
      <c r="B422" t="s">
        <v>46</v>
      </c>
      <c r="C422" t="s">
        <v>110</v>
      </c>
      <c r="D422" t="s">
        <v>120</v>
      </c>
      <c r="E422" t="s">
        <v>121</v>
      </c>
      <c r="F422">
        <v>-17.010000000000002</v>
      </c>
      <c r="H422" t="s">
        <v>110</v>
      </c>
      <c r="I422" t="s">
        <v>14</v>
      </c>
    </row>
    <row r="423" spans="1:9" x14ac:dyDescent="0.45">
      <c r="A423" s="2">
        <v>45005</v>
      </c>
      <c r="B423" t="s">
        <v>46</v>
      </c>
      <c r="C423" t="s">
        <v>20</v>
      </c>
      <c r="D423" t="s">
        <v>146</v>
      </c>
      <c r="E423" t="s">
        <v>147</v>
      </c>
      <c r="F423">
        <v>-63.57</v>
      </c>
      <c r="H423" t="s">
        <v>20</v>
      </c>
      <c r="I423" t="s">
        <v>14</v>
      </c>
    </row>
    <row r="424" spans="1:9" x14ac:dyDescent="0.45">
      <c r="A424" s="2">
        <v>45007</v>
      </c>
      <c r="B424" t="s">
        <v>10</v>
      </c>
      <c r="C424" t="s">
        <v>91</v>
      </c>
      <c r="D424" t="s">
        <v>122</v>
      </c>
      <c r="E424" t="s">
        <v>123</v>
      </c>
      <c r="F424">
        <v>-99.83</v>
      </c>
      <c r="H424" t="s">
        <v>91</v>
      </c>
      <c r="I424" t="s">
        <v>14</v>
      </c>
    </row>
    <row r="425" spans="1:9" x14ac:dyDescent="0.45">
      <c r="A425" s="2">
        <v>45011</v>
      </c>
      <c r="B425" t="s">
        <v>46</v>
      </c>
      <c r="C425" t="s">
        <v>103</v>
      </c>
      <c r="D425" t="s">
        <v>130</v>
      </c>
      <c r="E425" t="s">
        <v>131</v>
      </c>
      <c r="F425">
        <v>-80.650000000000006</v>
      </c>
      <c r="H425" t="s">
        <v>103</v>
      </c>
      <c r="I425" t="s">
        <v>14</v>
      </c>
    </row>
    <row r="426" spans="1:9" x14ac:dyDescent="0.45">
      <c r="A426" s="2">
        <v>45013</v>
      </c>
      <c r="B426" t="s">
        <v>10</v>
      </c>
      <c r="C426" t="s">
        <v>117</v>
      </c>
      <c r="D426" t="s">
        <v>132</v>
      </c>
      <c r="E426" t="s">
        <v>133</v>
      </c>
      <c r="F426">
        <v>-115.39</v>
      </c>
      <c r="H426" t="s">
        <v>117</v>
      </c>
      <c r="I426" t="s">
        <v>14</v>
      </c>
    </row>
    <row r="427" spans="1:9" x14ac:dyDescent="0.45">
      <c r="A427" s="2">
        <v>45021</v>
      </c>
      <c r="B427" t="s">
        <v>49</v>
      </c>
      <c r="C427" t="s">
        <v>117</v>
      </c>
      <c r="D427" t="s">
        <v>118</v>
      </c>
      <c r="E427" t="s">
        <v>119</v>
      </c>
      <c r="F427">
        <v>-24.44</v>
      </c>
      <c r="H427" t="s">
        <v>117</v>
      </c>
      <c r="I427" t="s">
        <v>14</v>
      </c>
    </row>
    <row r="428" spans="1:9" x14ac:dyDescent="0.45">
      <c r="A428" s="2">
        <v>45028</v>
      </c>
      <c r="B428" t="s">
        <v>49</v>
      </c>
      <c r="C428" t="s">
        <v>77</v>
      </c>
      <c r="D428" t="s">
        <v>83</v>
      </c>
      <c r="E428" t="s">
        <v>84</v>
      </c>
      <c r="F428">
        <v>-13.2</v>
      </c>
      <c r="H428" t="s">
        <v>77</v>
      </c>
      <c r="I428" t="s">
        <v>14</v>
      </c>
    </row>
    <row r="429" spans="1:9" x14ac:dyDescent="0.45">
      <c r="A429" s="2">
        <v>45029</v>
      </c>
      <c r="B429" t="s">
        <v>10</v>
      </c>
      <c r="C429" t="s">
        <v>85</v>
      </c>
      <c r="D429" t="s">
        <v>101</v>
      </c>
      <c r="E429" t="s">
        <v>102</v>
      </c>
      <c r="F429">
        <v>-89.87</v>
      </c>
      <c r="H429" t="s">
        <v>85</v>
      </c>
      <c r="I429" t="s">
        <v>14</v>
      </c>
    </row>
    <row r="430" spans="1:9" x14ac:dyDescent="0.45">
      <c r="A430" s="2">
        <v>45031</v>
      </c>
      <c r="B430" t="s">
        <v>49</v>
      </c>
      <c r="C430" t="s">
        <v>20</v>
      </c>
      <c r="D430" t="s">
        <v>146</v>
      </c>
      <c r="E430" t="s">
        <v>147</v>
      </c>
      <c r="F430">
        <v>-93.8</v>
      </c>
      <c r="H430" t="s">
        <v>20</v>
      </c>
      <c r="I430" t="s">
        <v>14</v>
      </c>
    </row>
    <row r="431" spans="1:9" x14ac:dyDescent="0.45">
      <c r="A431" s="2">
        <v>45031</v>
      </c>
      <c r="B431" t="s">
        <v>49</v>
      </c>
      <c r="C431" t="s">
        <v>77</v>
      </c>
      <c r="D431" t="s">
        <v>78</v>
      </c>
      <c r="E431" t="s">
        <v>79</v>
      </c>
      <c r="F431">
        <v>-60.13</v>
      </c>
      <c r="H431" t="s">
        <v>77</v>
      </c>
      <c r="I431" t="s">
        <v>14</v>
      </c>
    </row>
    <row r="432" spans="1:9" x14ac:dyDescent="0.45">
      <c r="A432" s="2">
        <v>45031</v>
      </c>
      <c r="B432" t="s">
        <v>10</v>
      </c>
      <c r="C432" t="s">
        <v>98</v>
      </c>
      <c r="D432" t="s">
        <v>134</v>
      </c>
      <c r="E432" t="s">
        <v>135</v>
      </c>
      <c r="F432">
        <v>-79.95</v>
      </c>
      <c r="H432" t="s">
        <v>98</v>
      </c>
      <c r="I432" t="s">
        <v>14</v>
      </c>
    </row>
    <row r="433" spans="1:9" x14ac:dyDescent="0.45">
      <c r="A433" s="2">
        <v>45033</v>
      </c>
      <c r="B433" t="s">
        <v>49</v>
      </c>
      <c r="C433" t="s">
        <v>117</v>
      </c>
      <c r="D433" t="s">
        <v>132</v>
      </c>
      <c r="E433" t="s">
        <v>133</v>
      </c>
      <c r="F433">
        <v>-96.03</v>
      </c>
      <c r="H433" t="s">
        <v>117</v>
      </c>
      <c r="I433" t="s">
        <v>14</v>
      </c>
    </row>
    <row r="434" spans="1:9" x14ac:dyDescent="0.45">
      <c r="A434" s="2">
        <v>45033</v>
      </c>
      <c r="B434" t="s">
        <v>46</v>
      </c>
      <c r="C434" t="s">
        <v>103</v>
      </c>
      <c r="D434" t="s">
        <v>104</v>
      </c>
      <c r="E434" t="s">
        <v>105</v>
      </c>
      <c r="F434">
        <v>-18.29</v>
      </c>
      <c r="H434" t="s">
        <v>103</v>
      </c>
      <c r="I434" t="s">
        <v>14</v>
      </c>
    </row>
    <row r="435" spans="1:9" x14ac:dyDescent="0.45">
      <c r="A435" s="2">
        <v>45036</v>
      </c>
      <c r="B435" t="s">
        <v>10</v>
      </c>
      <c r="C435" t="s">
        <v>117</v>
      </c>
      <c r="D435" t="s">
        <v>124</v>
      </c>
      <c r="E435" t="s">
        <v>125</v>
      </c>
      <c r="F435">
        <v>-108.89</v>
      </c>
      <c r="H435" t="s">
        <v>117</v>
      </c>
      <c r="I435" t="s">
        <v>14</v>
      </c>
    </row>
    <row r="436" spans="1:9" x14ac:dyDescent="0.45">
      <c r="A436" s="2">
        <v>45039</v>
      </c>
      <c r="B436" t="s">
        <v>10</v>
      </c>
      <c r="C436" t="s">
        <v>85</v>
      </c>
      <c r="D436" t="s">
        <v>101</v>
      </c>
      <c r="E436" t="s">
        <v>102</v>
      </c>
      <c r="F436">
        <v>-40.56</v>
      </c>
      <c r="H436" t="s">
        <v>85</v>
      </c>
      <c r="I436" t="s">
        <v>14</v>
      </c>
    </row>
    <row r="437" spans="1:9" x14ac:dyDescent="0.45">
      <c r="A437" s="2">
        <v>45041</v>
      </c>
      <c r="B437" t="s">
        <v>49</v>
      </c>
      <c r="C437" t="s">
        <v>77</v>
      </c>
      <c r="D437" t="s">
        <v>83</v>
      </c>
      <c r="E437" t="s">
        <v>84</v>
      </c>
      <c r="F437">
        <v>-107.96</v>
      </c>
      <c r="H437" t="s">
        <v>77</v>
      </c>
      <c r="I437" t="s">
        <v>14</v>
      </c>
    </row>
    <row r="438" spans="1:9" x14ac:dyDescent="0.45">
      <c r="A438" s="2">
        <v>45042</v>
      </c>
      <c r="B438" t="s">
        <v>46</v>
      </c>
      <c r="C438" t="s">
        <v>77</v>
      </c>
      <c r="D438" t="s">
        <v>83</v>
      </c>
      <c r="E438" t="s">
        <v>84</v>
      </c>
      <c r="F438">
        <v>-75.78</v>
      </c>
      <c r="H438" t="s">
        <v>77</v>
      </c>
      <c r="I438" t="s">
        <v>14</v>
      </c>
    </row>
    <row r="439" spans="1:9" x14ac:dyDescent="0.45">
      <c r="A439" s="2">
        <v>45043</v>
      </c>
      <c r="B439" t="s">
        <v>49</v>
      </c>
      <c r="C439" t="s">
        <v>20</v>
      </c>
      <c r="D439" t="s">
        <v>146</v>
      </c>
      <c r="E439" t="s">
        <v>147</v>
      </c>
      <c r="F439">
        <v>-70.459999999999994</v>
      </c>
      <c r="H439" t="s">
        <v>20</v>
      </c>
      <c r="I439" t="s">
        <v>14</v>
      </c>
    </row>
    <row r="440" spans="1:9" x14ac:dyDescent="0.45">
      <c r="A440" s="2">
        <v>45044</v>
      </c>
      <c r="B440" t="s">
        <v>10</v>
      </c>
      <c r="C440" t="s">
        <v>110</v>
      </c>
      <c r="D440" t="s">
        <v>111</v>
      </c>
      <c r="E440" t="s">
        <v>112</v>
      </c>
      <c r="F440">
        <v>-118.25</v>
      </c>
      <c r="H440" t="s">
        <v>110</v>
      </c>
      <c r="I440" t="s">
        <v>14</v>
      </c>
    </row>
    <row r="441" spans="1:9" x14ac:dyDescent="0.45">
      <c r="A441" s="2">
        <v>45051</v>
      </c>
      <c r="B441" t="s">
        <v>46</v>
      </c>
      <c r="C441" t="s">
        <v>117</v>
      </c>
      <c r="D441" t="s">
        <v>132</v>
      </c>
      <c r="E441" t="s">
        <v>133</v>
      </c>
      <c r="F441">
        <v>-103.47</v>
      </c>
      <c r="H441" t="s">
        <v>117</v>
      </c>
      <c r="I441" t="s">
        <v>14</v>
      </c>
    </row>
    <row r="442" spans="1:9" x14ac:dyDescent="0.45">
      <c r="A442" s="2">
        <v>45051</v>
      </c>
      <c r="B442" t="s">
        <v>10</v>
      </c>
      <c r="C442" t="s">
        <v>77</v>
      </c>
      <c r="D442" t="s">
        <v>96</v>
      </c>
      <c r="E442" t="s">
        <v>97</v>
      </c>
      <c r="F442">
        <v>-39.020000000000003</v>
      </c>
      <c r="H442" t="s">
        <v>77</v>
      </c>
      <c r="I442" t="s">
        <v>14</v>
      </c>
    </row>
    <row r="443" spans="1:9" x14ac:dyDescent="0.45">
      <c r="A443" s="2">
        <v>45059</v>
      </c>
      <c r="B443" t="s">
        <v>10</v>
      </c>
      <c r="C443" t="s">
        <v>77</v>
      </c>
      <c r="D443" t="s">
        <v>83</v>
      </c>
      <c r="E443" t="s">
        <v>84</v>
      </c>
      <c r="F443">
        <v>-24.79</v>
      </c>
      <c r="H443" t="s">
        <v>77</v>
      </c>
      <c r="I443" t="s">
        <v>14</v>
      </c>
    </row>
    <row r="444" spans="1:9" x14ac:dyDescent="0.45">
      <c r="A444" s="2">
        <v>45059</v>
      </c>
      <c r="B444" t="s">
        <v>10</v>
      </c>
      <c r="C444" t="s">
        <v>77</v>
      </c>
      <c r="D444" t="s">
        <v>83</v>
      </c>
      <c r="E444" t="s">
        <v>84</v>
      </c>
      <c r="F444">
        <v>-17.350000000000001</v>
      </c>
      <c r="H444" t="s">
        <v>77</v>
      </c>
      <c r="I444" t="s">
        <v>14</v>
      </c>
    </row>
    <row r="445" spans="1:9" x14ac:dyDescent="0.45">
      <c r="A445" s="2">
        <v>45069</v>
      </c>
      <c r="B445" t="s">
        <v>46</v>
      </c>
      <c r="C445" t="s">
        <v>11</v>
      </c>
      <c r="D445" t="s">
        <v>106</v>
      </c>
      <c r="E445" t="s">
        <v>107</v>
      </c>
      <c r="F445">
        <v>2542.54</v>
      </c>
      <c r="H445" t="s">
        <v>12</v>
      </c>
      <c r="I445" t="s">
        <v>13</v>
      </c>
    </row>
    <row r="446" spans="1:9" x14ac:dyDescent="0.45">
      <c r="A446" s="2">
        <v>45078</v>
      </c>
      <c r="B446" t="s">
        <v>10</v>
      </c>
      <c r="C446" t="s">
        <v>117</v>
      </c>
      <c r="D446" t="s">
        <v>124</v>
      </c>
      <c r="E446" t="s">
        <v>125</v>
      </c>
      <c r="F446">
        <v>-142.09</v>
      </c>
      <c r="H446" t="s">
        <v>117</v>
      </c>
      <c r="I446" t="s">
        <v>14</v>
      </c>
    </row>
    <row r="447" spans="1:9" x14ac:dyDescent="0.45">
      <c r="A447" s="2">
        <v>45083</v>
      </c>
      <c r="B447" t="s">
        <v>46</v>
      </c>
      <c r="C447" t="s">
        <v>85</v>
      </c>
      <c r="D447" t="s">
        <v>86</v>
      </c>
      <c r="E447" t="s">
        <v>87</v>
      </c>
      <c r="F447">
        <v>-121.93</v>
      </c>
      <c r="H447" t="s">
        <v>85</v>
      </c>
      <c r="I447" t="s">
        <v>14</v>
      </c>
    </row>
    <row r="448" spans="1:9" x14ac:dyDescent="0.45">
      <c r="A448" s="2">
        <v>45085</v>
      </c>
      <c r="B448" t="s">
        <v>49</v>
      </c>
      <c r="C448" t="s">
        <v>117</v>
      </c>
      <c r="D448" t="s">
        <v>132</v>
      </c>
      <c r="E448" t="s">
        <v>133</v>
      </c>
      <c r="F448">
        <v>-106</v>
      </c>
      <c r="H448" t="s">
        <v>117</v>
      </c>
      <c r="I448" t="s">
        <v>14</v>
      </c>
    </row>
    <row r="449" spans="1:9" x14ac:dyDescent="0.45">
      <c r="A449" s="2">
        <v>45086</v>
      </c>
      <c r="B449" t="s">
        <v>10</v>
      </c>
      <c r="C449" t="s">
        <v>11</v>
      </c>
      <c r="D449" t="s">
        <v>115</v>
      </c>
      <c r="E449" t="s">
        <v>116</v>
      </c>
      <c r="F449">
        <v>1814.71</v>
      </c>
      <c r="H449" t="s">
        <v>12</v>
      </c>
      <c r="I449" t="s">
        <v>13</v>
      </c>
    </row>
    <row r="450" spans="1:9" x14ac:dyDescent="0.45">
      <c r="A450" s="2">
        <v>45088</v>
      </c>
      <c r="B450" t="s">
        <v>46</v>
      </c>
      <c r="C450" t="s">
        <v>85</v>
      </c>
      <c r="D450" t="s">
        <v>86</v>
      </c>
      <c r="E450" t="s">
        <v>87</v>
      </c>
      <c r="F450">
        <v>-105.5</v>
      </c>
      <c r="H450" t="s">
        <v>85</v>
      </c>
      <c r="I450" t="s">
        <v>14</v>
      </c>
    </row>
    <row r="451" spans="1:9" x14ac:dyDescent="0.45">
      <c r="A451" s="2">
        <v>45093</v>
      </c>
      <c r="B451" t="s">
        <v>46</v>
      </c>
      <c r="C451" t="s">
        <v>20</v>
      </c>
      <c r="D451" t="s">
        <v>108</v>
      </c>
      <c r="E451" t="s">
        <v>109</v>
      </c>
      <c r="F451">
        <v>-79.39</v>
      </c>
      <c r="H451" t="s">
        <v>20</v>
      </c>
      <c r="I451" t="s">
        <v>14</v>
      </c>
    </row>
    <row r="452" spans="1:9" x14ac:dyDescent="0.45">
      <c r="A452" s="2">
        <v>45093</v>
      </c>
      <c r="B452" t="s">
        <v>49</v>
      </c>
      <c r="C452" t="s">
        <v>110</v>
      </c>
      <c r="D452" t="s">
        <v>126</v>
      </c>
      <c r="E452" t="s">
        <v>127</v>
      </c>
      <c r="F452">
        <v>-51.85</v>
      </c>
      <c r="H452" t="s">
        <v>110</v>
      </c>
      <c r="I452" t="s">
        <v>14</v>
      </c>
    </row>
    <row r="453" spans="1:9" x14ac:dyDescent="0.45">
      <c r="A453" s="2">
        <v>45096</v>
      </c>
      <c r="B453" t="s">
        <v>46</v>
      </c>
      <c r="C453" t="s">
        <v>20</v>
      </c>
      <c r="D453" t="s">
        <v>146</v>
      </c>
      <c r="E453" t="s">
        <v>147</v>
      </c>
      <c r="F453">
        <v>-145.91999999999999</v>
      </c>
      <c r="H453" t="s">
        <v>20</v>
      </c>
      <c r="I453" t="s">
        <v>14</v>
      </c>
    </row>
    <row r="454" spans="1:9" x14ac:dyDescent="0.45">
      <c r="A454" s="2">
        <v>45102</v>
      </c>
      <c r="B454" t="s">
        <v>46</v>
      </c>
      <c r="C454" t="s">
        <v>110</v>
      </c>
      <c r="D454" t="s">
        <v>111</v>
      </c>
      <c r="E454" t="s">
        <v>112</v>
      </c>
      <c r="F454">
        <v>-63.77</v>
      </c>
      <c r="H454" t="s">
        <v>110</v>
      </c>
      <c r="I454" t="s">
        <v>14</v>
      </c>
    </row>
    <row r="455" spans="1:9" x14ac:dyDescent="0.45">
      <c r="A455" s="2">
        <v>45111</v>
      </c>
      <c r="B455" t="s">
        <v>10</v>
      </c>
      <c r="C455" t="s">
        <v>88</v>
      </c>
      <c r="D455" t="s">
        <v>89</v>
      </c>
      <c r="E455" t="s">
        <v>90</v>
      </c>
      <c r="F455">
        <v>-41.77</v>
      </c>
      <c r="H455" t="s">
        <v>88</v>
      </c>
      <c r="I455" t="s">
        <v>14</v>
      </c>
    </row>
    <row r="456" spans="1:9" x14ac:dyDescent="0.45">
      <c r="A456" s="2">
        <v>45113</v>
      </c>
      <c r="B456" t="s">
        <v>46</v>
      </c>
      <c r="C456" t="s">
        <v>77</v>
      </c>
      <c r="D456" t="s">
        <v>96</v>
      </c>
      <c r="E456" t="s">
        <v>97</v>
      </c>
      <c r="F456">
        <v>-137.87</v>
      </c>
      <c r="H456" t="s">
        <v>77</v>
      </c>
      <c r="I456" t="s">
        <v>14</v>
      </c>
    </row>
    <row r="457" spans="1:9" x14ac:dyDescent="0.45">
      <c r="A457" s="2">
        <v>45114</v>
      </c>
      <c r="B457" t="s">
        <v>49</v>
      </c>
      <c r="C457" t="s">
        <v>88</v>
      </c>
      <c r="D457" t="s">
        <v>138</v>
      </c>
      <c r="E457" t="s">
        <v>139</v>
      </c>
      <c r="F457">
        <v>-129.43</v>
      </c>
      <c r="H457" t="s">
        <v>88</v>
      </c>
      <c r="I457" t="s">
        <v>14</v>
      </c>
    </row>
    <row r="458" spans="1:9" x14ac:dyDescent="0.45">
      <c r="A458" s="2">
        <v>45116</v>
      </c>
      <c r="B458" t="s">
        <v>46</v>
      </c>
      <c r="C458" t="s">
        <v>91</v>
      </c>
      <c r="D458" t="s">
        <v>113</v>
      </c>
      <c r="E458" t="s">
        <v>114</v>
      </c>
      <c r="F458">
        <v>-148.78</v>
      </c>
      <c r="H458" t="s">
        <v>91</v>
      </c>
      <c r="I458" t="s">
        <v>14</v>
      </c>
    </row>
    <row r="459" spans="1:9" x14ac:dyDescent="0.45">
      <c r="A459" s="2">
        <v>45132</v>
      </c>
      <c r="B459" t="s">
        <v>46</v>
      </c>
      <c r="C459" t="s">
        <v>88</v>
      </c>
      <c r="D459" t="s">
        <v>138</v>
      </c>
      <c r="E459" t="s">
        <v>139</v>
      </c>
      <c r="F459">
        <v>-36.479999999999997</v>
      </c>
      <c r="H459" t="s">
        <v>88</v>
      </c>
      <c r="I459" t="s">
        <v>14</v>
      </c>
    </row>
    <row r="460" spans="1:9" x14ac:dyDescent="0.45">
      <c r="A460" s="2">
        <v>45139</v>
      </c>
      <c r="B460" t="s">
        <v>46</v>
      </c>
      <c r="C460" t="s">
        <v>110</v>
      </c>
      <c r="D460" t="s">
        <v>111</v>
      </c>
      <c r="E460" t="s">
        <v>112</v>
      </c>
      <c r="F460">
        <v>-76.7</v>
      </c>
      <c r="H460" t="s">
        <v>110</v>
      </c>
      <c r="I460" t="s">
        <v>14</v>
      </c>
    </row>
    <row r="461" spans="1:9" x14ac:dyDescent="0.45">
      <c r="A461" s="2">
        <v>45140</v>
      </c>
      <c r="B461" t="s">
        <v>46</v>
      </c>
      <c r="C461" t="s">
        <v>91</v>
      </c>
      <c r="D461" t="s">
        <v>113</v>
      </c>
      <c r="E461" t="s">
        <v>114</v>
      </c>
      <c r="F461">
        <v>-138.30000000000001</v>
      </c>
      <c r="H461" t="s">
        <v>91</v>
      </c>
      <c r="I461" t="s">
        <v>14</v>
      </c>
    </row>
    <row r="462" spans="1:9" x14ac:dyDescent="0.45">
      <c r="A462" s="2">
        <v>45143</v>
      </c>
      <c r="B462" t="s">
        <v>10</v>
      </c>
      <c r="C462" t="s">
        <v>91</v>
      </c>
      <c r="D462" t="s">
        <v>122</v>
      </c>
      <c r="E462" t="s">
        <v>123</v>
      </c>
      <c r="F462">
        <v>-126.62</v>
      </c>
      <c r="H462" t="s">
        <v>91</v>
      </c>
      <c r="I462" t="s">
        <v>14</v>
      </c>
    </row>
    <row r="463" spans="1:9" x14ac:dyDescent="0.45">
      <c r="A463" s="2">
        <v>45144</v>
      </c>
      <c r="B463" t="s">
        <v>46</v>
      </c>
      <c r="C463" t="s">
        <v>103</v>
      </c>
      <c r="D463" t="s">
        <v>104</v>
      </c>
      <c r="E463" t="s">
        <v>105</v>
      </c>
      <c r="F463">
        <v>-139.1</v>
      </c>
      <c r="H463" t="s">
        <v>103</v>
      </c>
      <c r="I463" t="s">
        <v>14</v>
      </c>
    </row>
    <row r="464" spans="1:9" x14ac:dyDescent="0.45">
      <c r="A464" s="2">
        <v>45149</v>
      </c>
      <c r="B464" t="s">
        <v>46</v>
      </c>
      <c r="C464" t="s">
        <v>117</v>
      </c>
      <c r="D464" t="s">
        <v>132</v>
      </c>
      <c r="E464" t="s">
        <v>133</v>
      </c>
      <c r="F464">
        <v>-76.38</v>
      </c>
      <c r="H464" t="s">
        <v>117</v>
      </c>
      <c r="I464" t="s">
        <v>14</v>
      </c>
    </row>
    <row r="465" spans="1:9" x14ac:dyDescent="0.45">
      <c r="A465" s="2">
        <v>45150</v>
      </c>
      <c r="B465" t="s">
        <v>49</v>
      </c>
      <c r="C465" t="s">
        <v>85</v>
      </c>
      <c r="D465" t="s">
        <v>101</v>
      </c>
      <c r="E465" t="s">
        <v>102</v>
      </c>
      <c r="F465">
        <v>-146.75</v>
      </c>
      <c r="H465" t="s">
        <v>85</v>
      </c>
      <c r="I465" t="s">
        <v>14</v>
      </c>
    </row>
    <row r="466" spans="1:9" x14ac:dyDescent="0.45">
      <c r="A466" s="2">
        <v>45152</v>
      </c>
      <c r="B466" t="s">
        <v>49</v>
      </c>
      <c r="C466" t="s">
        <v>80</v>
      </c>
      <c r="D466" t="s">
        <v>81</v>
      </c>
      <c r="E466" t="s">
        <v>82</v>
      </c>
      <c r="F466">
        <v>-132.13</v>
      </c>
      <c r="H466" t="s">
        <v>80</v>
      </c>
      <c r="I466" t="s">
        <v>14</v>
      </c>
    </row>
    <row r="467" spans="1:9" x14ac:dyDescent="0.45">
      <c r="A467" s="2">
        <v>45155</v>
      </c>
      <c r="B467" t="s">
        <v>10</v>
      </c>
      <c r="C467" t="s">
        <v>103</v>
      </c>
      <c r="D467" t="s">
        <v>104</v>
      </c>
      <c r="E467" t="s">
        <v>105</v>
      </c>
      <c r="F467">
        <v>-81.569999999999993</v>
      </c>
      <c r="H467" t="s">
        <v>103</v>
      </c>
      <c r="I467" t="s">
        <v>14</v>
      </c>
    </row>
    <row r="468" spans="1:9" x14ac:dyDescent="0.45">
      <c r="A468" s="2">
        <v>45157</v>
      </c>
      <c r="B468" t="s">
        <v>46</v>
      </c>
      <c r="C468" t="s">
        <v>77</v>
      </c>
      <c r="D468" t="s">
        <v>83</v>
      </c>
      <c r="E468" t="s">
        <v>84</v>
      </c>
      <c r="F468">
        <v>-103.07</v>
      </c>
      <c r="H468" t="s">
        <v>77</v>
      </c>
      <c r="I468" t="s">
        <v>14</v>
      </c>
    </row>
    <row r="469" spans="1:9" x14ac:dyDescent="0.45">
      <c r="A469" s="2">
        <v>45160</v>
      </c>
      <c r="B469" t="s">
        <v>46</v>
      </c>
      <c r="C469" t="s">
        <v>91</v>
      </c>
      <c r="D469" t="s">
        <v>122</v>
      </c>
      <c r="E469" t="s">
        <v>123</v>
      </c>
      <c r="F469">
        <v>-100.17</v>
      </c>
      <c r="H469" t="s">
        <v>91</v>
      </c>
      <c r="I469" t="s">
        <v>14</v>
      </c>
    </row>
    <row r="470" spans="1:9" x14ac:dyDescent="0.45">
      <c r="A470" s="2">
        <v>45161</v>
      </c>
      <c r="B470" t="s">
        <v>49</v>
      </c>
      <c r="C470" t="s">
        <v>91</v>
      </c>
      <c r="D470" t="s">
        <v>122</v>
      </c>
      <c r="E470" t="s">
        <v>123</v>
      </c>
      <c r="F470">
        <v>-114.4</v>
      </c>
      <c r="H470" t="s">
        <v>91</v>
      </c>
      <c r="I470" t="s">
        <v>14</v>
      </c>
    </row>
    <row r="471" spans="1:9" x14ac:dyDescent="0.45">
      <c r="A471" s="2">
        <v>45163</v>
      </c>
      <c r="B471" t="s">
        <v>10</v>
      </c>
      <c r="C471" t="s">
        <v>110</v>
      </c>
      <c r="D471" t="s">
        <v>120</v>
      </c>
      <c r="E471" t="s">
        <v>121</v>
      </c>
      <c r="F471">
        <v>-66.14</v>
      </c>
      <c r="H471" t="s">
        <v>110</v>
      </c>
      <c r="I471" t="s">
        <v>14</v>
      </c>
    </row>
    <row r="472" spans="1:9" x14ac:dyDescent="0.45">
      <c r="A472" s="2">
        <v>45164</v>
      </c>
      <c r="B472" t="s">
        <v>46</v>
      </c>
      <c r="C472" t="s">
        <v>103</v>
      </c>
      <c r="D472" t="s">
        <v>130</v>
      </c>
      <c r="E472" t="s">
        <v>131</v>
      </c>
      <c r="F472">
        <v>-84.69</v>
      </c>
      <c r="H472" t="s">
        <v>103</v>
      </c>
      <c r="I472" t="s">
        <v>14</v>
      </c>
    </row>
    <row r="473" spans="1:9" x14ac:dyDescent="0.45">
      <c r="A473" s="2">
        <v>45166</v>
      </c>
      <c r="B473" t="s">
        <v>46</v>
      </c>
      <c r="C473" t="s">
        <v>11</v>
      </c>
      <c r="D473" t="s">
        <v>115</v>
      </c>
      <c r="E473" t="s">
        <v>116</v>
      </c>
      <c r="F473">
        <v>2631.09</v>
      </c>
      <c r="H473" t="s">
        <v>12</v>
      </c>
      <c r="I473" t="s">
        <v>13</v>
      </c>
    </row>
    <row r="474" spans="1:9" x14ac:dyDescent="0.45">
      <c r="A474" s="2">
        <v>45171</v>
      </c>
      <c r="B474" t="s">
        <v>49</v>
      </c>
      <c r="C474" t="s">
        <v>20</v>
      </c>
      <c r="D474" t="s">
        <v>144</v>
      </c>
      <c r="E474" t="s">
        <v>145</v>
      </c>
      <c r="F474">
        <v>-71.42</v>
      </c>
      <c r="H474" t="s">
        <v>20</v>
      </c>
      <c r="I474" t="s">
        <v>14</v>
      </c>
    </row>
    <row r="475" spans="1:9" x14ac:dyDescent="0.45">
      <c r="A475" s="2">
        <v>45171</v>
      </c>
      <c r="B475" t="s">
        <v>46</v>
      </c>
      <c r="C475" t="s">
        <v>80</v>
      </c>
      <c r="D475" t="s">
        <v>128</v>
      </c>
      <c r="E475" t="s">
        <v>129</v>
      </c>
      <c r="F475">
        <v>-18.64</v>
      </c>
      <c r="H475" t="s">
        <v>80</v>
      </c>
      <c r="I475" t="s">
        <v>14</v>
      </c>
    </row>
    <row r="476" spans="1:9" x14ac:dyDescent="0.45">
      <c r="A476" s="2">
        <v>45179</v>
      </c>
      <c r="B476" t="s">
        <v>10</v>
      </c>
      <c r="C476" t="s">
        <v>80</v>
      </c>
      <c r="D476" t="s">
        <v>94</v>
      </c>
      <c r="E476" t="s">
        <v>95</v>
      </c>
      <c r="F476">
        <v>-142.37</v>
      </c>
      <c r="H476" t="s">
        <v>80</v>
      </c>
      <c r="I476" t="s">
        <v>14</v>
      </c>
    </row>
    <row r="477" spans="1:9" x14ac:dyDescent="0.45">
      <c r="A477" s="2">
        <v>45181</v>
      </c>
      <c r="B477" t="s">
        <v>49</v>
      </c>
      <c r="C477" t="s">
        <v>91</v>
      </c>
      <c r="D477" t="s">
        <v>92</v>
      </c>
      <c r="E477" t="s">
        <v>93</v>
      </c>
      <c r="F477">
        <v>-103.05</v>
      </c>
      <c r="H477" t="s">
        <v>91</v>
      </c>
      <c r="I477" t="s">
        <v>14</v>
      </c>
    </row>
    <row r="478" spans="1:9" x14ac:dyDescent="0.45">
      <c r="A478" s="2">
        <v>45182</v>
      </c>
      <c r="B478" t="s">
        <v>49</v>
      </c>
      <c r="C478" t="s">
        <v>20</v>
      </c>
      <c r="D478" t="s">
        <v>144</v>
      </c>
      <c r="E478" t="s">
        <v>145</v>
      </c>
      <c r="F478">
        <v>-24.84</v>
      </c>
      <c r="H478" t="s">
        <v>20</v>
      </c>
      <c r="I478" t="s">
        <v>14</v>
      </c>
    </row>
    <row r="479" spans="1:9" x14ac:dyDescent="0.45">
      <c r="A479" s="2">
        <v>45189</v>
      </c>
      <c r="B479" t="s">
        <v>49</v>
      </c>
      <c r="C479" t="s">
        <v>88</v>
      </c>
      <c r="D479" t="s">
        <v>138</v>
      </c>
      <c r="E479" t="s">
        <v>139</v>
      </c>
      <c r="F479">
        <v>-31.98</v>
      </c>
      <c r="H479" t="s">
        <v>88</v>
      </c>
      <c r="I479" t="s">
        <v>14</v>
      </c>
    </row>
    <row r="480" spans="1:9" x14ac:dyDescent="0.45">
      <c r="A480" s="2">
        <v>45192</v>
      </c>
      <c r="B480" t="s">
        <v>10</v>
      </c>
      <c r="C480" t="s">
        <v>91</v>
      </c>
      <c r="D480" t="s">
        <v>92</v>
      </c>
      <c r="E480" t="s">
        <v>93</v>
      </c>
      <c r="F480">
        <v>-133.25</v>
      </c>
      <c r="H480" t="s">
        <v>91</v>
      </c>
      <c r="I480" t="s">
        <v>14</v>
      </c>
    </row>
    <row r="481" spans="1:9" x14ac:dyDescent="0.45">
      <c r="A481" s="2">
        <v>45192</v>
      </c>
      <c r="B481" t="s">
        <v>10</v>
      </c>
      <c r="C481" t="s">
        <v>77</v>
      </c>
      <c r="D481" t="s">
        <v>78</v>
      </c>
      <c r="E481" t="s">
        <v>79</v>
      </c>
      <c r="F481">
        <v>-139.19</v>
      </c>
      <c r="H481" t="s">
        <v>77</v>
      </c>
      <c r="I481" t="s">
        <v>14</v>
      </c>
    </row>
    <row r="482" spans="1:9" x14ac:dyDescent="0.45">
      <c r="A482" s="2">
        <v>45194</v>
      </c>
      <c r="B482" t="s">
        <v>46</v>
      </c>
      <c r="C482" t="s">
        <v>77</v>
      </c>
      <c r="D482" t="s">
        <v>96</v>
      </c>
      <c r="E482" t="s">
        <v>97</v>
      </c>
      <c r="F482">
        <v>-117</v>
      </c>
      <c r="H482" t="s">
        <v>77</v>
      </c>
      <c r="I482" t="s">
        <v>14</v>
      </c>
    </row>
    <row r="483" spans="1:9" x14ac:dyDescent="0.45">
      <c r="A483" s="2">
        <v>45201</v>
      </c>
      <c r="B483" t="s">
        <v>46</v>
      </c>
      <c r="C483" t="s">
        <v>91</v>
      </c>
      <c r="D483" t="s">
        <v>122</v>
      </c>
      <c r="E483" t="s">
        <v>123</v>
      </c>
      <c r="F483">
        <v>-84.12</v>
      </c>
      <c r="H483" t="s">
        <v>91</v>
      </c>
      <c r="I483" t="s">
        <v>14</v>
      </c>
    </row>
    <row r="484" spans="1:9" x14ac:dyDescent="0.45">
      <c r="A484" s="2">
        <v>45201</v>
      </c>
      <c r="B484" t="s">
        <v>10</v>
      </c>
      <c r="C484" t="s">
        <v>20</v>
      </c>
      <c r="D484" t="s">
        <v>108</v>
      </c>
      <c r="E484" t="s">
        <v>109</v>
      </c>
      <c r="F484">
        <v>-33.6</v>
      </c>
      <c r="H484" t="s">
        <v>20</v>
      </c>
      <c r="I484" t="s">
        <v>14</v>
      </c>
    </row>
    <row r="485" spans="1:9" x14ac:dyDescent="0.45">
      <c r="A485" s="2">
        <v>45208</v>
      </c>
      <c r="B485" t="s">
        <v>46</v>
      </c>
      <c r="C485" t="s">
        <v>20</v>
      </c>
      <c r="D485" t="s">
        <v>146</v>
      </c>
      <c r="E485" t="s">
        <v>147</v>
      </c>
      <c r="F485">
        <v>-133.49</v>
      </c>
      <c r="H485" t="s">
        <v>20</v>
      </c>
      <c r="I485" t="s">
        <v>14</v>
      </c>
    </row>
    <row r="486" spans="1:9" x14ac:dyDescent="0.45">
      <c r="A486" s="2">
        <v>45225</v>
      </c>
      <c r="B486" t="s">
        <v>49</v>
      </c>
      <c r="C486" t="s">
        <v>91</v>
      </c>
      <c r="D486" t="s">
        <v>92</v>
      </c>
      <c r="E486" t="s">
        <v>93</v>
      </c>
      <c r="F486">
        <v>-34.03</v>
      </c>
      <c r="H486" t="s">
        <v>91</v>
      </c>
      <c r="I486" t="s">
        <v>14</v>
      </c>
    </row>
    <row r="487" spans="1:9" x14ac:dyDescent="0.45">
      <c r="A487" s="2">
        <v>45231</v>
      </c>
      <c r="B487" t="s">
        <v>10</v>
      </c>
      <c r="C487" t="s">
        <v>20</v>
      </c>
      <c r="D487" t="s">
        <v>144</v>
      </c>
      <c r="E487" t="s">
        <v>145</v>
      </c>
      <c r="F487">
        <v>-145.88999999999999</v>
      </c>
      <c r="H487" t="s">
        <v>20</v>
      </c>
      <c r="I487" t="s">
        <v>14</v>
      </c>
    </row>
    <row r="488" spans="1:9" x14ac:dyDescent="0.45">
      <c r="A488" s="2">
        <v>45237</v>
      </c>
      <c r="B488" t="s">
        <v>46</v>
      </c>
      <c r="C488" t="s">
        <v>110</v>
      </c>
      <c r="D488" t="s">
        <v>120</v>
      </c>
      <c r="E488" t="s">
        <v>121</v>
      </c>
      <c r="F488">
        <v>-57.83</v>
      </c>
      <c r="H488" t="s">
        <v>110</v>
      </c>
      <c r="I488" t="s">
        <v>14</v>
      </c>
    </row>
    <row r="489" spans="1:9" x14ac:dyDescent="0.45">
      <c r="A489" s="2">
        <v>45244</v>
      </c>
      <c r="B489" t="s">
        <v>10</v>
      </c>
      <c r="C489" t="s">
        <v>80</v>
      </c>
      <c r="D489" t="s">
        <v>81</v>
      </c>
      <c r="E489" t="s">
        <v>82</v>
      </c>
      <c r="F489">
        <v>-12.34</v>
      </c>
      <c r="H489" t="s">
        <v>80</v>
      </c>
      <c r="I489" t="s">
        <v>14</v>
      </c>
    </row>
    <row r="490" spans="1:9" x14ac:dyDescent="0.45">
      <c r="A490" s="2">
        <v>45245</v>
      </c>
      <c r="B490" t="s">
        <v>46</v>
      </c>
      <c r="C490" t="s">
        <v>85</v>
      </c>
      <c r="D490" t="s">
        <v>101</v>
      </c>
      <c r="E490" t="s">
        <v>102</v>
      </c>
      <c r="F490">
        <v>-96.73</v>
      </c>
      <c r="H490" t="s">
        <v>85</v>
      </c>
      <c r="I490" t="s">
        <v>14</v>
      </c>
    </row>
    <row r="491" spans="1:9" x14ac:dyDescent="0.45">
      <c r="A491" s="2">
        <v>45256</v>
      </c>
      <c r="B491" t="s">
        <v>46</v>
      </c>
      <c r="C491" t="s">
        <v>85</v>
      </c>
      <c r="D491" t="s">
        <v>86</v>
      </c>
      <c r="E491" t="s">
        <v>87</v>
      </c>
      <c r="F491">
        <v>-90.02</v>
      </c>
      <c r="H491" t="s">
        <v>85</v>
      </c>
      <c r="I491" t="s">
        <v>14</v>
      </c>
    </row>
    <row r="492" spans="1:9" x14ac:dyDescent="0.45">
      <c r="A492" s="2">
        <v>45257</v>
      </c>
      <c r="B492" t="s">
        <v>10</v>
      </c>
      <c r="C492" t="s">
        <v>98</v>
      </c>
      <c r="D492" t="s">
        <v>99</v>
      </c>
      <c r="E492" t="s">
        <v>100</v>
      </c>
      <c r="F492">
        <v>-54.8</v>
      </c>
      <c r="H492" t="s">
        <v>98</v>
      </c>
      <c r="I492" t="s">
        <v>14</v>
      </c>
    </row>
    <row r="493" spans="1:9" x14ac:dyDescent="0.45">
      <c r="A493" s="2">
        <v>45262</v>
      </c>
      <c r="B493" t="s">
        <v>46</v>
      </c>
      <c r="C493" t="s">
        <v>85</v>
      </c>
      <c r="D493" t="s">
        <v>86</v>
      </c>
      <c r="E493" t="s">
        <v>87</v>
      </c>
      <c r="F493">
        <v>-43.32</v>
      </c>
      <c r="H493" t="s">
        <v>85</v>
      </c>
      <c r="I493" t="s">
        <v>14</v>
      </c>
    </row>
    <row r="494" spans="1:9" x14ac:dyDescent="0.45">
      <c r="A494" s="2">
        <v>45265</v>
      </c>
      <c r="B494" t="s">
        <v>49</v>
      </c>
      <c r="C494" t="s">
        <v>110</v>
      </c>
      <c r="D494" t="s">
        <v>111</v>
      </c>
      <c r="E494" t="s">
        <v>112</v>
      </c>
      <c r="F494">
        <v>-124.5</v>
      </c>
      <c r="H494" t="s">
        <v>110</v>
      </c>
      <c r="I494" t="s">
        <v>14</v>
      </c>
    </row>
    <row r="495" spans="1:9" x14ac:dyDescent="0.45">
      <c r="A495" s="2">
        <v>45265</v>
      </c>
      <c r="B495" t="s">
        <v>10</v>
      </c>
      <c r="C495" t="s">
        <v>85</v>
      </c>
      <c r="D495" t="s">
        <v>101</v>
      </c>
      <c r="E495" t="s">
        <v>102</v>
      </c>
      <c r="F495">
        <v>-127.12</v>
      </c>
      <c r="H495" t="s">
        <v>85</v>
      </c>
      <c r="I495" t="s">
        <v>14</v>
      </c>
    </row>
    <row r="496" spans="1:9" x14ac:dyDescent="0.45">
      <c r="A496" s="2">
        <v>45277</v>
      </c>
      <c r="B496" t="s">
        <v>49</v>
      </c>
      <c r="C496" t="s">
        <v>117</v>
      </c>
      <c r="D496" t="s">
        <v>132</v>
      </c>
      <c r="E496" t="s">
        <v>133</v>
      </c>
      <c r="F496">
        <v>-28.92</v>
      </c>
      <c r="H496" t="s">
        <v>117</v>
      </c>
      <c r="I496" t="s">
        <v>14</v>
      </c>
    </row>
    <row r="497" spans="1:9" x14ac:dyDescent="0.45">
      <c r="A497" s="2">
        <v>45278</v>
      </c>
      <c r="B497" t="s">
        <v>46</v>
      </c>
      <c r="C497" t="s">
        <v>85</v>
      </c>
      <c r="D497" t="s">
        <v>86</v>
      </c>
      <c r="E497" t="s">
        <v>87</v>
      </c>
      <c r="F497">
        <v>-148.03</v>
      </c>
      <c r="H497" t="s">
        <v>85</v>
      </c>
      <c r="I497" t="s">
        <v>14</v>
      </c>
    </row>
    <row r="498" spans="1:9" x14ac:dyDescent="0.45">
      <c r="A498" s="2">
        <v>45280</v>
      </c>
      <c r="B498" t="s">
        <v>10</v>
      </c>
      <c r="C498" t="s">
        <v>20</v>
      </c>
      <c r="D498" t="s">
        <v>144</v>
      </c>
      <c r="E498" t="s">
        <v>145</v>
      </c>
      <c r="F498">
        <v>-68.67</v>
      </c>
      <c r="H498" t="s">
        <v>20</v>
      </c>
      <c r="I498" t="s">
        <v>14</v>
      </c>
    </row>
    <row r="499" spans="1:9" x14ac:dyDescent="0.45">
      <c r="A499" s="2">
        <v>45281</v>
      </c>
      <c r="B499" t="s">
        <v>46</v>
      </c>
      <c r="C499" t="s">
        <v>77</v>
      </c>
      <c r="D499" t="s">
        <v>83</v>
      </c>
      <c r="E499" t="s">
        <v>84</v>
      </c>
      <c r="F499">
        <v>-144.26</v>
      </c>
      <c r="H499" t="s">
        <v>77</v>
      </c>
      <c r="I499" t="s">
        <v>14</v>
      </c>
    </row>
    <row r="500" spans="1:9" x14ac:dyDescent="0.45">
      <c r="A500" s="2">
        <v>45282</v>
      </c>
      <c r="B500" t="s">
        <v>10</v>
      </c>
      <c r="C500" t="s">
        <v>85</v>
      </c>
      <c r="D500" t="s">
        <v>140</v>
      </c>
      <c r="E500" t="s">
        <v>141</v>
      </c>
      <c r="F500">
        <v>-138.66999999999999</v>
      </c>
      <c r="H500" t="s">
        <v>85</v>
      </c>
      <c r="I500" t="s">
        <v>14</v>
      </c>
    </row>
    <row r="501" spans="1:9" x14ac:dyDescent="0.45">
      <c r="A501" s="2">
        <v>45283</v>
      </c>
      <c r="B501" t="s">
        <v>46</v>
      </c>
      <c r="C501" t="s">
        <v>77</v>
      </c>
      <c r="D501" t="s">
        <v>96</v>
      </c>
      <c r="E501" t="s">
        <v>97</v>
      </c>
      <c r="F501">
        <v>-45.9</v>
      </c>
      <c r="H501" t="s">
        <v>77</v>
      </c>
      <c r="I501" t="s">
        <v>14</v>
      </c>
    </row>
    <row r="502" spans="1:9" x14ac:dyDescent="0.45">
      <c r="A502" s="2">
        <v>45293</v>
      </c>
      <c r="B502" t="s">
        <v>10</v>
      </c>
      <c r="C502" t="s">
        <v>117</v>
      </c>
      <c r="D502" t="s">
        <v>118</v>
      </c>
      <c r="E502" t="s">
        <v>119</v>
      </c>
      <c r="F502">
        <v>-48.67</v>
      </c>
      <c r="H502" t="s">
        <v>117</v>
      </c>
      <c r="I502" t="s">
        <v>14</v>
      </c>
    </row>
    <row r="503" spans="1:9" x14ac:dyDescent="0.45">
      <c r="A503" s="2">
        <v>45294</v>
      </c>
      <c r="B503" t="s">
        <v>10</v>
      </c>
      <c r="C503" t="s">
        <v>11</v>
      </c>
      <c r="D503" t="s">
        <v>106</v>
      </c>
      <c r="E503" t="s">
        <v>107</v>
      </c>
      <c r="F503">
        <v>2430.5100000000002</v>
      </c>
      <c r="H503" t="s">
        <v>12</v>
      </c>
      <c r="I503" t="s">
        <v>13</v>
      </c>
    </row>
    <row r="504" spans="1:9" x14ac:dyDescent="0.45">
      <c r="A504" s="2">
        <v>45294</v>
      </c>
      <c r="B504" t="s">
        <v>46</v>
      </c>
      <c r="C504" t="s">
        <v>77</v>
      </c>
      <c r="D504" t="s">
        <v>83</v>
      </c>
      <c r="E504" t="s">
        <v>84</v>
      </c>
      <c r="F504">
        <v>-96.57</v>
      </c>
      <c r="H504" t="s">
        <v>77</v>
      </c>
      <c r="I504" t="s">
        <v>14</v>
      </c>
    </row>
    <row r="505" spans="1:9" x14ac:dyDescent="0.45">
      <c r="A505" s="2">
        <v>45300</v>
      </c>
      <c r="B505" t="s">
        <v>10</v>
      </c>
      <c r="C505" t="s">
        <v>110</v>
      </c>
      <c r="D505" t="s">
        <v>120</v>
      </c>
      <c r="E505" t="s">
        <v>121</v>
      </c>
      <c r="F505">
        <v>-101.53</v>
      </c>
      <c r="H505" t="s">
        <v>110</v>
      </c>
      <c r="I505" t="s">
        <v>14</v>
      </c>
    </row>
    <row r="506" spans="1:9" x14ac:dyDescent="0.45">
      <c r="A506" s="2">
        <v>45301</v>
      </c>
      <c r="B506" t="s">
        <v>46</v>
      </c>
      <c r="C506" t="s">
        <v>98</v>
      </c>
      <c r="D506" t="s">
        <v>99</v>
      </c>
      <c r="E506" t="s">
        <v>100</v>
      </c>
      <c r="F506">
        <v>-69.680000000000007</v>
      </c>
      <c r="H506" t="s">
        <v>98</v>
      </c>
      <c r="I506" t="s">
        <v>14</v>
      </c>
    </row>
    <row r="507" spans="1:9" x14ac:dyDescent="0.45">
      <c r="A507" s="2">
        <v>45310</v>
      </c>
      <c r="B507" t="s">
        <v>10</v>
      </c>
      <c r="C507" t="s">
        <v>85</v>
      </c>
      <c r="D507" t="s">
        <v>140</v>
      </c>
      <c r="E507" t="s">
        <v>141</v>
      </c>
      <c r="F507">
        <v>-116.59</v>
      </c>
      <c r="H507" t="s">
        <v>85</v>
      </c>
      <c r="I507" t="s">
        <v>14</v>
      </c>
    </row>
    <row r="508" spans="1:9" x14ac:dyDescent="0.45">
      <c r="A508" s="2">
        <v>45324</v>
      </c>
      <c r="B508" t="s">
        <v>49</v>
      </c>
      <c r="C508" t="s">
        <v>85</v>
      </c>
      <c r="D508" t="s">
        <v>101</v>
      </c>
      <c r="E508" t="s">
        <v>102</v>
      </c>
      <c r="F508">
        <v>-142.94999999999999</v>
      </c>
      <c r="H508" t="s">
        <v>85</v>
      </c>
      <c r="I508" t="s">
        <v>14</v>
      </c>
    </row>
    <row r="509" spans="1:9" x14ac:dyDescent="0.45">
      <c r="A509" s="2">
        <v>45326</v>
      </c>
      <c r="B509" t="s">
        <v>49</v>
      </c>
      <c r="C509" t="s">
        <v>11</v>
      </c>
      <c r="D509" t="s">
        <v>115</v>
      </c>
      <c r="E509" t="s">
        <v>116</v>
      </c>
      <c r="F509">
        <v>1905.83</v>
      </c>
      <c r="H509" t="s">
        <v>12</v>
      </c>
      <c r="I509" t="s">
        <v>13</v>
      </c>
    </row>
    <row r="510" spans="1:9" x14ac:dyDescent="0.45">
      <c r="A510" s="2">
        <v>45327</v>
      </c>
      <c r="B510" t="s">
        <v>10</v>
      </c>
      <c r="C510" t="s">
        <v>91</v>
      </c>
      <c r="D510" t="s">
        <v>113</v>
      </c>
      <c r="E510" t="s">
        <v>114</v>
      </c>
      <c r="F510">
        <v>-144.61000000000001</v>
      </c>
      <c r="H510" t="s">
        <v>91</v>
      </c>
      <c r="I510" t="s">
        <v>14</v>
      </c>
    </row>
    <row r="511" spans="1:9" x14ac:dyDescent="0.45">
      <c r="A511" s="2">
        <v>45337</v>
      </c>
      <c r="B511" t="s">
        <v>46</v>
      </c>
      <c r="C511" t="s">
        <v>20</v>
      </c>
      <c r="D511" t="s">
        <v>144</v>
      </c>
      <c r="E511" t="s">
        <v>145</v>
      </c>
      <c r="F511">
        <v>-19.239999999999998</v>
      </c>
      <c r="H511" t="s">
        <v>20</v>
      </c>
      <c r="I511" t="s">
        <v>14</v>
      </c>
    </row>
    <row r="512" spans="1:9" x14ac:dyDescent="0.45">
      <c r="A512" s="2">
        <v>45341</v>
      </c>
      <c r="B512" t="s">
        <v>46</v>
      </c>
      <c r="C512" t="s">
        <v>11</v>
      </c>
      <c r="D512" t="s">
        <v>115</v>
      </c>
      <c r="E512" t="s">
        <v>116</v>
      </c>
      <c r="F512">
        <v>1847.05</v>
      </c>
      <c r="H512" t="s">
        <v>12</v>
      </c>
      <c r="I512" t="s">
        <v>13</v>
      </c>
    </row>
    <row r="513" spans="1:9" x14ac:dyDescent="0.45">
      <c r="A513" s="2">
        <v>45345</v>
      </c>
      <c r="B513" t="s">
        <v>46</v>
      </c>
      <c r="C513" t="s">
        <v>85</v>
      </c>
      <c r="D513" t="s">
        <v>140</v>
      </c>
      <c r="E513" t="s">
        <v>141</v>
      </c>
      <c r="F513">
        <v>-28.75</v>
      </c>
      <c r="H513" t="s">
        <v>85</v>
      </c>
      <c r="I513" t="s">
        <v>14</v>
      </c>
    </row>
    <row r="514" spans="1:9" x14ac:dyDescent="0.45">
      <c r="A514" s="2">
        <v>45357</v>
      </c>
      <c r="B514" t="s">
        <v>49</v>
      </c>
      <c r="C514" t="s">
        <v>98</v>
      </c>
      <c r="D514" t="s">
        <v>99</v>
      </c>
      <c r="E514" t="s">
        <v>100</v>
      </c>
      <c r="F514">
        <v>-24.35</v>
      </c>
      <c r="H514" t="s">
        <v>98</v>
      </c>
      <c r="I514" t="s">
        <v>14</v>
      </c>
    </row>
    <row r="515" spans="1:9" x14ac:dyDescent="0.45">
      <c r="A515" s="2">
        <v>45358</v>
      </c>
      <c r="B515" t="s">
        <v>49</v>
      </c>
      <c r="C515" t="s">
        <v>98</v>
      </c>
      <c r="D515" t="s">
        <v>148</v>
      </c>
      <c r="E515" t="s">
        <v>149</v>
      </c>
      <c r="F515">
        <v>-44.65</v>
      </c>
      <c r="H515" t="s">
        <v>98</v>
      </c>
      <c r="I515" t="s">
        <v>14</v>
      </c>
    </row>
    <row r="516" spans="1:9" x14ac:dyDescent="0.45">
      <c r="A516" s="2">
        <v>45358</v>
      </c>
      <c r="B516" t="s">
        <v>49</v>
      </c>
      <c r="C516" t="s">
        <v>88</v>
      </c>
      <c r="D516" t="s">
        <v>89</v>
      </c>
      <c r="E516" t="s">
        <v>90</v>
      </c>
      <c r="F516">
        <v>-101.66</v>
      </c>
      <c r="H516" t="s">
        <v>88</v>
      </c>
      <c r="I516" t="s">
        <v>14</v>
      </c>
    </row>
    <row r="517" spans="1:9" x14ac:dyDescent="0.45">
      <c r="A517" s="2">
        <v>45359</v>
      </c>
      <c r="B517" t="s">
        <v>49</v>
      </c>
      <c r="C517" t="s">
        <v>88</v>
      </c>
      <c r="D517" t="s">
        <v>89</v>
      </c>
      <c r="E517" t="s">
        <v>90</v>
      </c>
      <c r="F517">
        <v>-139.76</v>
      </c>
      <c r="H517" t="s">
        <v>88</v>
      </c>
      <c r="I517" t="s">
        <v>14</v>
      </c>
    </row>
    <row r="518" spans="1:9" x14ac:dyDescent="0.45">
      <c r="A518" s="2">
        <v>45363</v>
      </c>
      <c r="B518" t="s">
        <v>46</v>
      </c>
      <c r="C518" t="s">
        <v>85</v>
      </c>
      <c r="D518" t="s">
        <v>101</v>
      </c>
      <c r="E518" t="s">
        <v>102</v>
      </c>
      <c r="F518">
        <v>-96.45</v>
      </c>
      <c r="H518" t="s">
        <v>85</v>
      </c>
      <c r="I518" t="s">
        <v>14</v>
      </c>
    </row>
    <row r="519" spans="1:9" x14ac:dyDescent="0.45">
      <c r="A519" s="2">
        <v>45371</v>
      </c>
      <c r="B519" t="s">
        <v>49</v>
      </c>
      <c r="C519" t="s">
        <v>77</v>
      </c>
      <c r="D519" t="s">
        <v>96</v>
      </c>
      <c r="E519" t="s">
        <v>97</v>
      </c>
      <c r="F519">
        <v>-52.38</v>
      </c>
      <c r="H519" t="s">
        <v>77</v>
      </c>
      <c r="I519" t="s">
        <v>14</v>
      </c>
    </row>
    <row r="520" spans="1:9" x14ac:dyDescent="0.45">
      <c r="A520" s="2">
        <v>45372</v>
      </c>
      <c r="B520" t="s">
        <v>49</v>
      </c>
      <c r="C520" t="s">
        <v>77</v>
      </c>
      <c r="D520" t="s">
        <v>78</v>
      </c>
      <c r="E520" t="s">
        <v>79</v>
      </c>
      <c r="F520">
        <v>-112.15</v>
      </c>
      <c r="H520" t="s">
        <v>77</v>
      </c>
      <c r="I520" t="s">
        <v>14</v>
      </c>
    </row>
    <row r="521" spans="1:9" x14ac:dyDescent="0.45">
      <c r="A521" s="2">
        <v>45379</v>
      </c>
      <c r="B521" t="s">
        <v>46</v>
      </c>
      <c r="C521" t="s">
        <v>11</v>
      </c>
      <c r="D521" t="s">
        <v>115</v>
      </c>
      <c r="E521" t="s">
        <v>116</v>
      </c>
      <c r="F521">
        <v>2035.51</v>
      </c>
      <c r="H521" t="s">
        <v>12</v>
      </c>
      <c r="I521" t="s">
        <v>13</v>
      </c>
    </row>
    <row r="522" spans="1:9" x14ac:dyDescent="0.45">
      <c r="A522" s="2">
        <v>45384</v>
      </c>
      <c r="B522" t="s">
        <v>46</v>
      </c>
      <c r="C522" t="s">
        <v>103</v>
      </c>
      <c r="D522" t="s">
        <v>104</v>
      </c>
      <c r="E522" t="s">
        <v>105</v>
      </c>
      <c r="F522">
        <v>-105.06</v>
      </c>
      <c r="H522" t="s">
        <v>103</v>
      </c>
      <c r="I522" t="s">
        <v>14</v>
      </c>
    </row>
    <row r="523" spans="1:9" x14ac:dyDescent="0.45">
      <c r="A523" s="2">
        <v>45387</v>
      </c>
      <c r="B523" t="s">
        <v>49</v>
      </c>
      <c r="C523" t="s">
        <v>88</v>
      </c>
      <c r="D523" t="s">
        <v>138</v>
      </c>
      <c r="E523" t="s">
        <v>139</v>
      </c>
      <c r="F523">
        <v>-85.81</v>
      </c>
      <c r="H523" t="s">
        <v>88</v>
      </c>
      <c r="I523" t="s">
        <v>14</v>
      </c>
    </row>
    <row r="524" spans="1:9" x14ac:dyDescent="0.45">
      <c r="A524" s="2">
        <v>45392</v>
      </c>
      <c r="B524" t="s">
        <v>46</v>
      </c>
      <c r="C524" t="s">
        <v>88</v>
      </c>
      <c r="D524" t="s">
        <v>89</v>
      </c>
      <c r="E524" t="s">
        <v>90</v>
      </c>
      <c r="F524">
        <v>-36.29</v>
      </c>
      <c r="H524" t="s">
        <v>88</v>
      </c>
      <c r="I524" t="s">
        <v>14</v>
      </c>
    </row>
    <row r="525" spans="1:9" x14ac:dyDescent="0.45">
      <c r="A525" s="2">
        <v>45396</v>
      </c>
      <c r="B525" t="s">
        <v>10</v>
      </c>
      <c r="C525" t="s">
        <v>103</v>
      </c>
      <c r="D525" t="s">
        <v>142</v>
      </c>
      <c r="E525" t="s">
        <v>143</v>
      </c>
      <c r="F525">
        <v>-100.53</v>
      </c>
      <c r="H525" t="s">
        <v>103</v>
      </c>
      <c r="I525" t="s">
        <v>14</v>
      </c>
    </row>
    <row r="526" spans="1:9" x14ac:dyDescent="0.45">
      <c r="A526" s="2">
        <v>45397</v>
      </c>
      <c r="B526" t="s">
        <v>49</v>
      </c>
      <c r="C526" t="s">
        <v>77</v>
      </c>
      <c r="D526" t="s">
        <v>96</v>
      </c>
      <c r="E526" t="s">
        <v>97</v>
      </c>
      <c r="F526">
        <v>-78.25</v>
      </c>
      <c r="H526" t="s">
        <v>77</v>
      </c>
      <c r="I526" t="s">
        <v>14</v>
      </c>
    </row>
    <row r="527" spans="1:9" x14ac:dyDescent="0.45">
      <c r="A527" s="2">
        <v>45398</v>
      </c>
      <c r="B527" t="s">
        <v>10</v>
      </c>
      <c r="C527" t="s">
        <v>98</v>
      </c>
      <c r="D527" t="s">
        <v>148</v>
      </c>
      <c r="E527" t="s">
        <v>149</v>
      </c>
      <c r="F527">
        <v>-12.81</v>
      </c>
      <c r="H527" t="s">
        <v>98</v>
      </c>
      <c r="I527" t="s">
        <v>14</v>
      </c>
    </row>
    <row r="528" spans="1:9" x14ac:dyDescent="0.45">
      <c r="A528" s="2">
        <v>45403</v>
      </c>
      <c r="B528" t="s">
        <v>46</v>
      </c>
      <c r="C528" t="s">
        <v>20</v>
      </c>
      <c r="D528" t="s">
        <v>144</v>
      </c>
      <c r="E528" t="s">
        <v>145</v>
      </c>
      <c r="F528">
        <v>-115.87</v>
      </c>
      <c r="H528" t="s">
        <v>20</v>
      </c>
      <c r="I528" t="s">
        <v>14</v>
      </c>
    </row>
    <row r="529" spans="1:9" x14ac:dyDescent="0.45">
      <c r="A529" s="2">
        <v>45403</v>
      </c>
      <c r="B529" t="s">
        <v>10</v>
      </c>
      <c r="C529" t="s">
        <v>80</v>
      </c>
      <c r="D529" t="s">
        <v>81</v>
      </c>
      <c r="E529" t="s">
        <v>82</v>
      </c>
      <c r="F529">
        <v>-145.74</v>
      </c>
      <c r="H529" t="s">
        <v>80</v>
      </c>
      <c r="I529" t="s">
        <v>14</v>
      </c>
    </row>
    <row r="530" spans="1:9" x14ac:dyDescent="0.45">
      <c r="A530" s="2">
        <v>45405</v>
      </c>
      <c r="B530" t="s">
        <v>10</v>
      </c>
      <c r="C530" t="s">
        <v>98</v>
      </c>
      <c r="D530" t="s">
        <v>148</v>
      </c>
      <c r="E530" t="s">
        <v>149</v>
      </c>
      <c r="F530">
        <v>-112.66</v>
      </c>
      <c r="H530" t="s">
        <v>98</v>
      </c>
      <c r="I530" t="s">
        <v>14</v>
      </c>
    </row>
    <row r="531" spans="1:9" x14ac:dyDescent="0.45">
      <c r="A531" s="2">
        <v>45406</v>
      </c>
      <c r="B531" t="s">
        <v>46</v>
      </c>
      <c r="C531" t="s">
        <v>88</v>
      </c>
      <c r="D531" t="s">
        <v>136</v>
      </c>
      <c r="E531" t="s">
        <v>137</v>
      </c>
      <c r="F531">
        <v>-122.13</v>
      </c>
      <c r="H531" t="s">
        <v>88</v>
      </c>
      <c r="I531" t="s">
        <v>14</v>
      </c>
    </row>
    <row r="532" spans="1:9" x14ac:dyDescent="0.45">
      <c r="A532" s="2">
        <v>45409</v>
      </c>
      <c r="B532" t="s">
        <v>46</v>
      </c>
      <c r="C532" t="s">
        <v>103</v>
      </c>
      <c r="D532" t="s">
        <v>130</v>
      </c>
      <c r="E532" t="s">
        <v>131</v>
      </c>
      <c r="F532">
        <v>-45.38</v>
      </c>
      <c r="H532" t="s">
        <v>103</v>
      </c>
      <c r="I532" t="s">
        <v>14</v>
      </c>
    </row>
    <row r="533" spans="1:9" x14ac:dyDescent="0.45">
      <c r="A533" s="2">
        <v>45413</v>
      </c>
      <c r="B533" t="s">
        <v>10</v>
      </c>
      <c r="C533" t="s">
        <v>77</v>
      </c>
      <c r="D533" t="s">
        <v>96</v>
      </c>
      <c r="E533" t="s">
        <v>97</v>
      </c>
      <c r="F533">
        <v>-93.08</v>
      </c>
      <c r="H533" t="s">
        <v>77</v>
      </c>
      <c r="I533" t="s">
        <v>14</v>
      </c>
    </row>
    <row r="534" spans="1:9" x14ac:dyDescent="0.45">
      <c r="A534" s="2">
        <v>45415</v>
      </c>
      <c r="B534" t="s">
        <v>10</v>
      </c>
      <c r="C534" t="s">
        <v>85</v>
      </c>
      <c r="D534" t="s">
        <v>140</v>
      </c>
      <c r="E534" t="s">
        <v>141</v>
      </c>
      <c r="F534">
        <v>-143.29</v>
      </c>
      <c r="H534" t="s">
        <v>85</v>
      </c>
      <c r="I534" t="s">
        <v>14</v>
      </c>
    </row>
    <row r="535" spans="1:9" x14ac:dyDescent="0.45">
      <c r="A535" s="2">
        <v>45421</v>
      </c>
      <c r="B535" t="s">
        <v>46</v>
      </c>
      <c r="C535" t="s">
        <v>20</v>
      </c>
      <c r="D535" t="s">
        <v>108</v>
      </c>
      <c r="E535" t="s">
        <v>109</v>
      </c>
      <c r="F535">
        <v>-108.2</v>
      </c>
      <c r="H535" t="s">
        <v>20</v>
      </c>
      <c r="I535" t="s">
        <v>14</v>
      </c>
    </row>
    <row r="536" spans="1:9" x14ac:dyDescent="0.45">
      <c r="A536" s="2">
        <v>45423</v>
      </c>
      <c r="B536" t="s">
        <v>49</v>
      </c>
      <c r="C536" t="s">
        <v>110</v>
      </c>
      <c r="D536" t="s">
        <v>120</v>
      </c>
      <c r="E536" t="s">
        <v>121</v>
      </c>
      <c r="F536">
        <v>-107.71</v>
      </c>
      <c r="H536" t="s">
        <v>110</v>
      </c>
      <c r="I536" t="s">
        <v>14</v>
      </c>
    </row>
    <row r="537" spans="1:9" x14ac:dyDescent="0.45">
      <c r="A537" s="2">
        <v>45428</v>
      </c>
      <c r="B537" t="s">
        <v>49</v>
      </c>
      <c r="C537" t="s">
        <v>88</v>
      </c>
      <c r="D537" t="s">
        <v>138</v>
      </c>
      <c r="E537" t="s">
        <v>139</v>
      </c>
      <c r="F537">
        <v>-18.41</v>
      </c>
      <c r="H537" t="s">
        <v>88</v>
      </c>
      <c r="I537" t="s">
        <v>14</v>
      </c>
    </row>
    <row r="538" spans="1:9" x14ac:dyDescent="0.45">
      <c r="A538" s="2">
        <v>45431</v>
      </c>
      <c r="B538" t="s">
        <v>46</v>
      </c>
      <c r="C538" t="s">
        <v>20</v>
      </c>
      <c r="D538" t="s">
        <v>108</v>
      </c>
      <c r="E538" t="s">
        <v>109</v>
      </c>
      <c r="F538">
        <v>-61.09</v>
      </c>
      <c r="H538" t="s">
        <v>20</v>
      </c>
      <c r="I538" t="s">
        <v>14</v>
      </c>
    </row>
    <row r="539" spans="1:9" x14ac:dyDescent="0.45">
      <c r="A539" s="2">
        <v>45437</v>
      </c>
      <c r="B539" t="s">
        <v>46</v>
      </c>
      <c r="C539" t="s">
        <v>117</v>
      </c>
      <c r="D539" t="s">
        <v>118</v>
      </c>
      <c r="E539" t="s">
        <v>119</v>
      </c>
      <c r="F539">
        <v>-62.79</v>
      </c>
      <c r="H539" t="s">
        <v>117</v>
      </c>
      <c r="I539" t="s">
        <v>14</v>
      </c>
    </row>
    <row r="540" spans="1:9" x14ac:dyDescent="0.45">
      <c r="A540" s="2">
        <v>45438</v>
      </c>
      <c r="B540" t="s">
        <v>49</v>
      </c>
      <c r="C540" t="s">
        <v>103</v>
      </c>
      <c r="D540" t="s">
        <v>104</v>
      </c>
      <c r="E540" t="s">
        <v>105</v>
      </c>
      <c r="F540">
        <v>-89.79</v>
      </c>
      <c r="H540" t="s">
        <v>103</v>
      </c>
      <c r="I540" t="s">
        <v>14</v>
      </c>
    </row>
    <row r="541" spans="1:9" x14ac:dyDescent="0.45">
      <c r="A541" s="2">
        <v>45445</v>
      </c>
      <c r="B541" t="s">
        <v>49</v>
      </c>
      <c r="C541" t="s">
        <v>110</v>
      </c>
      <c r="D541" t="s">
        <v>126</v>
      </c>
      <c r="E541" t="s">
        <v>127</v>
      </c>
      <c r="F541">
        <v>-138.99</v>
      </c>
      <c r="H541" t="s">
        <v>110</v>
      </c>
      <c r="I541" t="s">
        <v>14</v>
      </c>
    </row>
    <row r="542" spans="1:9" x14ac:dyDescent="0.45">
      <c r="A542" s="2">
        <v>45445</v>
      </c>
      <c r="B542" t="s">
        <v>46</v>
      </c>
      <c r="C542" t="s">
        <v>103</v>
      </c>
      <c r="D542" t="s">
        <v>142</v>
      </c>
      <c r="E542" t="s">
        <v>143</v>
      </c>
      <c r="F542">
        <v>-135.6</v>
      </c>
      <c r="H542" t="s">
        <v>103</v>
      </c>
      <c r="I542" t="s">
        <v>14</v>
      </c>
    </row>
    <row r="543" spans="1:9" x14ac:dyDescent="0.45">
      <c r="A543" s="2">
        <v>45453</v>
      </c>
      <c r="B543" t="s">
        <v>46</v>
      </c>
      <c r="C543" t="s">
        <v>117</v>
      </c>
      <c r="D543" t="s">
        <v>124</v>
      </c>
      <c r="E543" t="s">
        <v>125</v>
      </c>
      <c r="F543">
        <v>-130.87</v>
      </c>
      <c r="H543" t="s">
        <v>117</v>
      </c>
      <c r="I543" t="s">
        <v>14</v>
      </c>
    </row>
    <row r="544" spans="1:9" x14ac:dyDescent="0.45">
      <c r="A544" s="2">
        <v>45458</v>
      </c>
      <c r="B544" t="s">
        <v>46</v>
      </c>
      <c r="C544" t="s">
        <v>85</v>
      </c>
      <c r="D544" t="s">
        <v>140</v>
      </c>
      <c r="E544" t="s">
        <v>141</v>
      </c>
      <c r="F544">
        <v>-28.35</v>
      </c>
      <c r="H544" t="s">
        <v>85</v>
      </c>
      <c r="I544" t="s">
        <v>14</v>
      </c>
    </row>
    <row r="545" spans="1:9" x14ac:dyDescent="0.45">
      <c r="A545" s="2">
        <v>45463</v>
      </c>
      <c r="B545" t="s">
        <v>10</v>
      </c>
      <c r="C545" t="s">
        <v>117</v>
      </c>
      <c r="D545" t="s">
        <v>118</v>
      </c>
      <c r="E545" t="s">
        <v>119</v>
      </c>
      <c r="F545">
        <v>-30.67</v>
      </c>
      <c r="H545" t="s">
        <v>117</v>
      </c>
      <c r="I545" t="s">
        <v>14</v>
      </c>
    </row>
    <row r="546" spans="1:9" x14ac:dyDescent="0.45">
      <c r="A546" s="2">
        <v>45464</v>
      </c>
      <c r="B546" t="s">
        <v>46</v>
      </c>
      <c r="C546" t="s">
        <v>103</v>
      </c>
      <c r="D546" t="s">
        <v>142</v>
      </c>
      <c r="E546" t="s">
        <v>143</v>
      </c>
      <c r="F546">
        <v>-101.56</v>
      </c>
      <c r="H546" t="s">
        <v>103</v>
      </c>
      <c r="I546" t="s">
        <v>14</v>
      </c>
    </row>
    <row r="547" spans="1:9" x14ac:dyDescent="0.45">
      <c r="A547" s="2">
        <v>45465</v>
      </c>
      <c r="B547" t="s">
        <v>49</v>
      </c>
      <c r="C547" t="s">
        <v>77</v>
      </c>
      <c r="D547" t="s">
        <v>78</v>
      </c>
      <c r="E547" t="s">
        <v>79</v>
      </c>
      <c r="F547">
        <v>-17.78</v>
      </c>
      <c r="H547" t="s">
        <v>77</v>
      </c>
      <c r="I547" t="s">
        <v>14</v>
      </c>
    </row>
    <row r="548" spans="1:9" x14ac:dyDescent="0.45">
      <c r="A548" s="2">
        <v>45470</v>
      </c>
      <c r="B548" t="s">
        <v>49</v>
      </c>
      <c r="C548" t="s">
        <v>77</v>
      </c>
      <c r="D548" t="s">
        <v>96</v>
      </c>
      <c r="E548" t="s">
        <v>97</v>
      </c>
      <c r="F548">
        <v>-61.95</v>
      </c>
      <c r="H548" t="s">
        <v>77</v>
      </c>
      <c r="I548" t="s">
        <v>14</v>
      </c>
    </row>
    <row r="549" spans="1:9" x14ac:dyDescent="0.45">
      <c r="A549" s="2">
        <v>45471</v>
      </c>
      <c r="B549" t="s">
        <v>10</v>
      </c>
      <c r="C549" t="s">
        <v>117</v>
      </c>
      <c r="D549" t="s">
        <v>132</v>
      </c>
      <c r="E549" t="s">
        <v>133</v>
      </c>
      <c r="F549">
        <v>-149.47999999999999</v>
      </c>
      <c r="H549" t="s">
        <v>117</v>
      </c>
      <c r="I549" t="s">
        <v>14</v>
      </c>
    </row>
    <row r="550" spans="1:9" x14ac:dyDescent="0.45">
      <c r="A550" s="2">
        <v>45474</v>
      </c>
      <c r="B550" t="s">
        <v>46</v>
      </c>
      <c r="C550" t="s">
        <v>91</v>
      </c>
      <c r="D550" t="s">
        <v>92</v>
      </c>
      <c r="E550" t="s">
        <v>93</v>
      </c>
      <c r="F550">
        <v>-114.11</v>
      </c>
      <c r="H550" t="s">
        <v>91</v>
      </c>
      <c r="I550" t="s">
        <v>14</v>
      </c>
    </row>
    <row r="551" spans="1:9" x14ac:dyDescent="0.45">
      <c r="A551" s="2">
        <v>45476</v>
      </c>
      <c r="B551" t="s">
        <v>46</v>
      </c>
      <c r="C551" t="s">
        <v>110</v>
      </c>
      <c r="D551" t="s">
        <v>126</v>
      </c>
      <c r="E551" t="s">
        <v>127</v>
      </c>
      <c r="F551">
        <v>-148.03</v>
      </c>
      <c r="H551" t="s">
        <v>110</v>
      </c>
      <c r="I551" t="s">
        <v>14</v>
      </c>
    </row>
    <row r="552" spans="1:9" x14ac:dyDescent="0.45">
      <c r="A552" s="2">
        <v>45478</v>
      </c>
      <c r="B552" t="s">
        <v>46</v>
      </c>
      <c r="C552" t="s">
        <v>91</v>
      </c>
      <c r="D552" t="s">
        <v>122</v>
      </c>
      <c r="E552" t="s">
        <v>123</v>
      </c>
      <c r="F552">
        <v>-117.24</v>
      </c>
      <c r="H552" t="s">
        <v>91</v>
      </c>
      <c r="I552" t="s">
        <v>14</v>
      </c>
    </row>
    <row r="553" spans="1:9" x14ac:dyDescent="0.45">
      <c r="A553" s="2">
        <v>45480</v>
      </c>
      <c r="B553" t="s">
        <v>49</v>
      </c>
      <c r="C553" t="s">
        <v>103</v>
      </c>
      <c r="D553" t="s">
        <v>130</v>
      </c>
      <c r="E553" t="s">
        <v>131</v>
      </c>
      <c r="F553">
        <v>-112.49</v>
      </c>
      <c r="H553" t="s">
        <v>103</v>
      </c>
      <c r="I553" t="s">
        <v>14</v>
      </c>
    </row>
    <row r="554" spans="1:9" x14ac:dyDescent="0.45">
      <c r="A554" s="2">
        <v>45482</v>
      </c>
      <c r="B554" t="s">
        <v>49</v>
      </c>
      <c r="C554" t="s">
        <v>91</v>
      </c>
      <c r="D554" t="s">
        <v>113</v>
      </c>
      <c r="E554" t="s">
        <v>114</v>
      </c>
      <c r="F554">
        <v>-68.34</v>
      </c>
      <c r="H554" t="s">
        <v>91</v>
      </c>
      <c r="I554" t="s">
        <v>14</v>
      </c>
    </row>
    <row r="555" spans="1:9" x14ac:dyDescent="0.45">
      <c r="A555" s="2">
        <v>45486</v>
      </c>
      <c r="B555" t="s">
        <v>46</v>
      </c>
      <c r="C555" t="s">
        <v>85</v>
      </c>
      <c r="D555" t="s">
        <v>86</v>
      </c>
      <c r="E555" t="s">
        <v>87</v>
      </c>
      <c r="F555">
        <v>-101</v>
      </c>
      <c r="H555" t="s">
        <v>85</v>
      </c>
      <c r="I555" t="s">
        <v>14</v>
      </c>
    </row>
    <row r="556" spans="1:9" x14ac:dyDescent="0.45">
      <c r="A556" s="2">
        <v>45490</v>
      </c>
      <c r="B556" t="s">
        <v>10</v>
      </c>
      <c r="C556" t="s">
        <v>110</v>
      </c>
      <c r="D556" t="s">
        <v>111</v>
      </c>
      <c r="E556" t="s">
        <v>112</v>
      </c>
      <c r="F556">
        <v>-123.31</v>
      </c>
      <c r="H556" t="s">
        <v>110</v>
      </c>
      <c r="I556" t="s">
        <v>14</v>
      </c>
    </row>
    <row r="557" spans="1:9" x14ac:dyDescent="0.45">
      <c r="A557" s="2">
        <v>45497</v>
      </c>
      <c r="B557" t="s">
        <v>49</v>
      </c>
      <c r="C557" t="s">
        <v>85</v>
      </c>
      <c r="D557" t="s">
        <v>140</v>
      </c>
      <c r="E557" t="s">
        <v>141</v>
      </c>
      <c r="F557">
        <v>-113.68</v>
      </c>
      <c r="H557" t="s">
        <v>85</v>
      </c>
      <c r="I557" t="s">
        <v>14</v>
      </c>
    </row>
    <row r="558" spans="1:9" x14ac:dyDescent="0.45">
      <c r="A558" s="2">
        <v>45508</v>
      </c>
      <c r="B558" t="s">
        <v>46</v>
      </c>
      <c r="C558" t="s">
        <v>80</v>
      </c>
      <c r="D558" t="s">
        <v>81</v>
      </c>
      <c r="E558" t="s">
        <v>82</v>
      </c>
      <c r="F558">
        <v>-33.700000000000003</v>
      </c>
      <c r="H558" t="s">
        <v>80</v>
      </c>
      <c r="I558" t="s">
        <v>14</v>
      </c>
    </row>
    <row r="559" spans="1:9" x14ac:dyDescent="0.45">
      <c r="A559" s="2">
        <v>45514</v>
      </c>
      <c r="B559" t="s">
        <v>46</v>
      </c>
      <c r="C559" t="s">
        <v>85</v>
      </c>
      <c r="D559" t="s">
        <v>86</v>
      </c>
      <c r="E559" t="s">
        <v>87</v>
      </c>
      <c r="F559">
        <v>-110.44</v>
      </c>
      <c r="H559" t="s">
        <v>85</v>
      </c>
      <c r="I559" t="s">
        <v>14</v>
      </c>
    </row>
    <row r="560" spans="1:9" x14ac:dyDescent="0.45">
      <c r="A560" s="2">
        <v>45514</v>
      </c>
      <c r="B560" t="s">
        <v>46</v>
      </c>
      <c r="C560" t="s">
        <v>103</v>
      </c>
      <c r="D560" t="s">
        <v>104</v>
      </c>
      <c r="E560" t="s">
        <v>105</v>
      </c>
      <c r="F560">
        <v>-142.49</v>
      </c>
      <c r="H560" t="s">
        <v>103</v>
      </c>
      <c r="I560" t="s">
        <v>14</v>
      </c>
    </row>
    <row r="561" spans="1:9" x14ac:dyDescent="0.45">
      <c r="A561" s="2">
        <v>45515</v>
      </c>
      <c r="B561" t="s">
        <v>49</v>
      </c>
      <c r="C561" t="s">
        <v>77</v>
      </c>
      <c r="D561" t="s">
        <v>83</v>
      </c>
      <c r="E561" t="s">
        <v>84</v>
      </c>
      <c r="F561">
        <v>-73.680000000000007</v>
      </c>
      <c r="H561" t="s">
        <v>77</v>
      </c>
      <c r="I561" t="s">
        <v>14</v>
      </c>
    </row>
    <row r="562" spans="1:9" x14ac:dyDescent="0.45">
      <c r="A562" s="2">
        <v>45515</v>
      </c>
      <c r="B562" t="s">
        <v>10</v>
      </c>
      <c r="C562" t="s">
        <v>117</v>
      </c>
      <c r="D562" t="s">
        <v>132</v>
      </c>
      <c r="E562" t="s">
        <v>133</v>
      </c>
      <c r="F562">
        <v>-90.31</v>
      </c>
      <c r="H562" t="s">
        <v>117</v>
      </c>
      <c r="I562" t="s">
        <v>14</v>
      </c>
    </row>
    <row r="563" spans="1:9" x14ac:dyDescent="0.45">
      <c r="A563" s="2">
        <v>45518</v>
      </c>
      <c r="B563" t="s">
        <v>46</v>
      </c>
      <c r="C563" t="s">
        <v>117</v>
      </c>
      <c r="D563" t="s">
        <v>132</v>
      </c>
      <c r="E563" t="s">
        <v>133</v>
      </c>
      <c r="F563">
        <v>-81.650000000000006</v>
      </c>
      <c r="H563" t="s">
        <v>117</v>
      </c>
      <c r="I563" t="s">
        <v>14</v>
      </c>
    </row>
    <row r="564" spans="1:9" x14ac:dyDescent="0.45">
      <c r="A564" s="2">
        <v>45522</v>
      </c>
      <c r="B564" t="s">
        <v>49</v>
      </c>
      <c r="C564" t="s">
        <v>11</v>
      </c>
      <c r="D564" t="s">
        <v>106</v>
      </c>
      <c r="E564" t="s">
        <v>107</v>
      </c>
      <c r="F564">
        <v>1888.81</v>
      </c>
      <c r="H564" t="s">
        <v>12</v>
      </c>
      <c r="I564" t="s">
        <v>13</v>
      </c>
    </row>
    <row r="565" spans="1:9" x14ac:dyDescent="0.45">
      <c r="A565" s="2">
        <v>45528</v>
      </c>
      <c r="B565" t="s">
        <v>10</v>
      </c>
      <c r="C565" t="s">
        <v>103</v>
      </c>
      <c r="D565" t="s">
        <v>130</v>
      </c>
      <c r="E565" t="s">
        <v>131</v>
      </c>
      <c r="F565">
        <v>-96.56</v>
      </c>
      <c r="H565" t="s">
        <v>103</v>
      </c>
      <c r="I565" t="s">
        <v>14</v>
      </c>
    </row>
    <row r="566" spans="1:9" x14ac:dyDescent="0.45">
      <c r="A566" s="2">
        <v>45531</v>
      </c>
      <c r="B566" t="s">
        <v>46</v>
      </c>
      <c r="C566" t="s">
        <v>11</v>
      </c>
      <c r="D566" t="s">
        <v>106</v>
      </c>
      <c r="E566" t="s">
        <v>107</v>
      </c>
      <c r="F566">
        <v>2010.36</v>
      </c>
      <c r="H566" t="s">
        <v>12</v>
      </c>
      <c r="I566" t="s">
        <v>13</v>
      </c>
    </row>
    <row r="567" spans="1:9" x14ac:dyDescent="0.45">
      <c r="A567" s="2">
        <v>45537</v>
      </c>
      <c r="B567" t="s">
        <v>10</v>
      </c>
      <c r="C567" t="s">
        <v>11</v>
      </c>
      <c r="D567" t="s">
        <v>106</v>
      </c>
      <c r="E567" t="s">
        <v>107</v>
      </c>
      <c r="F567">
        <v>1844.03</v>
      </c>
      <c r="H567" t="s">
        <v>12</v>
      </c>
      <c r="I567" t="s">
        <v>13</v>
      </c>
    </row>
    <row r="568" spans="1:9" x14ac:dyDescent="0.45">
      <c r="A568" s="2">
        <v>45538</v>
      </c>
      <c r="B568" t="s">
        <v>10</v>
      </c>
      <c r="C568" t="s">
        <v>88</v>
      </c>
      <c r="D568" t="s">
        <v>89</v>
      </c>
      <c r="E568" t="s">
        <v>90</v>
      </c>
      <c r="F568">
        <v>-133.09</v>
      </c>
      <c r="H568" t="s">
        <v>88</v>
      </c>
      <c r="I568" t="s">
        <v>14</v>
      </c>
    </row>
    <row r="569" spans="1:9" x14ac:dyDescent="0.45">
      <c r="A569" s="2">
        <v>45544</v>
      </c>
      <c r="B569" t="s">
        <v>49</v>
      </c>
      <c r="C569" t="s">
        <v>77</v>
      </c>
      <c r="D569" t="s">
        <v>96</v>
      </c>
      <c r="E569" t="s">
        <v>97</v>
      </c>
      <c r="F569">
        <v>-12.05</v>
      </c>
      <c r="H569" t="s">
        <v>77</v>
      </c>
      <c r="I569" t="s">
        <v>14</v>
      </c>
    </row>
    <row r="570" spans="1:9" x14ac:dyDescent="0.45">
      <c r="A570" s="2">
        <v>45545</v>
      </c>
      <c r="B570" t="s">
        <v>49</v>
      </c>
      <c r="C570" t="s">
        <v>11</v>
      </c>
      <c r="D570" t="s">
        <v>115</v>
      </c>
      <c r="E570" t="s">
        <v>116</v>
      </c>
      <c r="F570">
        <v>2694.7</v>
      </c>
      <c r="H570" t="s">
        <v>12</v>
      </c>
      <c r="I570" t="s">
        <v>13</v>
      </c>
    </row>
    <row r="571" spans="1:9" x14ac:dyDescent="0.45">
      <c r="A571" s="2">
        <v>45558</v>
      </c>
      <c r="B571" t="s">
        <v>46</v>
      </c>
      <c r="C571" t="s">
        <v>20</v>
      </c>
      <c r="D571" t="s">
        <v>146</v>
      </c>
      <c r="E571" t="s">
        <v>147</v>
      </c>
      <c r="F571">
        <v>-26.66</v>
      </c>
      <c r="H571" t="s">
        <v>20</v>
      </c>
      <c r="I571" t="s">
        <v>14</v>
      </c>
    </row>
    <row r="572" spans="1:9" x14ac:dyDescent="0.45">
      <c r="A572" s="2">
        <v>45560</v>
      </c>
      <c r="B572" t="s">
        <v>49</v>
      </c>
      <c r="C572" t="s">
        <v>77</v>
      </c>
      <c r="D572" t="s">
        <v>96</v>
      </c>
      <c r="E572" t="s">
        <v>97</v>
      </c>
      <c r="F572">
        <v>-13.46</v>
      </c>
      <c r="H572" t="s">
        <v>77</v>
      </c>
      <c r="I572" t="s">
        <v>14</v>
      </c>
    </row>
    <row r="573" spans="1:9" x14ac:dyDescent="0.45">
      <c r="A573" s="2">
        <v>45567</v>
      </c>
      <c r="B573" t="s">
        <v>46</v>
      </c>
      <c r="C573" t="s">
        <v>103</v>
      </c>
      <c r="D573" t="s">
        <v>142</v>
      </c>
      <c r="E573" t="s">
        <v>143</v>
      </c>
      <c r="F573">
        <v>-47.48</v>
      </c>
      <c r="H573" t="s">
        <v>103</v>
      </c>
      <c r="I573" t="s">
        <v>14</v>
      </c>
    </row>
    <row r="574" spans="1:9" x14ac:dyDescent="0.45">
      <c r="A574" s="2">
        <v>45571</v>
      </c>
      <c r="B574" t="s">
        <v>46</v>
      </c>
      <c r="C574" t="s">
        <v>98</v>
      </c>
      <c r="D574" t="s">
        <v>99</v>
      </c>
      <c r="E574" t="s">
        <v>100</v>
      </c>
      <c r="F574">
        <v>-121.89</v>
      </c>
      <c r="H574" t="s">
        <v>98</v>
      </c>
      <c r="I574" t="s">
        <v>14</v>
      </c>
    </row>
    <row r="575" spans="1:9" x14ac:dyDescent="0.45">
      <c r="A575" s="2">
        <v>45572</v>
      </c>
      <c r="B575" t="s">
        <v>46</v>
      </c>
      <c r="C575" t="s">
        <v>20</v>
      </c>
      <c r="D575" t="s">
        <v>108</v>
      </c>
      <c r="E575" t="s">
        <v>109</v>
      </c>
      <c r="F575">
        <v>-37.19</v>
      </c>
      <c r="H575" t="s">
        <v>20</v>
      </c>
      <c r="I575" t="s">
        <v>14</v>
      </c>
    </row>
    <row r="576" spans="1:9" x14ac:dyDescent="0.45">
      <c r="A576" s="2">
        <v>45572</v>
      </c>
      <c r="B576" t="s">
        <v>49</v>
      </c>
      <c r="C576" t="s">
        <v>77</v>
      </c>
      <c r="D576" t="s">
        <v>96</v>
      </c>
      <c r="E576" t="s">
        <v>97</v>
      </c>
      <c r="F576">
        <v>-31.8</v>
      </c>
      <c r="H576" t="s">
        <v>77</v>
      </c>
      <c r="I576" t="s">
        <v>14</v>
      </c>
    </row>
    <row r="577" spans="1:9" x14ac:dyDescent="0.45">
      <c r="A577" s="2">
        <v>45574</v>
      </c>
      <c r="B577" t="s">
        <v>10</v>
      </c>
      <c r="C577" t="s">
        <v>11</v>
      </c>
      <c r="D577" t="s">
        <v>106</v>
      </c>
      <c r="E577" t="s">
        <v>107</v>
      </c>
      <c r="F577">
        <v>2224.09</v>
      </c>
      <c r="H577" t="s">
        <v>12</v>
      </c>
      <c r="I577" t="s">
        <v>13</v>
      </c>
    </row>
    <row r="578" spans="1:9" x14ac:dyDescent="0.45">
      <c r="A578" s="2">
        <v>45575</v>
      </c>
      <c r="B578" t="s">
        <v>49</v>
      </c>
      <c r="C578" t="s">
        <v>117</v>
      </c>
      <c r="D578" t="s">
        <v>124</v>
      </c>
      <c r="E578" t="s">
        <v>125</v>
      </c>
      <c r="F578">
        <v>-67.569999999999993</v>
      </c>
      <c r="H578" t="s">
        <v>117</v>
      </c>
      <c r="I578" t="s">
        <v>14</v>
      </c>
    </row>
    <row r="579" spans="1:9" x14ac:dyDescent="0.45">
      <c r="A579" s="2">
        <v>45577</v>
      </c>
      <c r="B579" t="s">
        <v>49</v>
      </c>
      <c r="C579" t="s">
        <v>11</v>
      </c>
      <c r="D579" t="s">
        <v>106</v>
      </c>
      <c r="E579" t="s">
        <v>107</v>
      </c>
      <c r="F579">
        <v>2815.16</v>
      </c>
      <c r="H579" t="s">
        <v>12</v>
      </c>
      <c r="I579" t="s">
        <v>13</v>
      </c>
    </row>
    <row r="580" spans="1:9" x14ac:dyDescent="0.45">
      <c r="A580" s="2">
        <v>45579</v>
      </c>
      <c r="B580" t="s">
        <v>46</v>
      </c>
      <c r="C580" t="s">
        <v>91</v>
      </c>
      <c r="D580" t="s">
        <v>122</v>
      </c>
      <c r="E580" t="s">
        <v>123</v>
      </c>
      <c r="F580">
        <v>-31.22</v>
      </c>
      <c r="H580" t="s">
        <v>91</v>
      </c>
      <c r="I580" t="s">
        <v>14</v>
      </c>
    </row>
    <row r="581" spans="1:9" x14ac:dyDescent="0.45">
      <c r="A581" s="2">
        <v>45584</v>
      </c>
      <c r="B581" t="s">
        <v>46</v>
      </c>
      <c r="C581" t="s">
        <v>80</v>
      </c>
      <c r="D581" t="s">
        <v>94</v>
      </c>
      <c r="E581" t="s">
        <v>95</v>
      </c>
      <c r="F581">
        <v>-139.81</v>
      </c>
      <c r="H581" t="s">
        <v>80</v>
      </c>
      <c r="I581" t="s">
        <v>14</v>
      </c>
    </row>
    <row r="582" spans="1:9" x14ac:dyDescent="0.45">
      <c r="A582" s="2">
        <v>45588</v>
      </c>
      <c r="B582" t="s">
        <v>49</v>
      </c>
      <c r="C582" t="s">
        <v>80</v>
      </c>
      <c r="D582" t="s">
        <v>128</v>
      </c>
      <c r="E582" t="s">
        <v>129</v>
      </c>
      <c r="F582">
        <v>-146.54</v>
      </c>
      <c r="H582" t="s">
        <v>80</v>
      </c>
      <c r="I582" t="s">
        <v>14</v>
      </c>
    </row>
    <row r="583" spans="1:9" x14ac:dyDescent="0.45">
      <c r="A583" s="2">
        <v>45598</v>
      </c>
      <c r="B583" t="s">
        <v>10</v>
      </c>
      <c r="C583" t="s">
        <v>91</v>
      </c>
      <c r="D583" t="s">
        <v>113</v>
      </c>
      <c r="E583" t="s">
        <v>114</v>
      </c>
      <c r="F583">
        <v>-11.28</v>
      </c>
      <c r="H583" t="s">
        <v>91</v>
      </c>
      <c r="I583" t="s">
        <v>14</v>
      </c>
    </row>
    <row r="584" spans="1:9" x14ac:dyDescent="0.45">
      <c r="A584" s="2">
        <v>45600</v>
      </c>
      <c r="B584" t="s">
        <v>46</v>
      </c>
      <c r="C584" t="s">
        <v>117</v>
      </c>
      <c r="D584" t="s">
        <v>124</v>
      </c>
      <c r="E584" t="s">
        <v>125</v>
      </c>
      <c r="F584">
        <v>-67.510000000000005</v>
      </c>
      <c r="H584" t="s">
        <v>117</v>
      </c>
      <c r="I584" t="s">
        <v>14</v>
      </c>
    </row>
    <row r="585" spans="1:9" x14ac:dyDescent="0.45">
      <c r="A585" s="2">
        <v>45602</v>
      </c>
      <c r="B585" t="s">
        <v>49</v>
      </c>
      <c r="C585" t="s">
        <v>88</v>
      </c>
      <c r="D585" t="s">
        <v>136</v>
      </c>
      <c r="E585" t="s">
        <v>137</v>
      </c>
      <c r="F585">
        <v>-87.24</v>
      </c>
      <c r="H585" t="s">
        <v>88</v>
      </c>
      <c r="I585" t="s">
        <v>14</v>
      </c>
    </row>
    <row r="586" spans="1:9" x14ac:dyDescent="0.45">
      <c r="A586" s="2">
        <v>45603</v>
      </c>
      <c r="B586" t="s">
        <v>49</v>
      </c>
      <c r="C586" t="s">
        <v>98</v>
      </c>
      <c r="D586" t="s">
        <v>99</v>
      </c>
      <c r="E586" t="s">
        <v>100</v>
      </c>
      <c r="F586">
        <v>-42</v>
      </c>
      <c r="H586" t="s">
        <v>98</v>
      </c>
      <c r="I586" t="s">
        <v>14</v>
      </c>
    </row>
    <row r="587" spans="1:9" x14ac:dyDescent="0.45">
      <c r="A587" s="2">
        <v>45604</v>
      </c>
      <c r="B587" t="s">
        <v>10</v>
      </c>
      <c r="C587" t="s">
        <v>110</v>
      </c>
      <c r="D587" t="s">
        <v>111</v>
      </c>
      <c r="E587" t="s">
        <v>112</v>
      </c>
      <c r="F587">
        <v>-100.63</v>
      </c>
      <c r="H587" t="s">
        <v>110</v>
      </c>
      <c r="I587" t="s">
        <v>14</v>
      </c>
    </row>
    <row r="588" spans="1:9" x14ac:dyDescent="0.45">
      <c r="A588" s="2">
        <v>45609</v>
      </c>
      <c r="B588" t="s">
        <v>49</v>
      </c>
      <c r="C588" t="s">
        <v>80</v>
      </c>
      <c r="D588" t="s">
        <v>94</v>
      </c>
      <c r="E588" t="s">
        <v>95</v>
      </c>
      <c r="F588">
        <v>-135.44</v>
      </c>
      <c r="H588" t="s">
        <v>80</v>
      </c>
      <c r="I588" t="s">
        <v>14</v>
      </c>
    </row>
    <row r="589" spans="1:9" x14ac:dyDescent="0.45">
      <c r="A589" s="2">
        <v>45614</v>
      </c>
      <c r="B589" t="s">
        <v>46</v>
      </c>
      <c r="C589" t="s">
        <v>117</v>
      </c>
      <c r="D589" t="s">
        <v>132</v>
      </c>
      <c r="E589" t="s">
        <v>133</v>
      </c>
      <c r="F589">
        <v>-90.95</v>
      </c>
      <c r="H589" t="s">
        <v>117</v>
      </c>
      <c r="I589" t="s">
        <v>14</v>
      </c>
    </row>
    <row r="590" spans="1:9" x14ac:dyDescent="0.45">
      <c r="A590" s="2">
        <v>45614</v>
      </c>
      <c r="B590" t="s">
        <v>10</v>
      </c>
      <c r="C590" t="s">
        <v>103</v>
      </c>
      <c r="D590" t="s">
        <v>104</v>
      </c>
      <c r="E590" t="s">
        <v>105</v>
      </c>
      <c r="F590">
        <v>-136.51</v>
      </c>
      <c r="H590" t="s">
        <v>103</v>
      </c>
      <c r="I590" t="s">
        <v>14</v>
      </c>
    </row>
    <row r="591" spans="1:9" x14ac:dyDescent="0.45">
      <c r="A591" s="2">
        <v>45617</v>
      </c>
      <c r="B591" t="s">
        <v>10</v>
      </c>
      <c r="C591" t="s">
        <v>80</v>
      </c>
      <c r="D591" t="s">
        <v>94</v>
      </c>
      <c r="E591" t="s">
        <v>95</v>
      </c>
      <c r="F591">
        <v>-137.79</v>
      </c>
      <c r="H591" t="s">
        <v>80</v>
      </c>
      <c r="I591" t="s">
        <v>14</v>
      </c>
    </row>
    <row r="592" spans="1:9" x14ac:dyDescent="0.45">
      <c r="A592" s="2">
        <v>45624</v>
      </c>
      <c r="B592" t="s">
        <v>10</v>
      </c>
      <c r="C592" t="s">
        <v>77</v>
      </c>
      <c r="D592" t="s">
        <v>78</v>
      </c>
      <c r="E592" t="s">
        <v>79</v>
      </c>
      <c r="F592">
        <v>-31.8</v>
      </c>
      <c r="H592" t="s">
        <v>77</v>
      </c>
      <c r="I592" t="s">
        <v>14</v>
      </c>
    </row>
    <row r="593" spans="1:9" x14ac:dyDescent="0.45">
      <c r="A593" s="2">
        <v>45627</v>
      </c>
      <c r="B593" t="s">
        <v>49</v>
      </c>
      <c r="C593" t="s">
        <v>85</v>
      </c>
      <c r="D593" t="s">
        <v>101</v>
      </c>
      <c r="E593" t="s">
        <v>102</v>
      </c>
      <c r="F593">
        <v>-24.66</v>
      </c>
      <c r="H593" t="s">
        <v>85</v>
      </c>
      <c r="I593" t="s">
        <v>14</v>
      </c>
    </row>
    <row r="594" spans="1:9" x14ac:dyDescent="0.45">
      <c r="A594" s="2">
        <v>45628</v>
      </c>
      <c r="B594" t="s">
        <v>10</v>
      </c>
      <c r="C594" t="s">
        <v>11</v>
      </c>
      <c r="D594" t="s">
        <v>106</v>
      </c>
      <c r="E594" t="s">
        <v>107</v>
      </c>
      <c r="F594">
        <v>2247.67</v>
      </c>
      <c r="H594" t="s">
        <v>12</v>
      </c>
      <c r="I594" t="s">
        <v>13</v>
      </c>
    </row>
    <row r="595" spans="1:9" x14ac:dyDescent="0.45">
      <c r="A595" s="2">
        <v>45630</v>
      </c>
      <c r="B595" t="s">
        <v>49</v>
      </c>
      <c r="C595" t="s">
        <v>77</v>
      </c>
      <c r="D595" t="s">
        <v>83</v>
      </c>
      <c r="E595" t="s">
        <v>84</v>
      </c>
      <c r="F595">
        <v>-143.33000000000001</v>
      </c>
      <c r="H595" t="s">
        <v>77</v>
      </c>
      <c r="I595" t="s">
        <v>14</v>
      </c>
    </row>
    <row r="596" spans="1:9" x14ac:dyDescent="0.45">
      <c r="A596" s="2">
        <v>45632</v>
      </c>
      <c r="B596" t="s">
        <v>10</v>
      </c>
      <c r="C596" t="s">
        <v>110</v>
      </c>
      <c r="D596" t="s">
        <v>111</v>
      </c>
      <c r="E596" t="s">
        <v>112</v>
      </c>
      <c r="F596">
        <v>-120.22</v>
      </c>
      <c r="H596" t="s">
        <v>110</v>
      </c>
      <c r="I596" t="s">
        <v>14</v>
      </c>
    </row>
    <row r="597" spans="1:9" x14ac:dyDescent="0.45">
      <c r="A597" s="2">
        <v>45634</v>
      </c>
      <c r="B597" t="s">
        <v>49</v>
      </c>
      <c r="C597" t="s">
        <v>91</v>
      </c>
      <c r="D597" t="s">
        <v>122</v>
      </c>
      <c r="E597" t="s">
        <v>123</v>
      </c>
      <c r="F597">
        <v>-140.93</v>
      </c>
      <c r="H597" t="s">
        <v>91</v>
      </c>
      <c r="I597" t="s">
        <v>14</v>
      </c>
    </row>
    <row r="598" spans="1:9" x14ac:dyDescent="0.45">
      <c r="A598" s="2">
        <v>45635</v>
      </c>
      <c r="B598" t="s">
        <v>49</v>
      </c>
      <c r="C598" t="s">
        <v>20</v>
      </c>
      <c r="D598" t="s">
        <v>146</v>
      </c>
      <c r="E598" t="s">
        <v>147</v>
      </c>
      <c r="F598">
        <v>-141.13</v>
      </c>
      <c r="H598" t="s">
        <v>20</v>
      </c>
      <c r="I598" t="s">
        <v>14</v>
      </c>
    </row>
    <row r="599" spans="1:9" x14ac:dyDescent="0.45">
      <c r="A599" s="2">
        <v>45636</v>
      </c>
      <c r="B599" t="s">
        <v>10</v>
      </c>
      <c r="C599" t="s">
        <v>110</v>
      </c>
      <c r="D599" t="s">
        <v>111</v>
      </c>
      <c r="E599" t="s">
        <v>112</v>
      </c>
      <c r="F599">
        <v>-76.5</v>
      </c>
      <c r="H599" t="s">
        <v>110</v>
      </c>
      <c r="I599" t="s">
        <v>14</v>
      </c>
    </row>
    <row r="600" spans="1:9" x14ac:dyDescent="0.45">
      <c r="A600" s="2">
        <v>45647</v>
      </c>
      <c r="B600" t="s">
        <v>46</v>
      </c>
      <c r="C600" t="s">
        <v>80</v>
      </c>
      <c r="D600" t="s">
        <v>128</v>
      </c>
      <c r="E600" t="s">
        <v>129</v>
      </c>
      <c r="F600">
        <v>-107.11</v>
      </c>
      <c r="H600" t="s">
        <v>80</v>
      </c>
      <c r="I600" t="s">
        <v>14</v>
      </c>
    </row>
    <row r="601" spans="1:9" x14ac:dyDescent="0.45">
      <c r="A601" s="2">
        <v>45647</v>
      </c>
      <c r="B601" t="s">
        <v>10</v>
      </c>
      <c r="C601" t="s">
        <v>117</v>
      </c>
      <c r="D601" t="s">
        <v>118</v>
      </c>
      <c r="E601" t="s">
        <v>119</v>
      </c>
      <c r="F601">
        <v>-73.83</v>
      </c>
      <c r="H601" t="s">
        <v>117</v>
      </c>
      <c r="I601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F4"/>
  <sheetViews>
    <sheetView workbookViewId="0">
      <selection activeCell="H20" sqref="H20"/>
    </sheetView>
  </sheetViews>
  <sheetFormatPr baseColWidth="10" defaultColWidth="9.1328125" defaultRowHeight="14.25" x14ac:dyDescent="0.45"/>
  <sheetData>
    <row r="1" spans="1:6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</v>
      </c>
    </row>
    <row r="2" spans="1:6" x14ac:dyDescent="0.45">
      <c r="A2" t="s">
        <v>20</v>
      </c>
      <c r="B2">
        <v>2024</v>
      </c>
      <c r="C2" t="s">
        <v>21</v>
      </c>
      <c r="D2" t="s">
        <v>12</v>
      </c>
      <c r="E2" t="s">
        <v>22</v>
      </c>
      <c r="F2">
        <v>200</v>
      </c>
    </row>
    <row r="3" spans="1:6" x14ac:dyDescent="0.45">
      <c r="A3" t="s">
        <v>20</v>
      </c>
      <c r="B3">
        <v>2025</v>
      </c>
      <c r="C3" t="s">
        <v>21</v>
      </c>
      <c r="D3" t="s">
        <v>12</v>
      </c>
      <c r="E3" t="s">
        <v>22</v>
      </c>
      <c r="F3">
        <v>200</v>
      </c>
    </row>
    <row r="4" spans="1:6" x14ac:dyDescent="0.45">
      <c r="A4" t="s">
        <v>23</v>
      </c>
      <c r="B4">
        <v>2025</v>
      </c>
      <c r="C4" t="s">
        <v>21</v>
      </c>
      <c r="D4" t="s">
        <v>12</v>
      </c>
      <c r="E4" t="s">
        <v>24</v>
      </c>
      <c r="F4">
        <v>106.6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J823"/>
  <sheetViews>
    <sheetView workbookViewId="0">
      <selection activeCell="E11" sqref="E11"/>
    </sheetView>
  </sheetViews>
  <sheetFormatPr baseColWidth="10" defaultColWidth="9.1328125" defaultRowHeight="14.25" x14ac:dyDescent="0.45"/>
  <cols>
    <col min="1" max="1" width="20.73046875" customWidth="1"/>
    <col min="2" max="2" width="11.1328125" customWidth="1"/>
    <col min="4" max="4" width="16.265625" customWidth="1"/>
    <col min="5" max="5" width="22" style="13" customWidth="1"/>
    <col min="6" max="6" width="25" customWidth="1"/>
    <col min="7" max="7" width="9.86328125" customWidth="1"/>
    <col min="8" max="8" width="16.59765625" customWidth="1"/>
    <col min="9" max="9" width="9.59765625" customWidth="1"/>
    <col min="10" max="10" width="26.59765625" customWidth="1"/>
  </cols>
  <sheetData>
    <row r="1" spans="1:10" ht="28.5" x14ac:dyDescent="0.45">
      <c r="A1" s="3" t="s">
        <v>25</v>
      </c>
      <c r="B1" s="3" t="s">
        <v>26</v>
      </c>
      <c r="C1" s="3" t="s">
        <v>27</v>
      </c>
      <c r="D1" s="3" t="s">
        <v>28</v>
      </c>
      <c r="E1" s="12" t="s">
        <v>29</v>
      </c>
      <c r="F1" s="3" t="s">
        <v>30</v>
      </c>
      <c r="G1" s="8" t="s">
        <v>59</v>
      </c>
      <c r="H1" s="3" t="s">
        <v>31</v>
      </c>
      <c r="I1" s="3" t="s">
        <v>9</v>
      </c>
      <c r="J1" s="8" t="s">
        <v>157</v>
      </c>
    </row>
    <row r="2" spans="1:10" x14ac:dyDescent="0.45">
      <c r="A2" s="15">
        <v>43466</v>
      </c>
      <c r="B2" t="s">
        <v>158</v>
      </c>
      <c r="C2">
        <f>T_Saldo[[#This Row],[Valor liquidativo]]*T_Saldo[[#This Row],[Participaciones]]</f>
        <v>22500</v>
      </c>
      <c r="D2" s="11">
        <f>T_Saldo[[#This Row],[Valor liquidativo (Moneda Extranjera)]]/T_Saldo[[#This Row],[Cambio]]</f>
        <v>1</v>
      </c>
      <c r="E2" s="13">
        <f>IF(ISERROR(MATCH(T_Saldo[[#This Row],[Producto]],T_Stocks[Ticker],0)),1,INDEX(T_Stocks[Close],MATCH(T_Saldo[[#This Row],[ID - Product - Fecha]],T_Stocks[ID],1),1))</f>
        <v>1</v>
      </c>
      <c r="F2" cm="1">
        <f t="array" ref="F2">IF(T_Saldo[[#This Row],[Divisa]]="USD",INDEX(T_USD_EUR[EURUSD],MATCH(T_Saldo[[#This Row],[Fecha]],T_USD_EUR[Fecha],1),0),1)</f>
        <v>1</v>
      </c>
      <c r="G2" t="str" cm="1">
        <f t="array" ref="G2">INDEX(T_Elementos[Divisa],MATCH(T_Saldo[[#This Row],[Producto]],T_Elementos[Producto],0),0)</f>
        <v>EUR</v>
      </c>
      <c r="H2">
        <v>22500</v>
      </c>
      <c r="J2" t="str">
        <f>T_Saldo[[#This Row],[Producto]] &amp; "-" &amp; DATE(YEAR(T_Saldo[[#This Row],[Fecha]]),MONTH(T_Saldo[[#This Row],[Fecha]]),DAY(T_Saldo[[#This Row],[Fecha]]))</f>
        <v>Cash-43466</v>
      </c>
    </row>
    <row r="3" spans="1:10" x14ac:dyDescent="0.45">
      <c r="A3" s="15">
        <v>43496</v>
      </c>
      <c r="B3" t="s">
        <v>38</v>
      </c>
      <c r="C3">
        <f>T_Saldo[[#This Row],[Valor liquidativo]]*T_Saldo[[#This Row],[Participaciones]]</f>
        <v>0</v>
      </c>
      <c r="D3" s="11">
        <f>T_Saldo[[#This Row],[Valor liquidativo (Moneda Extranjera)]]/T_Saldo[[#This Row],[Cambio]]</f>
        <v>36.363805000000006</v>
      </c>
      <c r="E3" s="13">
        <f>IF(ISERROR(MATCH(T_Saldo[[#This Row],[Producto]],T_Stocks[Ticker],0)),1,INDEX(T_Stocks[Close],MATCH(T_Saldo[[#This Row],[ID - Product - Fecha]],T_Stocks[ID],1),1))</f>
        <v>41.63</v>
      </c>
      <c r="F3" cm="1">
        <f t="array" ref="F3">IF(T_Saldo[[#This Row],[Divisa]]="USD",INDEX(T_USD_EUR[EURUSD],MATCH(T_Saldo[[#This Row],[Fecha]],T_USD_EUR[Fecha],1),0),1)</f>
        <v>1.1448196908986834</v>
      </c>
      <c r="G3" t="str" cm="1">
        <f t="array" ref="G3">INDEX(T_Elementos[Divisa],MATCH(T_Saldo[[#This Row],[Producto]],T_Elementos[Producto],0),0)</f>
        <v>USD</v>
      </c>
      <c r="H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" t="str">
        <f>T_Saldo[[#This Row],[Producto]] &amp; "-" &amp; DATE(YEAR(T_Saldo[[#This Row],[Fecha]]),MONTH(T_Saldo[[#This Row],[Fecha]]),DAY(T_Saldo[[#This Row],[Fecha]]))</f>
        <v>AAPL-43496</v>
      </c>
    </row>
    <row r="4" spans="1:10" x14ac:dyDescent="0.45">
      <c r="A4" s="15">
        <v>43496</v>
      </c>
      <c r="B4" t="s">
        <v>43</v>
      </c>
      <c r="C4">
        <f>T_Saldo[[#This Row],[Valor liquidativo]]*T_Saldo[[#This Row],[Participaciones]]</f>
        <v>0</v>
      </c>
      <c r="D4" s="11">
        <f>T_Saldo[[#This Row],[Valor liquidativo (Moneda Extranjera)]]/T_Saldo[[#This Row],[Cambio]]</f>
        <v>250.42</v>
      </c>
      <c r="E4" s="13">
        <f>IF(ISERROR(MATCH(T_Saldo[[#This Row],[Producto]],T_Stocks[Ticker],0)),1,INDEX(T_Stocks[Close],MATCH(T_Saldo[[#This Row],[ID - Product - Fecha]],T_Stocks[ID],1),1))</f>
        <v>250.42</v>
      </c>
      <c r="F4" cm="1">
        <f t="array" ref="F4">IF(T_Saldo[[#This Row],[Divisa]]="USD",INDEX(T_USD_EUR[EURUSD],MATCH(T_Saldo[[#This Row],[Fecha]],T_USD_EUR[Fecha],1),0),1)</f>
        <v>1</v>
      </c>
      <c r="G4" t="str" cm="1">
        <f t="array" ref="G4">INDEX(T_Elementos[Divisa],MATCH(T_Saldo[[#This Row],[Producto]],T_Elementos[Producto],0),0)</f>
        <v>EUR</v>
      </c>
      <c r="H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" t="str">
        <f>T_Saldo[[#This Row],[Producto]] &amp; "-" &amp; DATE(YEAR(T_Saldo[[#This Row],[Fecha]]),MONTH(T_Saldo[[#This Row],[Fecha]]),DAY(T_Saldo[[#This Row],[Fecha]]))</f>
        <v>Bonos-43496</v>
      </c>
    </row>
    <row r="5" spans="1:10" x14ac:dyDescent="0.45">
      <c r="A5" s="15">
        <v>43496</v>
      </c>
      <c r="B5" t="s">
        <v>155</v>
      </c>
      <c r="C5">
        <f>T_Saldo[[#This Row],[Valor liquidativo]]*T_Saldo[[#This Row],[Participaciones]]</f>
        <v>0</v>
      </c>
      <c r="D5" s="11">
        <f>T_Saldo[[#This Row],[Valor liquidativo (Moneda Extranjera)]]/T_Saldo[[#This Row],[Cambio]]</f>
        <v>3010.9763870000002</v>
      </c>
      <c r="E5" s="13">
        <f>IF(ISERROR(MATCH(T_Saldo[[#This Row],[Producto]],T_Stocks[Ticker],0)),1,INDEX(T_Stocks[Close],MATCH(T_Saldo[[#This Row],[ID - Product - Fecha]],T_Stocks[ID],1),1))</f>
        <v>3010.9763870000002</v>
      </c>
      <c r="F5" cm="1">
        <f t="array" ref="F5">IF(T_Saldo[[#This Row],[Divisa]]="USD",INDEX(T_USD_EUR[EURUSD],MATCH(T_Saldo[[#This Row],[Fecha]],T_USD_EUR[Fecha],1),0),1)</f>
        <v>1</v>
      </c>
      <c r="G5" t="str" cm="1">
        <f t="array" ref="G5">INDEX(T_Elementos[Divisa],MATCH(T_Saldo[[#This Row],[Producto]],T_Elementos[Producto],0),0)</f>
        <v>EUR</v>
      </c>
      <c r="H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" t="str">
        <f>T_Saldo[[#This Row],[Producto]] &amp; "-" &amp; DATE(YEAR(T_Saldo[[#This Row],[Fecha]]),MONTH(T_Saldo[[#This Row],[Fecha]]),DAY(T_Saldo[[#This Row],[Fecha]]))</f>
        <v>BTCEUR-43496</v>
      </c>
    </row>
    <row r="6" spans="1:10" x14ac:dyDescent="0.45">
      <c r="A6" s="15">
        <v>43496</v>
      </c>
      <c r="B6" t="s">
        <v>46</v>
      </c>
      <c r="C6">
        <f>T_Saldo[[#This Row],[Valor liquidativo]]*T_Saldo[[#This Row],[Participaciones]]</f>
        <v>9940.39</v>
      </c>
      <c r="D6" s="11">
        <f>T_Saldo[[#This Row],[Valor liquidativo (Moneda Extranjera)]]/T_Saldo[[#This Row],[Cambio]]</f>
        <v>1</v>
      </c>
      <c r="E6" s="13">
        <f>IF(ISERROR(MATCH(T_Saldo[[#This Row],[Producto]],T_Stocks[Ticker],0)),1,INDEX(T_Stocks[Close],MATCH(T_Saldo[[#This Row],[ID - Product - Fecha]],T_Stocks[ID],1),1))</f>
        <v>1</v>
      </c>
      <c r="F6" cm="1">
        <f t="array" ref="F6">IF(T_Saldo[[#This Row],[Divisa]]="USD",INDEX(T_USD_EUR[EURUSD],MATCH(T_Saldo[[#This Row],[Fecha]],T_USD_EUR[Fecha],1),0),1)</f>
        <v>1</v>
      </c>
      <c r="G6" t="str" cm="1">
        <f t="array" ref="G6">INDEX(T_Elementos[Divisa],MATCH(T_Saldo[[#This Row],[Producto]],T_Elementos[Producto],0),0)</f>
        <v>EUR</v>
      </c>
      <c r="H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9940.39</v>
      </c>
      <c r="J6" t="str">
        <f>T_Saldo[[#This Row],[Producto]] &amp; "-" &amp; DATE(YEAR(T_Saldo[[#This Row],[Fecha]]),MONTH(T_Saldo[[#This Row],[Fecha]]),DAY(T_Saldo[[#This Row],[Fecha]]))</f>
        <v>CA 1-43496</v>
      </c>
    </row>
    <row r="7" spans="1:10" x14ac:dyDescent="0.45">
      <c r="A7" s="15">
        <v>43496</v>
      </c>
      <c r="B7" t="s">
        <v>10</v>
      </c>
      <c r="C7">
        <f>T_Saldo[[#This Row],[Valor liquidativo]]*T_Saldo[[#This Row],[Participaciones]]</f>
        <v>7297.08</v>
      </c>
      <c r="D7" s="11">
        <f>T_Saldo[[#This Row],[Valor liquidativo (Moneda Extranjera)]]/T_Saldo[[#This Row],[Cambio]]</f>
        <v>1</v>
      </c>
      <c r="E7" s="13">
        <f>IF(ISERROR(MATCH(T_Saldo[[#This Row],[Producto]],T_Stocks[Ticker],0)),1,INDEX(T_Stocks[Close],MATCH(T_Saldo[[#This Row],[ID - Product - Fecha]],T_Stocks[ID],1),1))</f>
        <v>1</v>
      </c>
      <c r="F7" cm="1">
        <f t="array" ref="F7">IF(T_Saldo[[#This Row],[Divisa]]="USD",INDEX(T_USD_EUR[EURUSD],MATCH(T_Saldo[[#This Row],[Fecha]],T_USD_EUR[Fecha],1),0),1)</f>
        <v>1</v>
      </c>
      <c r="G7" t="str" cm="1">
        <f t="array" ref="G7">INDEX(T_Elementos[Divisa],MATCH(T_Saldo[[#This Row],[Producto]],T_Elementos[Producto],0),0)</f>
        <v>EUR</v>
      </c>
      <c r="H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7297.08</v>
      </c>
      <c r="J7" t="str">
        <f>T_Saldo[[#This Row],[Producto]] &amp; "-" &amp; DATE(YEAR(T_Saldo[[#This Row],[Fecha]]),MONTH(T_Saldo[[#This Row],[Fecha]]),DAY(T_Saldo[[#This Row],[Fecha]]))</f>
        <v>CC 1-43496</v>
      </c>
    </row>
    <row r="8" spans="1:10" x14ac:dyDescent="0.45">
      <c r="A8" s="15">
        <v>43496</v>
      </c>
      <c r="B8" t="s">
        <v>49</v>
      </c>
      <c r="C8">
        <f>T_Saldo[[#This Row],[Valor liquidativo]]*T_Saldo[[#This Row],[Participaciones]]</f>
        <v>6323.26</v>
      </c>
      <c r="D8" s="11">
        <f>T_Saldo[[#This Row],[Valor liquidativo (Moneda Extranjera)]]/T_Saldo[[#This Row],[Cambio]]</f>
        <v>1</v>
      </c>
      <c r="E8" s="13">
        <f>IF(ISERROR(MATCH(T_Saldo[[#This Row],[Producto]],T_Stocks[Ticker],0)),1,INDEX(T_Stocks[Close],MATCH(T_Saldo[[#This Row],[ID - Product - Fecha]],T_Stocks[ID],1),1))</f>
        <v>1</v>
      </c>
      <c r="F8" cm="1">
        <f t="array" ref="F8">IF(T_Saldo[[#This Row],[Divisa]]="USD",INDEX(T_USD_EUR[EURUSD],MATCH(T_Saldo[[#This Row],[Fecha]],T_USD_EUR[Fecha],1),0),1)</f>
        <v>1</v>
      </c>
      <c r="G8" t="str" cm="1">
        <f t="array" ref="G8">INDEX(T_Elementos[Divisa],MATCH(T_Saldo[[#This Row],[Producto]],T_Elementos[Producto],0),0)</f>
        <v>EUR</v>
      </c>
      <c r="H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6323.26</v>
      </c>
      <c r="J8" t="str">
        <f>T_Saldo[[#This Row],[Producto]] &amp; "-" &amp; DATE(YEAR(T_Saldo[[#This Row],[Fecha]]),MONTH(T_Saldo[[#This Row],[Fecha]]),DAY(T_Saldo[[#This Row],[Fecha]]))</f>
        <v>CC 2-43496</v>
      </c>
    </row>
    <row r="9" spans="1:10" x14ac:dyDescent="0.45">
      <c r="A9" s="15">
        <v>43496</v>
      </c>
      <c r="B9" t="s">
        <v>41</v>
      </c>
      <c r="C9">
        <f>T_Saldo[[#This Row],[Valor liquidativo]]*T_Saldo[[#This Row],[Participaciones]]</f>
        <v>0</v>
      </c>
      <c r="D9" s="11">
        <f>T_Saldo[[#This Row],[Valor liquidativo (Moneda Extranjera)]]/T_Saldo[[#This Row],[Cambio]]</f>
        <v>89.778330000000011</v>
      </c>
      <c r="E9" s="13">
        <f>IF(ISERROR(MATCH(T_Saldo[[#This Row],[Producto]],T_Stocks[Ticker],0)),1,INDEX(T_Stocks[Close],MATCH(T_Saldo[[#This Row],[ID - Product - Fecha]],T_Stocks[ID],1),1))</f>
        <v>102.78</v>
      </c>
      <c r="F9" cm="1">
        <f t="array" ref="F9">IF(T_Saldo[[#This Row],[Divisa]]="USD",INDEX(T_USD_EUR[EURUSD],MATCH(T_Saldo[[#This Row],[Fecha]],T_USD_EUR[Fecha],1),0),1)</f>
        <v>1.1448196908986834</v>
      </c>
      <c r="G9" t="str" cm="1">
        <f t="array" ref="G9">INDEX(T_Elementos[Divisa],MATCH(T_Saldo[[#This Row],[Producto]],T_Elementos[Producto],0),0)</f>
        <v>USD</v>
      </c>
      <c r="H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" t="str">
        <f>T_Saldo[[#This Row],[Producto]] &amp; "-" &amp; DATE(YEAR(T_Saldo[[#This Row],[Fecha]]),MONTH(T_Saldo[[#This Row],[Fecha]]),DAY(T_Saldo[[#This Row],[Fecha]]))</f>
        <v>MSFT-43496</v>
      </c>
    </row>
    <row r="10" spans="1:10" x14ac:dyDescent="0.45">
      <c r="A10" s="15">
        <v>43496</v>
      </c>
      <c r="B10" t="s">
        <v>51</v>
      </c>
      <c r="C10">
        <f>T_Saldo[[#This Row],[Valor liquidativo]]*T_Saldo[[#This Row],[Participaciones]]</f>
        <v>0</v>
      </c>
      <c r="D10" s="11">
        <f>T_Saldo[[#This Row],[Valor liquidativo (Moneda Extranjera)]]/T_Saldo[[#This Row],[Cambio]]</f>
        <v>65.372740000000007</v>
      </c>
      <c r="E10" s="13">
        <f>IF(ISERROR(MATCH(T_Saldo[[#This Row],[Producto]],T_Stocks[Ticker],0)),1,INDEX(T_Stocks[Close],MATCH(T_Saldo[[#This Row],[ID - Product - Fecha]],T_Stocks[ID],1),1))</f>
        <v>74.84</v>
      </c>
      <c r="F10" cm="1">
        <f t="array" ref="F10">IF(T_Saldo[[#This Row],[Divisa]]="USD",INDEX(T_USD_EUR[EURUSD],MATCH(T_Saldo[[#This Row],[Fecha]],T_USD_EUR[Fecha],1),0),1)</f>
        <v>1.1448196908986834</v>
      </c>
      <c r="G10" t="str" cm="1">
        <f t="array" ref="G10">INDEX(T_Elementos[Divisa],MATCH(T_Saldo[[#This Row],[Producto]],T_Elementos[Producto],0),0)</f>
        <v>USD</v>
      </c>
      <c r="H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" t="str">
        <f>T_Saldo[[#This Row],[Producto]] &amp; "-" &amp; DATE(YEAR(T_Saldo[[#This Row],[Fecha]]),MONTH(T_Saldo[[#This Row],[Fecha]]),DAY(T_Saldo[[#This Row],[Fecha]]))</f>
        <v>PRHSX-43496</v>
      </c>
    </row>
    <row r="11" spans="1:10" x14ac:dyDescent="0.45">
      <c r="A11" s="15">
        <v>43496</v>
      </c>
      <c r="B11" t="s">
        <v>32</v>
      </c>
      <c r="C11">
        <f>T_Saldo[[#This Row],[Valor liquidativo]]*T_Saldo[[#This Row],[Participaciones]]</f>
        <v>0</v>
      </c>
      <c r="D11" s="11">
        <f>T_Saldo[[#This Row],[Valor liquidativo (Moneda Extranjera)]]/T_Saldo[[#This Row],[Cambio]]</f>
        <v>58.996190000000006</v>
      </c>
      <c r="E11" s="13">
        <f>IF(ISERROR(MATCH(T_Saldo[[#This Row],[Producto]],T_Stocks[Ticker],0)),1,INDEX(T_Stocks[Close],MATCH(T_Saldo[[#This Row],[ID - Product - Fecha]],T_Stocks[ID],1),1))</f>
        <v>67.540000000000006</v>
      </c>
      <c r="F11" cm="1">
        <f t="array" ref="F11">IF(T_Saldo[[#This Row],[Divisa]]="USD",INDEX(T_USD_EUR[EURUSD],MATCH(T_Saldo[[#This Row],[Fecha]],T_USD_EUR[Fecha],1),0),1)</f>
        <v>1.1448196908986834</v>
      </c>
      <c r="G11" t="str" cm="1">
        <f t="array" ref="G11">INDEX(T_Elementos[Divisa],MATCH(T_Saldo[[#This Row],[Producto]],T_Elementos[Producto],0),0)</f>
        <v>USD</v>
      </c>
      <c r="H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" t="str">
        <f>T_Saldo[[#This Row],[Producto]] &amp; "-" &amp; DATE(YEAR(T_Saldo[[#This Row],[Fecha]]),MONTH(T_Saldo[[#This Row],[Fecha]]),DAY(T_Saldo[[#This Row],[Fecha]]))</f>
        <v>VTSAX-43496</v>
      </c>
    </row>
    <row r="12" spans="1:10" x14ac:dyDescent="0.45">
      <c r="A12" s="15">
        <v>43524</v>
      </c>
      <c r="B12" t="s">
        <v>38</v>
      </c>
      <c r="C12">
        <f>T_Saldo[[#This Row],[Valor liquidativo]]*T_Saldo[[#This Row],[Participaciones]]</f>
        <v>3806.9225999999999</v>
      </c>
      <c r="D12" s="11">
        <f>T_Saldo[[#This Row],[Valor liquidativo (Moneda Extranjera)]]/T_Saldo[[#This Row],[Cambio]]</f>
        <v>38.069226</v>
      </c>
      <c r="E12" s="13">
        <f>IF(ISERROR(MATCH(T_Saldo[[#This Row],[Producto]],T_Stocks[Ticker],0)),1,INDEX(T_Stocks[Close],MATCH(T_Saldo[[#This Row],[ID - Product - Fecha]],T_Stocks[ID],1),1))</f>
        <v>43.29</v>
      </c>
      <c r="F12" cm="1">
        <f t="array" ref="F12">IF(T_Saldo[[#This Row],[Divisa]]="USD",INDEX(T_USD_EUR[EURUSD],MATCH(T_Saldo[[#This Row],[Fecha]],T_USD_EUR[Fecha],1),0),1)</f>
        <v>1.1371389583807141</v>
      </c>
      <c r="G12" t="str" cm="1">
        <f t="array" ref="G12">INDEX(T_Elementos[Divisa],MATCH(T_Saldo[[#This Row],[Producto]],T_Elementos[Producto],0),0)</f>
        <v>USD</v>
      </c>
      <c r="H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2" t="str">
        <f>T_Saldo[[#This Row],[Producto]] &amp; "-" &amp; DATE(YEAR(T_Saldo[[#This Row],[Fecha]]),MONTH(T_Saldo[[#This Row],[Fecha]]),DAY(T_Saldo[[#This Row],[Fecha]]))</f>
        <v>AAPL-43524</v>
      </c>
    </row>
    <row r="13" spans="1:10" x14ac:dyDescent="0.45">
      <c r="A13" s="15">
        <v>43524</v>
      </c>
      <c r="B13" t="s">
        <v>43</v>
      </c>
      <c r="C13">
        <f>T_Saldo[[#This Row],[Valor liquidativo]]*T_Saldo[[#This Row],[Participaciones]]</f>
        <v>0</v>
      </c>
      <c r="D13" s="11">
        <f>T_Saldo[[#This Row],[Valor liquidativo (Moneda Extranjera)]]/T_Saldo[[#This Row],[Cambio]]</f>
        <v>250.42</v>
      </c>
      <c r="E13" s="13">
        <f>IF(ISERROR(MATCH(T_Saldo[[#This Row],[Producto]],T_Stocks[Ticker],0)),1,INDEX(T_Stocks[Close],MATCH(T_Saldo[[#This Row],[ID - Product - Fecha]],T_Stocks[ID],1),1))</f>
        <v>250.42</v>
      </c>
      <c r="F13" cm="1">
        <f t="array" ref="F13">IF(T_Saldo[[#This Row],[Divisa]]="USD",INDEX(T_USD_EUR[EURUSD],MATCH(T_Saldo[[#This Row],[Fecha]],T_USD_EUR[Fecha],1),0),1)</f>
        <v>1</v>
      </c>
      <c r="G13" t="str" cm="1">
        <f t="array" ref="G13">INDEX(T_Elementos[Divisa],MATCH(T_Saldo[[#This Row],[Producto]],T_Elementos[Producto],0),0)</f>
        <v>EUR</v>
      </c>
      <c r="H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" t="str">
        <f>T_Saldo[[#This Row],[Producto]] &amp; "-" &amp; DATE(YEAR(T_Saldo[[#This Row],[Fecha]]),MONTH(T_Saldo[[#This Row],[Fecha]]),DAY(T_Saldo[[#This Row],[Fecha]]))</f>
        <v>Bonos-43524</v>
      </c>
    </row>
    <row r="14" spans="1:10" x14ac:dyDescent="0.45">
      <c r="A14" s="15">
        <v>43524</v>
      </c>
      <c r="B14" t="s">
        <v>155</v>
      </c>
      <c r="C14">
        <f>T_Saldo[[#This Row],[Valor liquidativo]]*T_Saldo[[#This Row],[Participaciones]]</f>
        <v>0</v>
      </c>
      <c r="D14" s="11">
        <f>T_Saldo[[#This Row],[Valor liquidativo (Moneda Extranjera)]]/T_Saldo[[#This Row],[Cambio]]</f>
        <v>3342.761454</v>
      </c>
      <c r="E14" s="13">
        <f>IF(ISERROR(MATCH(T_Saldo[[#This Row],[Producto]],T_Stocks[Ticker],0)),1,INDEX(T_Stocks[Close],MATCH(T_Saldo[[#This Row],[ID - Product - Fecha]],T_Stocks[ID],1),1))</f>
        <v>3342.761454</v>
      </c>
      <c r="F14" cm="1">
        <f t="array" ref="F14">IF(T_Saldo[[#This Row],[Divisa]]="USD",INDEX(T_USD_EUR[EURUSD],MATCH(T_Saldo[[#This Row],[Fecha]],T_USD_EUR[Fecha],1),0),1)</f>
        <v>1</v>
      </c>
      <c r="G14" t="str" cm="1">
        <f t="array" ref="G14">INDEX(T_Elementos[Divisa],MATCH(T_Saldo[[#This Row],[Producto]],T_Elementos[Producto],0),0)</f>
        <v>EUR</v>
      </c>
      <c r="H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" t="str">
        <f>T_Saldo[[#This Row],[Producto]] &amp; "-" &amp; DATE(YEAR(T_Saldo[[#This Row],[Fecha]]),MONTH(T_Saldo[[#This Row],[Fecha]]),DAY(T_Saldo[[#This Row],[Fecha]]))</f>
        <v>BTCEUR-43524</v>
      </c>
    </row>
    <row r="15" spans="1:10" x14ac:dyDescent="0.45">
      <c r="A15" s="15">
        <v>43524</v>
      </c>
      <c r="B15" t="s">
        <v>46</v>
      </c>
      <c r="C15">
        <f>T_Saldo[[#This Row],[Valor liquidativo]]*T_Saldo[[#This Row],[Participaciones]]</f>
        <v>9778.85</v>
      </c>
      <c r="D15" s="11">
        <f>T_Saldo[[#This Row],[Valor liquidativo (Moneda Extranjera)]]/T_Saldo[[#This Row],[Cambio]]</f>
        <v>1</v>
      </c>
      <c r="E15" s="13">
        <f>IF(ISERROR(MATCH(T_Saldo[[#This Row],[Producto]],T_Stocks[Ticker],0)),1,INDEX(T_Stocks[Close],MATCH(T_Saldo[[#This Row],[ID - Product - Fecha]],T_Stocks[ID],1),1))</f>
        <v>1</v>
      </c>
      <c r="F15" cm="1">
        <f t="array" ref="F15">IF(T_Saldo[[#This Row],[Divisa]]="USD",INDEX(T_USD_EUR[EURUSD],MATCH(T_Saldo[[#This Row],[Fecha]],T_USD_EUR[Fecha],1),0),1)</f>
        <v>1</v>
      </c>
      <c r="G15" t="str" cm="1">
        <f t="array" ref="G15">INDEX(T_Elementos[Divisa],MATCH(T_Saldo[[#This Row],[Producto]],T_Elementos[Producto],0),0)</f>
        <v>EUR</v>
      </c>
      <c r="H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9778.85</v>
      </c>
      <c r="J15" t="str">
        <f>T_Saldo[[#This Row],[Producto]] &amp; "-" &amp; DATE(YEAR(T_Saldo[[#This Row],[Fecha]]),MONTH(T_Saldo[[#This Row],[Fecha]]),DAY(T_Saldo[[#This Row],[Fecha]]))</f>
        <v>CA 1-43524</v>
      </c>
    </row>
    <row r="16" spans="1:10" x14ac:dyDescent="0.45">
      <c r="A16" s="15">
        <v>43524</v>
      </c>
      <c r="B16" t="s">
        <v>10</v>
      </c>
      <c r="C16">
        <f>T_Saldo[[#This Row],[Valor liquidativo]]*T_Saldo[[#This Row],[Participaciones]]</f>
        <v>7163.61</v>
      </c>
      <c r="D16" s="11">
        <f>T_Saldo[[#This Row],[Valor liquidativo (Moneda Extranjera)]]/T_Saldo[[#This Row],[Cambio]]</f>
        <v>1</v>
      </c>
      <c r="E16" s="13">
        <f>IF(ISERROR(MATCH(T_Saldo[[#This Row],[Producto]],T_Stocks[Ticker],0)),1,INDEX(T_Stocks[Close],MATCH(T_Saldo[[#This Row],[ID - Product - Fecha]],T_Stocks[ID],1),1))</f>
        <v>1</v>
      </c>
      <c r="F16" cm="1">
        <f t="array" ref="F16">IF(T_Saldo[[#This Row],[Divisa]]="USD",INDEX(T_USD_EUR[EURUSD],MATCH(T_Saldo[[#This Row],[Fecha]],T_USD_EUR[Fecha],1),0),1)</f>
        <v>1</v>
      </c>
      <c r="G16" t="str" cm="1">
        <f t="array" ref="G16">INDEX(T_Elementos[Divisa],MATCH(T_Saldo[[#This Row],[Producto]],T_Elementos[Producto],0),0)</f>
        <v>EUR</v>
      </c>
      <c r="H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7163.61</v>
      </c>
      <c r="J16" t="str">
        <f>T_Saldo[[#This Row],[Producto]] &amp; "-" &amp; DATE(YEAR(T_Saldo[[#This Row],[Fecha]]),MONTH(T_Saldo[[#This Row],[Fecha]]),DAY(T_Saldo[[#This Row],[Fecha]]))</f>
        <v>CC 1-43524</v>
      </c>
    </row>
    <row r="17" spans="1:10" x14ac:dyDescent="0.45">
      <c r="A17" s="15">
        <v>43524</v>
      </c>
      <c r="B17" t="s">
        <v>49</v>
      </c>
      <c r="C17">
        <f>T_Saldo[[#This Row],[Valor liquidativo]]*T_Saldo[[#This Row],[Participaciones]]</f>
        <v>8356.76</v>
      </c>
      <c r="D17" s="11">
        <f>T_Saldo[[#This Row],[Valor liquidativo (Moneda Extranjera)]]/T_Saldo[[#This Row],[Cambio]]</f>
        <v>1</v>
      </c>
      <c r="E17" s="13">
        <f>IF(ISERROR(MATCH(T_Saldo[[#This Row],[Producto]],T_Stocks[Ticker],0)),1,INDEX(T_Stocks[Close],MATCH(T_Saldo[[#This Row],[ID - Product - Fecha]],T_Stocks[ID],1),1))</f>
        <v>1</v>
      </c>
      <c r="F17" cm="1">
        <f t="array" ref="F17">IF(T_Saldo[[#This Row],[Divisa]]="USD",INDEX(T_USD_EUR[EURUSD],MATCH(T_Saldo[[#This Row],[Fecha]],T_USD_EUR[Fecha],1),0),1)</f>
        <v>1</v>
      </c>
      <c r="G17" t="str" cm="1">
        <f t="array" ref="G17">INDEX(T_Elementos[Divisa],MATCH(T_Saldo[[#This Row],[Producto]],T_Elementos[Producto],0),0)</f>
        <v>EUR</v>
      </c>
      <c r="H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8356.76</v>
      </c>
      <c r="J17" t="str">
        <f>T_Saldo[[#This Row],[Producto]] &amp; "-" &amp; DATE(YEAR(T_Saldo[[#This Row],[Fecha]]),MONTH(T_Saldo[[#This Row],[Fecha]]),DAY(T_Saldo[[#This Row],[Fecha]]))</f>
        <v>CC 2-43524</v>
      </c>
    </row>
    <row r="18" spans="1:10" x14ac:dyDescent="0.45">
      <c r="A18" s="15">
        <v>43524</v>
      </c>
      <c r="B18" t="s">
        <v>41</v>
      </c>
      <c r="C18">
        <f>T_Saldo[[#This Row],[Valor liquidativo]]*T_Saldo[[#This Row],[Participaciones]]</f>
        <v>0</v>
      </c>
      <c r="D18" s="11">
        <f>T_Saldo[[#This Row],[Valor liquidativo (Moneda Extranjera)]]/T_Saldo[[#This Row],[Cambio]]</f>
        <v>98.519182000000001</v>
      </c>
      <c r="E18" s="13">
        <f>IF(ISERROR(MATCH(T_Saldo[[#This Row],[Producto]],T_Stocks[Ticker],0)),1,INDEX(T_Stocks[Close],MATCH(T_Saldo[[#This Row],[ID - Product - Fecha]],T_Stocks[ID],1),1))</f>
        <v>112.03</v>
      </c>
      <c r="F18" cm="1">
        <f t="array" ref="F18">IF(T_Saldo[[#This Row],[Divisa]]="USD",INDEX(T_USD_EUR[EURUSD],MATCH(T_Saldo[[#This Row],[Fecha]],T_USD_EUR[Fecha],1),0),1)</f>
        <v>1.1371389583807141</v>
      </c>
      <c r="G18" t="str" cm="1">
        <f t="array" ref="G18">INDEX(T_Elementos[Divisa],MATCH(T_Saldo[[#This Row],[Producto]],T_Elementos[Producto],0),0)</f>
        <v>USD</v>
      </c>
      <c r="H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" t="str">
        <f>T_Saldo[[#This Row],[Producto]] &amp; "-" &amp; DATE(YEAR(T_Saldo[[#This Row],[Fecha]]),MONTH(T_Saldo[[#This Row],[Fecha]]),DAY(T_Saldo[[#This Row],[Fecha]]))</f>
        <v>MSFT-43524</v>
      </c>
    </row>
    <row r="19" spans="1:10" x14ac:dyDescent="0.45">
      <c r="A19" s="15">
        <v>43524</v>
      </c>
      <c r="B19" t="s">
        <v>51</v>
      </c>
      <c r="C19">
        <f>T_Saldo[[#This Row],[Valor liquidativo]]*T_Saldo[[#This Row],[Participaciones]]</f>
        <v>0</v>
      </c>
      <c r="D19" s="11">
        <f>T_Saldo[[#This Row],[Valor liquidativo (Moneda Extranjera)]]/T_Saldo[[#This Row],[Cambio]]</f>
        <v>67.546714000000009</v>
      </c>
      <c r="E19" s="13">
        <f>IF(ISERROR(MATCH(T_Saldo[[#This Row],[Producto]],T_Stocks[Ticker],0)),1,INDEX(T_Stocks[Close],MATCH(T_Saldo[[#This Row],[ID - Product - Fecha]],T_Stocks[ID],1),1))</f>
        <v>76.81</v>
      </c>
      <c r="F19" cm="1">
        <f t="array" ref="F19">IF(T_Saldo[[#This Row],[Divisa]]="USD",INDEX(T_USD_EUR[EURUSD],MATCH(T_Saldo[[#This Row],[Fecha]],T_USD_EUR[Fecha],1),0),1)</f>
        <v>1.1371389583807141</v>
      </c>
      <c r="G19" t="str" cm="1">
        <f t="array" ref="G19">INDEX(T_Elementos[Divisa],MATCH(T_Saldo[[#This Row],[Producto]],T_Elementos[Producto],0),0)</f>
        <v>USD</v>
      </c>
      <c r="H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" t="str">
        <f>T_Saldo[[#This Row],[Producto]] &amp; "-" &amp; DATE(YEAR(T_Saldo[[#This Row],[Fecha]]),MONTH(T_Saldo[[#This Row],[Fecha]]),DAY(T_Saldo[[#This Row],[Fecha]]))</f>
        <v>PRHSX-43524</v>
      </c>
    </row>
    <row r="20" spans="1:10" x14ac:dyDescent="0.45">
      <c r="A20" s="15">
        <v>43524</v>
      </c>
      <c r="B20" t="s">
        <v>32</v>
      </c>
      <c r="C20">
        <f>T_Saldo[[#This Row],[Valor liquidativo]]*T_Saldo[[#This Row],[Participaciones]]</f>
        <v>0</v>
      </c>
      <c r="D20" s="11">
        <f>T_Saldo[[#This Row],[Valor liquidativo (Moneda Extranjera)]]/T_Saldo[[#This Row],[Cambio]]</f>
        <v>61.38212</v>
      </c>
      <c r="E20" s="13">
        <f>IF(ISERROR(MATCH(T_Saldo[[#This Row],[Producto]],T_Stocks[Ticker],0)),1,INDEX(T_Stocks[Close],MATCH(T_Saldo[[#This Row],[ID - Product - Fecha]],T_Stocks[ID],1),1))</f>
        <v>69.8</v>
      </c>
      <c r="F20" cm="1">
        <f t="array" ref="F20">IF(T_Saldo[[#This Row],[Divisa]]="USD",INDEX(T_USD_EUR[EURUSD],MATCH(T_Saldo[[#This Row],[Fecha]],T_USD_EUR[Fecha],1),0),1)</f>
        <v>1.1371389583807141</v>
      </c>
      <c r="G20" t="str" cm="1">
        <f t="array" ref="G20">INDEX(T_Elementos[Divisa],MATCH(T_Saldo[[#This Row],[Producto]],T_Elementos[Producto],0),0)</f>
        <v>USD</v>
      </c>
      <c r="H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" t="str">
        <f>T_Saldo[[#This Row],[Producto]] &amp; "-" &amp; DATE(YEAR(T_Saldo[[#This Row],[Fecha]]),MONTH(T_Saldo[[#This Row],[Fecha]]),DAY(T_Saldo[[#This Row],[Fecha]]))</f>
        <v>VTSAX-43524</v>
      </c>
    </row>
    <row r="21" spans="1:10" x14ac:dyDescent="0.45">
      <c r="A21" s="15">
        <v>43555</v>
      </c>
      <c r="B21" t="s">
        <v>38</v>
      </c>
      <c r="C21">
        <f>T_Saldo[[#This Row],[Valor liquidativo]]*T_Saldo[[#This Row],[Participaciones]]</f>
        <v>4232.7837</v>
      </c>
      <c r="D21" s="11">
        <f>T_Saldo[[#This Row],[Valor liquidativo (Moneda Extranjera)]]/T_Saldo[[#This Row],[Cambio]]</f>
        <v>42.327837000000002</v>
      </c>
      <c r="E21" s="13">
        <f>IF(ISERROR(MATCH(T_Saldo[[#This Row],[Producto]],T_Stocks[Ticker],0)),1,INDEX(T_Stocks[Close],MATCH(T_Saldo[[#This Row],[ID - Product - Fecha]],T_Stocks[ID],1),1))</f>
        <v>47.49</v>
      </c>
      <c r="F21" cm="1">
        <f t="array" ref="F21">IF(T_Saldo[[#This Row],[Divisa]]="USD",INDEX(T_USD_EUR[EURUSD],MATCH(T_Saldo[[#This Row],[Fecha]],T_USD_EUR[Fecha],1),0),1)</f>
        <v>1.1219566924716706</v>
      </c>
      <c r="G21" t="str" cm="1">
        <f t="array" ref="G21">INDEX(T_Elementos[Divisa],MATCH(T_Saldo[[#This Row],[Producto]],T_Elementos[Producto],0),0)</f>
        <v>USD</v>
      </c>
      <c r="H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21" t="str">
        <f>T_Saldo[[#This Row],[Producto]] &amp; "-" &amp; DATE(YEAR(T_Saldo[[#This Row],[Fecha]]),MONTH(T_Saldo[[#This Row],[Fecha]]),DAY(T_Saldo[[#This Row],[Fecha]]))</f>
        <v>AAPL-43555</v>
      </c>
    </row>
    <row r="22" spans="1:10" x14ac:dyDescent="0.45">
      <c r="A22" s="15">
        <v>43555</v>
      </c>
      <c r="B22" t="s">
        <v>43</v>
      </c>
      <c r="C22">
        <f>T_Saldo[[#This Row],[Valor liquidativo]]*T_Saldo[[#This Row],[Participaciones]]</f>
        <v>0</v>
      </c>
      <c r="D22" s="11">
        <f>T_Saldo[[#This Row],[Valor liquidativo (Moneda Extranjera)]]/T_Saldo[[#This Row],[Cambio]]</f>
        <v>250.42</v>
      </c>
      <c r="E22" s="13">
        <f>IF(ISERROR(MATCH(T_Saldo[[#This Row],[Producto]],T_Stocks[Ticker],0)),1,INDEX(T_Stocks[Close],MATCH(T_Saldo[[#This Row],[ID - Product - Fecha]],T_Stocks[ID],1),1))</f>
        <v>250.42</v>
      </c>
      <c r="F22" cm="1">
        <f t="array" ref="F22">IF(T_Saldo[[#This Row],[Divisa]]="USD",INDEX(T_USD_EUR[EURUSD],MATCH(T_Saldo[[#This Row],[Fecha]],T_USD_EUR[Fecha],1),0),1)</f>
        <v>1</v>
      </c>
      <c r="G22" t="str" cm="1">
        <f t="array" ref="G22">INDEX(T_Elementos[Divisa],MATCH(T_Saldo[[#This Row],[Producto]],T_Elementos[Producto],0),0)</f>
        <v>EUR</v>
      </c>
      <c r="H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" t="str">
        <f>T_Saldo[[#This Row],[Producto]] &amp; "-" &amp; DATE(YEAR(T_Saldo[[#This Row],[Fecha]]),MONTH(T_Saldo[[#This Row],[Fecha]]),DAY(T_Saldo[[#This Row],[Fecha]]))</f>
        <v>Bonos-43555</v>
      </c>
    </row>
    <row r="23" spans="1:10" x14ac:dyDescent="0.45">
      <c r="A23" s="15">
        <v>43555</v>
      </c>
      <c r="B23" t="s">
        <v>155</v>
      </c>
      <c r="C23">
        <f>T_Saldo[[#This Row],[Valor liquidativo]]*T_Saldo[[#This Row],[Participaciones]]</f>
        <v>0</v>
      </c>
      <c r="D23" s="11">
        <f>T_Saldo[[#This Row],[Valor liquidativo (Moneda Extranjera)]]/T_Saldo[[#This Row],[Cambio]]</f>
        <v>3671.8706809999999</v>
      </c>
      <c r="E23" s="13">
        <f>IF(ISERROR(MATCH(T_Saldo[[#This Row],[Producto]],T_Stocks[Ticker],0)),1,INDEX(T_Stocks[Close],MATCH(T_Saldo[[#This Row],[ID - Product - Fecha]],T_Stocks[ID],1),1))</f>
        <v>3671.8706809999999</v>
      </c>
      <c r="F23" cm="1">
        <f t="array" ref="F23">IF(T_Saldo[[#This Row],[Divisa]]="USD",INDEX(T_USD_EUR[EURUSD],MATCH(T_Saldo[[#This Row],[Fecha]],T_USD_EUR[Fecha],1),0),1)</f>
        <v>1</v>
      </c>
      <c r="G23" t="str" cm="1">
        <f t="array" ref="G23">INDEX(T_Elementos[Divisa],MATCH(T_Saldo[[#This Row],[Producto]],T_Elementos[Producto],0),0)</f>
        <v>EUR</v>
      </c>
      <c r="H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" t="str">
        <f>T_Saldo[[#This Row],[Producto]] &amp; "-" &amp; DATE(YEAR(T_Saldo[[#This Row],[Fecha]]),MONTH(T_Saldo[[#This Row],[Fecha]]),DAY(T_Saldo[[#This Row],[Fecha]]))</f>
        <v>BTCEUR-43555</v>
      </c>
    </row>
    <row r="24" spans="1:10" x14ac:dyDescent="0.45">
      <c r="A24" s="15">
        <v>43555</v>
      </c>
      <c r="B24" t="s">
        <v>46</v>
      </c>
      <c r="C24">
        <f>T_Saldo[[#This Row],[Valor liquidativo]]*T_Saldo[[#This Row],[Participaciones]]</f>
        <v>9525.89</v>
      </c>
      <c r="D24" s="11">
        <f>T_Saldo[[#This Row],[Valor liquidativo (Moneda Extranjera)]]/T_Saldo[[#This Row],[Cambio]]</f>
        <v>1</v>
      </c>
      <c r="E24" s="13">
        <f>IF(ISERROR(MATCH(T_Saldo[[#This Row],[Producto]],T_Stocks[Ticker],0)),1,INDEX(T_Stocks[Close],MATCH(T_Saldo[[#This Row],[ID - Product - Fecha]],T_Stocks[ID],1),1))</f>
        <v>1</v>
      </c>
      <c r="F24" cm="1">
        <f t="array" ref="F24">IF(T_Saldo[[#This Row],[Divisa]]="USD",INDEX(T_USD_EUR[EURUSD],MATCH(T_Saldo[[#This Row],[Fecha]],T_USD_EUR[Fecha],1),0),1)</f>
        <v>1</v>
      </c>
      <c r="G24" t="str" cm="1">
        <f t="array" ref="G24">INDEX(T_Elementos[Divisa],MATCH(T_Saldo[[#This Row],[Producto]],T_Elementos[Producto],0),0)</f>
        <v>EUR</v>
      </c>
      <c r="H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9525.89</v>
      </c>
      <c r="J24" t="str">
        <f>T_Saldo[[#This Row],[Producto]] &amp; "-" &amp; DATE(YEAR(T_Saldo[[#This Row],[Fecha]]),MONTH(T_Saldo[[#This Row],[Fecha]]),DAY(T_Saldo[[#This Row],[Fecha]]))</f>
        <v>CA 1-43555</v>
      </c>
    </row>
    <row r="25" spans="1:10" x14ac:dyDescent="0.45">
      <c r="A25" s="15">
        <v>43555</v>
      </c>
      <c r="B25" t="s">
        <v>10</v>
      </c>
      <c r="C25">
        <f>T_Saldo[[#This Row],[Valor liquidativo]]*T_Saldo[[#This Row],[Participaciones]]</f>
        <v>9540.77</v>
      </c>
      <c r="D25" s="11">
        <f>T_Saldo[[#This Row],[Valor liquidativo (Moneda Extranjera)]]/T_Saldo[[#This Row],[Cambio]]</f>
        <v>1</v>
      </c>
      <c r="E25" s="13">
        <f>IF(ISERROR(MATCH(T_Saldo[[#This Row],[Producto]],T_Stocks[Ticker],0)),1,INDEX(T_Stocks[Close],MATCH(T_Saldo[[#This Row],[ID - Product - Fecha]],T_Stocks[ID],1),1))</f>
        <v>1</v>
      </c>
      <c r="F25" cm="1">
        <f t="array" ref="F25">IF(T_Saldo[[#This Row],[Divisa]]="USD",INDEX(T_USD_EUR[EURUSD],MATCH(T_Saldo[[#This Row],[Fecha]],T_USD_EUR[Fecha],1),0),1)</f>
        <v>1</v>
      </c>
      <c r="G25" t="str" cm="1">
        <f t="array" ref="G25">INDEX(T_Elementos[Divisa],MATCH(T_Saldo[[#This Row],[Producto]],T_Elementos[Producto],0),0)</f>
        <v>EUR</v>
      </c>
      <c r="H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9540.77</v>
      </c>
      <c r="J25" t="str">
        <f>T_Saldo[[#This Row],[Producto]] &amp; "-" &amp; DATE(YEAR(T_Saldo[[#This Row],[Fecha]]),MONTH(T_Saldo[[#This Row],[Fecha]]),DAY(T_Saldo[[#This Row],[Fecha]]))</f>
        <v>CC 1-43555</v>
      </c>
    </row>
    <row r="26" spans="1:10" x14ac:dyDescent="0.45">
      <c r="A26" s="15">
        <v>43555</v>
      </c>
      <c r="B26" t="s">
        <v>49</v>
      </c>
      <c r="C26">
        <f>T_Saldo[[#This Row],[Valor liquidativo]]*T_Saldo[[#This Row],[Participaciones]]</f>
        <v>8193.81</v>
      </c>
      <c r="D26" s="11">
        <f>T_Saldo[[#This Row],[Valor liquidativo (Moneda Extranjera)]]/T_Saldo[[#This Row],[Cambio]]</f>
        <v>1</v>
      </c>
      <c r="E26" s="13">
        <f>IF(ISERROR(MATCH(T_Saldo[[#This Row],[Producto]],T_Stocks[Ticker],0)),1,INDEX(T_Stocks[Close],MATCH(T_Saldo[[#This Row],[ID - Product - Fecha]],T_Stocks[ID],1),1))</f>
        <v>1</v>
      </c>
      <c r="F26" cm="1">
        <f t="array" ref="F26">IF(T_Saldo[[#This Row],[Divisa]]="USD",INDEX(T_USD_EUR[EURUSD],MATCH(T_Saldo[[#This Row],[Fecha]],T_USD_EUR[Fecha],1),0),1)</f>
        <v>1</v>
      </c>
      <c r="G26" t="str" cm="1">
        <f t="array" ref="G26">INDEX(T_Elementos[Divisa],MATCH(T_Saldo[[#This Row],[Producto]],T_Elementos[Producto],0),0)</f>
        <v>EUR</v>
      </c>
      <c r="H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8193.81</v>
      </c>
      <c r="J26" t="str">
        <f>T_Saldo[[#This Row],[Producto]] &amp; "-" &amp; DATE(YEAR(T_Saldo[[#This Row],[Fecha]]),MONTH(T_Saldo[[#This Row],[Fecha]]),DAY(T_Saldo[[#This Row],[Fecha]]))</f>
        <v>CC 2-43555</v>
      </c>
    </row>
    <row r="27" spans="1:10" x14ac:dyDescent="0.45">
      <c r="A27" s="15">
        <v>43555</v>
      </c>
      <c r="B27" t="s">
        <v>41</v>
      </c>
      <c r="C27">
        <f>T_Saldo[[#This Row],[Valor liquidativo]]*T_Saldo[[#This Row],[Participaciones]]</f>
        <v>0</v>
      </c>
      <c r="D27" s="11">
        <f>T_Saldo[[#This Row],[Valor liquidativo (Moneda Extranjera)]]/T_Saldo[[#This Row],[Cambio]]</f>
        <v>105.11992199999999</v>
      </c>
      <c r="E27" s="13">
        <f>IF(ISERROR(MATCH(T_Saldo[[#This Row],[Producto]],T_Stocks[Ticker],0)),1,INDEX(T_Stocks[Close],MATCH(T_Saldo[[#This Row],[ID - Product - Fecha]],T_Stocks[ID],1),1))</f>
        <v>117.94</v>
      </c>
      <c r="F27" cm="1">
        <f t="array" ref="F27">IF(T_Saldo[[#This Row],[Divisa]]="USD",INDEX(T_USD_EUR[EURUSD],MATCH(T_Saldo[[#This Row],[Fecha]],T_USD_EUR[Fecha],1),0),1)</f>
        <v>1.1219566924716706</v>
      </c>
      <c r="G27" t="str" cm="1">
        <f t="array" ref="G27">INDEX(T_Elementos[Divisa],MATCH(T_Saldo[[#This Row],[Producto]],T_Elementos[Producto],0),0)</f>
        <v>USD</v>
      </c>
      <c r="H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7" t="str">
        <f>T_Saldo[[#This Row],[Producto]] &amp; "-" &amp; DATE(YEAR(T_Saldo[[#This Row],[Fecha]]),MONTH(T_Saldo[[#This Row],[Fecha]]),DAY(T_Saldo[[#This Row],[Fecha]]))</f>
        <v>MSFT-43555</v>
      </c>
    </row>
    <row r="28" spans="1:10" x14ac:dyDescent="0.45">
      <c r="A28" s="15">
        <v>43555</v>
      </c>
      <c r="B28" t="s">
        <v>51</v>
      </c>
      <c r="C28">
        <f>T_Saldo[[#This Row],[Valor liquidativo]]*T_Saldo[[#This Row],[Participaciones]]</f>
        <v>0</v>
      </c>
      <c r="D28" s="11">
        <f>T_Saldo[[#This Row],[Valor liquidativo (Moneda Extranjera)]]/T_Saldo[[#This Row],[Cambio]]</f>
        <v>68.986620000000002</v>
      </c>
      <c r="E28" s="13">
        <f>IF(ISERROR(MATCH(T_Saldo[[#This Row],[Producto]],T_Stocks[Ticker],0)),1,INDEX(T_Stocks[Close],MATCH(T_Saldo[[#This Row],[ID - Product - Fecha]],T_Stocks[ID],1),1))</f>
        <v>77.400000000000006</v>
      </c>
      <c r="F28" cm="1">
        <f t="array" ref="F28">IF(T_Saldo[[#This Row],[Divisa]]="USD",INDEX(T_USD_EUR[EURUSD],MATCH(T_Saldo[[#This Row],[Fecha]],T_USD_EUR[Fecha],1),0),1)</f>
        <v>1.1219566924716706</v>
      </c>
      <c r="G28" t="str" cm="1">
        <f t="array" ref="G28">INDEX(T_Elementos[Divisa],MATCH(T_Saldo[[#This Row],[Producto]],T_Elementos[Producto],0),0)</f>
        <v>USD</v>
      </c>
      <c r="H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" t="str">
        <f>T_Saldo[[#This Row],[Producto]] &amp; "-" &amp; DATE(YEAR(T_Saldo[[#This Row],[Fecha]]),MONTH(T_Saldo[[#This Row],[Fecha]]),DAY(T_Saldo[[#This Row],[Fecha]]))</f>
        <v>PRHSX-43555</v>
      </c>
    </row>
    <row r="29" spans="1:10" x14ac:dyDescent="0.45">
      <c r="A29" s="15">
        <v>43555</v>
      </c>
      <c r="B29" t="s">
        <v>32</v>
      </c>
      <c r="C29">
        <f>T_Saldo[[#This Row],[Valor liquidativo]]*T_Saldo[[#This Row],[Participaciones]]</f>
        <v>0</v>
      </c>
      <c r="D29" s="11">
        <f>T_Saldo[[#This Row],[Valor liquidativo (Moneda Extranjera)]]/T_Saldo[[#This Row],[Cambio]]</f>
        <v>62.774259000000008</v>
      </c>
      <c r="E29" s="13">
        <f>IF(ISERROR(MATCH(T_Saldo[[#This Row],[Producto]],T_Stocks[Ticker],0)),1,INDEX(T_Stocks[Close],MATCH(T_Saldo[[#This Row],[ID - Product - Fecha]],T_Stocks[ID],1),1))</f>
        <v>70.430000000000007</v>
      </c>
      <c r="F29" cm="1">
        <f t="array" ref="F29">IF(T_Saldo[[#This Row],[Divisa]]="USD",INDEX(T_USD_EUR[EURUSD],MATCH(T_Saldo[[#This Row],[Fecha]],T_USD_EUR[Fecha],1),0),1)</f>
        <v>1.1219566924716706</v>
      </c>
      <c r="G29" t="str" cm="1">
        <f t="array" ref="G29">INDEX(T_Elementos[Divisa],MATCH(T_Saldo[[#This Row],[Producto]],T_Elementos[Producto],0),0)</f>
        <v>USD</v>
      </c>
      <c r="H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" t="str">
        <f>T_Saldo[[#This Row],[Producto]] &amp; "-" &amp; DATE(YEAR(T_Saldo[[#This Row],[Fecha]]),MONTH(T_Saldo[[#This Row],[Fecha]]),DAY(T_Saldo[[#This Row],[Fecha]]))</f>
        <v>VTSAX-43555</v>
      </c>
    </row>
    <row r="30" spans="1:10" x14ac:dyDescent="0.45">
      <c r="A30" s="15">
        <v>43585</v>
      </c>
      <c r="B30" t="s">
        <v>38</v>
      </c>
      <c r="C30">
        <f>T_Saldo[[#This Row],[Valor liquidativo]]*T_Saldo[[#This Row],[Participaciones]]</f>
        <v>4473.1571999999996</v>
      </c>
      <c r="D30" s="11">
        <f>T_Saldo[[#This Row],[Valor liquidativo (Moneda Extranjera)]]/T_Saldo[[#This Row],[Cambio]]</f>
        <v>44.731571999999993</v>
      </c>
      <c r="E30" s="13">
        <f>IF(ISERROR(MATCH(T_Saldo[[#This Row],[Producto]],T_Stocks[Ticker],0)),1,INDEX(T_Stocks[Close],MATCH(T_Saldo[[#This Row],[ID - Product - Fecha]],T_Stocks[ID],1),1))</f>
        <v>50.17</v>
      </c>
      <c r="F30" cm="1">
        <f t="array" ref="F30">IF(T_Saldo[[#This Row],[Divisa]]="USD",INDEX(T_USD_EUR[EURUSD],MATCH(T_Saldo[[#This Row],[Fecha]],T_USD_EUR[Fecha],1),0),1)</f>
        <v>1.1215791834903546</v>
      </c>
      <c r="G30" t="str" cm="1">
        <f t="array" ref="G30">INDEX(T_Elementos[Divisa],MATCH(T_Saldo[[#This Row],[Producto]],T_Elementos[Producto],0),0)</f>
        <v>USD</v>
      </c>
      <c r="H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0" t="str">
        <f>T_Saldo[[#This Row],[Producto]] &amp; "-" &amp; DATE(YEAR(T_Saldo[[#This Row],[Fecha]]),MONTH(T_Saldo[[#This Row],[Fecha]]),DAY(T_Saldo[[#This Row],[Fecha]]))</f>
        <v>AAPL-43585</v>
      </c>
    </row>
    <row r="31" spans="1:10" x14ac:dyDescent="0.45">
      <c r="A31" s="15">
        <v>43585</v>
      </c>
      <c r="B31" t="s">
        <v>43</v>
      </c>
      <c r="C31">
        <f>T_Saldo[[#This Row],[Valor liquidativo]]*T_Saldo[[#This Row],[Participaciones]]</f>
        <v>0</v>
      </c>
      <c r="D31" s="11">
        <f>T_Saldo[[#This Row],[Valor liquidativo (Moneda Extranjera)]]/T_Saldo[[#This Row],[Cambio]]</f>
        <v>250.42</v>
      </c>
      <c r="E31" s="13">
        <f>IF(ISERROR(MATCH(T_Saldo[[#This Row],[Producto]],T_Stocks[Ticker],0)),1,INDEX(T_Stocks[Close],MATCH(T_Saldo[[#This Row],[ID - Product - Fecha]],T_Stocks[ID],1),1))</f>
        <v>250.42</v>
      </c>
      <c r="F31" cm="1">
        <f t="array" ref="F31">IF(T_Saldo[[#This Row],[Divisa]]="USD",INDEX(T_USD_EUR[EURUSD],MATCH(T_Saldo[[#This Row],[Fecha]],T_USD_EUR[Fecha],1),0),1)</f>
        <v>1</v>
      </c>
      <c r="G31" t="str" cm="1">
        <f t="array" ref="G31">INDEX(T_Elementos[Divisa],MATCH(T_Saldo[[#This Row],[Producto]],T_Elementos[Producto],0),0)</f>
        <v>EUR</v>
      </c>
      <c r="H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" t="str">
        <f>T_Saldo[[#This Row],[Producto]] &amp; "-" &amp; DATE(YEAR(T_Saldo[[#This Row],[Fecha]]),MONTH(T_Saldo[[#This Row],[Fecha]]),DAY(T_Saldo[[#This Row],[Fecha]]))</f>
        <v>Bonos-43585</v>
      </c>
    </row>
    <row r="32" spans="1:10" x14ac:dyDescent="0.45">
      <c r="A32" s="15">
        <v>43585</v>
      </c>
      <c r="B32" t="s">
        <v>155</v>
      </c>
      <c r="C32">
        <f>T_Saldo[[#This Row],[Valor liquidativo]]*T_Saldo[[#This Row],[Participaciones]]</f>
        <v>0</v>
      </c>
      <c r="D32" s="11">
        <f>T_Saldo[[#This Row],[Valor liquidativo (Moneda Extranjera)]]/T_Saldo[[#This Row],[Cambio]]</f>
        <v>4713.3777909999999</v>
      </c>
      <c r="E32" s="13">
        <f>IF(ISERROR(MATCH(T_Saldo[[#This Row],[Producto]],T_Stocks[Ticker],0)),1,INDEX(T_Stocks[Close],MATCH(T_Saldo[[#This Row],[ID - Product - Fecha]],T_Stocks[ID],1),1))</f>
        <v>4713.3777909999999</v>
      </c>
      <c r="F32" cm="1">
        <f t="array" ref="F32">IF(T_Saldo[[#This Row],[Divisa]]="USD",INDEX(T_USD_EUR[EURUSD],MATCH(T_Saldo[[#This Row],[Fecha]],T_USD_EUR[Fecha],1),0),1)</f>
        <v>1</v>
      </c>
      <c r="G32" t="str" cm="1">
        <f t="array" ref="G32">INDEX(T_Elementos[Divisa],MATCH(T_Saldo[[#This Row],[Producto]],T_Elementos[Producto],0),0)</f>
        <v>EUR</v>
      </c>
      <c r="H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2" t="str">
        <f>T_Saldo[[#This Row],[Producto]] &amp; "-" &amp; DATE(YEAR(T_Saldo[[#This Row],[Fecha]]),MONTH(T_Saldo[[#This Row],[Fecha]]),DAY(T_Saldo[[#This Row],[Fecha]]))</f>
        <v>BTCEUR-43585</v>
      </c>
    </row>
    <row r="33" spans="1:10" x14ac:dyDescent="0.45">
      <c r="A33" s="15">
        <v>43585</v>
      </c>
      <c r="B33" t="s">
        <v>46</v>
      </c>
      <c r="C33">
        <f>T_Saldo[[#This Row],[Valor liquidativo]]*T_Saldo[[#This Row],[Participaciones]]</f>
        <v>9201.08</v>
      </c>
      <c r="D33" s="11">
        <f>T_Saldo[[#This Row],[Valor liquidativo (Moneda Extranjera)]]/T_Saldo[[#This Row],[Cambio]]</f>
        <v>1</v>
      </c>
      <c r="E33" s="13">
        <f>IF(ISERROR(MATCH(T_Saldo[[#This Row],[Producto]],T_Stocks[Ticker],0)),1,INDEX(T_Stocks[Close],MATCH(T_Saldo[[#This Row],[ID - Product - Fecha]],T_Stocks[ID],1),1))</f>
        <v>1</v>
      </c>
      <c r="F33" cm="1">
        <f t="array" ref="F33">IF(T_Saldo[[#This Row],[Divisa]]="USD",INDEX(T_USD_EUR[EURUSD],MATCH(T_Saldo[[#This Row],[Fecha]],T_USD_EUR[Fecha],1),0),1)</f>
        <v>1</v>
      </c>
      <c r="G33" t="str" cm="1">
        <f t="array" ref="G33">INDEX(T_Elementos[Divisa],MATCH(T_Saldo[[#This Row],[Producto]],T_Elementos[Producto],0),0)</f>
        <v>EUR</v>
      </c>
      <c r="H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9201.08</v>
      </c>
      <c r="J33" t="str">
        <f>T_Saldo[[#This Row],[Producto]] &amp; "-" &amp; DATE(YEAR(T_Saldo[[#This Row],[Fecha]]),MONTH(T_Saldo[[#This Row],[Fecha]]),DAY(T_Saldo[[#This Row],[Fecha]]))</f>
        <v>CA 1-43585</v>
      </c>
    </row>
    <row r="34" spans="1:10" x14ac:dyDescent="0.45">
      <c r="A34" s="15">
        <v>43585</v>
      </c>
      <c r="B34" t="s">
        <v>10</v>
      </c>
      <c r="C34">
        <f>T_Saldo[[#This Row],[Valor liquidativo]]*T_Saldo[[#This Row],[Participaciones]]</f>
        <v>9485.14</v>
      </c>
      <c r="D34" s="11">
        <f>T_Saldo[[#This Row],[Valor liquidativo (Moneda Extranjera)]]/T_Saldo[[#This Row],[Cambio]]</f>
        <v>1</v>
      </c>
      <c r="E34" s="13">
        <f>IF(ISERROR(MATCH(T_Saldo[[#This Row],[Producto]],T_Stocks[Ticker],0)),1,INDEX(T_Stocks[Close],MATCH(T_Saldo[[#This Row],[ID - Product - Fecha]],T_Stocks[ID],1),1))</f>
        <v>1</v>
      </c>
      <c r="F34" cm="1">
        <f t="array" ref="F34">IF(T_Saldo[[#This Row],[Divisa]]="USD",INDEX(T_USD_EUR[EURUSD],MATCH(T_Saldo[[#This Row],[Fecha]],T_USD_EUR[Fecha],1),0),1)</f>
        <v>1</v>
      </c>
      <c r="G34" t="str" cm="1">
        <f t="array" ref="G34">INDEX(T_Elementos[Divisa],MATCH(T_Saldo[[#This Row],[Producto]],T_Elementos[Producto],0),0)</f>
        <v>EUR</v>
      </c>
      <c r="H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9485.14</v>
      </c>
      <c r="J34" t="str">
        <f>T_Saldo[[#This Row],[Producto]] &amp; "-" &amp; DATE(YEAR(T_Saldo[[#This Row],[Fecha]]),MONTH(T_Saldo[[#This Row],[Fecha]]),DAY(T_Saldo[[#This Row],[Fecha]]))</f>
        <v>CC 1-43585</v>
      </c>
    </row>
    <row r="35" spans="1:10" x14ac:dyDescent="0.45">
      <c r="A35" s="15">
        <v>43585</v>
      </c>
      <c r="B35" t="s">
        <v>49</v>
      </c>
      <c r="C35">
        <f>T_Saldo[[#This Row],[Valor liquidativo]]*T_Saldo[[#This Row],[Participaciones]]</f>
        <v>8193.81</v>
      </c>
      <c r="D35" s="11">
        <f>T_Saldo[[#This Row],[Valor liquidativo (Moneda Extranjera)]]/T_Saldo[[#This Row],[Cambio]]</f>
        <v>1</v>
      </c>
      <c r="E35" s="13">
        <f>IF(ISERROR(MATCH(T_Saldo[[#This Row],[Producto]],T_Stocks[Ticker],0)),1,INDEX(T_Stocks[Close],MATCH(T_Saldo[[#This Row],[ID - Product - Fecha]],T_Stocks[ID],1),1))</f>
        <v>1</v>
      </c>
      <c r="F35" cm="1">
        <f t="array" ref="F35">IF(T_Saldo[[#This Row],[Divisa]]="USD",INDEX(T_USD_EUR[EURUSD],MATCH(T_Saldo[[#This Row],[Fecha]],T_USD_EUR[Fecha],1),0),1)</f>
        <v>1</v>
      </c>
      <c r="G35" t="str" cm="1">
        <f t="array" ref="G35">INDEX(T_Elementos[Divisa],MATCH(T_Saldo[[#This Row],[Producto]],T_Elementos[Producto],0),0)</f>
        <v>EUR</v>
      </c>
      <c r="H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8193.81</v>
      </c>
      <c r="J35" t="str">
        <f>T_Saldo[[#This Row],[Producto]] &amp; "-" &amp; DATE(YEAR(T_Saldo[[#This Row],[Fecha]]),MONTH(T_Saldo[[#This Row],[Fecha]]),DAY(T_Saldo[[#This Row],[Fecha]]))</f>
        <v>CC 2-43585</v>
      </c>
    </row>
    <row r="36" spans="1:10" x14ac:dyDescent="0.45">
      <c r="A36" s="15">
        <v>43585</v>
      </c>
      <c r="B36" t="s">
        <v>41</v>
      </c>
      <c r="C36">
        <f>T_Saldo[[#This Row],[Valor liquidativo]]*T_Saldo[[#This Row],[Participaciones]]</f>
        <v>0</v>
      </c>
      <c r="D36" s="11">
        <f>T_Saldo[[#This Row],[Valor liquidativo (Moneda Extranjera)]]/T_Saldo[[#This Row],[Cambio]]</f>
        <v>116.44295999999999</v>
      </c>
      <c r="E36" s="13">
        <f>IF(ISERROR(MATCH(T_Saldo[[#This Row],[Producto]],T_Stocks[Ticker],0)),1,INDEX(T_Stocks[Close],MATCH(T_Saldo[[#This Row],[ID - Product - Fecha]],T_Stocks[ID],1),1))</f>
        <v>130.6</v>
      </c>
      <c r="F36" cm="1">
        <f t="array" ref="F36">IF(T_Saldo[[#This Row],[Divisa]]="USD",INDEX(T_USD_EUR[EURUSD],MATCH(T_Saldo[[#This Row],[Fecha]],T_USD_EUR[Fecha],1),0),1)</f>
        <v>1.1215791834903546</v>
      </c>
      <c r="G36" t="str" cm="1">
        <f t="array" ref="G36">INDEX(T_Elementos[Divisa],MATCH(T_Saldo[[#This Row],[Producto]],T_Elementos[Producto],0),0)</f>
        <v>USD</v>
      </c>
      <c r="H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6" t="str">
        <f>T_Saldo[[#This Row],[Producto]] &amp; "-" &amp; DATE(YEAR(T_Saldo[[#This Row],[Fecha]]),MONTH(T_Saldo[[#This Row],[Fecha]]),DAY(T_Saldo[[#This Row],[Fecha]]))</f>
        <v>MSFT-43585</v>
      </c>
    </row>
    <row r="37" spans="1:10" x14ac:dyDescent="0.45">
      <c r="A37" s="15">
        <v>43585</v>
      </c>
      <c r="B37" t="s">
        <v>51</v>
      </c>
      <c r="C37">
        <f>T_Saldo[[#This Row],[Valor liquidativo]]*T_Saldo[[#This Row],[Participaciones]]</f>
        <v>0</v>
      </c>
      <c r="D37" s="11">
        <f>T_Saldo[[#This Row],[Valor liquidativo (Moneda Extranjera)]]/T_Saldo[[#This Row],[Cambio]]</f>
        <v>65.996231999999992</v>
      </c>
      <c r="E37" s="13">
        <f>IF(ISERROR(MATCH(T_Saldo[[#This Row],[Producto]],T_Stocks[Ticker],0)),1,INDEX(T_Stocks[Close],MATCH(T_Saldo[[#This Row],[ID - Product - Fecha]],T_Stocks[ID],1),1))</f>
        <v>74.02</v>
      </c>
      <c r="F37" cm="1">
        <f t="array" ref="F37">IF(T_Saldo[[#This Row],[Divisa]]="USD",INDEX(T_USD_EUR[EURUSD],MATCH(T_Saldo[[#This Row],[Fecha]],T_USD_EUR[Fecha],1),0),1)</f>
        <v>1.1215791834903546</v>
      </c>
      <c r="G37" t="str" cm="1">
        <f t="array" ref="G37">INDEX(T_Elementos[Divisa],MATCH(T_Saldo[[#This Row],[Producto]],T_Elementos[Producto],0),0)</f>
        <v>USD</v>
      </c>
      <c r="H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7" t="str">
        <f>T_Saldo[[#This Row],[Producto]] &amp; "-" &amp; DATE(YEAR(T_Saldo[[#This Row],[Fecha]]),MONTH(T_Saldo[[#This Row],[Fecha]]),DAY(T_Saldo[[#This Row],[Fecha]]))</f>
        <v>PRHSX-43585</v>
      </c>
    </row>
    <row r="38" spans="1:10" x14ac:dyDescent="0.45">
      <c r="A38" s="15">
        <v>43585</v>
      </c>
      <c r="B38" t="s">
        <v>32</v>
      </c>
      <c r="C38">
        <f>T_Saldo[[#This Row],[Valor liquidativo]]*T_Saldo[[#This Row],[Participaciones]]</f>
        <v>0</v>
      </c>
      <c r="D38" s="11">
        <f>T_Saldo[[#This Row],[Valor liquidativo (Moneda Extranjera)]]/T_Saldo[[#This Row],[Cambio]]</f>
        <v>65.291867999999994</v>
      </c>
      <c r="E38" s="13">
        <f>IF(ISERROR(MATCH(T_Saldo[[#This Row],[Producto]],T_Stocks[Ticker],0)),1,INDEX(T_Stocks[Close],MATCH(T_Saldo[[#This Row],[ID - Product - Fecha]],T_Stocks[ID],1),1))</f>
        <v>73.23</v>
      </c>
      <c r="F38" cm="1">
        <f t="array" ref="F38">IF(T_Saldo[[#This Row],[Divisa]]="USD",INDEX(T_USD_EUR[EURUSD],MATCH(T_Saldo[[#This Row],[Fecha]],T_USD_EUR[Fecha],1),0),1)</f>
        <v>1.1215791834903546</v>
      </c>
      <c r="G38" t="str" cm="1">
        <f t="array" ref="G38">INDEX(T_Elementos[Divisa],MATCH(T_Saldo[[#This Row],[Producto]],T_Elementos[Producto],0),0)</f>
        <v>USD</v>
      </c>
      <c r="H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8" t="str">
        <f>T_Saldo[[#This Row],[Producto]] &amp; "-" &amp; DATE(YEAR(T_Saldo[[#This Row],[Fecha]]),MONTH(T_Saldo[[#This Row],[Fecha]]),DAY(T_Saldo[[#This Row],[Fecha]]))</f>
        <v>VTSAX-43585</v>
      </c>
    </row>
    <row r="39" spans="1:10" x14ac:dyDescent="0.45">
      <c r="A39" s="15">
        <v>43616</v>
      </c>
      <c r="B39" t="s">
        <v>38</v>
      </c>
      <c r="C39">
        <f>T_Saldo[[#This Row],[Valor liquidativo]]*T_Saldo[[#This Row],[Participaciones]]</f>
        <v>3913.0380000000005</v>
      </c>
      <c r="D39" s="11">
        <f>T_Saldo[[#This Row],[Valor liquidativo (Moneda Extranjera)]]/T_Saldo[[#This Row],[Cambio]]</f>
        <v>39.130380000000002</v>
      </c>
      <c r="E39" s="13">
        <f>IF(ISERROR(MATCH(T_Saldo[[#This Row],[Producto]],T_Stocks[Ticker],0)),1,INDEX(T_Stocks[Close],MATCH(T_Saldo[[#This Row],[ID - Product - Fecha]],T_Stocks[ID],1),1))</f>
        <v>43.77</v>
      </c>
      <c r="F39" cm="1">
        <f t="array" ref="F39">IF(T_Saldo[[#This Row],[Divisa]]="USD",INDEX(T_USD_EUR[EURUSD],MATCH(T_Saldo[[#This Row],[Fecha]],T_USD_EUR[Fecha],1),0),1)</f>
        <v>1.1185682326621924</v>
      </c>
      <c r="G39" t="str" cm="1">
        <f t="array" ref="G39">INDEX(T_Elementos[Divisa],MATCH(T_Saldo[[#This Row],[Producto]],T_Elementos[Producto],0),0)</f>
        <v>USD</v>
      </c>
      <c r="H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9" t="str">
        <f>T_Saldo[[#This Row],[Producto]] &amp; "-" &amp; DATE(YEAR(T_Saldo[[#This Row],[Fecha]]),MONTH(T_Saldo[[#This Row],[Fecha]]),DAY(T_Saldo[[#This Row],[Fecha]]))</f>
        <v>AAPL-43616</v>
      </c>
    </row>
    <row r="40" spans="1:10" x14ac:dyDescent="0.45">
      <c r="A40" s="15">
        <v>43616</v>
      </c>
      <c r="B40" t="s">
        <v>43</v>
      </c>
      <c r="C40">
        <f>T_Saldo[[#This Row],[Valor liquidativo]]*T_Saldo[[#This Row],[Participaciones]]</f>
        <v>0</v>
      </c>
      <c r="D40" s="11">
        <f>T_Saldo[[#This Row],[Valor liquidativo (Moneda Extranjera)]]/T_Saldo[[#This Row],[Cambio]]</f>
        <v>250.42</v>
      </c>
      <c r="E40" s="13">
        <f>IF(ISERROR(MATCH(T_Saldo[[#This Row],[Producto]],T_Stocks[Ticker],0)),1,INDEX(T_Stocks[Close],MATCH(T_Saldo[[#This Row],[ID - Product - Fecha]],T_Stocks[ID],1),1))</f>
        <v>250.42</v>
      </c>
      <c r="F40" cm="1">
        <f t="array" ref="F40">IF(T_Saldo[[#This Row],[Divisa]]="USD",INDEX(T_USD_EUR[EURUSD],MATCH(T_Saldo[[#This Row],[Fecha]],T_USD_EUR[Fecha],1),0),1)</f>
        <v>1</v>
      </c>
      <c r="G40" t="str" cm="1">
        <f t="array" ref="G40">INDEX(T_Elementos[Divisa],MATCH(T_Saldo[[#This Row],[Producto]],T_Elementos[Producto],0),0)</f>
        <v>EUR</v>
      </c>
      <c r="H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0" t="str">
        <f>T_Saldo[[#This Row],[Producto]] &amp; "-" &amp; DATE(YEAR(T_Saldo[[#This Row],[Fecha]]),MONTH(T_Saldo[[#This Row],[Fecha]]),DAY(T_Saldo[[#This Row],[Fecha]]))</f>
        <v>Bonos-43616</v>
      </c>
    </row>
    <row r="41" spans="1:10" x14ac:dyDescent="0.45">
      <c r="A41" s="15">
        <v>43616</v>
      </c>
      <c r="B41" t="s">
        <v>155</v>
      </c>
      <c r="C41">
        <f>T_Saldo[[#This Row],[Valor liquidativo]]*T_Saldo[[#This Row],[Participaciones]]</f>
        <v>0</v>
      </c>
      <c r="D41" s="11">
        <f>T_Saldo[[#This Row],[Valor liquidativo (Moneda Extranjera)]]/T_Saldo[[#This Row],[Cambio]]</f>
        <v>7637.869976</v>
      </c>
      <c r="E41" s="13">
        <f>IF(ISERROR(MATCH(T_Saldo[[#This Row],[Producto]],T_Stocks[Ticker],0)),1,INDEX(T_Stocks[Close],MATCH(T_Saldo[[#This Row],[ID - Product - Fecha]],T_Stocks[ID],1),1))</f>
        <v>7637.869976</v>
      </c>
      <c r="F41" cm="1">
        <f t="array" ref="F41">IF(T_Saldo[[#This Row],[Divisa]]="USD",INDEX(T_USD_EUR[EURUSD],MATCH(T_Saldo[[#This Row],[Fecha]],T_USD_EUR[Fecha],1),0),1)</f>
        <v>1</v>
      </c>
      <c r="G41" t="str" cm="1">
        <f t="array" ref="G41">INDEX(T_Elementos[Divisa],MATCH(T_Saldo[[#This Row],[Producto]],T_Elementos[Producto],0),0)</f>
        <v>EUR</v>
      </c>
      <c r="H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1" t="str">
        <f>T_Saldo[[#This Row],[Producto]] &amp; "-" &amp; DATE(YEAR(T_Saldo[[#This Row],[Fecha]]),MONTH(T_Saldo[[#This Row],[Fecha]]),DAY(T_Saldo[[#This Row],[Fecha]]))</f>
        <v>BTCEUR-43616</v>
      </c>
    </row>
    <row r="42" spans="1:10" x14ac:dyDescent="0.45">
      <c r="A42" s="15">
        <v>43616</v>
      </c>
      <c r="B42" t="s">
        <v>46</v>
      </c>
      <c r="C42">
        <f>T_Saldo[[#This Row],[Valor liquidativo]]*T_Saldo[[#This Row],[Participaciones]]</f>
        <v>9166.1</v>
      </c>
      <c r="D42" s="11">
        <f>T_Saldo[[#This Row],[Valor liquidativo (Moneda Extranjera)]]/T_Saldo[[#This Row],[Cambio]]</f>
        <v>1</v>
      </c>
      <c r="E42" s="13">
        <f>IF(ISERROR(MATCH(T_Saldo[[#This Row],[Producto]],T_Stocks[Ticker],0)),1,INDEX(T_Stocks[Close],MATCH(T_Saldo[[#This Row],[ID - Product - Fecha]],T_Stocks[ID],1),1))</f>
        <v>1</v>
      </c>
      <c r="F42" cm="1">
        <f t="array" ref="F42">IF(T_Saldo[[#This Row],[Divisa]]="USD",INDEX(T_USD_EUR[EURUSD],MATCH(T_Saldo[[#This Row],[Fecha]],T_USD_EUR[Fecha],1),0),1)</f>
        <v>1</v>
      </c>
      <c r="G42" t="str" cm="1">
        <f t="array" ref="G42">INDEX(T_Elementos[Divisa],MATCH(T_Saldo[[#This Row],[Producto]],T_Elementos[Producto],0),0)</f>
        <v>EUR</v>
      </c>
      <c r="H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9166.1</v>
      </c>
      <c r="J42" t="str">
        <f>T_Saldo[[#This Row],[Producto]] &amp; "-" &amp; DATE(YEAR(T_Saldo[[#This Row],[Fecha]]),MONTH(T_Saldo[[#This Row],[Fecha]]),DAY(T_Saldo[[#This Row],[Fecha]]))</f>
        <v>CA 1-43616</v>
      </c>
    </row>
    <row r="43" spans="1:10" x14ac:dyDescent="0.45">
      <c r="A43" s="15">
        <v>43616</v>
      </c>
      <c r="B43" t="s">
        <v>10</v>
      </c>
      <c r="C43">
        <f>T_Saldo[[#This Row],[Valor liquidativo]]*T_Saldo[[#This Row],[Participaciones]]</f>
        <v>11056.29</v>
      </c>
      <c r="D43" s="11">
        <f>T_Saldo[[#This Row],[Valor liquidativo (Moneda Extranjera)]]/T_Saldo[[#This Row],[Cambio]]</f>
        <v>1</v>
      </c>
      <c r="E43" s="13">
        <f>IF(ISERROR(MATCH(T_Saldo[[#This Row],[Producto]],T_Stocks[Ticker],0)),1,INDEX(T_Stocks[Close],MATCH(T_Saldo[[#This Row],[ID - Product - Fecha]],T_Stocks[ID],1),1))</f>
        <v>1</v>
      </c>
      <c r="F43" cm="1">
        <f t="array" ref="F43">IF(T_Saldo[[#This Row],[Divisa]]="USD",INDEX(T_USD_EUR[EURUSD],MATCH(T_Saldo[[#This Row],[Fecha]],T_USD_EUR[Fecha],1),0),1)</f>
        <v>1</v>
      </c>
      <c r="G43" t="str" cm="1">
        <f t="array" ref="G43">INDEX(T_Elementos[Divisa],MATCH(T_Saldo[[#This Row],[Producto]],T_Elementos[Producto],0),0)</f>
        <v>EUR</v>
      </c>
      <c r="H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11056.29</v>
      </c>
      <c r="J43" t="str">
        <f>T_Saldo[[#This Row],[Producto]] &amp; "-" &amp; DATE(YEAR(T_Saldo[[#This Row],[Fecha]]),MONTH(T_Saldo[[#This Row],[Fecha]]),DAY(T_Saldo[[#This Row],[Fecha]]))</f>
        <v>CC 1-43616</v>
      </c>
    </row>
    <row r="44" spans="1:10" x14ac:dyDescent="0.45">
      <c r="A44" s="15">
        <v>43616</v>
      </c>
      <c r="B44" t="s">
        <v>49</v>
      </c>
      <c r="C44">
        <f>T_Saldo[[#This Row],[Valor liquidativo]]*T_Saldo[[#This Row],[Participaciones]]</f>
        <v>10370.220000000001</v>
      </c>
      <c r="D44" s="11">
        <f>T_Saldo[[#This Row],[Valor liquidativo (Moneda Extranjera)]]/T_Saldo[[#This Row],[Cambio]]</f>
        <v>1</v>
      </c>
      <c r="E44" s="13">
        <f>IF(ISERROR(MATCH(T_Saldo[[#This Row],[Producto]],T_Stocks[Ticker],0)),1,INDEX(T_Stocks[Close],MATCH(T_Saldo[[#This Row],[ID - Product - Fecha]],T_Stocks[ID],1),1))</f>
        <v>1</v>
      </c>
      <c r="F44" cm="1">
        <f t="array" ref="F44">IF(T_Saldo[[#This Row],[Divisa]]="USD",INDEX(T_USD_EUR[EURUSD],MATCH(T_Saldo[[#This Row],[Fecha]],T_USD_EUR[Fecha],1),0),1)</f>
        <v>1</v>
      </c>
      <c r="G44" t="str" cm="1">
        <f t="array" ref="G44">INDEX(T_Elementos[Divisa],MATCH(T_Saldo[[#This Row],[Producto]],T_Elementos[Producto],0),0)</f>
        <v>EUR</v>
      </c>
      <c r="H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10370.220000000001</v>
      </c>
      <c r="J44" t="str">
        <f>T_Saldo[[#This Row],[Producto]] &amp; "-" &amp; DATE(YEAR(T_Saldo[[#This Row],[Fecha]]),MONTH(T_Saldo[[#This Row],[Fecha]]),DAY(T_Saldo[[#This Row],[Fecha]]))</f>
        <v>CC 2-43616</v>
      </c>
    </row>
    <row r="45" spans="1:10" x14ac:dyDescent="0.45">
      <c r="A45" s="15">
        <v>43616</v>
      </c>
      <c r="B45" t="s">
        <v>41</v>
      </c>
      <c r="C45">
        <f>T_Saldo[[#This Row],[Valor liquidativo]]*T_Saldo[[#This Row],[Participaciones]]</f>
        <v>0</v>
      </c>
      <c r="D45" s="11">
        <f>T_Saldo[[#This Row],[Valor liquidativo (Moneda Extranjera)]]/T_Saldo[[#This Row],[Cambio]]</f>
        <v>110.56992000000001</v>
      </c>
      <c r="E45" s="13">
        <f>IF(ISERROR(MATCH(T_Saldo[[#This Row],[Producto]],T_Stocks[Ticker],0)),1,INDEX(T_Stocks[Close],MATCH(T_Saldo[[#This Row],[ID - Product - Fecha]],T_Stocks[ID],1),1))</f>
        <v>123.68</v>
      </c>
      <c r="F45" cm="1">
        <f t="array" ref="F45">IF(T_Saldo[[#This Row],[Divisa]]="USD",INDEX(T_USD_EUR[EURUSD],MATCH(T_Saldo[[#This Row],[Fecha]],T_USD_EUR[Fecha],1),0),1)</f>
        <v>1.1185682326621924</v>
      </c>
      <c r="G45" t="str" cm="1">
        <f t="array" ref="G45">INDEX(T_Elementos[Divisa],MATCH(T_Saldo[[#This Row],[Producto]],T_Elementos[Producto],0),0)</f>
        <v>USD</v>
      </c>
      <c r="H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5" t="str">
        <f>T_Saldo[[#This Row],[Producto]] &amp; "-" &amp; DATE(YEAR(T_Saldo[[#This Row],[Fecha]]),MONTH(T_Saldo[[#This Row],[Fecha]]),DAY(T_Saldo[[#This Row],[Fecha]]))</f>
        <v>MSFT-43616</v>
      </c>
    </row>
    <row r="46" spans="1:10" x14ac:dyDescent="0.45">
      <c r="A46" s="15">
        <v>43616</v>
      </c>
      <c r="B46" t="s">
        <v>51</v>
      </c>
      <c r="C46">
        <f>T_Saldo[[#This Row],[Valor liquidativo]]*T_Saldo[[#This Row],[Participaciones]]</f>
        <v>0</v>
      </c>
      <c r="D46" s="11">
        <f>T_Saldo[[#This Row],[Valor liquidativo (Moneda Extranjera)]]/T_Saldo[[#This Row],[Cambio]]</f>
        <v>64.797120000000007</v>
      </c>
      <c r="E46" s="13">
        <f>IF(ISERROR(MATCH(T_Saldo[[#This Row],[Producto]],T_Stocks[Ticker],0)),1,INDEX(T_Stocks[Close],MATCH(T_Saldo[[#This Row],[ID - Product - Fecha]],T_Stocks[ID],1),1))</f>
        <v>72.48</v>
      </c>
      <c r="F46" cm="1">
        <f t="array" ref="F46">IF(T_Saldo[[#This Row],[Divisa]]="USD",INDEX(T_USD_EUR[EURUSD],MATCH(T_Saldo[[#This Row],[Fecha]],T_USD_EUR[Fecha],1),0),1)</f>
        <v>1.1185682326621924</v>
      </c>
      <c r="G46" t="str" cm="1">
        <f t="array" ref="G46">INDEX(T_Elementos[Divisa],MATCH(T_Saldo[[#This Row],[Producto]],T_Elementos[Producto],0),0)</f>
        <v>USD</v>
      </c>
      <c r="H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6" t="str">
        <f>T_Saldo[[#This Row],[Producto]] &amp; "-" &amp; DATE(YEAR(T_Saldo[[#This Row],[Fecha]]),MONTH(T_Saldo[[#This Row],[Fecha]]),DAY(T_Saldo[[#This Row],[Fecha]]))</f>
        <v>PRHSX-43616</v>
      </c>
    </row>
    <row r="47" spans="1:10" x14ac:dyDescent="0.45">
      <c r="A47" s="15">
        <v>43616</v>
      </c>
      <c r="B47" t="s">
        <v>32</v>
      </c>
      <c r="C47">
        <f>T_Saldo[[#This Row],[Valor liquidativo]]*T_Saldo[[#This Row],[Participaciones]]</f>
        <v>0</v>
      </c>
      <c r="D47" s="11">
        <f>T_Saldo[[#This Row],[Valor liquidativo (Moneda Extranjera)]]/T_Saldo[[#This Row],[Cambio]]</f>
        <v>61.256879999999995</v>
      </c>
      <c r="E47" s="13">
        <f>IF(ISERROR(MATCH(T_Saldo[[#This Row],[Producto]],T_Stocks[Ticker],0)),1,INDEX(T_Stocks[Close],MATCH(T_Saldo[[#This Row],[ID - Product - Fecha]],T_Stocks[ID],1),1))</f>
        <v>68.52</v>
      </c>
      <c r="F47" cm="1">
        <f t="array" ref="F47">IF(T_Saldo[[#This Row],[Divisa]]="USD",INDEX(T_USD_EUR[EURUSD],MATCH(T_Saldo[[#This Row],[Fecha]],T_USD_EUR[Fecha],1),0),1)</f>
        <v>1.1185682326621924</v>
      </c>
      <c r="G47" t="str" cm="1">
        <f t="array" ref="G47">INDEX(T_Elementos[Divisa],MATCH(T_Saldo[[#This Row],[Producto]],T_Elementos[Producto],0),0)</f>
        <v>USD</v>
      </c>
      <c r="H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7" t="str">
        <f>T_Saldo[[#This Row],[Producto]] &amp; "-" &amp; DATE(YEAR(T_Saldo[[#This Row],[Fecha]]),MONTH(T_Saldo[[#This Row],[Fecha]]),DAY(T_Saldo[[#This Row],[Fecha]]))</f>
        <v>VTSAX-43616</v>
      </c>
    </row>
    <row r="48" spans="1:10" x14ac:dyDescent="0.45">
      <c r="A48" s="15">
        <v>43646</v>
      </c>
      <c r="B48" t="s">
        <v>38</v>
      </c>
      <c r="C48">
        <f>T_Saldo[[#This Row],[Valor liquidativo]]*T_Saldo[[#This Row],[Participaciones]]</f>
        <v>4351.2712000000001</v>
      </c>
      <c r="D48" s="11">
        <f>T_Saldo[[#This Row],[Valor liquidativo (Moneda Extranjera)]]/T_Saldo[[#This Row],[Cambio]]</f>
        <v>43.512712000000001</v>
      </c>
      <c r="E48" s="13">
        <f>IF(ISERROR(MATCH(T_Saldo[[#This Row],[Producto]],T_Stocks[Ticker],0)),1,INDEX(T_Stocks[Close],MATCH(T_Saldo[[#This Row],[ID - Product - Fecha]],T_Stocks[ID],1),1))</f>
        <v>49.48</v>
      </c>
      <c r="F48" cm="1">
        <f t="array" ref="F48">IF(T_Saldo[[#This Row],[Divisa]]="USD",INDEX(T_USD_EUR[EURUSD],MATCH(T_Saldo[[#This Row],[Fecha]],T_USD_EUR[Fecha],1),0),1)</f>
        <v>1.1371389583807141</v>
      </c>
      <c r="G48" t="str" cm="1">
        <f t="array" ref="G48">INDEX(T_Elementos[Divisa],MATCH(T_Saldo[[#This Row],[Producto]],T_Elementos[Producto],0),0)</f>
        <v>USD</v>
      </c>
      <c r="H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48" t="str">
        <f>T_Saldo[[#This Row],[Producto]] &amp; "-" &amp; DATE(YEAR(T_Saldo[[#This Row],[Fecha]]),MONTH(T_Saldo[[#This Row],[Fecha]]),DAY(T_Saldo[[#This Row],[Fecha]]))</f>
        <v>AAPL-43646</v>
      </c>
    </row>
    <row r="49" spans="1:10" x14ac:dyDescent="0.45">
      <c r="A49" s="15">
        <v>43646</v>
      </c>
      <c r="B49" t="s">
        <v>43</v>
      </c>
      <c r="C49">
        <f>T_Saldo[[#This Row],[Valor liquidativo]]*T_Saldo[[#This Row],[Participaciones]]</f>
        <v>0</v>
      </c>
      <c r="D49" s="11">
        <f>T_Saldo[[#This Row],[Valor liquidativo (Moneda Extranjera)]]/T_Saldo[[#This Row],[Cambio]]</f>
        <v>250.42</v>
      </c>
      <c r="E49" s="13">
        <f>IF(ISERROR(MATCH(T_Saldo[[#This Row],[Producto]],T_Stocks[Ticker],0)),1,INDEX(T_Stocks[Close],MATCH(T_Saldo[[#This Row],[ID - Product - Fecha]],T_Stocks[ID],1),1))</f>
        <v>250.42</v>
      </c>
      <c r="F49" cm="1">
        <f t="array" ref="F49">IF(T_Saldo[[#This Row],[Divisa]]="USD",INDEX(T_USD_EUR[EURUSD],MATCH(T_Saldo[[#This Row],[Fecha]],T_USD_EUR[Fecha],1),0),1)</f>
        <v>1</v>
      </c>
      <c r="G49" t="str" cm="1">
        <f t="array" ref="G49">INDEX(T_Elementos[Divisa],MATCH(T_Saldo[[#This Row],[Producto]],T_Elementos[Producto],0),0)</f>
        <v>EUR</v>
      </c>
      <c r="H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9" t="str">
        <f>T_Saldo[[#This Row],[Producto]] &amp; "-" &amp; DATE(YEAR(T_Saldo[[#This Row],[Fecha]]),MONTH(T_Saldo[[#This Row],[Fecha]]),DAY(T_Saldo[[#This Row],[Fecha]]))</f>
        <v>Bonos-43646</v>
      </c>
    </row>
    <row r="50" spans="1:10" x14ac:dyDescent="0.45">
      <c r="A50" s="15">
        <v>43646</v>
      </c>
      <c r="B50" t="s">
        <v>155</v>
      </c>
      <c r="C50">
        <f>T_Saldo[[#This Row],[Valor liquidativo]]*T_Saldo[[#This Row],[Participaciones]]</f>
        <v>0</v>
      </c>
      <c r="D50" s="11">
        <f>T_Saldo[[#This Row],[Valor liquidativo (Moneda Extranjera)]]/T_Saldo[[#This Row],[Cambio]]</f>
        <v>9475.8014820000008</v>
      </c>
      <c r="E50" s="13">
        <f>IF(ISERROR(MATCH(T_Saldo[[#This Row],[Producto]],T_Stocks[Ticker],0)),1,INDEX(T_Stocks[Close],MATCH(T_Saldo[[#This Row],[ID - Product - Fecha]],T_Stocks[ID],1),1))</f>
        <v>9475.8014820000008</v>
      </c>
      <c r="F50" cm="1">
        <f t="array" ref="F50">IF(T_Saldo[[#This Row],[Divisa]]="USD",INDEX(T_USD_EUR[EURUSD],MATCH(T_Saldo[[#This Row],[Fecha]],T_USD_EUR[Fecha],1),0),1)</f>
        <v>1</v>
      </c>
      <c r="G50" t="str" cm="1">
        <f t="array" ref="G50">INDEX(T_Elementos[Divisa],MATCH(T_Saldo[[#This Row],[Producto]],T_Elementos[Producto],0),0)</f>
        <v>EUR</v>
      </c>
      <c r="H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0" t="str">
        <f>T_Saldo[[#This Row],[Producto]] &amp; "-" &amp; DATE(YEAR(T_Saldo[[#This Row],[Fecha]]),MONTH(T_Saldo[[#This Row],[Fecha]]),DAY(T_Saldo[[#This Row],[Fecha]]))</f>
        <v>BTCEUR-43646</v>
      </c>
    </row>
    <row r="51" spans="1:10" x14ac:dyDescent="0.45">
      <c r="A51" s="15">
        <v>43646</v>
      </c>
      <c r="B51" t="s">
        <v>46</v>
      </c>
      <c r="C51">
        <f>T_Saldo[[#This Row],[Valor liquidativo]]*T_Saldo[[#This Row],[Participaciones]]</f>
        <v>8859.27</v>
      </c>
      <c r="D51" s="11">
        <f>T_Saldo[[#This Row],[Valor liquidativo (Moneda Extranjera)]]/T_Saldo[[#This Row],[Cambio]]</f>
        <v>1</v>
      </c>
      <c r="E51" s="13">
        <f>IF(ISERROR(MATCH(T_Saldo[[#This Row],[Producto]],T_Stocks[Ticker],0)),1,INDEX(T_Stocks[Close],MATCH(T_Saldo[[#This Row],[ID - Product - Fecha]],T_Stocks[ID],1),1))</f>
        <v>1</v>
      </c>
      <c r="F51" cm="1">
        <f t="array" ref="F51">IF(T_Saldo[[#This Row],[Divisa]]="USD",INDEX(T_USD_EUR[EURUSD],MATCH(T_Saldo[[#This Row],[Fecha]],T_USD_EUR[Fecha],1),0),1)</f>
        <v>1</v>
      </c>
      <c r="G51" t="str" cm="1">
        <f t="array" ref="G51">INDEX(T_Elementos[Divisa],MATCH(T_Saldo[[#This Row],[Producto]],T_Elementos[Producto],0),0)</f>
        <v>EUR</v>
      </c>
      <c r="H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8859.27</v>
      </c>
      <c r="J51" t="str">
        <f>T_Saldo[[#This Row],[Producto]] &amp; "-" &amp; DATE(YEAR(T_Saldo[[#This Row],[Fecha]]),MONTH(T_Saldo[[#This Row],[Fecha]]),DAY(T_Saldo[[#This Row],[Fecha]]))</f>
        <v>CA 1-43646</v>
      </c>
    </row>
    <row r="52" spans="1:10" x14ac:dyDescent="0.45">
      <c r="A52" s="15">
        <v>43646</v>
      </c>
      <c r="B52" t="s">
        <v>10</v>
      </c>
      <c r="C52">
        <f>T_Saldo[[#This Row],[Valor liquidativo]]*T_Saldo[[#This Row],[Participaciones]]</f>
        <v>10805.5</v>
      </c>
      <c r="D52" s="11">
        <f>T_Saldo[[#This Row],[Valor liquidativo (Moneda Extranjera)]]/T_Saldo[[#This Row],[Cambio]]</f>
        <v>1</v>
      </c>
      <c r="E52" s="13">
        <f>IF(ISERROR(MATCH(T_Saldo[[#This Row],[Producto]],T_Stocks[Ticker],0)),1,INDEX(T_Stocks[Close],MATCH(T_Saldo[[#This Row],[ID - Product - Fecha]],T_Stocks[ID],1),1))</f>
        <v>1</v>
      </c>
      <c r="F52" cm="1">
        <f t="array" ref="F52">IF(T_Saldo[[#This Row],[Divisa]]="USD",INDEX(T_USD_EUR[EURUSD],MATCH(T_Saldo[[#This Row],[Fecha]],T_USD_EUR[Fecha],1),0),1)</f>
        <v>1</v>
      </c>
      <c r="G52" t="str" cm="1">
        <f t="array" ref="G52">INDEX(T_Elementos[Divisa],MATCH(T_Saldo[[#This Row],[Producto]],T_Elementos[Producto],0),0)</f>
        <v>EUR</v>
      </c>
      <c r="H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10805.5</v>
      </c>
      <c r="J52" t="str">
        <f>T_Saldo[[#This Row],[Producto]] &amp; "-" &amp; DATE(YEAR(T_Saldo[[#This Row],[Fecha]]),MONTH(T_Saldo[[#This Row],[Fecha]]),DAY(T_Saldo[[#This Row],[Fecha]]))</f>
        <v>CC 1-43646</v>
      </c>
    </row>
    <row r="53" spans="1:10" x14ac:dyDescent="0.45">
      <c r="A53" s="15">
        <v>43646</v>
      </c>
      <c r="B53" t="s">
        <v>49</v>
      </c>
      <c r="C53">
        <f>T_Saldo[[#This Row],[Valor liquidativo]]*T_Saldo[[#This Row],[Participaciones]]</f>
        <v>10074.140000000001</v>
      </c>
      <c r="D53" s="11">
        <f>T_Saldo[[#This Row],[Valor liquidativo (Moneda Extranjera)]]/T_Saldo[[#This Row],[Cambio]]</f>
        <v>1</v>
      </c>
      <c r="E53" s="13">
        <f>IF(ISERROR(MATCH(T_Saldo[[#This Row],[Producto]],T_Stocks[Ticker],0)),1,INDEX(T_Stocks[Close],MATCH(T_Saldo[[#This Row],[ID - Product - Fecha]],T_Stocks[ID],1),1))</f>
        <v>1</v>
      </c>
      <c r="F53" cm="1">
        <f t="array" ref="F53">IF(T_Saldo[[#This Row],[Divisa]]="USD",INDEX(T_USD_EUR[EURUSD],MATCH(T_Saldo[[#This Row],[Fecha]],T_USD_EUR[Fecha],1),0),1)</f>
        <v>1</v>
      </c>
      <c r="G53" t="str" cm="1">
        <f t="array" ref="G53">INDEX(T_Elementos[Divisa],MATCH(T_Saldo[[#This Row],[Producto]],T_Elementos[Producto],0),0)</f>
        <v>EUR</v>
      </c>
      <c r="H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10074.140000000001</v>
      </c>
      <c r="J53" t="str">
        <f>T_Saldo[[#This Row],[Producto]] &amp; "-" &amp; DATE(YEAR(T_Saldo[[#This Row],[Fecha]]),MONTH(T_Saldo[[#This Row],[Fecha]]),DAY(T_Saldo[[#This Row],[Fecha]]))</f>
        <v>CC 2-43646</v>
      </c>
    </row>
    <row r="54" spans="1:10" x14ac:dyDescent="0.45">
      <c r="A54" s="15">
        <v>43646</v>
      </c>
      <c r="B54" t="s">
        <v>41</v>
      </c>
      <c r="C54">
        <f>T_Saldo[[#This Row],[Valor liquidativo]]*T_Saldo[[#This Row],[Participaciones]]</f>
        <v>0</v>
      </c>
      <c r="D54" s="11">
        <f>T_Saldo[[#This Row],[Valor liquidativo (Moneda Extranjera)]]/T_Saldo[[#This Row],[Cambio]]</f>
        <v>117.80442400000001</v>
      </c>
      <c r="E54" s="13">
        <f>IF(ISERROR(MATCH(T_Saldo[[#This Row],[Producto]],T_Stocks[Ticker],0)),1,INDEX(T_Stocks[Close],MATCH(T_Saldo[[#This Row],[ID - Product - Fecha]],T_Stocks[ID],1),1))</f>
        <v>133.96</v>
      </c>
      <c r="F54" cm="1">
        <f t="array" ref="F54">IF(T_Saldo[[#This Row],[Divisa]]="USD",INDEX(T_USD_EUR[EURUSD],MATCH(T_Saldo[[#This Row],[Fecha]],T_USD_EUR[Fecha],1),0),1)</f>
        <v>1.1371389583807141</v>
      </c>
      <c r="G54" t="str" cm="1">
        <f t="array" ref="G54">INDEX(T_Elementos[Divisa],MATCH(T_Saldo[[#This Row],[Producto]],T_Elementos[Producto],0),0)</f>
        <v>USD</v>
      </c>
      <c r="H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4" t="str">
        <f>T_Saldo[[#This Row],[Producto]] &amp; "-" &amp; DATE(YEAR(T_Saldo[[#This Row],[Fecha]]),MONTH(T_Saldo[[#This Row],[Fecha]]),DAY(T_Saldo[[#This Row],[Fecha]]))</f>
        <v>MSFT-43646</v>
      </c>
    </row>
    <row r="55" spans="1:10" x14ac:dyDescent="0.45">
      <c r="A55" s="15">
        <v>43646</v>
      </c>
      <c r="B55" t="s">
        <v>51</v>
      </c>
      <c r="C55">
        <f>T_Saldo[[#This Row],[Valor liquidativo]]*T_Saldo[[#This Row],[Participaciones]]</f>
        <v>0</v>
      </c>
      <c r="D55" s="11">
        <f>T_Saldo[[#This Row],[Valor liquidativo (Moneda Extranjera)]]/T_Saldo[[#This Row],[Cambio]]</f>
        <v>69.243955999999997</v>
      </c>
      <c r="E55" s="13">
        <f>IF(ISERROR(MATCH(T_Saldo[[#This Row],[Producto]],T_Stocks[Ticker],0)),1,INDEX(T_Stocks[Close],MATCH(T_Saldo[[#This Row],[ID - Product - Fecha]],T_Stocks[ID],1),1))</f>
        <v>78.739999999999995</v>
      </c>
      <c r="F55" cm="1">
        <f t="array" ref="F55">IF(T_Saldo[[#This Row],[Divisa]]="USD",INDEX(T_USD_EUR[EURUSD],MATCH(T_Saldo[[#This Row],[Fecha]],T_USD_EUR[Fecha],1),0),1)</f>
        <v>1.1371389583807141</v>
      </c>
      <c r="G55" t="str" cm="1">
        <f t="array" ref="G55">INDEX(T_Elementos[Divisa],MATCH(T_Saldo[[#This Row],[Producto]],T_Elementos[Producto],0),0)</f>
        <v>USD</v>
      </c>
      <c r="H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5" t="str">
        <f>T_Saldo[[#This Row],[Producto]] &amp; "-" &amp; DATE(YEAR(T_Saldo[[#This Row],[Fecha]]),MONTH(T_Saldo[[#This Row],[Fecha]]),DAY(T_Saldo[[#This Row],[Fecha]]))</f>
        <v>PRHSX-43646</v>
      </c>
    </row>
    <row r="56" spans="1:10" x14ac:dyDescent="0.45">
      <c r="A56" s="15">
        <v>43646</v>
      </c>
      <c r="B56" t="s">
        <v>32</v>
      </c>
      <c r="C56">
        <f>T_Saldo[[#This Row],[Valor liquidativo]]*T_Saldo[[#This Row],[Participaciones]]</f>
        <v>0</v>
      </c>
      <c r="D56" s="11">
        <f>T_Saldo[[#This Row],[Valor liquidativo (Moneda Extranjera)]]/T_Saldo[[#This Row],[Cambio]]</f>
        <v>64.231376000000012</v>
      </c>
      <c r="E56" s="13">
        <f>IF(ISERROR(MATCH(T_Saldo[[#This Row],[Producto]],T_Stocks[Ticker],0)),1,INDEX(T_Stocks[Close],MATCH(T_Saldo[[#This Row],[ID - Product - Fecha]],T_Stocks[ID],1),1))</f>
        <v>73.040000000000006</v>
      </c>
      <c r="F56" cm="1">
        <f t="array" ref="F56">IF(T_Saldo[[#This Row],[Divisa]]="USD",INDEX(T_USD_EUR[EURUSD],MATCH(T_Saldo[[#This Row],[Fecha]],T_USD_EUR[Fecha],1),0),1)</f>
        <v>1.1371389583807141</v>
      </c>
      <c r="G56" t="str" cm="1">
        <f t="array" ref="G56">INDEX(T_Elementos[Divisa],MATCH(T_Saldo[[#This Row],[Producto]],T_Elementos[Producto],0),0)</f>
        <v>USD</v>
      </c>
      <c r="H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6" t="str">
        <f>T_Saldo[[#This Row],[Producto]] &amp; "-" &amp; DATE(YEAR(T_Saldo[[#This Row],[Fecha]]),MONTH(T_Saldo[[#This Row],[Fecha]]),DAY(T_Saldo[[#This Row],[Fecha]]))</f>
        <v>VTSAX-43646</v>
      </c>
    </row>
    <row r="57" spans="1:10" x14ac:dyDescent="0.45">
      <c r="A57" s="15">
        <v>43677</v>
      </c>
      <c r="B57" t="s">
        <v>38</v>
      </c>
      <c r="C57">
        <f>T_Saldo[[#This Row],[Valor liquidativo]]*T_Saldo[[#This Row],[Participaciones]]</f>
        <v>4807.7801999999992</v>
      </c>
      <c r="D57" s="11">
        <f>T_Saldo[[#This Row],[Valor liquidativo (Moneda Extranjera)]]/T_Saldo[[#This Row],[Cambio]]</f>
        <v>48.077801999999991</v>
      </c>
      <c r="E57" s="13">
        <f>IF(ISERROR(MATCH(T_Saldo[[#This Row],[Producto]],T_Stocks[Ticker],0)),1,INDEX(T_Stocks[Close],MATCH(T_Saldo[[#This Row],[ID - Product - Fecha]],T_Stocks[ID],1),1))</f>
        <v>53.26</v>
      </c>
      <c r="F57" cm="1">
        <f t="array" ref="F57">IF(T_Saldo[[#This Row],[Divisa]]="USD",INDEX(T_USD_EUR[EURUSD],MATCH(T_Saldo[[#This Row],[Fecha]],T_USD_EUR[Fecha],1),0),1)</f>
        <v>1.1077877478675087</v>
      </c>
      <c r="G57" t="str" cm="1">
        <f t="array" ref="G57">INDEX(T_Elementos[Divisa],MATCH(T_Saldo[[#This Row],[Producto]],T_Elementos[Producto],0),0)</f>
        <v>USD</v>
      </c>
      <c r="H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7" t="str">
        <f>T_Saldo[[#This Row],[Producto]] &amp; "-" &amp; DATE(YEAR(T_Saldo[[#This Row],[Fecha]]),MONTH(T_Saldo[[#This Row],[Fecha]]),DAY(T_Saldo[[#This Row],[Fecha]]))</f>
        <v>AAPL-43677</v>
      </c>
    </row>
    <row r="58" spans="1:10" x14ac:dyDescent="0.45">
      <c r="A58" s="15">
        <v>43677</v>
      </c>
      <c r="B58" t="s">
        <v>43</v>
      </c>
      <c r="C58">
        <f>T_Saldo[[#This Row],[Valor liquidativo]]*T_Saldo[[#This Row],[Participaciones]]</f>
        <v>0</v>
      </c>
      <c r="D58" s="11">
        <f>T_Saldo[[#This Row],[Valor liquidativo (Moneda Extranjera)]]/T_Saldo[[#This Row],[Cambio]]</f>
        <v>250.42</v>
      </c>
      <c r="E58" s="13">
        <f>IF(ISERROR(MATCH(T_Saldo[[#This Row],[Producto]],T_Stocks[Ticker],0)),1,INDEX(T_Stocks[Close],MATCH(T_Saldo[[#This Row],[ID - Product - Fecha]],T_Stocks[ID],1),1))</f>
        <v>250.42</v>
      </c>
      <c r="F58" cm="1">
        <f t="array" ref="F58">IF(T_Saldo[[#This Row],[Divisa]]="USD",INDEX(T_USD_EUR[EURUSD],MATCH(T_Saldo[[#This Row],[Fecha]],T_USD_EUR[Fecha],1),0),1)</f>
        <v>1</v>
      </c>
      <c r="G58" t="str" cm="1">
        <f t="array" ref="G58">INDEX(T_Elementos[Divisa],MATCH(T_Saldo[[#This Row],[Producto]],T_Elementos[Producto],0),0)</f>
        <v>EUR</v>
      </c>
      <c r="H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8" t="str">
        <f>T_Saldo[[#This Row],[Producto]] &amp; "-" &amp; DATE(YEAR(T_Saldo[[#This Row],[Fecha]]),MONTH(T_Saldo[[#This Row],[Fecha]]),DAY(T_Saldo[[#This Row],[Fecha]]))</f>
        <v>Bonos-43677</v>
      </c>
    </row>
    <row r="59" spans="1:10" x14ac:dyDescent="0.45">
      <c r="A59" s="15">
        <v>43677</v>
      </c>
      <c r="B59" t="s">
        <v>155</v>
      </c>
      <c r="C59">
        <f>T_Saldo[[#This Row],[Valor liquidativo]]*T_Saldo[[#This Row],[Participaciones]]</f>
        <v>0</v>
      </c>
      <c r="D59" s="11">
        <f>T_Saldo[[#This Row],[Valor liquidativo (Moneda Extranjera)]]/T_Saldo[[#This Row],[Cambio]]</f>
        <v>9108.5462000000007</v>
      </c>
      <c r="E59" s="13">
        <f>IF(ISERROR(MATCH(T_Saldo[[#This Row],[Producto]],T_Stocks[Ticker],0)),1,INDEX(T_Stocks[Close],MATCH(T_Saldo[[#This Row],[ID - Product - Fecha]],T_Stocks[ID],1),1))</f>
        <v>9108.5462000000007</v>
      </c>
      <c r="F59" cm="1">
        <f t="array" ref="F59">IF(T_Saldo[[#This Row],[Divisa]]="USD",INDEX(T_USD_EUR[EURUSD],MATCH(T_Saldo[[#This Row],[Fecha]],T_USD_EUR[Fecha],1),0),1)</f>
        <v>1</v>
      </c>
      <c r="G59" t="str" cm="1">
        <f t="array" ref="G59">INDEX(T_Elementos[Divisa],MATCH(T_Saldo[[#This Row],[Producto]],T_Elementos[Producto],0),0)</f>
        <v>EUR</v>
      </c>
      <c r="H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9" t="str">
        <f>T_Saldo[[#This Row],[Producto]] &amp; "-" &amp; DATE(YEAR(T_Saldo[[#This Row],[Fecha]]),MONTH(T_Saldo[[#This Row],[Fecha]]),DAY(T_Saldo[[#This Row],[Fecha]]))</f>
        <v>BTCEUR-43677</v>
      </c>
    </row>
    <row r="60" spans="1:10" x14ac:dyDescent="0.45">
      <c r="A60" s="15">
        <v>43677</v>
      </c>
      <c r="B60" t="s">
        <v>46</v>
      </c>
      <c r="C60">
        <f>T_Saldo[[#This Row],[Valor liquidativo]]*T_Saldo[[#This Row],[Participaciones]]</f>
        <v>8859.27</v>
      </c>
      <c r="D60" s="11">
        <f>T_Saldo[[#This Row],[Valor liquidativo (Moneda Extranjera)]]/T_Saldo[[#This Row],[Cambio]]</f>
        <v>1</v>
      </c>
      <c r="E60" s="13">
        <f>IF(ISERROR(MATCH(T_Saldo[[#This Row],[Producto]],T_Stocks[Ticker],0)),1,INDEX(T_Stocks[Close],MATCH(T_Saldo[[#This Row],[ID - Product - Fecha]],T_Stocks[ID],1),1))</f>
        <v>1</v>
      </c>
      <c r="F60" cm="1">
        <f t="array" ref="F60">IF(T_Saldo[[#This Row],[Divisa]]="USD",INDEX(T_USD_EUR[EURUSD],MATCH(T_Saldo[[#This Row],[Fecha]],T_USD_EUR[Fecha],1),0),1)</f>
        <v>1</v>
      </c>
      <c r="G60" t="str" cm="1">
        <f t="array" ref="G60">INDEX(T_Elementos[Divisa],MATCH(T_Saldo[[#This Row],[Producto]],T_Elementos[Producto],0),0)</f>
        <v>EUR</v>
      </c>
      <c r="H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8859.27</v>
      </c>
      <c r="J60" t="str">
        <f>T_Saldo[[#This Row],[Producto]] &amp; "-" &amp; DATE(YEAR(T_Saldo[[#This Row],[Fecha]]),MONTH(T_Saldo[[#This Row],[Fecha]]),DAY(T_Saldo[[#This Row],[Fecha]]))</f>
        <v>CA 1-43677</v>
      </c>
    </row>
    <row r="61" spans="1:10" x14ac:dyDescent="0.45">
      <c r="A61" s="15">
        <v>43677</v>
      </c>
      <c r="B61" t="s">
        <v>10</v>
      </c>
      <c r="C61">
        <f>T_Saldo[[#This Row],[Valor liquidativo]]*T_Saldo[[#This Row],[Participaciones]]</f>
        <v>10805.5</v>
      </c>
      <c r="D61" s="11">
        <f>T_Saldo[[#This Row],[Valor liquidativo (Moneda Extranjera)]]/T_Saldo[[#This Row],[Cambio]]</f>
        <v>1</v>
      </c>
      <c r="E61" s="13">
        <f>IF(ISERROR(MATCH(T_Saldo[[#This Row],[Producto]],T_Stocks[Ticker],0)),1,INDEX(T_Stocks[Close],MATCH(T_Saldo[[#This Row],[ID - Product - Fecha]],T_Stocks[ID],1),1))</f>
        <v>1</v>
      </c>
      <c r="F61" cm="1">
        <f t="array" ref="F61">IF(T_Saldo[[#This Row],[Divisa]]="USD",INDEX(T_USD_EUR[EURUSD],MATCH(T_Saldo[[#This Row],[Fecha]],T_USD_EUR[Fecha],1),0),1)</f>
        <v>1</v>
      </c>
      <c r="G61" t="str" cm="1">
        <f t="array" ref="G61">INDEX(T_Elementos[Divisa],MATCH(T_Saldo[[#This Row],[Producto]],T_Elementos[Producto],0),0)</f>
        <v>EUR</v>
      </c>
      <c r="H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10805.5</v>
      </c>
      <c r="J61" t="str">
        <f>T_Saldo[[#This Row],[Producto]] &amp; "-" &amp; DATE(YEAR(T_Saldo[[#This Row],[Fecha]]),MONTH(T_Saldo[[#This Row],[Fecha]]),DAY(T_Saldo[[#This Row],[Fecha]]))</f>
        <v>CC 1-43677</v>
      </c>
    </row>
    <row r="62" spans="1:10" x14ac:dyDescent="0.45">
      <c r="A62" s="15">
        <v>43677</v>
      </c>
      <c r="B62" t="s">
        <v>49</v>
      </c>
      <c r="C62">
        <f>T_Saldo[[#This Row],[Valor liquidativo]]*T_Saldo[[#This Row],[Participaciones]]</f>
        <v>9887.7900000000009</v>
      </c>
      <c r="D62" s="11">
        <f>T_Saldo[[#This Row],[Valor liquidativo (Moneda Extranjera)]]/T_Saldo[[#This Row],[Cambio]]</f>
        <v>1</v>
      </c>
      <c r="E62" s="13">
        <f>IF(ISERROR(MATCH(T_Saldo[[#This Row],[Producto]],T_Stocks[Ticker],0)),1,INDEX(T_Stocks[Close],MATCH(T_Saldo[[#This Row],[ID - Product - Fecha]],T_Stocks[ID],1),1))</f>
        <v>1</v>
      </c>
      <c r="F62" cm="1">
        <f t="array" ref="F62">IF(T_Saldo[[#This Row],[Divisa]]="USD",INDEX(T_USD_EUR[EURUSD],MATCH(T_Saldo[[#This Row],[Fecha]],T_USD_EUR[Fecha],1),0),1)</f>
        <v>1</v>
      </c>
      <c r="G62" t="str" cm="1">
        <f t="array" ref="G62">INDEX(T_Elementos[Divisa],MATCH(T_Saldo[[#This Row],[Producto]],T_Elementos[Producto],0),0)</f>
        <v>EUR</v>
      </c>
      <c r="H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9887.7900000000009</v>
      </c>
      <c r="J62" t="str">
        <f>T_Saldo[[#This Row],[Producto]] &amp; "-" &amp; DATE(YEAR(T_Saldo[[#This Row],[Fecha]]),MONTH(T_Saldo[[#This Row],[Fecha]]),DAY(T_Saldo[[#This Row],[Fecha]]))</f>
        <v>CC 2-43677</v>
      </c>
    </row>
    <row r="63" spans="1:10" x14ac:dyDescent="0.45">
      <c r="A63" s="15">
        <v>43677</v>
      </c>
      <c r="B63" t="s">
        <v>41</v>
      </c>
      <c r="C63">
        <f>T_Saldo[[#This Row],[Valor liquidativo]]*T_Saldo[[#This Row],[Participaciones]]</f>
        <v>0</v>
      </c>
      <c r="D63" s="11">
        <f>T_Saldo[[#This Row],[Valor liquidativo (Moneda Extranjera)]]/T_Saldo[[#This Row],[Cambio]]</f>
        <v>123.010929</v>
      </c>
      <c r="E63" s="13">
        <f>IF(ISERROR(MATCH(T_Saldo[[#This Row],[Producto]],T_Stocks[Ticker],0)),1,INDEX(T_Stocks[Close],MATCH(T_Saldo[[#This Row],[ID - Product - Fecha]],T_Stocks[ID],1),1))</f>
        <v>136.27000000000001</v>
      </c>
      <c r="F63" cm="1">
        <f t="array" ref="F63">IF(T_Saldo[[#This Row],[Divisa]]="USD",INDEX(T_USD_EUR[EURUSD],MATCH(T_Saldo[[#This Row],[Fecha]],T_USD_EUR[Fecha],1),0),1)</f>
        <v>1.1077877478675087</v>
      </c>
      <c r="G63" t="str" cm="1">
        <f t="array" ref="G63">INDEX(T_Elementos[Divisa],MATCH(T_Saldo[[#This Row],[Producto]],T_Elementos[Producto],0),0)</f>
        <v>USD</v>
      </c>
      <c r="H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63" t="str">
        <f>T_Saldo[[#This Row],[Producto]] &amp; "-" &amp; DATE(YEAR(T_Saldo[[#This Row],[Fecha]]),MONTH(T_Saldo[[#This Row],[Fecha]]),DAY(T_Saldo[[#This Row],[Fecha]]))</f>
        <v>MSFT-43677</v>
      </c>
    </row>
    <row r="64" spans="1:10" x14ac:dyDescent="0.45">
      <c r="A64" s="15">
        <v>43677</v>
      </c>
      <c r="B64" t="s">
        <v>51</v>
      </c>
      <c r="C64">
        <f>T_Saldo[[#This Row],[Valor liquidativo]]*T_Saldo[[#This Row],[Participaciones]]</f>
        <v>0</v>
      </c>
      <c r="D64" s="11">
        <f>T_Saldo[[#This Row],[Valor liquidativo (Moneda Extranjera)]]/T_Saldo[[#This Row],[Cambio]]</f>
        <v>70.166871</v>
      </c>
      <c r="E64" s="13">
        <f>IF(ISERROR(MATCH(T_Saldo[[#This Row],[Producto]],T_Stocks[Ticker],0)),1,INDEX(T_Stocks[Close],MATCH(T_Saldo[[#This Row],[ID - Product - Fecha]],T_Stocks[ID],1),1))</f>
        <v>77.73</v>
      </c>
      <c r="F64" cm="1">
        <f t="array" ref="F64">IF(T_Saldo[[#This Row],[Divisa]]="USD",INDEX(T_USD_EUR[EURUSD],MATCH(T_Saldo[[#This Row],[Fecha]],T_USD_EUR[Fecha],1),0),1)</f>
        <v>1.1077877478675087</v>
      </c>
      <c r="G64" t="str" cm="1">
        <f t="array" ref="G64">INDEX(T_Elementos[Divisa],MATCH(T_Saldo[[#This Row],[Producto]],T_Elementos[Producto],0),0)</f>
        <v>USD</v>
      </c>
      <c r="H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64" t="str">
        <f>T_Saldo[[#This Row],[Producto]] &amp; "-" &amp; DATE(YEAR(T_Saldo[[#This Row],[Fecha]]),MONTH(T_Saldo[[#This Row],[Fecha]]),DAY(T_Saldo[[#This Row],[Fecha]]))</f>
        <v>PRHSX-43677</v>
      </c>
    </row>
    <row r="65" spans="1:10" x14ac:dyDescent="0.45">
      <c r="A65" s="15">
        <v>43677</v>
      </c>
      <c r="B65" t="s">
        <v>32</v>
      </c>
      <c r="C65">
        <f>T_Saldo[[#This Row],[Valor liquidativo]]*T_Saldo[[#This Row],[Participaciones]]</f>
        <v>0</v>
      </c>
      <c r="D65" s="11">
        <f>T_Saldo[[#This Row],[Valor liquidativo (Moneda Extranjera)]]/T_Saldo[[#This Row],[Cambio]]</f>
        <v>66.881043000000005</v>
      </c>
      <c r="E65" s="13">
        <f>IF(ISERROR(MATCH(T_Saldo[[#This Row],[Producto]],T_Stocks[Ticker],0)),1,INDEX(T_Stocks[Close],MATCH(T_Saldo[[#This Row],[ID - Product - Fecha]],T_Stocks[ID],1),1))</f>
        <v>74.09</v>
      </c>
      <c r="F65" cm="1">
        <f t="array" ref="F65">IF(T_Saldo[[#This Row],[Divisa]]="USD",INDEX(T_USD_EUR[EURUSD],MATCH(T_Saldo[[#This Row],[Fecha]],T_USD_EUR[Fecha],1),0),1)</f>
        <v>1.1077877478675087</v>
      </c>
      <c r="G65" t="str" cm="1">
        <f t="array" ref="G65">INDEX(T_Elementos[Divisa],MATCH(T_Saldo[[#This Row],[Producto]],T_Elementos[Producto],0),0)</f>
        <v>USD</v>
      </c>
      <c r="H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65" t="str">
        <f>T_Saldo[[#This Row],[Producto]] &amp; "-" &amp; DATE(YEAR(T_Saldo[[#This Row],[Fecha]]),MONTH(T_Saldo[[#This Row],[Fecha]]),DAY(T_Saldo[[#This Row],[Fecha]]))</f>
        <v>VTSAX-43677</v>
      </c>
    </row>
    <row r="66" spans="1:10" x14ac:dyDescent="0.45">
      <c r="A66" s="15">
        <v>43708</v>
      </c>
      <c r="B66" t="s">
        <v>38</v>
      </c>
      <c r="C66">
        <f>T_Saldo[[#This Row],[Valor liquidativo]]*T_Saldo[[#This Row],[Participaciones]]</f>
        <v>4747.7242999999999</v>
      </c>
      <c r="D66" s="11">
        <f>T_Saldo[[#This Row],[Valor liquidativo (Moneda Extranjera)]]/T_Saldo[[#This Row],[Cambio]]</f>
        <v>47.477242999999994</v>
      </c>
      <c r="E66" s="13">
        <f>IF(ISERROR(MATCH(T_Saldo[[#This Row],[Producto]],T_Stocks[Ticker],0)),1,INDEX(T_Stocks[Close],MATCH(T_Saldo[[#This Row],[ID - Product - Fecha]],T_Stocks[ID],1),1))</f>
        <v>52.19</v>
      </c>
      <c r="F66" cm="1">
        <f t="array" ref="F66">IF(T_Saldo[[#This Row],[Divisa]]="USD",INDEX(T_USD_EUR[EURUSD],MATCH(T_Saldo[[#This Row],[Fecha]],T_USD_EUR[Fecha],1),0),1)</f>
        <v>1.0992634934593823</v>
      </c>
      <c r="G66" t="str" cm="1">
        <f t="array" ref="G66">INDEX(T_Elementos[Divisa],MATCH(T_Saldo[[#This Row],[Producto]],T_Elementos[Producto],0),0)</f>
        <v>USD</v>
      </c>
      <c r="H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6" t="str">
        <f>T_Saldo[[#This Row],[Producto]] &amp; "-" &amp; DATE(YEAR(T_Saldo[[#This Row],[Fecha]]),MONTH(T_Saldo[[#This Row],[Fecha]]),DAY(T_Saldo[[#This Row],[Fecha]]))</f>
        <v>AAPL-43708</v>
      </c>
    </row>
    <row r="67" spans="1:10" x14ac:dyDescent="0.45">
      <c r="A67" s="15">
        <v>43708</v>
      </c>
      <c r="B67" t="s">
        <v>43</v>
      </c>
      <c r="C67">
        <f>T_Saldo[[#This Row],[Valor liquidativo]]*T_Saldo[[#This Row],[Participaciones]]</f>
        <v>0</v>
      </c>
      <c r="D67" s="11">
        <f>T_Saldo[[#This Row],[Valor liquidativo (Moneda Extranjera)]]/T_Saldo[[#This Row],[Cambio]]</f>
        <v>250.42</v>
      </c>
      <c r="E67" s="13">
        <f>IF(ISERROR(MATCH(T_Saldo[[#This Row],[Producto]],T_Stocks[Ticker],0)),1,INDEX(T_Stocks[Close],MATCH(T_Saldo[[#This Row],[ID - Product - Fecha]],T_Stocks[ID],1),1))</f>
        <v>250.42</v>
      </c>
      <c r="F67" cm="1">
        <f t="array" ref="F67">IF(T_Saldo[[#This Row],[Divisa]]="USD",INDEX(T_USD_EUR[EURUSD],MATCH(T_Saldo[[#This Row],[Fecha]],T_USD_EUR[Fecha],1),0),1)</f>
        <v>1</v>
      </c>
      <c r="G67" t="str" cm="1">
        <f t="array" ref="G67">INDEX(T_Elementos[Divisa],MATCH(T_Saldo[[#This Row],[Producto]],T_Elementos[Producto],0),0)</f>
        <v>EUR</v>
      </c>
      <c r="H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67" t="str">
        <f>T_Saldo[[#This Row],[Producto]] &amp; "-" &amp; DATE(YEAR(T_Saldo[[#This Row],[Fecha]]),MONTH(T_Saldo[[#This Row],[Fecha]]),DAY(T_Saldo[[#This Row],[Fecha]]))</f>
        <v>Bonos-43708</v>
      </c>
    </row>
    <row r="68" spans="1:10" x14ac:dyDescent="0.45">
      <c r="A68" s="15">
        <v>43708</v>
      </c>
      <c r="B68" t="s">
        <v>155</v>
      </c>
      <c r="C68">
        <f>T_Saldo[[#This Row],[Valor liquidativo]]*T_Saldo[[#This Row],[Participaciones]]</f>
        <v>0</v>
      </c>
      <c r="D68" s="11">
        <f>T_Saldo[[#This Row],[Valor liquidativo (Moneda Extranjera)]]/T_Saldo[[#This Row],[Cambio]]</f>
        <v>8735.0702020000008</v>
      </c>
      <c r="E68" s="13">
        <f>IF(ISERROR(MATCH(T_Saldo[[#This Row],[Producto]],T_Stocks[Ticker],0)),1,INDEX(T_Stocks[Close],MATCH(T_Saldo[[#This Row],[ID - Product - Fecha]],T_Stocks[ID],1),1))</f>
        <v>8735.0702020000008</v>
      </c>
      <c r="F68" cm="1">
        <f t="array" ref="F68">IF(T_Saldo[[#This Row],[Divisa]]="USD",INDEX(T_USD_EUR[EURUSD],MATCH(T_Saldo[[#This Row],[Fecha]],T_USD_EUR[Fecha],1),0),1)</f>
        <v>1</v>
      </c>
      <c r="G68" t="str" cm="1">
        <f t="array" ref="G68">INDEX(T_Elementos[Divisa],MATCH(T_Saldo[[#This Row],[Producto]],T_Elementos[Producto],0),0)</f>
        <v>EUR</v>
      </c>
      <c r="H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68" t="str">
        <f>T_Saldo[[#This Row],[Producto]] &amp; "-" &amp; DATE(YEAR(T_Saldo[[#This Row],[Fecha]]),MONTH(T_Saldo[[#This Row],[Fecha]]),DAY(T_Saldo[[#This Row],[Fecha]]))</f>
        <v>BTCEUR-43708</v>
      </c>
    </row>
    <row r="69" spans="1:10" x14ac:dyDescent="0.45">
      <c r="A69" s="15">
        <v>43708</v>
      </c>
      <c r="B69" t="s">
        <v>46</v>
      </c>
      <c r="C69">
        <f>T_Saldo[[#This Row],[Valor liquidativo]]*T_Saldo[[#This Row],[Participaciones]]</f>
        <v>8629.4</v>
      </c>
      <c r="D69" s="11">
        <f>T_Saldo[[#This Row],[Valor liquidativo (Moneda Extranjera)]]/T_Saldo[[#This Row],[Cambio]]</f>
        <v>1</v>
      </c>
      <c r="E69" s="13">
        <f>IF(ISERROR(MATCH(T_Saldo[[#This Row],[Producto]],T_Stocks[Ticker],0)),1,INDEX(T_Stocks[Close],MATCH(T_Saldo[[#This Row],[ID - Product - Fecha]],T_Stocks[ID],1),1))</f>
        <v>1</v>
      </c>
      <c r="F69" cm="1">
        <f t="array" ref="F69">IF(T_Saldo[[#This Row],[Divisa]]="USD",INDEX(T_USD_EUR[EURUSD],MATCH(T_Saldo[[#This Row],[Fecha]],T_USD_EUR[Fecha],1),0),1)</f>
        <v>1</v>
      </c>
      <c r="G69" t="str" cm="1">
        <f t="array" ref="G69">INDEX(T_Elementos[Divisa],MATCH(T_Saldo[[#This Row],[Producto]],T_Elementos[Producto],0),0)</f>
        <v>EUR</v>
      </c>
      <c r="H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8629.4</v>
      </c>
      <c r="J69" t="str">
        <f>T_Saldo[[#This Row],[Producto]] &amp; "-" &amp; DATE(YEAR(T_Saldo[[#This Row],[Fecha]]),MONTH(T_Saldo[[#This Row],[Fecha]]),DAY(T_Saldo[[#This Row],[Fecha]]))</f>
        <v>CA 1-43708</v>
      </c>
    </row>
    <row r="70" spans="1:10" x14ac:dyDescent="0.45">
      <c r="A70" s="15">
        <v>43708</v>
      </c>
      <c r="B70" t="s">
        <v>10</v>
      </c>
      <c r="C70">
        <f>T_Saldo[[#This Row],[Valor liquidativo]]*T_Saldo[[#This Row],[Participaciones]]</f>
        <v>12926.2</v>
      </c>
      <c r="D70" s="11">
        <f>T_Saldo[[#This Row],[Valor liquidativo (Moneda Extranjera)]]/T_Saldo[[#This Row],[Cambio]]</f>
        <v>1</v>
      </c>
      <c r="E70" s="13">
        <f>IF(ISERROR(MATCH(T_Saldo[[#This Row],[Producto]],T_Stocks[Ticker],0)),1,INDEX(T_Stocks[Close],MATCH(T_Saldo[[#This Row],[ID - Product - Fecha]],T_Stocks[ID],1),1))</f>
        <v>1</v>
      </c>
      <c r="F70" cm="1">
        <f t="array" ref="F70">IF(T_Saldo[[#This Row],[Divisa]]="USD",INDEX(T_USD_EUR[EURUSD],MATCH(T_Saldo[[#This Row],[Fecha]],T_USD_EUR[Fecha],1),0),1)</f>
        <v>1</v>
      </c>
      <c r="G70" t="str" cm="1">
        <f t="array" ref="G70">INDEX(T_Elementos[Divisa],MATCH(T_Saldo[[#This Row],[Producto]],T_Elementos[Producto],0),0)</f>
        <v>EUR</v>
      </c>
      <c r="H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12926.2</v>
      </c>
      <c r="J70" t="str">
        <f>T_Saldo[[#This Row],[Producto]] &amp; "-" &amp; DATE(YEAR(T_Saldo[[#This Row],[Fecha]]),MONTH(T_Saldo[[#This Row],[Fecha]]),DAY(T_Saldo[[#This Row],[Fecha]]))</f>
        <v>CC 1-43708</v>
      </c>
    </row>
    <row r="71" spans="1:10" x14ac:dyDescent="0.45">
      <c r="A71" s="15">
        <v>43708</v>
      </c>
      <c r="B71" t="s">
        <v>49</v>
      </c>
      <c r="C71">
        <f>T_Saldo[[#This Row],[Valor liquidativo]]*T_Saldo[[#This Row],[Participaciones]]</f>
        <v>9766.510000000002</v>
      </c>
      <c r="D71" s="11">
        <f>T_Saldo[[#This Row],[Valor liquidativo (Moneda Extranjera)]]/T_Saldo[[#This Row],[Cambio]]</f>
        <v>1</v>
      </c>
      <c r="E71" s="13">
        <f>IF(ISERROR(MATCH(T_Saldo[[#This Row],[Producto]],T_Stocks[Ticker],0)),1,INDEX(T_Stocks[Close],MATCH(T_Saldo[[#This Row],[ID - Product - Fecha]],T_Stocks[ID],1),1))</f>
        <v>1</v>
      </c>
      <c r="F71" cm="1">
        <f t="array" ref="F71">IF(T_Saldo[[#This Row],[Divisa]]="USD",INDEX(T_USD_EUR[EURUSD],MATCH(T_Saldo[[#This Row],[Fecha]],T_USD_EUR[Fecha],1),0),1)</f>
        <v>1</v>
      </c>
      <c r="G71" t="str" cm="1">
        <f t="array" ref="G71">INDEX(T_Elementos[Divisa],MATCH(T_Saldo[[#This Row],[Producto]],T_Elementos[Producto],0),0)</f>
        <v>EUR</v>
      </c>
      <c r="H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9766.510000000002</v>
      </c>
      <c r="J71" t="str">
        <f>T_Saldo[[#This Row],[Producto]] &amp; "-" &amp; DATE(YEAR(T_Saldo[[#This Row],[Fecha]]),MONTH(T_Saldo[[#This Row],[Fecha]]),DAY(T_Saldo[[#This Row],[Fecha]]))</f>
        <v>CC 2-43708</v>
      </c>
    </row>
    <row r="72" spans="1:10" x14ac:dyDescent="0.45">
      <c r="A72" s="15">
        <v>43708</v>
      </c>
      <c r="B72" t="s">
        <v>41</v>
      </c>
      <c r="C72">
        <f>T_Saldo[[#This Row],[Valor liquidativo]]*T_Saldo[[#This Row],[Participaciones]]</f>
        <v>0</v>
      </c>
      <c r="D72" s="11">
        <f>T_Saldo[[#This Row],[Valor liquidativo (Moneda Extranjera)]]/T_Saldo[[#This Row],[Cambio]]</f>
        <v>125.411242</v>
      </c>
      <c r="E72" s="13">
        <f>IF(ISERROR(MATCH(T_Saldo[[#This Row],[Producto]],T_Stocks[Ticker],0)),1,INDEX(T_Stocks[Close],MATCH(T_Saldo[[#This Row],[ID - Product - Fecha]],T_Stocks[ID],1),1))</f>
        <v>137.86000000000001</v>
      </c>
      <c r="F72" cm="1">
        <f t="array" ref="F72">IF(T_Saldo[[#This Row],[Divisa]]="USD",INDEX(T_USD_EUR[EURUSD],MATCH(T_Saldo[[#This Row],[Fecha]],T_USD_EUR[Fecha],1),0),1)</f>
        <v>1.0992634934593823</v>
      </c>
      <c r="G72" t="str" cm="1">
        <f t="array" ref="G72">INDEX(T_Elementos[Divisa],MATCH(T_Saldo[[#This Row],[Producto]],T_Elementos[Producto],0),0)</f>
        <v>USD</v>
      </c>
      <c r="H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72" t="str">
        <f>T_Saldo[[#This Row],[Producto]] &amp; "-" &amp; DATE(YEAR(T_Saldo[[#This Row],[Fecha]]),MONTH(T_Saldo[[#This Row],[Fecha]]),DAY(T_Saldo[[#This Row],[Fecha]]))</f>
        <v>MSFT-43708</v>
      </c>
    </row>
    <row r="73" spans="1:10" x14ac:dyDescent="0.45">
      <c r="A73" s="15">
        <v>43708</v>
      </c>
      <c r="B73" t="s">
        <v>51</v>
      </c>
      <c r="C73">
        <f>T_Saldo[[#This Row],[Valor liquidativo]]*T_Saldo[[#This Row],[Participaciones]]</f>
        <v>0</v>
      </c>
      <c r="D73" s="11">
        <f>T_Saldo[[#This Row],[Valor liquidativo (Moneda Extranjera)]]/T_Saldo[[#This Row],[Cambio]]</f>
        <v>68.673252999999988</v>
      </c>
      <c r="E73" s="13">
        <f>IF(ISERROR(MATCH(T_Saldo[[#This Row],[Producto]],T_Stocks[Ticker],0)),1,INDEX(T_Stocks[Close],MATCH(T_Saldo[[#This Row],[ID - Product - Fecha]],T_Stocks[ID],1),1))</f>
        <v>75.489999999999995</v>
      </c>
      <c r="F73" cm="1">
        <f t="array" ref="F73">IF(T_Saldo[[#This Row],[Divisa]]="USD",INDEX(T_USD_EUR[EURUSD],MATCH(T_Saldo[[#This Row],[Fecha]],T_USD_EUR[Fecha],1),0),1)</f>
        <v>1.0992634934593823</v>
      </c>
      <c r="G73" t="str" cm="1">
        <f t="array" ref="G73">INDEX(T_Elementos[Divisa],MATCH(T_Saldo[[#This Row],[Producto]],T_Elementos[Producto],0),0)</f>
        <v>USD</v>
      </c>
      <c r="H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73" t="str">
        <f>T_Saldo[[#This Row],[Producto]] &amp; "-" &amp; DATE(YEAR(T_Saldo[[#This Row],[Fecha]]),MONTH(T_Saldo[[#This Row],[Fecha]]),DAY(T_Saldo[[#This Row],[Fecha]]))</f>
        <v>PRHSX-43708</v>
      </c>
    </row>
    <row r="74" spans="1:10" x14ac:dyDescent="0.45">
      <c r="A74" s="15">
        <v>43708</v>
      </c>
      <c r="B74" t="s">
        <v>32</v>
      </c>
      <c r="C74">
        <f>T_Saldo[[#This Row],[Valor liquidativo]]*T_Saldo[[#This Row],[Participaciones]]</f>
        <v>0</v>
      </c>
      <c r="D74" s="11">
        <f>T_Saldo[[#This Row],[Valor liquidativo (Moneda Extranjera)]]/T_Saldo[[#This Row],[Cambio]]</f>
        <v>66.044219999999981</v>
      </c>
      <c r="E74" s="13">
        <f>IF(ISERROR(MATCH(T_Saldo[[#This Row],[Producto]],T_Stocks[Ticker],0)),1,INDEX(T_Stocks[Close],MATCH(T_Saldo[[#This Row],[ID - Product - Fecha]],T_Stocks[ID],1),1))</f>
        <v>72.599999999999994</v>
      </c>
      <c r="F74" cm="1">
        <f t="array" ref="F74">IF(T_Saldo[[#This Row],[Divisa]]="USD",INDEX(T_USD_EUR[EURUSD],MATCH(T_Saldo[[#This Row],[Fecha]],T_USD_EUR[Fecha],1),0),1)</f>
        <v>1.0992634934593823</v>
      </c>
      <c r="G74" t="str" cm="1">
        <f t="array" ref="G74">INDEX(T_Elementos[Divisa],MATCH(T_Saldo[[#This Row],[Producto]],T_Elementos[Producto],0),0)</f>
        <v>USD</v>
      </c>
      <c r="H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74" t="str">
        <f>T_Saldo[[#This Row],[Producto]] &amp; "-" &amp; DATE(YEAR(T_Saldo[[#This Row],[Fecha]]),MONTH(T_Saldo[[#This Row],[Fecha]]),DAY(T_Saldo[[#This Row],[Fecha]]))</f>
        <v>VTSAX-43708</v>
      </c>
    </row>
    <row r="75" spans="1:10" x14ac:dyDescent="0.45">
      <c r="A75" s="15">
        <v>43738</v>
      </c>
      <c r="B75" t="s">
        <v>38</v>
      </c>
      <c r="C75">
        <f>T_Saldo[[#This Row],[Valor liquidativo]]*T_Saldo[[#This Row],[Participaciones]]</f>
        <v>5135.9627</v>
      </c>
      <c r="D75" s="11">
        <f>T_Saldo[[#This Row],[Valor liquidativo (Moneda Extranjera)]]/T_Saldo[[#This Row],[Cambio]]</f>
        <v>51.359627000000003</v>
      </c>
      <c r="E75" s="13">
        <f>IF(ISERROR(MATCH(T_Saldo[[#This Row],[Producto]],T_Stocks[Ticker],0)),1,INDEX(T_Stocks[Close],MATCH(T_Saldo[[#This Row],[ID - Product - Fecha]],T_Stocks[ID],1),1))</f>
        <v>55.99</v>
      </c>
      <c r="F75" cm="1">
        <f t="array" ref="F75">IF(T_Saldo[[#This Row],[Divisa]]="USD",INDEX(T_USD_EUR[EURUSD],MATCH(T_Saldo[[#This Row],[Fecha]],T_USD_EUR[Fecha],1),0),1)</f>
        <v>1.0901558922925978</v>
      </c>
      <c r="G75" t="str" cm="1">
        <f t="array" ref="G75">INDEX(T_Elementos[Divisa],MATCH(T_Saldo[[#This Row],[Producto]],T_Elementos[Producto],0),0)</f>
        <v>USD</v>
      </c>
      <c r="H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75" t="str">
        <f>T_Saldo[[#This Row],[Producto]] &amp; "-" &amp; DATE(YEAR(T_Saldo[[#This Row],[Fecha]]),MONTH(T_Saldo[[#This Row],[Fecha]]),DAY(T_Saldo[[#This Row],[Fecha]]))</f>
        <v>AAPL-43738</v>
      </c>
    </row>
    <row r="76" spans="1:10" x14ac:dyDescent="0.45">
      <c r="A76" s="15">
        <v>43738</v>
      </c>
      <c r="B76" t="s">
        <v>43</v>
      </c>
      <c r="C76">
        <f>T_Saldo[[#This Row],[Valor liquidativo]]*T_Saldo[[#This Row],[Participaciones]]</f>
        <v>0</v>
      </c>
      <c r="D76" s="11">
        <f>T_Saldo[[#This Row],[Valor liquidativo (Moneda Extranjera)]]/T_Saldo[[#This Row],[Cambio]]</f>
        <v>250.42</v>
      </c>
      <c r="E76" s="13">
        <f>IF(ISERROR(MATCH(T_Saldo[[#This Row],[Producto]],T_Stocks[Ticker],0)),1,INDEX(T_Stocks[Close],MATCH(T_Saldo[[#This Row],[ID - Product - Fecha]],T_Stocks[ID],1),1))</f>
        <v>250.42</v>
      </c>
      <c r="F76" cm="1">
        <f t="array" ref="F76">IF(T_Saldo[[#This Row],[Divisa]]="USD",INDEX(T_USD_EUR[EURUSD],MATCH(T_Saldo[[#This Row],[Fecha]],T_USD_EUR[Fecha],1),0),1)</f>
        <v>1</v>
      </c>
      <c r="G76" t="str" cm="1">
        <f t="array" ref="G76">INDEX(T_Elementos[Divisa],MATCH(T_Saldo[[#This Row],[Producto]],T_Elementos[Producto],0),0)</f>
        <v>EUR</v>
      </c>
      <c r="H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76" t="str">
        <f>T_Saldo[[#This Row],[Producto]] &amp; "-" &amp; DATE(YEAR(T_Saldo[[#This Row],[Fecha]]),MONTH(T_Saldo[[#This Row],[Fecha]]),DAY(T_Saldo[[#This Row],[Fecha]]))</f>
        <v>Bonos-43738</v>
      </c>
    </row>
    <row r="77" spans="1:10" x14ac:dyDescent="0.45">
      <c r="A77" s="15">
        <v>43738</v>
      </c>
      <c r="B77" t="s">
        <v>155</v>
      </c>
      <c r="C77">
        <f>T_Saldo[[#This Row],[Valor liquidativo]]*T_Saldo[[#This Row],[Participaciones]]</f>
        <v>0</v>
      </c>
      <c r="D77" s="11">
        <f>T_Saldo[[#This Row],[Valor liquidativo (Moneda Extranjera)]]/T_Saldo[[#This Row],[Cambio]]</f>
        <v>7611.3564200000001</v>
      </c>
      <c r="E77" s="13">
        <f>IF(ISERROR(MATCH(T_Saldo[[#This Row],[Producto]],T_Stocks[Ticker],0)),1,INDEX(T_Stocks[Close],MATCH(T_Saldo[[#This Row],[ID - Product - Fecha]],T_Stocks[ID],1),1))</f>
        <v>7611.3564200000001</v>
      </c>
      <c r="F77" cm="1">
        <f t="array" ref="F77">IF(T_Saldo[[#This Row],[Divisa]]="USD",INDEX(T_USD_EUR[EURUSD],MATCH(T_Saldo[[#This Row],[Fecha]],T_USD_EUR[Fecha],1),0),1)</f>
        <v>1</v>
      </c>
      <c r="G77" t="str" cm="1">
        <f t="array" ref="G77">INDEX(T_Elementos[Divisa],MATCH(T_Saldo[[#This Row],[Producto]],T_Elementos[Producto],0),0)</f>
        <v>EUR</v>
      </c>
      <c r="H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77" t="str">
        <f>T_Saldo[[#This Row],[Producto]] &amp; "-" &amp; DATE(YEAR(T_Saldo[[#This Row],[Fecha]]),MONTH(T_Saldo[[#This Row],[Fecha]]),DAY(T_Saldo[[#This Row],[Fecha]]))</f>
        <v>BTCEUR-43738</v>
      </c>
    </row>
    <row r="78" spans="1:10" x14ac:dyDescent="0.45">
      <c r="A78" s="15">
        <v>43738</v>
      </c>
      <c r="B78" t="s">
        <v>46</v>
      </c>
      <c r="C78">
        <f>T_Saldo[[#This Row],[Valor liquidativo]]*T_Saldo[[#This Row],[Participaciones]]</f>
        <v>8529.9600000000009</v>
      </c>
      <c r="D78" s="11">
        <f>T_Saldo[[#This Row],[Valor liquidativo (Moneda Extranjera)]]/T_Saldo[[#This Row],[Cambio]]</f>
        <v>1</v>
      </c>
      <c r="E78" s="13">
        <f>IF(ISERROR(MATCH(T_Saldo[[#This Row],[Producto]],T_Stocks[Ticker],0)),1,INDEX(T_Stocks[Close],MATCH(T_Saldo[[#This Row],[ID - Product - Fecha]],T_Stocks[ID],1),1))</f>
        <v>1</v>
      </c>
      <c r="F78" cm="1">
        <f t="array" ref="F78">IF(T_Saldo[[#This Row],[Divisa]]="USD",INDEX(T_USD_EUR[EURUSD],MATCH(T_Saldo[[#This Row],[Fecha]],T_USD_EUR[Fecha],1),0),1)</f>
        <v>1</v>
      </c>
      <c r="G78" t="str" cm="1">
        <f t="array" ref="G78">INDEX(T_Elementos[Divisa],MATCH(T_Saldo[[#This Row],[Producto]],T_Elementos[Producto],0),0)</f>
        <v>EUR</v>
      </c>
      <c r="H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8529.9600000000009</v>
      </c>
      <c r="J78" t="str">
        <f>T_Saldo[[#This Row],[Producto]] &amp; "-" &amp; DATE(YEAR(T_Saldo[[#This Row],[Fecha]]),MONTH(T_Saldo[[#This Row],[Fecha]]),DAY(T_Saldo[[#This Row],[Fecha]]))</f>
        <v>CA 1-43738</v>
      </c>
    </row>
    <row r="79" spans="1:10" x14ac:dyDescent="0.45">
      <c r="A79" s="15">
        <v>43738</v>
      </c>
      <c r="B79" t="s">
        <v>10</v>
      </c>
      <c r="C79">
        <f>T_Saldo[[#This Row],[Valor liquidativo]]*T_Saldo[[#This Row],[Participaciones]]</f>
        <v>12782.47</v>
      </c>
      <c r="D79" s="11">
        <f>T_Saldo[[#This Row],[Valor liquidativo (Moneda Extranjera)]]/T_Saldo[[#This Row],[Cambio]]</f>
        <v>1</v>
      </c>
      <c r="E79" s="13">
        <f>IF(ISERROR(MATCH(T_Saldo[[#This Row],[Producto]],T_Stocks[Ticker],0)),1,INDEX(T_Stocks[Close],MATCH(T_Saldo[[#This Row],[ID - Product - Fecha]],T_Stocks[ID],1),1))</f>
        <v>1</v>
      </c>
      <c r="F79" cm="1">
        <f t="array" ref="F79">IF(T_Saldo[[#This Row],[Divisa]]="USD",INDEX(T_USD_EUR[EURUSD],MATCH(T_Saldo[[#This Row],[Fecha]],T_USD_EUR[Fecha],1),0),1)</f>
        <v>1</v>
      </c>
      <c r="G79" t="str" cm="1">
        <f t="array" ref="G79">INDEX(T_Elementos[Divisa],MATCH(T_Saldo[[#This Row],[Producto]],T_Elementos[Producto],0),0)</f>
        <v>EUR</v>
      </c>
      <c r="H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12782.47</v>
      </c>
      <c r="J79" t="str">
        <f>T_Saldo[[#This Row],[Producto]] &amp; "-" &amp; DATE(YEAR(T_Saldo[[#This Row],[Fecha]]),MONTH(T_Saldo[[#This Row],[Fecha]]),DAY(T_Saldo[[#This Row],[Fecha]]))</f>
        <v>CC 1-43738</v>
      </c>
    </row>
    <row r="80" spans="1:10" x14ac:dyDescent="0.45">
      <c r="A80" s="15">
        <v>43738</v>
      </c>
      <c r="B80" t="s">
        <v>49</v>
      </c>
      <c r="C80">
        <f>T_Saldo[[#This Row],[Valor liquidativo]]*T_Saldo[[#This Row],[Participaciones]]</f>
        <v>9766.510000000002</v>
      </c>
      <c r="D80" s="11">
        <f>T_Saldo[[#This Row],[Valor liquidativo (Moneda Extranjera)]]/T_Saldo[[#This Row],[Cambio]]</f>
        <v>1</v>
      </c>
      <c r="E80" s="13">
        <f>IF(ISERROR(MATCH(T_Saldo[[#This Row],[Producto]],T_Stocks[Ticker],0)),1,INDEX(T_Stocks[Close],MATCH(T_Saldo[[#This Row],[ID - Product - Fecha]],T_Stocks[ID],1),1))</f>
        <v>1</v>
      </c>
      <c r="F80" cm="1">
        <f t="array" ref="F80">IF(T_Saldo[[#This Row],[Divisa]]="USD",INDEX(T_USD_EUR[EURUSD],MATCH(T_Saldo[[#This Row],[Fecha]],T_USD_EUR[Fecha],1),0),1)</f>
        <v>1</v>
      </c>
      <c r="G80" t="str" cm="1">
        <f t="array" ref="G80">INDEX(T_Elementos[Divisa],MATCH(T_Saldo[[#This Row],[Producto]],T_Elementos[Producto],0),0)</f>
        <v>EUR</v>
      </c>
      <c r="H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9766.510000000002</v>
      </c>
      <c r="J80" t="str">
        <f>T_Saldo[[#This Row],[Producto]] &amp; "-" &amp; DATE(YEAR(T_Saldo[[#This Row],[Fecha]]),MONTH(T_Saldo[[#This Row],[Fecha]]),DAY(T_Saldo[[#This Row],[Fecha]]))</f>
        <v>CC 2-43738</v>
      </c>
    </row>
    <row r="81" spans="1:10" x14ac:dyDescent="0.45">
      <c r="A81" s="15">
        <v>43738</v>
      </c>
      <c r="B81" t="s">
        <v>41</v>
      </c>
      <c r="C81">
        <f>T_Saldo[[#This Row],[Valor liquidativo]]*T_Saldo[[#This Row],[Participaciones]]</f>
        <v>0</v>
      </c>
      <c r="D81" s="11">
        <f>T_Saldo[[#This Row],[Valor liquidativo (Moneda Extranjera)]]/T_Saldo[[#This Row],[Cambio]]</f>
        <v>127.53221900000001</v>
      </c>
      <c r="E81" s="13">
        <f>IF(ISERROR(MATCH(T_Saldo[[#This Row],[Producto]],T_Stocks[Ticker],0)),1,INDEX(T_Stocks[Close],MATCH(T_Saldo[[#This Row],[ID - Product - Fecha]],T_Stocks[ID],1),1))</f>
        <v>139.03</v>
      </c>
      <c r="F81" cm="1">
        <f t="array" ref="F81">IF(T_Saldo[[#This Row],[Divisa]]="USD",INDEX(T_USD_EUR[EURUSD],MATCH(T_Saldo[[#This Row],[Fecha]],T_USD_EUR[Fecha],1),0),1)</f>
        <v>1.0901558922925978</v>
      </c>
      <c r="G81" t="str" cm="1">
        <f t="array" ref="G81">INDEX(T_Elementos[Divisa],MATCH(T_Saldo[[#This Row],[Producto]],T_Elementos[Producto],0),0)</f>
        <v>USD</v>
      </c>
      <c r="H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81" t="str">
        <f>T_Saldo[[#This Row],[Producto]] &amp; "-" &amp; DATE(YEAR(T_Saldo[[#This Row],[Fecha]]),MONTH(T_Saldo[[#This Row],[Fecha]]),DAY(T_Saldo[[#This Row],[Fecha]]))</f>
        <v>MSFT-43738</v>
      </c>
    </row>
    <row r="82" spans="1:10" x14ac:dyDescent="0.45">
      <c r="A82" s="15">
        <v>43738</v>
      </c>
      <c r="B82" t="s">
        <v>51</v>
      </c>
      <c r="C82">
        <f>T_Saldo[[#This Row],[Valor liquidativo]]*T_Saldo[[#This Row],[Participaciones]]</f>
        <v>0</v>
      </c>
      <c r="D82" s="11">
        <f>T_Saldo[[#This Row],[Valor liquidativo (Moneda Extranjera)]]/T_Saldo[[#This Row],[Cambio]]</f>
        <v>66.696883</v>
      </c>
      <c r="E82" s="13">
        <f>IF(ISERROR(MATCH(T_Saldo[[#This Row],[Producto]],T_Stocks[Ticker],0)),1,INDEX(T_Stocks[Close],MATCH(T_Saldo[[#This Row],[ID - Product - Fecha]],T_Stocks[ID],1),1))</f>
        <v>72.709999999999994</v>
      </c>
      <c r="F82" cm="1">
        <f t="array" ref="F82">IF(T_Saldo[[#This Row],[Divisa]]="USD",INDEX(T_USD_EUR[EURUSD],MATCH(T_Saldo[[#This Row],[Fecha]],T_USD_EUR[Fecha],1),0),1)</f>
        <v>1.0901558922925978</v>
      </c>
      <c r="G82" t="str" cm="1">
        <f t="array" ref="G82">INDEX(T_Elementos[Divisa],MATCH(T_Saldo[[#This Row],[Producto]],T_Elementos[Producto],0),0)</f>
        <v>USD</v>
      </c>
      <c r="H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82" t="str">
        <f>T_Saldo[[#This Row],[Producto]] &amp; "-" &amp; DATE(YEAR(T_Saldo[[#This Row],[Fecha]]),MONTH(T_Saldo[[#This Row],[Fecha]]),DAY(T_Saldo[[#This Row],[Fecha]]))</f>
        <v>PRHSX-43738</v>
      </c>
    </row>
    <row r="83" spans="1:10" x14ac:dyDescent="0.45">
      <c r="A83" s="15">
        <v>43738</v>
      </c>
      <c r="B83" t="s">
        <v>32</v>
      </c>
      <c r="C83">
        <f>T_Saldo[[#This Row],[Valor liquidativo]]*T_Saldo[[#This Row],[Participaciones]]</f>
        <v>0</v>
      </c>
      <c r="D83" s="11">
        <f>T_Saldo[[#This Row],[Valor liquidativo (Moneda Extranjera)]]/T_Saldo[[#This Row],[Cambio]]</f>
        <v>67.421549999999996</v>
      </c>
      <c r="E83" s="13">
        <f>IF(ISERROR(MATCH(T_Saldo[[#This Row],[Producto]],T_Stocks[Ticker],0)),1,INDEX(T_Stocks[Close],MATCH(T_Saldo[[#This Row],[ID - Product - Fecha]],T_Stocks[ID],1),1))</f>
        <v>73.5</v>
      </c>
      <c r="F83" cm="1">
        <f t="array" ref="F83">IF(T_Saldo[[#This Row],[Divisa]]="USD",INDEX(T_USD_EUR[EURUSD],MATCH(T_Saldo[[#This Row],[Fecha]],T_USD_EUR[Fecha],1),0),1)</f>
        <v>1.0901558922925978</v>
      </c>
      <c r="G83" t="str" cm="1">
        <f t="array" ref="G83">INDEX(T_Elementos[Divisa],MATCH(T_Saldo[[#This Row],[Producto]],T_Elementos[Producto],0),0)</f>
        <v>USD</v>
      </c>
      <c r="H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83" t="str">
        <f>T_Saldo[[#This Row],[Producto]] &amp; "-" &amp; DATE(YEAR(T_Saldo[[#This Row],[Fecha]]),MONTH(T_Saldo[[#This Row],[Fecha]]),DAY(T_Saldo[[#This Row],[Fecha]]))</f>
        <v>VTSAX-43738</v>
      </c>
    </row>
    <row r="84" spans="1:10" x14ac:dyDescent="0.45">
      <c r="A84" s="15">
        <v>43769</v>
      </c>
      <c r="B84" t="s">
        <v>38</v>
      </c>
      <c r="C84">
        <f>T_Saldo[[#This Row],[Valor liquidativo]]*T_Saldo[[#This Row],[Participaciones]]</f>
        <v>5575.3334999999997</v>
      </c>
      <c r="D84" s="11">
        <f>T_Saldo[[#This Row],[Valor liquidativo (Moneda Extranjera)]]/T_Saldo[[#This Row],[Cambio]]</f>
        <v>55.753335</v>
      </c>
      <c r="E84" s="13">
        <f>IF(ISERROR(MATCH(T_Saldo[[#This Row],[Producto]],T_Stocks[Ticker],0)),1,INDEX(T_Stocks[Close],MATCH(T_Saldo[[#This Row],[ID - Product - Fecha]],T_Stocks[ID],1),1))</f>
        <v>62.19</v>
      </c>
      <c r="F84" cm="1">
        <f t="array" ref="F84">IF(T_Saldo[[#This Row],[Divisa]]="USD",INDEX(T_USD_EUR[EURUSD],MATCH(T_Saldo[[#This Row],[Fecha]],T_USD_EUR[Fecha],1),0),1)</f>
        <v>1.1154489682097044</v>
      </c>
      <c r="G84" t="str" cm="1">
        <f t="array" ref="G84">INDEX(T_Elementos[Divisa],MATCH(T_Saldo[[#This Row],[Producto]],T_Elementos[Producto],0),0)</f>
        <v>USD</v>
      </c>
      <c r="H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84" t="str">
        <f>T_Saldo[[#This Row],[Producto]] &amp; "-" &amp; DATE(YEAR(T_Saldo[[#This Row],[Fecha]]),MONTH(T_Saldo[[#This Row],[Fecha]]),DAY(T_Saldo[[#This Row],[Fecha]]))</f>
        <v>AAPL-43769</v>
      </c>
    </row>
    <row r="85" spans="1:10" x14ac:dyDescent="0.45">
      <c r="A85" s="15">
        <v>43769</v>
      </c>
      <c r="B85" t="s">
        <v>43</v>
      </c>
      <c r="C85">
        <f>T_Saldo[[#This Row],[Valor liquidativo]]*T_Saldo[[#This Row],[Participaciones]]</f>
        <v>0</v>
      </c>
      <c r="D85" s="11">
        <f>T_Saldo[[#This Row],[Valor liquidativo (Moneda Extranjera)]]/T_Saldo[[#This Row],[Cambio]]</f>
        <v>250.42</v>
      </c>
      <c r="E85" s="13">
        <f>IF(ISERROR(MATCH(T_Saldo[[#This Row],[Producto]],T_Stocks[Ticker],0)),1,INDEX(T_Stocks[Close],MATCH(T_Saldo[[#This Row],[ID - Product - Fecha]],T_Stocks[ID],1),1))</f>
        <v>250.42</v>
      </c>
      <c r="F85" cm="1">
        <f t="array" ref="F85">IF(T_Saldo[[#This Row],[Divisa]]="USD",INDEX(T_USD_EUR[EURUSD],MATCH(T_Saldo[[#This Row],[Fecha]],T_USD_EUR[Fecha],1),0),1)</f>
        <v>1</v>
      </c>
      <c r="G85" t="str" cm="1">
        <f t="array" ref="G85">INDEX(T_Elementos[Divisa],MATCH(T_Saldo[[#This Row],[Producto]],T_Elementos[Producto],0),0)</f>
        <v>EUR</v>
      </c>
      <c r="H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85" t="str">
        <f>T_Saldo[[#This Row],[Producto]] &amp; "-" &amp; DATE(YEAR(T_Saldo[[#This Row],[Fecha]]),MONTH(T_Saldo[[#This Row],[Fecha]]),DAY(T_Saldo[[#This Row],[Fecha]]))</f>
        <v>Bonos-43769</v>
      </c>
    </row>
    <row r="86" spans="1:10" x14ac:dyDescent="0.45">
      <c r="A86" s="15">
        <v>43769</v>
      </c>
      <c r="B86" t="s">
        <v>155</v>
      </c>
      <c r="C86">
        <f>T_Saldo[[#This Row],[Valor liquidativo]]*T_Saldo[[#This Row],[Participaciones]]</f>
        <v>0</v>
      </c>
      <c r="D86" s="11">
        <f>T_Saldo[[#This Row],[Valor liquidativo (Moneda Extranjera)]]/T_Saldo[[#This Row],[Cambio]]</f>
        <v>8209.4427739999992</v>
      </c>
      <c r="E86" s="13">
        <f>IF(ISERROR(MATCH(T_Saldo[[#This Row],[Producto]],T_Stocks[Ticker],0)),1,INDEX(T_Stocks[Close],MATCH(T_Saldo[[#This Row],[ID - Product - Fecha]],T_Stocks[ID],1),1))</f>
        <v>8209.4427739999992</v>
      </c>
      <c r="F86" cm="1">
        <f t="array" ref="F86">IF(T_Saldo[[#This Row],[Divisa]]="USD",INDEX(T_USD_EUR[EURUSD],MATCH(T_Saldo[[#This Row],[Fecha]],T_USD_EUR[Fecha],1),0),1)</f>
        <v>1</v>
      </c>
      <c r="G86" t="str" cm="1">
        <f t="array" ref="G86">INDEX(T_Elementos[Divisa],MATCH(T_Saldo[[#This Row],[Producto]],T_Elementos[Producto],0),0)</f>
        <v>EUR</v>
      </c>
      <c r="H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86" t="str">
        <f>T_Saldo[[#This Row],[Producto]] &amp; "-" &amp; DATE(YEAR(T_Saldo[[#This Row],[Fecha]]),MONTH(T_Saldo[[#This Row],[Fecha]]),DAY(T_Saldo[[#This Row],[Fecha]]))</f>
        <v>BTCEUR-43769</v>
      </c>
    </row>
    <row r="87" spans="1:10" x14ac:dyDescent="0.45">
      <c r="A87" s="15">
        <v>43769</v>
      </c>
      <c r="B87" t="s">
        <v>46</v>
      </c>
      <c r="C87">
        <f>T_Saldo[[#This Row],[Valor liquidativo]]*T_Saldo[[#This Row],[Participaciones]]</f>
        <v>8101.72</v>
      </c>
      <c r="D87" s="11">
        <f>T_Saldo[[#This Row],[Valor liquidativo (Moneda Extranjera)]]/T_Saldo[[#This Row],[Cambio]]</f>
        <v>1</v>
      </c>
      <c r="E87" s="13">
        <f>IF(ISERROR(MATCH(T_Saldo[[#This Row],[Producto]],T_Stocks[Ticker],0)),1,INDEX(T_Stocks[Close],MATCH(T_Saldo[[#This Row],[ID - Product - Fecha]],T_Stocks[ID],1),1))</f>
        <v>1</v>
      </c>
      <c r="F87" cm="1">
        <f t="array" ref="F87">IF(T_Saldo[[#This Row],[Divisa]]="USD",INDEX(T_USD_EUR[EURUSD],MATCH(T_Saldo[[#This Row],[Fecha]],T_USD_EUR[Fecha],1),0),1)</f>
        <v>1</v>
      </c>
      <c r="G87" t="str" cm="1">
        <f t="array" ref="G87">INDEX(T_Elementos[Divisa],MATCH(T_Saldo[[#This Row],[Producto]],T_Elementos[Producto],0),0)</f>
        <v>EUR</v>
      </c>
      <c r="H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8101.72</v>
      </c>
      <c r="J87" t="str">
        <f>T_Saldo[[#This Row],[Producto]] &amp; "-" &amp; DATE(YEAR(T_Saldo[[#This Row],[Fecha]]),MONTH(T_Saldo[[#This Row],[Fecha]]),DAY(T_Saldo[[#This Row],[Fecha]]))</f>
        <v>CA 1-43769</v>
      </c>
    </row>
    <row r="88" spans="1:10" x14ac:dyDescent="0.45">
      <c r="A88" s="15">
        <v>43769</v>
      </c>
      <c r="B88" t="s">
        <v>10</v>
      </c>
      <c r="C88">
        <f>T_Saldo[[#This Row],[Valor liquidativo]]*T_Saldo[[#This Row],[Participaciones]]</f>
        <v>12782.47</v>
      </c>
      <c r="D88" s="11">
        <f>T_Saldo[[#This Row],[Valor liquidativo (Moneda Extranjera)]]/T_Saldo[[#This Row],[Cambio]]</f>
        <v>1</v>
      </c>
      <c r="E88" s="13">
        <f>IF(ISERROR(MATCH(T_Saldo[[#This Row],[Producto]],T_Stocks[Ticker],0)),1,INDEX(T_Stocks[Close],MATCH(T_Saldo[[#This Row],[ID - Product - Fecha]],T_Stocks[ID],1),1))</f>
        <v>1</v>
      </c>
      <c r="F88" cm="1">
        <f t="array" ref="F88">IF(T_Saldo[[#This Row],[Divisa]]="USD",INDEX(T_USD_EUR[EURUSD],MATCH(T_Saldo[[#This Row],[Fecha]],T_USD_EUR[Fecha],1),0),1)</f>
        <v>1</v>
      </c>
      <c r="G88" t="str" cm="1">
        <f t="array" ref="G88">INDEX(T_Elementos[Divisa],MATCH(T_Saldo[[#This Row],[Producto]],T_Elementos[Producto],0),0)</f>
        <v>EUR</v>
      </c>
      <c r="H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12782.47</v>
      </c>
      <c r="J88" t="str">
        <f>T_Saldo[[#This Row],[Producto]] &amp; "-" &amp; DATE(YEAR(T_Saldo[[#This Row],[Fecha]]),MONTH(T_Saldo[[#This Row],[Fecha]]),DAY(T_Saldo[[#This Row],[Fecha]]))</f>
        <v>CC 1-43769</v>
      </c>
    </row>
    <row r="89" spans="1:10" x14ac:dyDescent="0.45">
      <c r="A89" s="15">
        <v>43769</v>
      </c>
      <c r="B89" t="s">
        <v>49</v>
      </c>
      <c r="C89">
        <f>T_Saldo[[#This Row],[Valor liquidativo]]*T_Saldo[[#This Row],[Participaciones]]</f>
        <v>9702.34</v>
      </c>
      <c r="D89" s="11">
        <f>T_Saldo[[#This Row],[Valor liquidativo (Moneda Extranjera)]]/T_Saldo[[#This Row],[Cambio]]</f>
        <v>1</v>
      </c>
      <c r="E89" s="13">
        <f>IF(ISERROR(MATCH(T_Saldo[[#This Row],[Producto]],T_Stocks[Ticker],0)),1,INDEX(T_Stocks[Close],MATCH(T_Saldo[[#This Row],[ID - Product - Fecha]],T_Stocks[ID],1),1))</f>
        <v>1</v>
      </c>
      <c r="F89" cm="1">
        <f t="array" ref="F89">IF(T_Saldo[[#This Row],[Divisa]]="USD",INDEX(T_USD_EUR[EURUSD],MATCH(T_Saldo[[#This Row],[Fecha]],T_USD_EUR[Fecha],1),0),1)</f>
        <v>1</v>
      </c>
      <c r="G89" t="str" cm="1">
        <f t="array" ref="G89">INDEX(T_Elementos[Divisa],MATCH(T_Saldo[[#This Row],[Producto]],T_Elementos[Producto],0),0)</f>
        <v>EUR</v>
      </c>
      <c r="H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9702.34</v>
      </c>
      <c r="J89" t="str">
        <f>T_Saldo[[#This Row],[Producto]] &amp; "-" &amp; DATE(YEAR(T_Saldo[[#This Row],[Fecha]]),MONTH(T_Saldo[[#This Row],[Fecha]]),DAY(T_Saldo[[#This Row],[Fecha]]))</f>
        <v>CC 2-43769</v>
      </c>
    </row>
    <row r="90" spans="1:10" x14ac:dyDescent="0.45">
      <c r="A90" s="15">
        <v>43769</v>
      </c>
      <c r="B90" t="s">
        <v>41</v>
      </c>
      <c r="C90">
        <f>T_Saldo[[#This Row],[Valor liquidativo]]*T_Saldo[[#This Row],[Participaciones]]</f>
        <v>0</v>
      </c>
      <c r="D90" s="11">
        <f>T_Saldo[[#This Row],[Valor liquidativo (Moneda Extranjera)]]/T_Saldo[[#This Row],[Cambio]]</f>
        <v>128.531205</v>
      </c>
      <c r="E90" s="13">
        <f>IF(ISERROR(MATCH(T_Saldo[[#This Row],[Producto]],T_Stocks[Ticker],0)),1,INDEX(T_Stocks[Close],MATCH(T_Saldo[[#This Row],[ID - Product - Fecha]],T_Stocks[ID],1),1))</f>
        <v>143.37</v>
      </c>
      <c r="F90" cm="1">
        <f t="array" ref="F90">IF(T_Saldo[[#This Row],[Divisa]]="USD",INDEX(T_USD_EUR[EURUSD],MATCH(T_Saldo[[#This Row],[Fecha]],T_USD_EUR[Fecha],1),0),1)</f>
        <v>1.1154489682097044</v>
      </c>
      <c r="G90" t="str" cm="1">
        <f t="array" ref="G90">INDEX(T_Elementos[Divisa],MATCH(T_Saldo[[#This Row],[Producto]],T_Elementos[Producto],0),0)</f>
        <v>USD</v>
      </c>
      <c r="H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0" t="str">
        <f>T_Saldo[[#This Row],[Producto]] &amp; "-" &amp; DATE(YEAR(T_Saldo[[#This Row],[Fecha]]),MONTH(T_Saldo[[#This Row],[Fecha]]),DAY(T_Saldo[[#This Row],[Fecha]]))</f>
        <v>MSFT-43769</v>
      </c>
    </row>
    <row r="91" spans="1:10" x14ac:dyDescent="0.45">
      <c r="A91" s="15">
        <v>43769</v>
      </c>
      <c r="B91" t="s">
        <v>51</v>
      </c>
      <c r="C91">
        <f>T_Saldo[[#This Row],[Valor liquidativo]]*T_Saldo[[#This Row],[Participaciones]]</f>
        <v>0</v>
      </c>
      <c r="D91" s="11">
        <f>T_Saldo[[#This Row],[Valor liquidativo (Moneda Extranjera)]]/T_Saldo[[#This Row],[Cambio]]</f>
        <v>69.469785000000002</v>
      </c>
      <c r="E91" s="13">
        <f>IF(ISERROR(MATCH(T_Saldo[[#This Row],[Producto]],T_Stocks[Ticker],0)),1,INDEX(T_Stocks[Close],MATCH(T_Saldo[[#This Row],[ID - Product - Fecha]],T_Stocks[ID],1),1))</f>
        <v>77.489999999999995</v>
      </c>
      <c r="F91" cm="1">
        <f t="array" ref="F91">IF(T_Saldo[[#This Row],[Divisa]]="USD",INDEX(T_USD_EUR[EURUSD],MATCH(T_Saldo[[#This Row],[Fecha]],T_USD_EUR[Fecha],1),0),1)</f>
        <v>1.1154489682097044</v>
      </c>
      <c r="G91" t="str" cm="1">
        <f t="array" ref="G91">INDEX(T_Elementos[Divisa],MATCH(T_Saldo[[#This Row],[Producto]],T_Elementos[Producto],0),0)</f>
        <v>USD</v>
      </c>
      <c r="H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1" t="str">
        <f>T_Saldo[[#This Row],[Producto]] &amp; "-" &amp; DATE(YEAR(T_Saldo[[#This Row],[Fecha]]),MONTH(T_Saldo[[#This Row],[Fecha]]),DAY(T_Saldo[[#This Row],[Fecha]]))</f>
        <v>PRHSX-43769</v>
      </c>
    </row>
    <row r="92" spans="1:10" x14ac:dyDescent="0.45">
      <c r="A92" s="15">
        <v>43769</v>
      </c>
      <c r="B92" t="s">
        <v>32</v>
      </c>
      <c r="C92">
        <f>T_Saldo[[#This Row],[Valor liquidativo]]*T_Saldo[[#This Row],[Participaciones]]</f>
        <v>0</v>
      </c>
      <c r="D92" s="11">
        <f>T_Saldo[[#This Row],[Valor liquidativo (Moneda Extranjera)]]/T_Saldo[[#This Row],[Cambio]]</f>
        <v>67.282325</v>
      </c>
      <c r="E92" s="13">
        <f>IF(ISERROR(MATCH(T_Saldo[[#This Row],[Producto]],T_Stocks[Ticker],0)),1,INDEX(T_Stocks[Close],MATCH(T_Saldo[[#This Row],[ID - Product - Fecha]],T_Stocks[ID],1),1))</f>
        <v>75.05</v>
      </c>
      <c r="F92" cm="1">
        <f t="array" ref="F92">IF(T_Saldo[[#This Row],[Divisa]]="USD",INDEX(T_USD_EUR[EURUSD],MATCH(T_Saldo[[#This Row],[Fecha]],T_USD_EUR[Fecha],1),0),1)</f>
        <v>1.1154489682097044</v>
      </c>
      <c r="G92" t="str" cm="1">
        <f t="array" ref="G92">INDEX(T_Elementos[Divisa],MATCH(T_Saldo[[#This Row],[Producto]],T_Elementos[Producto],0),0)</f>
        <v>USD</v>
      </c>
      <c r="H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2" t="str">
        <f>T_Saldo[[#This Row],[Producto]] &amp; "-" &amp; DATE(YEAR(T_Saldo[[#This Row],[Fecha]]),MONTH(T_Saldo[[#This Row],[Fecha]]),DAY(T_Saldo[[#This Row],[Fecha]]))</f>
        <v>VTSAX-43769</v>
      </c>
    </row>
    <row r="93" spans="1:10" x14ac:dyDescent="0.45">
      <c r="A93" s="15">
        <v>43799</v>
      </c>
      <c r="B93" t="s">
        <v>38</v>
      </c>
      <c r="C93">
        <f>T_Saldo[[#This Row],[Valor liquidativo]]*T_Saldo[[#This Row],[Participaciones]]</f>
        <v>6063.0074999999997</v>
      </c>
      <c r="D93" s="11">
        <f>T_Saldo[[#This Row],[Valor liquidativo (Moneda Extranjera)]]/T_Saldo[[#This Row],[Cambio]]</f>
        <v>60.630074999999998</v>
      </c>
      <c r="E93" s="13">
        <f>IF(ISERROR(MATCH(T_Saldo[[#This Row],[Producto]],T_Stocks[Ticker],0)),1,INDEX(T_Stocks[Close],MATCH(T_Saldo[[#This Row],[ID - Product - Fecha]],T_Stocks[ID],1),1))</f>
        <v>66.81</v>
      </c>
      <c r="F93" cm="1">
        <f t="array" ref="F93">IF(T_Saldo[[#This Row],[Divisa]]="USD",INDEX(T_USD_EUR[EURUSD],MATCH(T_Saldo[[#This Row],[Fecha]],T_USD_EUR[Fecha],1),0),1)</f>
        <v>1.1019283746556474</v>
      </c>
      <c r="G93" t="str" cm="1">
        <f t="array" ref="G93">INDEX(T_Elementos[Divisa],MATCH(T_Saldo[[#This Row],[Producto]],T_Elementos[Producto],0),0)</f>
        <v>USD</v>
      </c>
      <c r="H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93" t="str">
        <f>T_Saldo[[#This Row],[Producto]] &amp; "-" &amp; DATE(YEAR(T_Saldo[[#This Row],[Fecha]]),MONTH(T_Saldo[[#This Row],[Fecha]]),DAY(T_Saldo[[#This Row],[Fecha]]))</f>
        <v>AAPL-43799</v>
      </c>
    </row>
    <row r="94" spans="1:10" x14ac:dyDescent="0.45">
      <c r="A94" s="15">
        <v>43799</v>
      </c>
      <c r="B94" t="s">
        <v>43</v>
      </c>
      <c r="C94">
        <f>T_Saldo[[#This Row],[Valor liquidativo]]*T_Saldo[[#This Row],[Participaciones]]</f>
        <v>0</v>
      </c>
      <c r="D94" s="11">
        <f>T_Saldo[[#This Row],[Valor liquidativo (Moneda Extranjera)]]/T_Saldo[[#This Row],[Cambio]]</f>
        <v>250.42</v>
      </c>
      <c r="E94" s="13">
        <f>IF(ISERROR(MATCH(T_Saldo[[#This Row],[Producto]],T_Stocks[Ticker],0)),1,INDEX(T_Stocks[Close],MATCH(T_Saldo[[#This Row],[ID - Product - Fecha]],T_Stocks[ID],1),1))</f>
        <v>250.42</v>
      </c>
      <c r="F94" cm="1">
        <f t="array" ref="F94">IF(T_Saldo[[#This Row],[Divisa]]="USD",INDEX(T_USD_EUR[EURUSD],MATCH(T_Saldo[[#This Row],[Fecha]],T_USD_EUR[Fecha],1),0),1)</f>
        <v>1</v>
      </c>
      <c r="G94" t="str" cm="1">
        <f t="array" ref="G94">INDEX(T_Elementos[Divisa],MATCH(T_Saldo[[#This Row],[Producto]],T_Elementos[Producto],0),0)</f>
        <v>EUR</v>
      </c>
      <c r="H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4" t="str">
        <f>T_Saldo[[#This Row],[Producto]] &amp; "-" &amp; DATE(YEAR(T_Saldo[[#This Row],[Fecha]]),MONTH(T_Saldo[[#This Row],[Fecha]]),DAY(T_Saldo[[#This Row],[Fecha]]))</f>
        <v>Bonos-43799</v>
      </c>
    </row>
    <row r="95" spans="1:10" x14ac:dyDescent="0.45">
      <c r="A95" s="15">
        <v>43799</v>
      </c>
      <c r="B95" t="s">
        <v>155</v>
      </c>
      <c r="C95">
        <f>T_Saldo[[#This Row],[Valor liquidativo]]*T_Saldo[[#This Row],[Participaciones]]</f>
        <v>0</v>
      </c>
      <c r="D95" s="11">
        <f>T_Saldo[[#This Row],[Valor liquidativo (Moneda Extranjera)]]/T_Saldo[[#This Row],[Cambio]]</f>
        <v>6873.4376910000001</v>
      </c>
      <c r="E95" s="13">
        <f>IF(ISERROR(MATCH(T_Saldo[[#This Row],[Producto]],T_Stocks[Ticker],0)),1,INDEX(T_Stocks[Close],MATCH(T_Saldo[[#This Row],[ID - Product - Fecha]],T_Stocks[ID],1),1))</f>
        <v>6873.4376910000001</v>
      </c>
      <c r="F95" cm="1">
        <f t="array" ref="F95">IF(T_Saldo[[#This Row],[Divisa]]="USD",INDEX(T_USD_EUR[EURUSD],MATCH(T_Saldo[[#This Row],[Fecha]],T_USD_EUR[Fecha],1),0),1)</f>
        <v>1</v>
      </c>
      <c r="G95" t="str" cm="1">
        <f t="array" ref="G95">INDEX(T_Elementos[Divisa],MATCH(T_Saldo[[#This Row],[Producto]],T_Elementos[Producto],0),0)</f>
        <v>EUR</v>
      </c>
      <c r="H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5" t="str">
        <f>T_Saldo[[#This Row],[Producto]] &amp; "-" &amp; DATE(YEAR(T_Saldo[[#This Row],[Fecha]]),MONTH(T_Saldo[[#This Row],[Fecha]]),DAY(T_Saldo[[#This Row],[Fecha]]))</f>
        <v>BTCEUR-43799</v>
      </c>
    </row>
    <row r="96" spans="1:10" x14ac:dyDescent="0.45">
      <c r="A96" s="15">
        <v>43799</v>
      </c>
      <c r="B96" t="s">
        <v>46</v>
      </c>
      <c r="C96">
        <f>T_Saldo[[#This Row],[Valor liquidativo]]*T_Saldo[[#This Row],[Participaciones]]</f>
        <v>7784.3700000000008</v>
      </c>
      <c r="D96" s="11">
        <f>T_Saldo[[#This Row],[Valor liquidativo (Moneda Extranjera)]]/T_Saldo[[#This Row],[Cambio]]</f>
        <v>1</v>
      </c>
      <c r="E96" s="13">
        <f>IF(ISERROR(MATCH(T_Saldo[[#This Row],[Producto]],T_Stocks[Ticker],0)),1,INDEX(T_Stocks[Close],MATCH(T_Saldo[[#This Row],[ID - Product - Fecha]],T_Stocks[ID],1),1))</f>
        <v>1</v>
      </c>
      <c r="F96" cm="1">
        <f t="array" ref="F96">IF(T_Saldo[[#This Row],[Divisa]]="USD",INDEX(T_USD_EUR[EURUSD],MATCH(T_Saldo[[#This Row],[Fecha]],T_USD_EUR[Fecha],1),0),1)</f>
        <v>1</v>
      </c>
      <c r="G96" t="str" cm="1">
        <f t="array" ref="G96">INDEX(T_Elementos[Divisa],MATCH(T_Saldo[[#This Row],[Producto]],T_Elementos[Producto],0),0)</f>
        <v>EUR</v>
      </c>
      <c r="H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7784.3700000000008</v>
      </c>
      <c r="J96" t="str">
        <f>T_Saldo[[#This Row],[Producto]] &amp; "-" &amp; DATE(YEAR(T_Saldo[[#This Row],[Fecha]]),MONTH(T_Saldo[[#This Row],[Fecha]]),DAY(T_Saldo[[#This Row],[Fecha]]))</f>
        <v>CA 1-43799</v>
      </c>
    </row>
    <row r="97" spans="1:10" x14ac:dyDescent="0.45">
      <c r="A97" s="15">
        <v>43799</v>
      </c>
      <c r="B97" t="s">
        <v>10</v>
      </c>
      <c r="C97">
        <f>T_Saldo[[#This Row],[Valor liquidativo]]*T_Saldo[[#This Row],[Participaciones]]</f>
        <v>12534.16</v>
      </c>
      <c r="D97" s="11">
        <f>T_Saldo[[#This Row],[Valor liquidativo (Moneda Extranjera)]]/T_Saldo[[#This Row],[Cambio]]</f>
        <v>1</v>
      </c>
      <c r="E97" s="13">
        <f>IF(ISERROR(MATCH(T_Saldo[[#This Row],[Producto]],T_Stocks[Ticker],0)),1,INDEX(T_Stocks[Close],MATCH(T_Saldo[[#This Row],[ID - Product - Fecha]],T_Stocks[ID],1),1))</f>
        <v>1</v>
      </c>
      <c r="F97" cm="1">
        <f t="array" ref="F97">IF(T_Saldo[[#This Row],[Divisa]]="USD",INDEX(T_USD_EUR[EURUSD],MATCH(T_Saldo[[#This Row],[Fecha]],T_USD_EUR[Fecha],1),0),1)</f>
        <v>1</v>
      </c>
      <c r="G97" t="str" cm="1">
        <f t="array" ref="G97">INDEX(T_Elementos[Divisa],MATCH(T_Saldo[[#This Row],[Producto]],T_Elementos[Producto],0),0)</f>
        <v>EUR</v>
      </c>
      <c r="H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12534.16</v>
      </c>
      <c r="J97" t="str">
        <f>T_Saldo[[#This Row],[Producto]] &amp; "-" &amp; DATE(YEAR(T_Saldo[[#This Row],[Fecha]]),MONTH(T_Saldo[[#This Row],[Fecha]]),DAY(T_Saldo[[#This Row],[Fecha]]))</f>
        <v>CC 1-43799</v>
      </c>
    </row>
    <row r="98" spans="1:10" x14ac:dyDescent="0.45">
      <c r="A98" s="15">
        <v>43799</v>
      </c>
      <c r="B98" t="s">
        <v>49</v>
      </c>
      <c r="C98">
        <f>T_Saldo[[#This Row],[Valor liquidativo]]*T_Saldo[[#This Row],[Participaciones]]</f>
        <v>9420.5000000000018</v>
      </c>
      <c r="D98" s="11">
        <f>T_Saldo[[#This Row],[Valor liquidativo (Moneda Extranjera)]]/T_Saldo[[#This Row],[Cambio]]</f>
        <v>1</v>
      </c>
      <c r="E98" s="13">
        <f>IF(ISERROR(MATCH(T_Saldo[[#This Row],[Producto]],T_Stocks[Ticker],0)),1,INDEX(T_Stocks[Close],MATCH(T_Saldo[[#This Row],[ID - Product - Fecha]],T_Stocks[ID],1),1))</f>
        <v>1</v>
      </c>
      <c r="F98" cm="1">
        <f t="array" ref="F98">IF(T_Saldo[[#This Row],[Divisa]]="USD",INDEX(T_USD_EUR[EURUSD],MATCH(T_Saldo[[#This Row],[Fecha]],T_USD_EUR[Fecha],1),0),1)</f>
        <v>1</v>
      </c>
      <c r="G98" t="str" cm="1">
        <f t="array" ref="G98">INDEX(T_Elementos[Divisa],MATCH(T_Saldo[[#This Row],[Producto]],T_Elementos[Producto],0),0)</f>
        <v>EUR</v>
      </c>
      <c r="H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9420.5000000000018</v>
      </c>
      <c r="J98" t="str">
        <f>T_Saldo[[#This Row],[Producto]] &amp; "-" &amp; DATE(YEAR(T_Saldo[[#This Row],[Fecha]]),MONTH(T_Saldo[[#This Row],[Fecha]]),DAY(T_Saldo[[#This Row],[Fecha]]))</f>
        <v>CC 2-43799</v>
      </c>
    </row>
    <row r="99" spans="1:10" x14ac:dyDescent="0.45">
      <c r="A99" s="15">
        <v>43799</v>
      </c>
      <c r="B99" t="s">
        <v>41</v>
      </c>
      <c r="C99">
        <f>T_Saldo[[#This Row],[Valor liquidativo]]*T_Saldo[[#This Row],[Participaciones]]</f>
        <v>0</v>
      </c>
      <c r="D99" s="11">
        <f>T_Saldo[[#This Row],[Valor liquidativo (Moneda Extranjera)]]/T_Saldo[[#This Row],[Cambio]]</f>
        <v>137.37734999999998</v>
      </c>
      <c r="E99" s="13">
        <f>IF(ISERROR(MATCH(T_Saldo[[#This Row],[Producto]],T_Stocks[Ticker],0)),1,INDEX(T_Stocks[Close],MATCH(T_Saldo[[#This Row],[ID - Product - Fecha]],T_Stocks[ID],1),1))</f>
        <v>151.38</v>
      </c>
      <c r="F99" cm="1">
        <f t="array" ref="F99">IF(T_Saldo[[#This Row],[Divisa]]="USD",INDEX(T_USD_EUR[EURUSD],MATCH(T_Saldo[[#This Row],[Fecha]],T_USD_EUR[Fecha],1),0),1)</f>
        <v>1.1019283746556474</v>
      </c>
      <c r="G99" t="str" cm="1">
        <f t="array" ref="G99">INDEX(T_Elementos[Divisa],MATCH(T_Saldo[[#This Row],[Producto]],T_Elementos[Producto],0),0)</f>
        <v>USD</v>
      </c>
      <c r="H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99" t="str">
        <f>T_Saldo[[#This Row],[Producto]] &amp; "-" &amp; DATE(YEAR(T_Saldo[[#This Row],[Fecha]]),MONTH(T_Saldo[[#This Row],[Fecha]]),DAY(T_Saldo[[#This Row],[Fecha]]))</f>
        <v>MSFT-43799</v>
      </c>
    </row>
    <row r="100" spans="1:10" x14ac:dyDescent="0.45">
      <c r="A100" s="15">
        <v>43799</v>
      </c>
      <c r="B100" t="s">
        <v>51</v>
      </c>
      <c r="C100">
        <f>T_Saldo[[#This Row],[Valor liquidativo]]*T_Saldo[[#This Row],[Participaciones]]</f>
        <v>0</v>
      </c>
      <c r="D100" s="11">
        <f>T_Saldo[[#This Row],[Valor liquidativo (Moneda Extranjera)]]/T_Saldo[[#This Row],[Cambio]]</f>
        <v>76.329825</v>
      </c>
      <c r="E100" s="13">
        <f>IF(ISERROR(MATCH(T_Saldo[[#This Row],[Producto]],T_Stocks[Ticker],0)),1,INDEX(T_Stocks[Close],MATCH(T_Saldo[[#This Row],[ID - Product - Fecha]],T_Stocks[ID],1),1))</f>
        <v>84.11</v>
      </c>
      <c r="F100" cm="1">
        <f t="array" ref="F100">IF(T_Saldo[[#This Row],[Divisa]]="USD",INDEX(T_USD_EUR[EURUSD],MATCH(T_Saldo[[#This Row],[Fecha]],T_USD_EUR[Fecha],1),0),1)</f>
        <v>1.1019283746556474</v>
      </c>
      <c r="G100" t="str" cm="1">
        <f t="array" ref="G100">INDEX(T_Elementos[Divisa],MATCH(T_Saldo[[#This Row],[Producto]],T_Elementos[Producto],0),0)</f>
        <v>USD</v>
      </c>
      <c r="H1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0" t="str">
        <f>T_Saldo[[#This Row],[Producto]] &amp; "-" &amp; DATE(YEAR(T_Saldo[[#This Row],[Fecha]]),MONTH(T_Saldo[[#This Row],[Fecha]]),DAY(T_Saldo[[#This Row],[Fecha]]))</f>
        <v>PRHSX-43799</v>
      </c>
    </row>
    <row r="101" spans="1:10" x14ac:dyDescent="0.45">
      <c r="A101" s="15">
        <v>43799</v>
      </c>
      <c r="B101" t="s">
        <v>32</v>
      </c>
      <c r="C101">
        <f>T_Saldo[[#This Row],[Valor liquidativo]]*T_Saldo[[#This Row],[Participaciones]]</f>
        <v>0</v>
      </c>
      <c r="D101" s="11">
        <f>T_Saldo[[#This Row],[Valor liquidativo (Moneda Extranjera)]]/T_Saldo[[#This Row],[Cambio]]</f>
        <v>70.685175000000001</v>
      </c>
      <c r="E101" s="13">
        <f>IF(ISERROR(MATCH(T_Saldo[[#This Row],[Producto]],T_Stocks[Ticker],0)),1,INDEX(T_Stocks[Close],MATCH(T_Saldo[[#This Row],[ID - Product - Fecha]],T_Stocks[ID],1),1))</f>
        <v>77.89</v>
      </c>
      <c r="F101" cm="1">
        <f t="array" ref="F101">IF(T_Saldo[[#This Row],[Divisa]]="USD",INDEX(T_USD_EUR[EURUSD],MATCH(T_Saldo[[#This Row],[Fecha]],T_USD_EUR[Fecha],1),0),1)</f>
        <v>1.1019283746556474</v>
      </c>
      <c r="G101" t="str" cm="1">
        <f t="array" ref="G101">INDEX(T_Elementos[Divisa],MATCH(T_Saldo[[#This Row],[Producto]],T_Elementos[Producto],0),0)</f>
        <v>USD</v>
      </c>
      <c r="H1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1" t="str">
        <f>T_Saldo[[#This Row],[Producto]] &amp; "-" &amp; DATE(YEAR(T_Saldo[[#This Row],[Fecha]]),MONTH(T_Saldo[[#This Row],[Fecha]]),DAY(T_Saldo[[#This Row],[Fecha]]))</f>
        <v>VTSAX-43799</v>
      </c>
    </row>
    <row r="102" spans="1:10" x14ac:dyDescent="0.45">
      <c r="A102" s="15">
        <v>43830</v>
      </c>
      <c r="B102" t="s">
        <v>38</v>
      </c>
      <c r="C102">
        <f>T_Saldo[[#This Row],[Valor liquidativo]]*T_Saldo[[#This Row],[Participaciones]]</f>
        <v>6545.9697000000006</v>
      </c>
      <c r="D102" s="11">
        <f>T_Saldo[[#This Row],[Valor liquidativo (Moneda Extranjera)]]/T_Saldo[[#This Row],[Cambio]]</f>
        <v>65.459697000000006</v>
      </c>
      <c r="E102" s="13">
        <f>IF(ISERROR(MATCH(T_Saldo[[#This Row],[Producto]],T_Stocks[Ticker],0)),1,INDEX(T_Stocks[Close],MATCH(T_Saldo[[#This Row],[ID - Product - Fecha]],T_Stocks[ID],1),1))</f>
        <v>73.41</v>
      </c>
      <c r="F102" cm="1">
        <f t="array" ref="F102">IF(T_Saldo[[#This Row],[Divisa]]="USD",INDEX(T_USD_EUR[EURUSD],MATCH(T_Saldo[[#This Row],[Fecha]],T_USD_EUR[Fecha],1),0),1)</f>
        <v>1.1214534036110799</v>
      </c>
      <c r="G102" t="str" cm="1">
        <f t="array" ref="G102">INDEX(T_Elementos[Divisa],MATCH(T_Saldo[[#This Row],[Producto]],T_Elementos[Producto],0),0)</f>
        <v>USD</v>
      </c>
      <c r="H1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02" t="str">
        <f>T_Saldo[[#This Row],[Producto]] &amp; "-" &amp; DATE(YEAR(T_Saldo[[#This Row],[Fecha]]),MONTH(T_Saldo[[#This Row],[Fecha]]),DAY(T_Saldo[[#This Row],[Fecha]]))</f>
        <v>AAPL-43830</v>
      </c>
    </row>
    <row r="103" spans="1:10" x14ac:dyDescent="0.45">
      <c r="A103" s="15">
        <v>43830</v>
      </c>
      <c r="B103" t="s">
        <v>43</v>
      </c>
      <c r="C103">
        <f>T_Saldo[[#This Row],[Valor liquidativo]]*T_Saldo[[#This Row],[Participaciones]]</f>
        <v>0</v>
      </c>
      <c r="D103" s="11">
        <f>T_Saldo[[#This Row],[Valor liquidativo (Moneda Extranjera)]]/T_Saldo[[#This Row],[Cambio]]</f>
        <v>250.42</v>
      </c>
      <c r="E103" s="13">
        <f>IF(ISERROR(MATCH(T_Saldo[[#This Row],[Producto]],T_Stocks[Ticker],0)),1,INDEX(T_Stocks[Close],MATCH(T_Saldo[[#This Row],[ID - Product - Fecha]],T_Stocks[ID],1),1))</f>
        <v>250.42</v>
      </c>
      <c r="F103" cm="1">
        <f t="array" ref="F103">IF(T_Saldo[[#This Row],[Divisa]]="USD",INDEX(T_USD_EUR[EURUSD],MATCH(T_Saldo[[#This Row],[Fecha]],T_USD_EUR[Fecha],1),0),1)</f>
        <v>1</v>
      </c>
      <c r="G103" t="str" cm="1">
        <f t="array" ref="G103">INDEX(T_Elementos[Divisa],MATCH(T_Saldo[[#This Row],[Producto]],T_Elementos[Producto],0),0)</f>
        <v>EUR</v>
      </c>
      <c r="H1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3" t="str">
        <f>T_Saldo[[#This Row],[Producto]] &amp; "-" &amp; DATE(YEAR(T_Saldo[[#This Row],[Fecha]]),MONTH(T_Saldo[[#This Row],[Fecha]]),DAY(T_Saldo[[#This Row],[Fecha]]))</f>
        <v>Bonos-43830</v>
      </c>
    </row>
    <row r="104" spans="1:10" x14ac:dyDescent="0.45">
      <c r="A104" s="15">
        <v>43830</v>
      </c>
      <c r="B104" t="s">
        <v>155</v>
      </c>
      <c r="C104">
        <f>T_Saldo[[#This Row],[Valor liquidativo]]*T_Saldo[[#This Row],[Participaciones]]</f>
        <v>0</v>
      </c>
      <c r="D104" s="11">
        <f>T_Saldo[[#This Row],[Valor liquidativo (Moneda Extranjera)]]/T_Saldo[[#This Row],[Cambio]]</f>
        <v>6393.945592</v>
      </c>
      <c r="E104" s="13">
        <f>IF(ISERROR(MATCH(T_Saldo[[#This Row],[Producto]],T_Stocks[Ticker],0)),1,INDEX(T_Stocks[Close],MATCH(T_Saldo[[#This Row],[ID - Product - Fecha]],T_Stocks[ID],1),1))</f>
        <v>6393.945592</v>
      </c>
      <c r="F104" cm="1">
        <f t="array" ref="F104">IF(T_Saldo[[#This Row],[Divisa]]="USD",INDEX(T_USD_EUR[EURUSD],MATCH(T_Saldo[[#This Row],[Fecha]],T_USD_EUR[Fecha],1),0),1)</f>
        <v>1</v>
      </c>
      <c r="G104" t="str" cm="1">
        <f t="array" ref="G104">INDEX(T_Elementos[Divisa],MATCH(T_Saldo[[#This Row],[Producto]],T_Elementos[Producto],0),0)</f>
        <v>EUR</v>
      </c>
      <c r="H1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4" t="str">
        <f>T_Saldo[[#This Row],[Producto]] &amp; "-" &amp; DATE(YEAR(T_Saldo[[#This Row],[Fecha]]),MONTH(T_Saldo[[#This Row],[Fecha]]),DAY(T_Saldo[[#This Row],[Fecha]]))</f>
        <v>BTCEUR-43830</v>
      </c>
    </row>
    <row r="105" spans="1:10" x14ac:dyDescent="0.45">
      <c r="A105" s="15">
        <v>43830</v>
      </c>
      <c r="B105" t="s">
        <v>46</v>
      </c>
      <c r="C105">
        <f>T_Saldo[[#This Row],[Valor liquidativo]]*T_Saldo[[#This Row],[Participaciones]]</f>
        <v>7163.07</v>
      </c>
      <c r="D105" s="11">
        <f>T_Saldo[[#This Row],[Valor liquidativo (Moneda Extranjera)]]/T_Saldo[[#This Row],[Cambio]]</f>
        <v>1</v>
      </c>
      <c r="E105" s="13">
        <f>IF(ISERROR(MATCH(T_Saldo[[#This Row],[Producto]],T_Stocks[Ticker],0)),1,INDEX(T_Stocks[Close],MATCH(T_Saldo[[#This Row],[ID - Product - Fecha]],T_Stocks[ID],1),1))</f>
        <v>1</v>
      </c>
      <c r="F105" cm="1">
        <f t="array" ref="F105">IF(T_Saldo[[#This Row],[Divisa]]="USD",INDEX(T_USD_EUR[EURUSD],MATCH(T_Saldo[[#This Row],[Fecha]],T_USD_EUR[Fecha],1),0),1)</f>
        <v>1</v>
      </c>
      <c r="G105" t="str" cm="1">
        <f t="array" ref="G105">INDEX(T_Elementos[Divisa],MATCH(T_Saldo[[#This Row],[Producto]],T_Elementos[Producto],0),0)</f>
        <v>EUR</v>
      </c>
      <c r="H1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7163.07</v>
      </c>
      <c r="J105" t="str">
        <f>T_Saldo[[#This Row],[Producto]] &amp; "-" &amp; DATE(YEAR(T_Saldo[[#This Row],[Fecha]]),MONTH(T_Saldo[[#This Row],[Fecha]]),DAY(T_Saldo[[#This Row],[Fecha]]))</f>
        <v>CA 1-43830</v>
      </c>
    </row>
    <row r="106" spans="1:10" x14ac:dyDescent="0.45">
      <c r="A106" s="15">
        <v>43830</v>
      </c>
      <c r="B106" t="s">
        <v>10</v>
      </c>
      <c r="C106">
        <f>T_Saldo[[#This Row],[Valor liquidativo]]*T_Saldo[[#This Row],[Participaciones]]</f>
        <v>12398.539999999999</v>
      </c>
      <c r="D106" s="11">
        <f>T_Saldo[[#This Row],[Valor liquidativo (Moneda Extranjera)]]/T_Saldo[[#This Row],[Cambio]]</f>
        <v>1</v>
      </c>
      <c r="E106" s="13">
        <f>IF(ISERROR(MATCH(T_Saldo[[#This Row],[Producto]],T_Stocks[Ticker],0)),1,INDEX(T_Stocks[Close],MATCH(T_Saldo[[#This Row],[ID - Product - Fecha]],T_Stocks[ID],1),1))</f>
        <v>1</v>
      </c>
      <c r="F106" cm="1">
        <f t="array" ref="F106">IF(T_Saldo[[#This Row],[Divisa]]="USD",INDEX(T_USD_EUR[EURUSD],MATCH(T_Saldo[[#This Row],[Fecha]],T_USD_EUR[Fecha],1),0),1)</f>
        <v>1</v>
      </c>
      <c r="G106" t="str" cm="1">
        <f t="array" ref="G106">INDEX(T_Elementos[Divisa],MATCH(T_Saldo[[#This Row],[Producto]],T_Elementos[Producto],0),0)</f>
        <v>EUR</v>
      </c>
      <c r="H1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12398.539999999999</v>
      </c>
      <c r="J106" t="str">
        <f>T_Saldo[[#This Row],[Producto]] &amp; "-" &amp; DATE(YEAR(T_Saldo[[#This Row],[Fecha]]),MONTH(T_Saldo[[#This Row],[Fecha]]),DAY(T_Saldo[[#This Row],[Fecha]]))</f>
        <v>CC 1-43830</v>
      </c>
    </row>
    <row r="107" spans="1:10" x14ac:dyDescent="0.45">
      <c r="A107" s="15">
        <v>43830</v>
      </c>
      <c r="B107" t="s">
        <v>49</v>
      </c>
      <c r="C107">
        <f>T_Saldo[[#This Row],[Valor liquidativo]]*T_Saldo[[#This Row],[Participaciones]]</f>
        <v>11129.900000000001</v>
      </c>
      <c r="D107" s="11">
        <f>T_Saldo[[#This Row],[Valor liquidativo (Moneda Extranjera)]]/T_Saldo[[#This Row],[Cambio]]</f>
        <v>1</v>
      </c>
      <c r="E107" s="13">
        <f>IF(ISERROR(MATCH(T_Saldo[[#This Row],[Producto]],T_Stocks[Ticker],0)),1,INDEX(T_Stocks[Close],MATCH(T_Saldo[[#This Row],[ID - Product - Fecha]],T_Stocks[ID],1),1))</f>
        <v>1</v>
      </c>
      <c r="F107" cm="1">
        <f t="array" ref="F107">IF(T_Saldo[[#This Row],[Divisa]]="USD",INDEX(T_USD_EUR[EURUSD],MATCH(T_Saldo[[#This Row],[Fecha]],T_USD_EUR[Fecha],1),0),1)</f>
        <v>1</v>
      </c>
      <c r="G107" t="str" cm="1">
        <f t="array" ref="G107">INDEX(T_Elementos[Divisa],MATCH(T_Saldo[[#This Row],[Producto]],T_Elementos[Producto],0),0)</f>
        <v>EUR</v>
      </c>
      <c r="H1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11129.900000000001</v>
      </c>
      <c r="J107" t="str">
        <f>T_Saldo[[#This Row],[Producto]] &amp; "-" &amp; DATE(YEAR(T_Saldo[[#This Row],[Fecha]]),MONTH(T_Saldo[[#This Row],[Fecha]]),DAY(T_Saldo[[#This Row],[Fecha]]))</f>
        <v>CC 2-43830</v>
      </c>
    </row>
    <row r="108" spans="1:10" x14ac:dyDescent="0.45">
      <c r="A108" s="15">
        <v>43830</v>
      </c>
      <c r="B108" t="s">
        <v>41</v>
      </c>
      <c r="C108">
        <f>T_Saldo[[#This Row],[Valor liquidativo]]*T_Saldo[[#This Row],[Participaciones]]</f>
        <v>0</v>
      </c>
      <c r="D108" s="11">
        <f>T_Saldo[[#This Row],[Valor liquidativo (Moneda Extranjera)]]/T_Saldo[[#This Row],[Cambio]]</f>
        <v>140.62108999999998</v>
      </c>
      <c r="E108" s="13">
        <f>IF(ISERROR(MATCH(T_Saldo[[#This Row],[Producto]],T_Stocks[Ticker],0)),1,INDEX(T_Stocks[Close],MATCH(T_Saldo[[#This Row],[ID - Product - Fecha]],T_Stocks[ID],1),1))</f>
        <v>157.69999999999999</v>
      </c>
      <c r="F108" cm="1">
        <f t="array" ref="F108">IF(T_Saldo[[#This Row],[Divisa]]="USD",INDEX(T_USD_EUR[EURUSD],MATCH(T_Saldo[[#This Row],[Fecha]],T_USD_EUR[Fecha],1),0),1)</f>
        <v>1.1214534036110799</v>
      </c>
      <c r="G108" t="str" cm="1">
        <f t="array" ref="G108">INDEX(T_Elementos[Divisa],MATCH(T_Saldo[[#This Row],[Producto]],T_Elementos[Producto],0),0)</f>
        <v>USD</v>
      </c>
      <c r="H1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8" t="str">
        <f>T_Saldo[[#This Row],[Producto]] &amp; "-" &amp; DATE(YEAR(T_Saldo[[#This Row],[Fecha]]),MONTH(T_Saldo[[#This Row],[Fecha]]),DAY(T_Saldo[[#This Row],[Fecha]]))</f>
        <v>MSFT-43830</v>
      </c>
    </row>
    <row r="109" spans="1:10" x14ac:dyDescent="0.45">
      <c r="A109" s="15">
        <v>43830</v>
      </c>
      <c r="B109" t="s">
        <v>51</v>
      </c>
      <c r="C109">
        <f>T_Saldo[[#This Row],[Valor liquidativo]]*T_Saldo[[#This Row],[Participaciones]]</f>
        <v>0</v>
      </c>
      <c r="D109" s="11">
        <f>T_Saldo[[#This Row],[Valor liquidativo (Moneda Extranjera)]]/T_Saldo[[#This Row],[Cambio]]</f>
        <v>72.611131000000015</v>
      </c>
      <c r="E109" s="13">
        <f>IF(ISERROR(MATCH(T_Saldo[[#This Row],[Producto]],T_Stocks[Ticker],0)),1,INDEX(T_Stocks[Close],MATCH(T_Saldo[[#This Row],[ID - Product - Fecha]],T_Stocks[ID],1),1))</f>
        <v>81.430000000000007</v>
      </c>
      <c r="F109" cm="1">
        <f t="array" ref="F109">IF(T_Saldo[[#This Row],[Divisa]]="USD",INDEX(T_USD_EUR[EURUSD],MATCH(T_Saldo[[#This Row],[Fecha]],T_USD_EUR[Fecha],1),0),1)</f>
        <v>1.1214534036110799</v>
      </c>
      <c r="G109" t="str" cm="1">
        <f t="array" ref="G109">INDEX(T_Elementos[Divisa],MATCH(T_Saldo[[#This Row],[Producto]],T_Elementos[Producto],0),0)</f>
        <v>USD</v>
      </c>
      <c r="H1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09" t="str">
        <f>T_Saldo[[#This Row],[Producto]] &amp; "-" &amp; DATE(YEAR(T_Saldo[[#This Row],[Fecha]]),MONTH(T_Saldo[[#This Row],[Fecha]]),DAY(T_Saldo[[#This Row],[Fecha]]))</f>
        <v>PRHSX-43830</v>
      </c>
    </row>
    <row r="110" spans="1:10" x14ac:dyDescent="0.45">
      <c r="A110" s="15">
        <v>43830</v>
      </c>
      <c r="B110" t="s">
        <v>32</v>
      </c>
      <c r="C110">
        <f>T_Saldo[[#This Row],[Valor liquidativo]]*T_Saldo[[#This Row],[Participaciones]]</f>
        <v>0</v>
      </c>
      <c r="D110" s="11">
        <f>T_Saldo[[#This Row],[Valor liquidativo (Moneda Extranjera)]]/T_Saldo[[#This Row],[Cambio]]</f>
        <v>71.059573</v>
      </c>
      <c r="E110" s="13">
        <f>IF(ISERROR(MATCH(T_Saldo[[#This Row],[Producto]],T_Stocks[Ticker],0)),1,INDEX(T_Stocks[Close],MATCH(T_Saldo[[#This Row],[ID - Product - Fecha]],T_Stocks[ID],1),1))</f>
        <v>79.69</v>
      </c>
      <c r="F110" cm="1">
        <f t="array" ref="F110">IF(T_Saldo[[#This Row],[Divisa]]="USD",INDEX(T_USD_EUR[EURUSD],MATCH(T_Saldo[[#This Row],[Fecha]],T_USD_EUR[Fecha],1),0),1)</f>
        <v>1.1214534036110799</v>
      </c>
      <c r="G110" t="str" cm="1">
        <f t="array" ref="G110">INDEX(T_Elementos[Divisa],MATCH(T_Saldo[[#This Row],[Producto]],T_Elementos[Producto],0),0)</f>
        <v>USD</v>
      </c>
      <c r="H1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0" t="str">
        <f>T_Saldo[[#This Row],[Producto]] &amp; "-" &amp; DATE(YEAR(T_Saldo[[#This Row],[Fecha]]),MONTH(T_Saldo[[#This Row],[Fecha]]),DAY(T_Saldo[[#This Row],[Fecha]]))</f>
        <v>VTSAX-43830</v>
      </c>
    </row>
    <row r="111" spans="1:10" x14ac:dyDescent="0.45">
      <c r="A111" s="15">
        <v>43861</v>
      </c>
      <c r="B111" t="s">
        <v>38</v>
      </c>
      <c r="C111">
        <f>T_Saldo[[#This Row],[Valor liquidativo]]*T_Saldo[[#This Row],[Participaciones]]</f>
        <v>6974.2593999999999</v>
      </c>
      <c r="D111" s="11">
        <f>T_Saldo[[#This Row],[Valor liquidativo (Moneda Extranjera)]]/T_Saldo[[#This Row],[Cambio]]</f>
        <v>69.742593999999997</v>
      </c>
      <c r="E111" s="13">
        <f>IF(ISERROR(MATCH(T_Saldo[[#This Row],[Producto]],T_Stocks[Ticker],0)),1,INDEX(T_Stocks[Close],MATCH(T_Saldo[[#This Row],[ID - Product - Fecha]],T_Stocks[ID],1),1))</f>
        <v>77.38</v>
      </c>
      <c r="F111" cm="1">
        <f t="array" ref="F111">IF(T_Saldo[[#This Row],[Divisa]]="USD",INDEX(T_USD_EUR[EURUSD],MATCH(T_Saldo[[#This Row],[Fecha]],T_USD_EUR[Fecha],1),0),1)</f>
        <v>1.1095084877399313</v>
      </c>
      <c r="G111" t="str" cm="1">
        <f t="array" ref="G111">INDEX(T_Elementos[Divisa],MATCH(T_Saldo[[#This Row],[Producto]],T_Elementos[Producto],0),0)</f>
        <v>USD</v>
      </c>
      <c r="H1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11" t="str">
        <f>T_Saldo[[#This Row],[Producto]] &amp; "-" &amp; DATE(YEAR(T_Saldo[[#This Row],[Fecha]]),MONTH(T_Saldo[[#This Row],[Fecha]]),DAY(T_Saldo[[#This Row],[Fecha]]))</f>
        <v>AAPL-43861</v>
      </c>
    </row>
    <row r="112" spans="1:10" x14ac:dyDescent="0.45">
      <c r="A112" s="15">
        <v>43861</v>
      </c>
      <c r="B112" t="s">
        <v>43</v>
      </c>
      <c r="C112">
        <f>T_Saldo[[#This Row],[Valor liquidativo]]*T_Saldo[[#This Row],[Participaciones]]</f>
        <v>0</v>
      </c>
      <c r="D112" s="11">
        <f>T_Saldo[[#This Row],[Valor liquidativo (Moneda Extranjera)]]/T_Saldo[[#This Row],[Cambio]]</f>
        <v>250.42</v>
      </c>
      <c r="E112" s="13">
        <f>IF(ISERROR(MATCH(T_Saldo[[#This Row],[Producto]],T_Stocks[Ticker],0)),1,INDEX(T_Stocks[Close],MATCH(T_Saldo[[#This Row],[ID - Product - Fecha]],T_Stocks[ID],1),1))</f>
        <v>250.42</v>
      </c>
      <c r="F112" cm="1">
        <f t="array" ref="F112">IF(T_Saldo[[#This Row],[Divisa]]="USD",INDEX(T_USD_EUR[EURUSD],MATCH(T_Saldo[[#This Row],[Fecha]],T_USD_EUR[Fecha],1),0),1)</f>
        <v>1</v>
      </c>
      <c r="G112" t="str" cm="1">
        <f t="array" ref="G112">INDEX(T_Elementos[Divisa],MATCH(T_Saldo[[#This Row],[Producto]],T_Elementos[Producto],0),0)</f>
        <v>EUR</v>
      </c>
      <c r="H1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2" t="str">
        <f>T_Saldo[[#This Row],[Producto]] &amp; "-" &amp; DATE(YEAR(T_Saldo[[#This Row],[Fecha]]),MONTH(T_Saldo[[#This Row],[Fecha]]),DAY(T_Saldo[[#This Row],[Fecha]]))</f>
        <v>Bonos-43861</v>
      </c>
    </row>
    <row r="113" spans="1:10" x14ac:dyDescent="0.45">
      <c r="A113" s="15">
        <v>43861</v>
      </c>
      <c r="B113" t="s">
        <v>155</v>
      </c>
      <c r="C113">
        <f>T_Saldo[[#This Row],[Valor liquidativo]]*T_Saldo[[#This Row],[Participaciones]]</f>
        <v>0</v>
      </c>
      <c r="D113" s="11">
        <f>T_Saldo[[#This Row],[Valor liquidativo (Moneda Extranjera)]]/T_Saldo[[#This Row],[Cambio]]</f>
        <v>8415.868219</v>
      </c>
      <c r="E113" s="13">
        <f>IF(ISERROR(MATCH(T_Saldo[[#This Row],[Producto]],T_Stocks[Ticker],0)),1,INDEX(T_Stocks[Close],MATCH(T_Saldo[[#This Row],[ID - Product - Fecha]],T_Stocks[ID],1),1))</f>
        <v>8415.868219</v>
      </c>
      <c r="F113" cm="1">
        <f t="array" ref="F113">IF(T_Saldo[[#This Row],[Divisa]]="USD",INDEX(T_USD_EUR[EURUSD],MATCH(T_Saldo[[#This Row],[Fecha]],T_USD_EUR[Fecha],1),0),1)</f>
        <v>1</v>
      </c>
      <c r="G113" t="str" cm="1">
        <f t="array" ref="G113">INDEX(T_Elementos[Divisa],MATCH(T_Saldo[[#This Row],[Producto]],T_Elementos[Producto],0),0)</f>
        <v>EUR</v>
      </c>
      <c r="H1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3" t="str">
        <f>T_Saldo[[#This Row],[Producto]] &amp; "-" &amp; DATE(YEAR(T_Saldo[[#This Row],[Fecha]]),MONTH(T_Saldo[[#This Row],[Fecha]]),DAY(T_Saldo[[#This Row],[Fecha]]))</f>
        <v>BTCEUR-43861</v>
      </c>
    </row>
    <row r="114" spans="1:10" x14ac:dyDescent="0.45">
      <c r="A114" s="15">
        <v>43861</v>
      </c>
      <c r="B114" t="s">
        <v>46</v>
      </c>
      <c r="C114">
        <f>T_Saldo[[#This Row],[Valor liquidativo]]*T_Saldo[[#This Row],[Participaciones]]</f>
        <v>7003.05</v>
      </c>
      <c r="D114" s="11">
        <f>T_Saldo[[#This Row],[Valor liquidativo (Moneda Extranjera)]]/T_Saldo[[#This Row],[Cambio]]</f>
        <v>1</v>
      </c>
      <c r="E114" s="13">
        <f>IF(ISERROR(MATCH(T_Saldo[[#This Row],[Producto]],T_Stocks[Ticker],0)),1,INDEX(T_Stocks[Close],MATCH(T_Saldo[[#This Row],[ID - Product - Fecha]],T_Stocks[ID],1),1))</f>
        <v>1</v>
      </c>
      <c r="F114" cm="1">
        <f t="array" ref="F114">IF(T_Saldo[[#This Row],[Divisa]]="USD",INDEX(T_USD_EUR[EURUSD],MATCH(T_Saldo[[#This Row],[Fecha]],T_USD_EUR[Fecha],1),0),1)</f>
        <v>1</v>
      </c>
      <c r="G114" t="str" cm="1">
        <f t="array" ref="G114">INDEX(T_Elementos[Divisa],MATCH(T_Saldo[[#This Row],[Producto]],T_Elementos[Producto],0),0)</f>
        <v>EUR</v>
      </c>
      <c r="H1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7003.05</v>
      </c>
      <c r="J114" t="str">
        <f>T_Saldo[[#This Row],[Producto]] &amp; "-" &amp; DATE(YEAR(T_Saldo[[#This Row],[Fecha]]),MONTH(T_Saldo[[#This Row],[Fecha]]),DAY(T_Saldo[[#This Row],[Fecha]]))</f>
        <v>CA 1-43861</v>
      </c>
    </row>
    <row r="115" spans="1:10" x14ac:dyDescent="0.45">
      <c r="A115" s="15">
        <v>43861</v>
      </c>
      <c r="B115" t="s">
        <v>10</v>
      </c>
      <c r="C115">
        <f>T_Saldo[[#This Row],[Valor liquidativo]]*T_Saldo[[#This Row],[Participaciones]]</f>
        <v>12365.789999999999</v>
      </c>
      <c r="D115" s="11">
        <f>T_Saldo[[#This Row],[Valor liquidativo (Moneda Extranjera)]]/T_Saldo[[#This Row],[Cambio]]</f>
        <v>1</v>
      </c>
      <c r="E115" s="13">
        <f>IF(ISERROR(MATCH(T_Saldo[[#This Row],[Producto]],T_Stocks[Ticker],0)),1,INDEX(T_Stocks[Close],MATCH(T_Saldo[[#This Row],[ID - Product - Fecha]],T_Stocks[ID],1),1))</f>
        <v>1</v>
      </c>
      <c r="F115" cm="1">
        <f t="array" ref="F115">IF(T_Saldo[[#This Row],[Divisa]]="USD",INDEX(T_USD_EUR[EURUSD],MATCH(T_Saldo[[#This Row],[Fecha]],T_USD_EUR[Fecha],1),0),1)</f>
        <v>1</v>
      </c>
      <c r="G115" t="str" cm="1">
        <f t="array" ref="G115">INDEX(T_Elementos[Divisa],MATCH(T_Saldo[[#This Row],[Producto]],T_Elementos[Producto],0),0)</f>
        <v>EUR</v>
      </c>
      <c r="H1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12365.789999999999</v>
      </c>
      <c r="J115" t="str">
        <f>T_Saldo[[#This Row],[Producto]] &amp; "-" &amp; DATE(YEAR(T_Saldo[[#This Row],[Fecha]]),MONTH(T_Saldo[[#This Row],[Fecha]]),DAY(T_Saldo[[#This Row],[Fecha]]))</f>
        <v>CC 1-43861</v>
      </c>
    </row>
    <row r="116" spans="1:10" x14ac:dyDescent="0.45">
      <c r="A116" s="15">
        <v>43861</v>
      </c>
      <c r="B116" t="s">
        <v>49</v>
      </c>
      <c r="C116">
        <f>T_Saldo[[#This Row],[Valor liquidativo]]*T_Saldo[[#This Row],[Participaciones]]</f>
        <v>10949.980000000001</v>
      </c>
      <c r="D116" s="11">
        <f>T_Saldo[[#This Row],[Valor liquidativo (Moneda Extranjera)]]/T_Saldo[[#This Row],[Cambio]]</f>
        <v>1</v>
      </c>
      <c r="E116" s="13">
        <f>IF(ISERROR(MATCH(T_Saldo[[#This Row],[Producto]],T_Stocks[Ticker],0)),1,INDEX(T_Stocks[Close],MATCH(T_Saldo[[#This Row],[ID - Product - Fecha]],T_Stocks[ID],1),1))</f>
        <v>1</v>
      </c>
      <c r="F116" cm="1">
        <f t="array" ref="F116">IF(T_Saldo[[#This Row],[Divisa]]="USD",INDEX(T_USD_EUR[EURUSD],MATCH(T_Saldo[[#This Row],[Fecha]],T_USD_EUR[Fecha],1),0),1)</f>
        <v>1</v>
      </c>
      <c r="G116" t="str" cm="1">
        <f t="array" ref="G116">INDEX(T_Elementos[Divisa],MATCH(T_Saldo[[#This Row],[Producto]],T_Elementos[Producto],0),0)</f>
        <v>EUR</v>
      </c>
      <c r="H1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10949.980000000001</v>
      </c>
      <c r="J116" t="str">
        <f>T_Saldo[[#This Row],[Producto]] &amp; "-" &amp; DATE(YEAR(T_Saldo[[#This Row],[Fecha]]),MONTH(T_Saldo[[#This Row],[Fecha]]),DAY(T_Saldo[[#This Row],[Fecha]]))</f>
        <v>CC 2-43861</v>
      </c>
    </row>
    <row r="117" spans="1:10" x14ac:dyDescent="0.45">
      <c r="A117" s="15">
        <v>43861</v>
      </c>
      <c r="B117" t="s">
        <v>41</v>
      </c>
      <c r="C117">
        <f>T_Saldo[[#This Row],[Valor liquidativo]]*T_Saldo[[#This Row],[Participaciones]]</f>
        <v>0</v>
      </c>
      <c r="D117" s="11">
        <f>T_Saldo[[#This Row],[Valor liquidativo (Moneda Extranjera)]]/T_Saldo[[#This Row],[Cambio]]</f>
        <v>153.42829899999998</v>
      </c>
      <c r="E117" s="13">
        <f>IF(ISERROR(MATCH(T_Saldo[[#This Row],[Producto]],T_Stocks[Ticker],0)),1,INDEX(T_Stocks[Close],MATCH(T_Saldo[[#This Row],[ID - Product - Fecha]],T_Stocks[ID],1),1))</f>
        <v>170.23</v>
      </c>
      <c r="F117" cm="1">
        <f t="array" ref="F117">IF(T_Saldo[[#This Row],[Divisa]]="USD",INDEX(T_USD_EUR[EURUSD],MATCH(T_Saldo[[#This Row],[Fecha]],T_USD_EUR[Fecha],1),0),1)</f>
        <v>1.1095084877399313</v>
      </c>
      <c r="G117" t="str" cm="1">
        <f t="array" ref="G117">INDEX(T_Elementos[Divisa],MATCH(T_Saldo[[#This Row],[Producto]],T_Elementos[Producto],0),0)</f>
        <v>USD</v>
      </c>
      <c r="H1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7" t="str">
        <f>T_Saldo[[#This Row],[Producto]] &amp; "-" &amp; DATE(YEAR(T_Saldo[[#This Row],[Fecha]]),MONTH(T_Saldo[[#This Row],[Fecha]]),DAY(T_Saldo[[#This Row],[Fecha]]))</f>
        <v>MSFT-43861</v>
      </c>
    </row>
    <row r="118" spans="1:10" x14ac:dyDescent="0.45">
      <c r="A118" s="15">
        <v>43861</v>
      </c>
      <c r="B118" t="s">
        <v>51</v>
      </c>
      <c r="C118">
        <f>T_Saldo[[#This Row],[Valor liquidativo]]*T_Saldo[[#This Row],[Participaciones]]</f>
        <v>0</v>
      </c>
      <c r="D118" s="11">
        <f>T_Saldo[[#This Row],[Valor liquidativo (Moneda Extranjera)]]/T_Saldo[[#This Row],[Cambio]]</f>
        <v>71.419011999999995</v>
      </c>
      <c r="E118" s="13">
        <f>IF(ISERROR(MATCH(T_Saldo[[#This Row],[Producto]],T_Stocks[Ticker],0)),1,INDEX(T_Stocks[Close],MATCH(T_Saldo[[#This Row],[ID - Product - Fecha]],T_Stocks[ID],1),1))</f>
        <v>79.239999999999995</v>
      </c>
      <c r="F118" cm="1">
        <f t="array" ref="F118">IF(T_Saldo[[#This Row],[Divisa]]="USD",INDEX(T_USD_EUR[EURUSD],MATCH(T_Saldo[[#This Row],[Fecha]],T_USD_EUR[Fecha],1),0),1)</f>
        <v>1.1095084877399313</v>
      </c>
      <c r="G118" t="str" cm="1">
        <f t="array" ref="G118">INDEX(T_Elementos[Divisa],MATCH(T_Saldo[[#This Row],[Producto]],T_Elementos[Producto],0),0)</f>
        <v>USD</v>
      </c>
      <c r="H1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8" t="str">
        <f>T_Saldo[[#This Row],[Producto]] &amp; "-" &amp; DATE(YEAR(T_Saldo[[#This Row],[Fecha]]),MONTH(T_Saldo[[#This Row],[Fecha]]),DAY(T_Saldo[[#This Row],[Fecha]]))</f>
        <v>PRHSX-43861</v>
      </c>
    </row>
    <row r="119" spans="1:10" x14ac:dyDescent="0.45">
      <c r="A119" s="15">
        <v>43861</v>
      </c>
      <c r="B119" t="s">
        <v>32</v>
      </c>
      <c r="C119">
        <f>T_Saldo[[#This Row],[Valor liquidativo]]*T_Saldo[[#This Row],[Participaciones]]</f>
        <v>0</v>
      </c>
      <c r="D119" s="11">
        <f>T_Saldo[[#This Row],[Valor liquidativo (Moneda Extranjera)]]/T_Saldo[[#This Row],[Cambio]]</f>
        <v>71.770518999999993</v>
      </c>
      <c r="E119" s="13">
        <f>IF(ISERROR(MATCH(T_Saldo[[#This Row],[Producto]],T_Stocks[Ticker],0)),1,INDEX(T_Stocks[Close],MATCH(T_Saldo[[#This Row],[ID - Product - Fecha]],T_Stocks[ID],1),1))</f>
        <v>79.63</v>
      </c>
      <c r="F119" cm="1">
        <f t="array" ref="F119">IF(T_Saldo[[#This Row],[Divisa]]="USD",INDEX(T_USD_EUR[EURUSD],MATCH(T_Saldo[[#This Row],[Fecha]],T_USD_EUR[Fecha],1),0),1)</f>
        <v>1.1095084877399313</v>
      </c>
      <c r="G119" t="str" cm="1">
        <f t="array" ref="G119">INDEX(T_Elementos[Divisa],MATCH(T_Saldo[[#This Row],[Producto]],T_Elementos[Producto],0),0)</f>
        <v>USD</v>
      </c>
      <c r="H1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19" t="str">
        <f>T_Saldo[[#This Row],[Producto]] &amp; "-" &amp; DATE(YEAR(T_Saldo[[#This Row],[Fecha]]),MONTH(T_Saldo[[#This Row],[Fecha]]),DAY(T_Saldo[[#This Row],[Fecha]]))</f>
        <v>VTSAX-43861</v>
      </c>
    </row>
    <row r="120" spans="1:10" x14ac:dyDescent="0.45">
      <c r="A120" s="15">
        <v>43890</v>
      </c>
      <c r="B120" t="s">
        <v>38</v>
      </c>
      <c r="C120">
        <f>T_Saldo[[#This Row],[Valor liquidativo]]*T_Saldo[[#This Row],[Participaciones]]</f>
        <v>6197.0712000000003</v>
      </c>
      <c r="D120" s="11">
        <f>T_Saldo[[#This Row],[Valor liquidativo (Moneda Extranjera)]]/T_Saldo[[#This Row],[Cambio]]</f>
        <v>61.970712000000006</v>
      </c>
      <c r="E120" s="13">
        <f>IF(ISERROR(MATCH(T_Saldo[[#This Row],[Producto]],T_Stocks[Ticker],0)),1,INDEX(T_Stocks[Close],MATCH(T_Saldo[[#This Row],[ID - Product - Fecha]],T_Stocks[ID],1),1))</f>
        <v>68.34</v>
      </c>
      <c r="F120" cm="1">
        <f t="array" ref="F120">IF(T_Saldo[[#This Row],[Divisa]]="USD",INDEX(T_USD_EUR[EURUSD],MATCH(T_Saldo[[#This Row],[Fecha]],T_USD_EUR[Fecha],1),0),1)</f>
        <v>1.1027790030877811</v>
      </c>
      <c r="G120" t="str" cm="1">
        <f t="array" ref="G120">INDEX(T_Elementos[Divisa],MATCH(T_Saldo[[#This Row],[Producto]],T_Elementos[Producto],0),0)</f>
        <v>USD</v>
      </c>
      <c r="H1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20" t="str">
        <f>T_Saldo[[#This Row],[Producto]] &amp; "-" &amp; DATE(YEAR(T_Saldo[[#This Row],[Fecha]]),MONTH(T_Saldo[[#This Row],[Fecha]]),DAY(T_Saldo[[#This Row],[Fecha]]))</f>
        <v>AAPL-43890</v>
      </c>
    </row>
    <row r="121" spans="1:10" x14ac:dyDescent="0.45">
      <c r="A121" s="15">
        <v>43890</v>
      </c>
      <c r="B121" t="s">
        <v>43</v>
      </c>
      <c r="C121">
        <f>T_Saldo[[#This Row],[Valor liquidativo]]*T_Saldo[[#This Row],[Participaciones]]</f>
        <v>0</v>
      </c>
      <c r="D121" s="11">
        <f>T_Saldo[[#This Row],[Valor liquidativo (Moneda Extranjera)]]/T_Saldo[[#This Row],[Cambio]]</f>
        <v>250.42</v>
      </c>
      <c r="E121" s="13">
        <f>IF(ISERROR(MATCH(T_Saldo[[#This Row],[Producto]],T_Stocks[Ticker],0)),1,INDEX(T_Stocks[Close],MATCH(T_Saldo[[#This Row],[ID - Product - Fecha]],T_Stocks[ID],1),1))</f>
        <v>250.42</v>
      </c>
      <c r="F121" cm="1">
        <f t="array" ref="F121">IF(T_Saldo[[#This Row],[Divisa]]="USD",INDEX(T_USD_EUR[EURUSD],MATCH(T_Saldo[[#This Row],[Fecha]],T_USD_EUR[Fecha],1),0),1)</f>
        <v>1</v>
      </c>
      <c r="G121" t="str" cm="1">
        <f t="array" ref="G121">INDEX(T_Elementos[Divisa],MATCH(T_Saldo[[#This Row],[Producto]],T_Elementos[Producto],0),0)</f>
        <v>EUR</v>
      </c>
      <c r="H1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21" t="str">
        <f>T_Saldo[[#This Row],[Producto]] &amp; "-" &amp; DATE(YEAR(T_Saldo[[#This Row],[Fecha]]),MONTH(T_Saldo[[#This Row],[Fecha]]),DAY(T_Saldo[[#This Row],[Fecha]]))</f>
        <v>Bonos-43890</v>
      </c>
    </row>
    <row r="122" spans="1:10" x14ac:dyDescent="0.45">
      <c r="A122" s="15">
        <v>43890</v>
      </c>
      <c r="B122" t="s">
        <v>155</v>
      </c>
      <c r="C122">
        <f>T_Saldo[[#This Row],[Valor liquidativo]]*T_Saldo[[#This Row],[Participaciones]]</f>
        <v>0</v>
      </c>
      <c r="D122" s="11">
        <f>T_Saldo[[#This Row],[Valor liquidativo (Moneda Extranjera)]]/T_Saldo[[#This Row],[Cambio]]</f>
        <v>7736.0496210000001</v>
      </c>
      <c r="E122" s="13">
        <f>IF(ISERROR(MATCH(T_Saldo[[#This Row],[Producto]],T_Stocks[Ticker],0)),1,INDEX(T_Stocks[Close],MATCH(T_Saldo[[#This Row],[ID - Product - Fecha]],T_Stocks[ID],1),1))</f>
        <v>7736.0496210000001</v>
      </c>
      <c r="F122" cm="1">
        <f t="array" ref="F122">IF(T_Saldo[[#This Row],[Divisa]]="USD",INDEX(T_USD_EUR[EURUSD],MATCH(T_Saldo[[#This Row],[Fecha]],T_USD_EUR[Fecha],1),0),1)</f>
        <v>1</v>
      </c>
      <c r="G122" t="str" cm="1">
        <f t="array" ref="G122">INDEX(T_Elementos[Divisa],MATCH(T_Saldo[[#This Row],[Producto]],T_Elementos[Producto],0),0)</f>
        <v>EUR</v>
      </c>
      <c r="H1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22" t="str">
        <f>T_Saldo[[#This Row],[Producto]] &amp; "-" &amp; DATE(YEAR(T_Saldo[[#This Row],[Fecha]]),MONTH(T_Saldo[[#This Row],[Fecha]]),DAY(T_Saldo[[#This Row],[Fecha]]))</f>
        <v>BTCEUR-43890</v>
      </c>
    </row>
    <row r="123" spans="1:10" x14ac:dyDescent="0.45">
      <c r="A123" s="15">
        <v>43890</v>
      </c>
      <c r="B123" t="s">
        <v>46</v>
      </c>
      <c r="C123">
        <f>T_Saldo[[#This Row],[Valor liquidativo]]*T_Saldo[[#This Row],[Participaciones]]</f>
        <v>6857.93</v>
      </c>
      <c r="D123" s="11">
        <f>T_Saldo[[#This Row],[Valor liquidativo (Moneda Extranjera)]]/T_Saldo[[#This Row],[Cambio]]</f>
        <v>1</v>
      </c>
      <c r="E123" s="13">
        <f>IF(ISERROR(MATCH(T_Saldo[[#This Row],[Producto]],T_Stocks[Ticker],0)),1,INDEX(T_Stocks[Close],MATCH(T_Saldo[[#This Row],[ID - Product - Fecha]],T_Stocks[ID],1),1))</f>
        <v>1</v>
      </c>
      <c r="F123" cm="1">
        <f t="array" ref="F123">IF(T_Saldo[[#This Row],[Divisa]]="USD",INDEX(T_USD_EUR[EURUSD],MATCH(T_Saldo[[#This Row],[Fecha]],T_USD_EUR[Fecha],1),0),1)</f>
        <v>1</v>
      </c>
      <c r="G123" t="str" cm="1">
        <f t="array" ref="G123">INDEX(T_Elementos[Divisa],MATCH(T_Saldo[[#This Row],[Producto]],T_Elementos[Producto],0),0)</f>
        <v>EUR</v>
      </c>
      <c r="H1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6857.93</v>
      </c>
      <c r="J123" t="str">
        <f>T_Saldo[[#This Row],[Producto]] &amp; "-" &amp; DATE(YEAR(T_Saldo[[#This Row],[Fecha]]),MONTH(T_Saldo[[#This Row],[Fecha]]),DAY(T_Saldo[[#This Row],[Fecha]]))</f>
        <v>CA 1-43890</v>
      </c>
    </row>
    <row r="124" spans="1:10" x14ac:dyDescent="0.45">
      <c r="A124" s="15">
        <v>43890</v>
      </c>
      <c r="B124" t="s">
        <v>10</v>
      </c>
      <c r="C124">
        <f>T_Saldo[[#This Row],[Valor liquidativo]]*T_Saldo[[#This Row],[Participaciones]]</f>
        <v>15093.429999999998</v>
      </c>
      <c r="D124" s="11">
        <f>T_Saldo[[#This Row],[Valor liquidativo (Moneda Extranjera)]]/T_Saldo[[#This Row],[Cambio]]</f>
        <v>1</v>
      </c>
      <c r="E124" s="13">
        <f>IF(ISERROR(MATCH(T_Saldo[[#This Row],[Producto]],T_Stocks[Ticker],0)),1,INDEX(T_Stocks[Close],MATCH(T_Saldo[[#This Row],[ID - Product - Fecha]],T_Stocks[ID],1),1))</f>
        <v>1</v>
      </c>
      <c r="F124" cm="1">
        <f t="array" ref="F124">IF(T_Saldo[[#This Row],[Divisa]]="USD",INDEX(T_USD_EUR[EURUSD],MATCH(T_Saldo[[#This Row],[Fecha]],T_USD_EUR[Fecha],1),0),1)</f>
        <v>1</v>
      </c>
      <c r="G124" t="str" cm="1">
        <f t="array" ref="G124">INDEX(T_Elementos[Divisa],MATCH(T_Saldo[[#This Row],[Producto]],T_Elementos[Producto],0),0)</f>
        <v>EUR</v>
      </c>
      <c r="H1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15093.429999999998</v>
      </c>
      <c r="J124" t="str">
        <f>T_Saldo[[#This Row],[Producto]] &amp; "-" &amp; DATE(YEAR(T_Saldo[[#This Row],[Fecha]]),MONTH(T_Saldo[[#This Row],[Fecha]]),DAY(T_Saldo[[#This Row],[Fecha]]))</f>
        <v>CC 1-43890</v>
      </c>
    </row>
    <row r="125" spans="1:10" x14ac:dyDescent="0.45">
      <c r="A125" s="15">
        <v>43890</v>
      </c>
      <c r="B125" t="s">
        <v>49</v>
      </c>
      <c r="C125">
        <f>T_Saldo[[#This Row],[Valor liquidativo]]*T_Saldo[[#This Row],[Participaciones]]</f>
        <v>10447.130000000001</v>
      </c>
      <c r="D125" s="11">
        <f>T_Saldo[[#This Row],[Valor liquidativo (Moneda Extranjera)]]/T_Saldo[[#This Row],[Cambio]]</f>
        <v>1</v>
      </c>
      <c r="E125" s="13">
        <f>IF(ISERROR(MATCH(T_Saldo[[#This Row],[Producto]],T_Stocks[Ticker],0)),1,INDEX(T_Stocks[Close],MATCH(T_Saldo[[#This Row],[ID - Product - Fecha]],T_Stocks[ID],1),1))</f>
        <v>1</v>
      </c>
      <c r="F125" cm="1">
        <f t="array" ref="F125">IF(T_Saldo[[#This Row],[Divisa]]="USD",INDEX(T_USD_EUR[EURUSD],MATCH(T_Saldo[[#This Row],[Fecha]],T_USD_EUR[Fecha],1),0),1)</f>
        <v>1</v>
      </c>
      <c r="G125" t="str" cm="1">
        <f t="array" ref="G125">INDEX(T_Elementos[Divisa],MATCH(T_Saldo[[#This Row],[Producto]],T_Elementos[Producto],0),0)</f>
        <v>EUR</v>
      </c>
      <c r="H1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10447.130000000001</v>
      </c>
      <c r="J125" t="str">
        <f>T_Saldo[[#This Row],[Producto]] &amp; "-" &amp; DATE(YEAR(T_Saldo[[#This Row],[Fecha]]),MONTH(T_Saldo[[#This Row],[Fecha]]),DAY(T_Saldo[[#This Row],[Fecha]]))</f>
        <v>CC 2-43890</v>
      </c>
    </row>
    <row r="126" spans="1:10" x14ac:dyDescent="0.45">
      <c r="A126" s="15">
        <v>43890</v>
      </c>
      <c r="B126" t="s">
        <v>41</v>
      </c>
      <c r="C126">
        <f>T_Saldo[[#This Row],[Valor liquidativo]]*T_Saldo[[#This Row],[Participaciones]]</f>
        <v>0</v>
      </c>
      <c r="D126" s="11">
        <f>T_Saldo[[#This Row],[Valor liquidativo (Moneda Extranjera)]]/T_Saldo[[#This Row],[Cambio]]</f>
        <v>146.91066800000002</v>
      </c>
      <c r="E126" s="13">
        <f>IF(ISERROR(MATCH(T_Saldo[[#This Row],[Producto]],T_Stocks[Ticker],0)),1,INDEX(T_Stocks[Close],MATCH(T_Saldo[[#This Row],[ID - Product - Fecha]],T_Stocks[ID],1),1))</f>
        <v>162.01</v>
      </c>
      <c r="F126" cm="1">
        <f t="array" ref="F126">IF(T_Saldo[[#This Row],[Divisa]]="USD",INDEX(T_USD_EUR[EURUSD],MATCH(T_Saldo[[#This Row],[Fecha]],T_USD_EUR[Fecha],1),0),1)</f>
        <v>1.1027790030877811</v>
      </c>
      <c r="G126" t="str" cm="1">
        <f t="array" ref="G126">INDEX(T_Elementos[Divisa],MATCH(T_Saldo[[#This Row],[Producto]],T_Elementos[Producto],0),0)</f>
        <v>USD</v>
      </c>
      <c r="H1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26" t="str">
        <f>T_Saldo[[#This Row],[Producto]] &amp; "-" &amp; DATE(YEAR(T_Saldo[[#This Row],[Fecha]]),MONTH(T_Saldo[[#This Row],[Fecha]]),DAY(T_Saldo[[#This Row],[Fecha]]))</f>
        <v>MSFT-43890</v>
      </c>
    </row>
    <row r="127" spans="1:10" x14ac:dyDescent="0.45">
      <c r="A127" s="15">
        <v>43890</v>
      </c>
      <c r="B127" t="s">
        <v>51</v>
      </c>
      <c r="C127">
        <f>T_Saldo[[#This Row],[Valor liquidativo]]*T_Saldo[[#This Row],[Participaciones]]</f>
        <v>0</v>
      </c>
      <c r="D127" s="11">
        <f>T_Saldo[[#This Row],[Valor liquidativo (Moneda Extranjera)]]/T_Saldo[[#This Row],[Cambio]]</f>
        <v>68.726372000000012</v>
      </c>
      <c r="E127" s="13">
        <f>IF(ISERROR(MATCH(T_Saldo[[#This Row],[Producto]],T_Stocks[Ticker],0)),1,INDEX(T_Stocks[Close],MATCH(T_Saldo[[#This Row],[ID - Product - Fecha]],T_Stocks[ID],1),1))</f>
        <v>75.790000000000006</v>
      </c>
      <c r="F127" cm="1">
        <f t="array" ref="F127">IF(T_Saldo[[#This Row],[Divisa]]="USD",INDEX(T_USD_EUR[EURUSD],MATCH(T_Saldo[[#This Row],[Fecha]],T_USD_EUR[Fecha],1),0),1)</f>
        <v>1.1027790030877811</v>
      </c>
      <c r="G127" t="str" cm="1">
        <f t="array" ref="G127">INDEX(T_Elementos[Divisa],MATCH(T_Saldo[[#This Row],[Producto]],T_Elementos[Producto],0),0)</f>
        <v>USD</v>
      </c>
      <c r="H1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27" t="str">
        <f>T_Saldo[[#This Row],[Producto]] &amp; "-" &amp; DATE(YEAR(T_Saldo[[#This Row],[Fecha]]),MONTH(T_Saldo[[#This Row],[Fecha]]),DAY(T_Saldo[[#This Row],[Fecha]]))</f>
        <v>PRHSX-43890</v>
      </c>
    </row>
    <row r="128" spans="1:10" x14ac:dyDescent="0.45">
      <c r="A128" s="15">
        <v>43890</v>
      </c>
      <c r="B128" t="s">
        <v>32</v>
      </c>
      <c r="C128">
        <f>T_Saldo[[#This Row],[Valor liquidativo]]*T_Saldo[[#This Row],[Participaciones]]</f>
        <v>0</v>
      </c>
      <c r="D128" s="11">
        <f>T_Saldo[[#This Row],[Valor liquidativo (Moneda Extranjera)]]/T_Saldo[[#This Row],[Cambio]]</f>
        <v>66.314284000000001</v>
      </c>
      <c r="E128" s="13">
        <f>IF(ISERROR(MATCH(T_Saldo[[#This Row],[Producto]],T_Stocks[Ticker],0)),1,INDEX(T_Stocks[Close],MATCH(T_Saldo[[#This Row],[ID - Product - Fecha]],T_Stocks[ID],1),1))</f>
        <v>73.13</v>
      </c>
      <c r="F128" cm="1">
        <f t="array" ref="F128">IF(T_Saldo[[#This Row],[Divisa]]="USD",INDEX(T_USD_EUR[EURUSD],MATCH(T_Saldo[[#This Row],[Fecha]],T_USD_EUR[Fecha],1),0),1)</f>
        <v>1.1027790030877811</v>
      </c>
      <c r="G128" t="str" cm="1">
        <f t="array" ref="G128">INDEX(T_Elementos[Divisa],MATCH(T_Saldo[[#This Row],[Producto]],T_Elementos[Producto],0),0)</f>
        <v>USD</v>
      </c>
      <c r="H1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28" t="str">
        <f>T_Saldo[[#This Row],[Producto]] &amp; "-" &amp; DATE(YEAR(T_Saldo[[#This Row],[Fecha]]),MONTH(T_Saldo[[#This Row],[Fecha]]),DAY(T_Saldo[[#This Row],[Fecha]]))</f>
        <v>VTSAX-43890</v>
      </c>
    </row>
    <row r="129" spans="1:10" x14ac:dyDescent="0.45">
      <c r="A129" s="15">
        <v>43921</v>
      </c>
      <c r="B129" t="s">
        <v>38</v>
      </c>
      <c r="C129">
        <f>T_Saldo[[#This Row],[Valor liquidativo]]*T_Saldo[[#This Row],[Participaciones]]</f>
        <v>5761.9848000000002</v>
      </c>
      <c r="D129" s="11">
        <f>T_Saldo[[#This Row],[Valor liquidativo (Moneda Extranjera)]]/T_Saldo[[#This Row],[Cambio]]</f>
        <v>57.619847999999998</v>
      </c>
      <c r="E129" s="13">
        <f>IF(ISERROR(MATCH(T_Saldo[[#This Row],[Producto]],T_Stocks[Ticker],0)),1,INDEX(T_Stocks[Close],MATCH(T_Saldo[[#This Row],[ID - Product - Fecha]],T_Stocks[ID],1),1))</f>
        <v>63.57</v>
      </c>
      <c r="F129" cm="1">
        <f t="array" ref="F129">IF(T_Saldo[[#This Row],[Divisa]]="USD",INDEX(T_USD_EUR[EURUSD],MATCH(T_Saldo[[#This Row],[Fecha]],T_USD_EUR[Fecha],1),0),1)</f>
        <v>1.1032656663724625</v>
      </c>
      <c r="G129" t="str" cm="1">
        <f t="array" ref="G129">INDEX(T_Elementos[Divisa],MATCH(T_Saldo[[#This Row],[Producto]],T_Elementos[Producto],0),0)</f>
        <v>USD</v>
      </c>
      <c r="H1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29" t="str">
        <f>T_Saldo[[#This Row],[Producto]] &amp; "-" &amp; DATE(YEAR(T_Saldo[[#This Row],[Fecha]]),MONTH(T_Saldo[[#This Row],[Fecha]]),DAY(T_Saldo[[#This Row],[Fecha]]))</f>
        <v>AAPL-43921</v>
      </c>
    </row>
    <row r="130" spans="1:10" x14ac:dyDescent="0.45">
      <c r="A130" s="15">
        <v>43921</v>
      </c>
      <c r="B130" t="s">
        <v>43</v>
      </c>
      <c r="C130">
        <f>T_Saldo[[#This Row],[Valor liquidativo]]*T_Saldo[[#This Row],[Participaciones]]</f>
        <v>0</v>
      </c>
      <c r="D130" s="11">
        <f>T_Saldo[[#This Row],[Valor liquidativo (Moneda Extranjera)]]/T_Saldo[[#This Row],[Cambio]]</f>
        <v>250.42</v>
      </c>
      <c r="E130" s="13">
        <f>IF(ISERROR(MATCH(T_Saldo[[#This Row],[Producto]],T_Stocks[Ticker],0)),1,INDEX(T_Stocks[Close],MATCH(T_Saldo[[#This Row],[ID - Product - Fecha]],T_Stocks[ID],1),1))</f>
        <v>250.42</v>
      </c>
      <c r="F130" cm="1">
        <f t="array" ref="F130">IF(T_Saldo[[#This Row],[Divisa]]="USD",INDEX(T_USD_EUR[EURUSD],MATCH(T_Saldo[[#This Row],[Fecha]],T_USD_EUR[Fecha],1),0),1)</f>
        <v>1</v>
      </c>
      <c r="G130" t="str" cm="1">
        <f t="array" ref="G130">INDEX(T_Elementos[Divisa],MATCH(T_Saldo[[#This Row],[Producto]],T_Elementos[Producto],0),0)</f>
        <v>EUR</v>
      </c>
      <c r="H1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0" t="str">
        <f>T_Saldo[[#This Row],[Producto]] &amp; "-" &amp; DATE(YEAR(T_Saldo[[#This Row],[Fecha]]),MONTH(T_Saldo[[#This Row],[Fecha]]),DAY(T_Saldo[[#This Row],[Fecha]]))</f>
        <v>Bonos-43921</v>
      </c>
    </row>
    <row r="131" spans="1:10" x14ac:dyDescent="0.45">
      <c r="A131" s="15">
        <v>43921</v>
      </c>
      <c r="B131" t="s">
        <v>155</v>
      </c>
      <c r="C131">
        <f>T_Saldo[[#This Row],[Valor liquidativo]]*T_Saldo[[#This Row],[Participaciones]]</f>
        <v>0</v>
      </c>
      <c r="D131" s="11">
        <f>T_Saldo[[#This Row],[Valor liquidativo (Moneda Extranjera)]]/T_Saldo[[#This Row],[Cambio]]</f>
        <v>5824.3194800000001</v>
      </c>
      <c r="E131" s="13">
        <f>IF(ISERROR(MATCH(T_Saldo[[#This Row],[Producto]],T_Stocks[Ticker],0)),1,INDEX(T_Stocks[Close],MATCH(T_Saldo[[#This Row],[ID - Product - Fecha]],T_Stocks[ID],1),1))</f>
        <v>5824.3194800000001</v>
      </c>
      <c r="F131" cm="1">
        <f t="array" ref="F131">IF(T_Saldo[[#This Row],[Divisa]]="USD",INDEX(T_USD_EUR[EURUSD],MATCH(T_Saldo[[#This Row],[Fecha]],T_USD_EUR[Fecha],1),0),1)</f>
        <v>1</v>
      </c>
      <c r="G131" t="str" cm="1">
        <f t="array" ref="G131">INDEX(T_Elementos[Divisa],MATCH(T_Saldo[[#This Row],[Producto]],T_Elementos[Producto],0),0)</f>
        <v>EUR</v>
      </c>
      <c r="H1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1" t="str">
        <f>T_Saldo[[#This Row],[Producto]] &amp; "-" &amp; DATE(YEAR(T_Saldo[[#This Row],[Fecha]]),MONTH(T_Saldo[[#This Row],[Fecha]]),DAY(T_Saldo[[#This Row],[Fecha]]))</f>
        <v>BTCEUR-43921</v>
      </c>
    </row>
    <row r="132" spans="1:10" x14ac:dyDescent="0.45">
      <c r="A132" s="15">
        <v>43921</v>
      </c>
      <c r="B132" t="s">
        <v>46</v>
      </c>
      <c r="C132">
        <f>T_Saldo[[#This Row],[Valor liquidativo]]*T_Saldo[[#This Row],[Participaciones]]</f>
        <v>6720.6100000000006</v>
      </c>
      <c r="D132" s="11">
        <f>T_Saldo[[#This Row],[Valor liquidativo (Moneda Extranjera)]]/T_Saldo[[#This Row],[Cambio]]</f>
        <v>1</v>
      </c>
      <c r="E132" s="13">
        <f>IF(ISERROR(MATCH(T_Saldo[[#This Row],[Producto]],T_Stocks[Ticker],0)),1,INDEX(T_Stocks[Close],MATCH(T_Saldo[[#This Row],[ID - Product - Fecha]],T_Stocks[ID],1),1))</f>
        <v>1</v>
      </c>
      <c r="F132" cm="1">
        <f t="array" ref="F132">IF(T_Saldo[[#This Row],[Divisa]]="USD",INDEX(T_USD_EUR[EURUSD],MATCH(T_Saldo[[#This Row],[Fecha]],T_USD_EUR[Fecha],1),0),1)</f>
        <v>1</v>
      </c>
      <c r="G132" t="str" cm="1">
        <f t="array" ref="G132">INDEX(T_Elementos[Divisa],MATCH(T_Saldo[[#This Row],[Producto]],T_Elementos[Producto],0),0)</f>
        <v>EUR</v>
      </c>
      <c r="H1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6720.6100000000006</v>
      </c>
      <c r="J132" t="str">
        <f>T_Saldo[[#This Row],[Producto]] &amp; "-" &amp; DATE(YEAR(T_Saldo[[#This Row],[Fecha]]),MONTH(T_Saldo[[#This Row],[Fecha]]),DAY(T_Saldo[[#This Row],[Fecha]]))</f>
        <v>CA 1-43921</v>
      </c>
    </row>
    <row r="133" spans="1:10" x14ac:dyDescent="0.45">
      <c r="A133" s="15">
        <v>43921</v>
      </c>
      <c r="B133" t="s">
        <v>10</v>
      </c>
      <c r="C133">
        <f>T_Saldo[[#This Row],[Valor liquidativo]]*T_Saldo[[#This Row],[Participaciones]]</f>
        <v>14716.009999999998</v>
      </c>
      <c r="D133" s="11">
        <f>T_Saldo[[#This Row],[Valor liquidativo (Moneda Extranjera)]]/T_Saldo[[#This Row],[Cambio]]</f>
        <v>1</v>
      </c>
      <c r="E133" s="13">
        <f>IF(ISERROR(MATCH(T_Saldo[[#This Row],[Producto]],T_Stocks[Ticker],0)),1,INDEX(T_Stocks[Close],MATCH(T_Saldo[[#This Row],[ID - Product - Fecha]],T_Stocks[ID],1),1))</f>
        <v>1</v>
      </c>
      <c r="F133" cm="1">
        <f t="array" ref="F133">IF(T_Saldo[[#This Row],[Divisa]]="USD",INDEX(T_USD_EUR[EURUSD],MATCH(T_Saldo[[#This Row],[Fecha]],T_USD_EUR[Fecha],1),0),1)</f>
        <v>1</v>
      </c>
      <c r="G133" t="str" cm="1">
        <f t="array" ref="G133">INDEX(T_Elementos[Divisa],MATCH(T_Saldo[[#This Row],[Producto]],T_Elementos[Producto],0),0)</f>
        <v>EUR</v>
      </c>
      <c r="H1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14716.009999999998</v>
      </c>
      <c r="J133" t="str">
        <f>T_Saldo[[#This Row],[Producto]] &amp; "-" &amp; DATE(YEAR(T_Saldo[[#This Row],[Fecha]]),MONTH(T_Saldo[[#This Row],[Fecha]]),DAY(T_Saldo[[#This Row],[Fecha]]))</f>
        <v>CC 1-43921</v>
      </c>
    </row>
    <row r="134" spans="1:10" x14ac:dyDescent="0.45">
      <c r="A134" s="15">
        <v>43921</v>
      </c>
      <c r="B134" t="s">
        <v>49</v>
      </c>
      <c r="C134">
        <f>T_Saldo[[#This Row],[Valor liquidativo]]*T_Saldo[[#This Row],[Participaciones]]</f>
        <v>10135.120000000001</v>
      </c>
      <c r="D134" s="11">
        <f>T_Saldo[[#This Row],[Valor liquidativo (Moneda Extranjera)]]/T_Saldo[[#This Row],[Cambio]]</f>
        <v>1</v>
      </c>
      <c r="E134" s="13">
        <f>IF(ISERROR(MATCH(T_Saldo[[#This Row],[Producto]],T_Stocks[Ticker],0)),1,INDEX(T_Stocks[Close],MATCH(T_Saldo[[#This Row],[ID - Product - Fecha]],T_Stocks[ID],1),1))</f>
        <v>1</v>
      </c>
      <c r="F134" cm="1">
        <f t="array" ref="F134">IF(T_Saldo[[#This Row],[Divisa]]="USD",INDEX(T_USD_EUR[EURUSD],MATCH(T_Saldo[[#This Row],[Fecha]],T_USD_EUR[Fecha],1),0),1)</f>
        <v>1</v>
      </c>
      <c r="G134" t="str" cm="1">
        <f t="array" ref="G134">INDEX(T_Elementos[Divisa],MATCH(T_Saldo[[#This Row],[Producto]],T_Elementos[Producto],0),0)</f>
        <v>EUR</v>
      </c>
      <c r="H1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10135.120000000001</v>
      </c>
      <c r="J134" t="str">
        <f>T_Saldo[[#This Row],[Producto]] &amp; "-" &amp; DATE(YEAR(T_Saldo[[#This Row],[Fecha]]),MONTH(T_Saldo[[#This Row],[Fecha]]),DAY(T_Saldo[[#This Row],[Fecha]]))</f>
        <v>CC 2-43921</v>
      </c>
    </row>
    <row r="135" spans="1:10" x14ac:dyDescent="0.45">
      <c r="A135" s="15">
        <v>43921</v>
      </c>
      <c r="B135" t="s">
        <v>41</v>
      </c>
      <c r="C135">
        <f>T_Saldo[[#This Row],[Valor liquidativo]]*T_Saldo[[#This Row],[Participaciones]]</f>
        <v>0</v>
      </c>
      <c r="D135" s="11">
        <f>T_Saldo[[#This Row],[Valor liquidativo (Moneda Extranjera)]]/T_Saldo[[#This Row],[Cambio]]</f>
        <v>142.94834400000002</v>
      </c>
      <c r="E135" s="13">
        <f>IF(ISERROR(MATCH(T_Saldo[[#This Row],[Producto]],T_Stocks[Ticker],0)),1,INDEX(T_Stocks[Close],MATCH(T_Saldo[[#This Row],[ID - Product - Fecha]],T_Stocks[ID],1),1))</f>
        <v>157.71</v>
      </c>
      <c r="F135" cm="1">
        <f t="array" ref="F135">IF(T_Saldo[[#This Row],[Divisa]]="USD",INDEX(T_USD_EUR[EURUSD],MATCH(T_Saldo[[#This Row],[Fecha]],T_USD_EUR[Fecha],1),0),1)</f>
        <v>1.1032656663724625</v>
      </c>
      <c r="G135" t="str" cm="1">
        <f t="array" ref="G135">INDEX(T_Elementos[Divisa],MATCH(T_Saldo[[#This Row],[Producto]],T_Elementos[Producto],0),0)</f>
        <v>USD</v>
      </c>
      <c r="H1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5" t="str">
        <f>T_Saldo[[#This Row],[Producto]] &amp; "-" &amp; DATE(YEAR(T_Saldo[[#This Row],[Fecha]]),MONTH(T_Saldo[[#This Row],[Fecha]]),DAY(T_Saldo[[#This Row],[Fecha]]))</f>
        <v>MSFT-43921</v>
      </c>
    </row>
    <row r="136" spans="1:10" x14ac:dyDescent="0.45">
      <c r="A136" s="15">
        <v>43921</v>
      </c>
      <c r="B136" t="s">
        <v>51</v>
      </c>
      <c r="C136">
        <f>T_Saldo[[#This Row],[Valor liquidativo]]*T_Saldo[[#This Row],[Participaciones]]</f>
        <v>0</v>
      </c>
      <c r="D136" s="11">
        <f>T_Saldo[[#This Row],[Valor liquidativo (Moneda Extranjera)]]/T_Saldo[[#This Row],[Cambio]]</f>
        <v>63.901200000000003</v>
      </c>
      <c r="E136" s="13">
        <f>IF(ISERROR(MATCH(T_Saldo[[#This Row],[Producto]],T_Stocks[Ticker],0)),1,INDEX(T_Stocks[Close],MATCH(T_Saldo[[#This Row],[ID - Product - Fecha]],T_Stocks[ID],1),1))</f>
        <v>70.5</v>
      </c>
      <c r="F136" cm="1">
        <f t="array" ref="F136">IF(T_Saldo[[#This Row],[Divisa]]="USD",INDEX(T_USD_EUR[EURUSD],MATCH(T_Saldo[[#This Row],[Fecha]],T_USD_EUR[Fecha],1),0),1)</f>
        <v>1.1032656663724625</v>
      </c>
      <c r="G136" t="str" cm="1">
        <f t="array" ref="G136">INDEX(T_Elementos[Divisa],MATCH(T_Saldo[[#This Row],[Producto]],T_Elementos[Producto],0),0)</f>
        <v>USD</v>
      </c>
      <c r="H1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6" t="str">
        <f>T_Saldo[[#This Row],[Producto]] &amp; "-" &amp; DATE(YEAR(T_Saldo[[#This Row],[Fecha]]),MONTH(T_Saldo[[#This Row],[Fecha]]),DAY(T_Saldo[[#This Row],[Fecha]]))</f>
        <v>PRHSX-43921</v>
      </c>
    </row>
    <row r="137" spans="1:10" x14ac:dyDescent="0.45">
      <c r="A137" s="15">
        <v>43921</v>
      </c>
      <c r="B137" t="s">
        <v>32</v>
      </c>
      <c r="C137">
        <f>T_Saldo[[#This Row],[Valor liquidativo]]*T_Saldo[[#This Row],[Participaciones]]</f>
        <v>0</v>
      </c>
      <c r="D137" s="11">
        <f>T_Saldo[[#This Row],[Valor liquidativo (Moneda Extranjera)]]/T_Saldo[[#This Row],[Cambio]]</f>
        <v>56.876600000000003</v>
      </c>
      <c r="E137" s="13">
        <f>IF(ISERROR(MATCH(T_Saldo[[#This Row],[Producto]],T_Stocks[Ticker],0)),1,INDEX(T_Stocks[Close],MATCH(T_Saldo[[#This Row],[ID - Product - Fecha]],T_Stocks[ID],1),1))</f>
        <v>62.75</v>
      </c>
      <c r="F137" cm="1">
        <f t="array" ref="F137">IF(T_Saldo[[#This Row],[Divisa]]="USD",INDEX(T_USD_EUR[EURUSD],MATCH(T_Saldo[[#This Row],[Fecha]],T_USD_EUR[Fecha],1),0),1)</f>
        <v>1.1032656663724625</v>
      </c>
      <c r="G137" t="str" cm="1">
        <f t="array" ref="G137">INDEX(T_Elementos[Divisa],MATCH(T_Saldo[[#This Row],[Producto]],T_Elementos[Producto],0),0)</f>
        <v>USD</v>
      </c>
      <c r="H1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7" t="str">
        <f>T_Saldo[[#This Row],[Producto]] &amp; "-" &amp; DATE(YEAR(T_Saldo[[#This Row],[Fecha]]),MONTH(T_Saldo[[#This Row],[Fecha]]),DAY(T_Saldo[[#This Row],[Fecha]]))</f>
        <v>VTSAX-43921</v>
      </c>
    </row>
    <row r="138" spans="1:10" x14ac:dyDescent="0.45">
      <c r="A138" s="15">
        <v>43951</v>
      </c>
      <c r="B138" t="s">
        <v>38</v>
      </c>
      <c r="C138">
        <f>T_Saldo[[#This Row],[Valor liquidativo]]*T_Saldo[[#This Row],[Participaciones]]</f>
        <v>6702.3125000000009</v>
      </c>
      <c r="D138" s="11">
        <f>T_Saldo[[#This Row],[Valor liquidativo (Moneda Extranjera)]]/T_Saldo[[#This Row],[Cambio]]</f>
        <v>67.023125000000007</v>
      </c>
      <c r="E138" s="13">
        <f>IF(ISERROR(MATCH(T_Saldo[[#This Row],[Producto]],T_Stocks[Ticker],0)),1,INDEX(T_Stocks[Close],MATCH(T_Saldo[[#This Row],[ID - Product - Fecha]],T_Stocks[ID],1),1))</f>
        <v>73.45</v>
      </c>
      <c r="F138" cm="1">
        <f t="array" ref="F138">IF(T_Saldo[[#This Row],[Divisa]]="USD",INDEX(T_USD_EUR[EURUSD],MATCH(T_Saldo[[#This Row],[Fecha]],T_USD_EUR[Fecha],1),0),1)</f>
        <v>1.095890410958904</v>
      </c>
      <c r="G138" t="str" cm="1">
        <f t="array" ref="G138">INDEX(T_Elementos[Divisa],MATCH(T_Saldo[[#This Row],[Producto]],T_Elementos[Producto],0),0)</f>
        <v>USD</v>
      </c>
      <c r="H1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38" t="str">
        <f>T_Saldo[[#This Row],[Producto]] &amp; "-" &amp; DATE(YEAR(T_Saldo[[#This Row],[Fecha]]),MONTH(T_Saldo[[#This Row],[Fecha]]),DAY(T_Saldo[[#This Row],[Fecha]]))</f>
        <v>AAPL-43951</v>
      </c>
    </row>
    <row r="139" spans="1:10" x14ac:dyDescent="0.45">
      <c r="A139" s="15">
        <v>43951</v>
      </c>
      <c r="B139" t="s">
        <v>43</v>
      </c>
      <c r="C139">
        <f>T_Saldo[[#This Row],[Valor liquidativo]]*T_Saldo[[#This Row],[Participaciones]]</f>
        <v>0</v>
      </c>
      <c r="D139" s="11">
        <f>T_Saldo[[#This Row],[Valor liquidativo (Moneda Extranjera)]]/T_Saldo[[#This Row],[Cambio]]</f>
        <v>250.42</v>
      </c>
      <c r="E139" s="13">
        <f>IF(ISERROR(MATCH(T_Saldo[[#This Row],[Producto]],T_Stocks[Ticker],0)),1,INDEX(T_Stocks[Close],MATCH(T_Saldo[[#This Row],[ID - Product - Fecha]],T_Stocks[ID],1),1))</f>
        <v>250.42</v>
      </c>
      <c r="F139" cm="1">
        <f t="array" ref="F139">IF(T_Saldo[[#This Row],[Divisa]]="USD",INDEX(T_USD_EUR[EURUSD],MATCH(T_Saldo[[#This Row],[Fecha]],T_USD_EUR[Fecha],1),0),1)</f>
        <v>1</v>
      </c>
      <c r="G139" t="str" cm="1">
        <f t="array" ref="G139">INDEX(T_Elementos[Divisa],MATCH(T_Saldo[[#This Row],[Producto]],T_Elementos[Producto],0),0)</f>
        <v>EUR</v>
      </c>
      <c r="H1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39" t="str">
        <f>T_Saldo[[#This Row],[Producto]] &amp; "-" &amp; DATE(YEAR(T_Saldo[[#This Row],[Fecha]]),MONTH(T_Saldo[[#This Row],[Fecha]]),DAY(T_Saldo[[#This Row],[Fecha]]))</f>
        <v>Bonos-43951</v>
      </c>
    </row>
    <row r="140" spans="1:10" x14ac:dyDescent="0.45">
      <c r="A140" s="15">
        <v>43951</v>
      </c>
      <c r="B140" t="s">
        <v>155</v>
      </c>
      <c r="C140">
        <f>T_Saldo[[#This Row],[Valor liquidativo]]*T_Saldo[[#This Row],[Participaciones]]</f>
        <v>0</v>
      </c>
      <c r="D140" s="11">
        <f>T_Saldo[[#This Row],[Valor liquidativo (Moneda Extranjera)]]/T_Saldo[[#This Row],[Cambio]]</f>
        <v>7886.0060460000004</v>
      </c>
      <c r="E140" s="13">
        <f>IF(ISERROR(MATCH(T_Saldo[[#This Row],[Producto]],T_Stocks[Ticker],0)),1,INDEX(T_Stocks[Close],MATCH(T_Saldo[[#This Row],[ID - Product - Fecha]],T_Stocks[ID],1),1))</f>
        <v>7886.0060460000004</v>
      </c>
      <c r="F140" cm="1">
        <f t="array" ref="F140">IF(T_Saldo[[#This Row],[Divisa]]="USD",INDEX(T_USD_EUR[EURUSD],MATCH(T_Saldo[[#This Row],[Fecha]],T_USD_EUR[Fecha],1),0),1)</f>
        <v>1</v>
      </c>
      <c r="G140" t="str" cm="1">
        <f t="array" ref="G140">INDEX(T_Elementos[Divisa],MATCH(T_Saldo[[#This Row],[Producto]],T_Elementos[Producto],0),0)</f>
        <v>EUR</v>
      </c>
      <c r="H1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0" t="str">
        <f>T_Saldo[[#This Row],[Producto]] &amp; "-" &amp; DATE(YEAR(T_Saldo[[#This Row],[Fecha]]),MONTH(T_Saldo[[#This Row],[Fecha]]),DAY(T_Saldo[[#This Row],[Fecha]]))</f>
        <v>BTCEUR-43951</v>
      </c>
    </row>
    <row r="141" spans="1:10" x14ac:dyDescent="0.45">
      <c r="A141" s="15">
        <v>43951</v>
      </c>
      <c r="B141" t="s">
        <v>46</v>
      </c>
      <c r="C141">
        <f>T_Saldo[[#This Row],[Valor liquidativo]]*T_Saldo[[#This Row],[Participaciones]]</f>
        <v>6392.880000000001</v>
      </c>
      <c r="D141" s="11">
        <f>T_Saldo[[#This Row],[Valor liquidativo (Moneda Extranjera)]]/T_Saldo[[#This Row],[Cambio]]</f>
        <v>1</v>
      </c>
      <c r="E141" s="13">
        <f>IF(ISERROR(MATCH(T_Saldo[[#This Row],[Producto]],T_Stocks[Ticker],0)),1,INDEX(T_Stocks[Close],MATCH(T_Saldo[[#This Row],[ID - Product - Fecha]],T_Stocks[ID],1),1))</f>
        <v>1</v>
      </c>
      <c r="F141" cm="1">
        <f t="array" ref="F141">IF(T_Saldo[[#This Row],[Divisa]]="USD",INDEX(T_USD_EUR[EURUSD],MATCH(T_Saldo[[#This Row],[Fecha]],T_USD_EUR[Fecha],1),0),1)</f>
        <v>1</v>
      </c>
      <c r="G141" t="str" cm="1">
        <f t="array" ref="G141">INDEX(T_Elementos[Divisa],MATCH(T_Saldo[[#This Row],[Producto]],T_Elementos[Producto],0),0)</f>
        <v>EUR</v>
      </c>
      <c r="H1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6392.880000000001</v>
      </c>
      <c r="J141" t="str">
        <f>T_Saldo[[#This Row],[Producto]] &amp; "-" &amp; DATE(YEAR(T_Saldo[[#This Row],[Fecha]]),MONTH(T_Saldo[[#This Row],[Fecha]]),DAY(T_Saldo[[#This Row],[Fecha]]))</f>
        <v>CA 1-43951</v>
      </c>
    </row>
    <row r="142" spans="1:10" x14ac:dyDescent="0.45">
      <c r="A142" s="15">
        <v>43951</v>
      </c>
      <c r="B142" t="s">
        <v>10</v>
      </c>
      <c r="C142">
        <f>T_Saldo[[#This Row],[Valor liquidativo]]*T_Saldo[[#This Row],[Participaciones]]</f>
        <v>14699.119999999999</v>
      </c>
      <c r="D142" s="11">
        <f>T_Saldo[[#This Row],[Valor liquidativo (Moneda Extranjera)]]/T_Saldo[[#This Row],[Cambio]]</f>
        <v>1</v>
      </c>
      <c r="E142" s="13">
        <f>IF(ISERROR(MATCH(T_Saldo[[#This Row],[Producto]],T_Stocks[Ticker],0)),1,INDEX(T_Stocks[Close],MATCH(T_Saldo[[#This Row],[ID - Product - Fecha]],T_Stocks[ID],1),1))</f>
        <v>1</v>
      </c>
      <c r="F142" cm="1">
        <f t="array" ref="F142">IF(T_Saldo[[#This Row],[Divisa]]="USD",INDEX(T_USD_EUR[EURUSD],MATCH(T_Saldo[[#This Row],[Fecha]],T_USD_EUR[Fecha],1),0),1)</f>
        <v>1</v>
      </c>
      <c r="G142" t="str" cm="1">
        <f t="array" ref="G142">INDEX(T_Elementos[Divisa],MATCH(T_Saldo[[#This Row],[Producto]],T_Elementos[Producto],0),0)</f>
        <v>EUR</v>
      </c>
      <c r="H1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14699.119999999999</v>
      </c>
      <c r="J142" t="str">
        <f>T_Saldo[[#This Row],[Producto]] &amp; "-" &amp; DATE(YEAR(T_Saldo[[#This Row],[Fecha]]),MONTH(T_Saldo[[#This Row],[Fecha]]),DAY(T_Saldo[[#This Row],[Fecha]]))</f>
        <v>CC 1-43951</v>
      </c>
    </row>
    <row r="143" spans="1:10" x14ac:dyDescent="0.45">
      <c r="A143" s="15">
        <v>43951</v>
      </c>
      <c r="B143" t="s">
        <v>49</v>
      </c>
      <c r="C143">
        <f>T_Saldo[[#This Row],[Valor liquidativo]]*T_Saldo[[#This Row],[Participaciones]]</f>
        <v>11950.750000000002</v>
      </c>
      <c r="D143" s="11">
        <f>T_Saldo[[#This Row],[Valor liquidativo (Moneda Extranjera)]]/T_Saldo[[#This Row],[Cambio]]</f>
        <v>1</v>
      </c>
      <c r="E143" s="13">
        <f>IF(ISERROR(MATCH(T_Saldo[[#This Row],[Producto]],T_Stocks[Ticker],0)),1,INDEX(T_Stocks[Close],MATCH(T_Saldo[[#This Row],[ID - Product - Fecha]],T_Stocks[ID],1),1))</f>
        <v>1</v>
      </c>
      <c r="F143" cm="1">
        <f t="array" ref="F143">IF(T_Saldo[[#This Row],[Divisa]]="USD",INDEX(T_USD_EUR[EURUSD],MATCH(T_Saldo[[#This Row],[Fecha]],T_USD_EUR[Fecha],1),0),1)</f>
        <v>1</v>
      </c>
      <c r="G143" t="str" cm="1">
        <f t="array" ref="G143">INDEX(T_Elementos[Divisa],MATCH(T_Saldo[[#This Row],[Producto]],T_Elementos[Producto],0),0)</f>
        <v>EUR</v>
      </c>
      <c r="H1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11950.750000000002</v>
      </c>
      <c r="J143" t="str">
        <f>T_Saldo[[#This Row],[Producto]] &amp; "-" &amp; DATE(YEAR(T_Saldo[[#This Row],[Fecha]]),MONTH(T_Saldo[[#This Row],[Fecha]]),DAY(T_Saldo[[#This Row],[Fecha]]))</f>
        <v>CC 2-43951</v>
      </c>
    </row>
    <row r="144" spans="1:10" x14ac:dyDescent="0.45">
      <c r="A144" s="15">
        <v>43951</v>
      </c>
      <c r="B144" t="s">
        <v>41</v>
      </c>
      <c r="C144">
        <f>T_Saldo[[#This Row],[Valor liquidativo]]*T_Saldo[[#This Row],[Participaciones]]</f>
        <v>0</v>
      </c>
      <c r="D144" s="11">
        <f>T_Saldo[[#This Row],[Valor liquidativo (Moneda Extranjera)]]/T_Saldo[[#This Row],[Cambio]]</f>
        <v>163.52912500000002</v>
      </c>
      <c r="E144" s="13">
        <f>IF(ISERROR(MATCH(T_Saldo[[#This Row],[Producto]],T_Stocks[Ticker],0)),1,INDEX(T_Stocks[Close],MATCH(T_Saldo[[#This Row],[ID - Product - Fecha]],T_Stocks[ID],1),1))</f>
        <v>179.21</v>
      </c>
      <c r="F144" cm="1">
        <f t="array" ref="F144">IF(T_Saldo[[#This Row],[Divisa]]="USD",INDEX(T_USD_EUR[EURUSD],MATCH(T_Saldo[[#This Row],[Fecha]],T_USD_EUR[Fecha],1),0),1)</f>
        <v>1.095890410958904</v>
      </c>
      <c r="G144" t="str" cm="1">
        <f t="array" ref="G144">INDEX(T_Elementos[Divisa],MATCH(T_Saldo[[#This Row],[Producto]],T_Elementos[Producto],0),0)</f>
        <v>USD</v>
      </c>
      <c r="H1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4" t="str">
        <f>T_Saldo[[#This Row],[Producto]] &amp; "-" &amp; DATE(YEAR(T_Saldo[[#This Row],[Fecha]]),MONTH(T_Saldo[[#This Row],[Fecha]]),DAY(T_Saldo[[#This Row],[Fecha]]))</f>
        <v>MSFT-43951</v>
      </c>
    </row>
    <row r="145" spans="1:10" x14ac:dyDescent="0.45">
      <c r="A145" s="15">
        <v>43951</v>
      </c>
      <c r="B145" t="s">
        <v>51</v>
      </c>
      <c r="C145">
        <f>T_Saldo[[#This Row],[Valor liquidativo]]*T_Saldo[[#This Row],[Participaciones]]</f>
        <v>0</v>
      </c>
      <c r="D145" s="11">
        <f>T_Saldo[[#This Row],[Valor liquidativo (Moneda Extranjera)]]/T_Saldo[[#This Row],[Cambio]]</f>
        <v>73.282875000000004</v>
      </c>
      <c r="E145" s="13">
        <f>IF(ISERROR(MATCH(T_Saldo[[#This Row],[Producto]],T_Stocks[Ticker],0)),1,INDEX(T_Stocks[Close],MATCH(T_Saldo[[#This Row],[ID - Product - Fecha]],T_Stocks[ID],1),1))</f>
        <v>80.31</v>
      </c>
      <c r="F145" cm="1">
        <f t="array" ref="F145">IF(T_Saldo[[#This Row],[Divisa]]="USD",INDEX(T_USD_EUR[EURUSD],MATCH(T_Saldo[[#This Row],[Fecha]],T_USD_EUR[Fecha],1),0),1)</f>
        <v>1.095890410958904</v>
      </c>
      <c r="G145" t="str" cm="1">
        <f t="array" ref="G145">INDEX(T_Elementos[Divisa],MATCH(T_Saldo[[#This Row],[Producto]],T_Elementos[Producto],0),0)</f>
        <v>USD</v>
      </c>
      <c r="H1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5" t="str">
        <f>T_Saldo[[#This Row],[Producto]] &amp; "-" &amp; DATE(YEAR(T_Saldo[[#This Row],[Fecha]]),MONTH(T_Saldo[[#This Row],[Fecha]]),DAY(T_Saldo[[#This Row],[Fecha]]))</f>
        <v>PRHSX-43951</v>
      </c>
    </row>
    <row r="146" spans="1:10" x14ac:dyDescent="0.45">
      <c r="A146" s="15">
        <v>43951</v>
      </c>
      <c r="B146" t="s">
        <v>32</v>
      </c>
      <c r="C146">
        <f>T_Saldo[[#This Row],[Valor liquidativo]]*T_Saldo[[#This Row],[Participaciones]]</f>
        <v>0</v>
      </c>
      <c r="D146" s="11">
        <f>T_Saldo[[#This Row],[Valor liquidativo (Moneda Extranjera)]]/T_Saldo[[#This Row],[Cambio]]</f>
        <v>64.851375000000004</v>
      </c>
      <c r="E146" s="13">
        <f>IF(ISERROR(MATCH(T_Saldo[[#This Row],[Producto]],T_Stocks[Ticker],0)),1,INDEX(T_Stocks[Close],MATCH(T_Saldo[[#This Row],[ID - Product - Fecha]],T_Stocks[ID],1),1))</f>
        <v>71.069999999999993</v>
      </c>
      <c r="F146" cm="1">
        <f t="array" ref="F146">IF(T_Saldo[[#This Row],[Divisa]]="USD",INDEX(T_USD_EUR[EURUSD],MATCH(T_Saldo[[#This Row],[Fecha]],T_USD_EUR[Fecha],1),0),1)</f>
        <v>1.095890410958904</v>
      </c>
      <c r="G146" t="str" cm="1">
        <f t="array" ref="G146">INDEX(T_Elementos[Divisa],MATCH(T_Saldo[[#This Row],[Producto]],T_Elementos[Producto],0),0)</f>
        <v>USD</v>
      </c>
      <c r="H1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6" t="str">
        <f>T_Saldo[[#This Row],[Producto]] &amp; "-" &amp; DATE(YEAR(T_Saldo[[#This Row],[Fecha]]),MONTH(T_Saldo[[#This Row],[Fecha]]),DAY(T_Saldo[[#This Row],[Fecha]]))</f>
        <v>VTSAX-43951</v>
      </c>
    </row>
    <row r="147" spans="1:10" x14ac:dyDescent="0.45">
      <c r="A147" s="15">
        <v>43982</v>
      </c>
      <c r="B147" t="s">
        <v>38</v>
      </c>
      <c r="C147">
        <f>T_Saldo[[#This Row],[Valor liquidativo]]*T_Saldo[[#This Row],[Participaciones]]</f>
        <v>7161.2540999999992</v>
      </c>
      <c r="D147" s="11">
        <f>T_Saldo[[#This Row],[Valor liquidativo (Moneda Extranjera)]]/T_Saldo[[#This Row],[Cambio]]</f>
        <v>71.612540999999993</v>
      </c>
      <c r="E147" s="13">
        <f>IF(ISERROR(MATCH(T_Saldo[[#This Row],[Producto]],T_Stocks[Ticker],0)),1,INDEX(T_Stocks[Close],MATCH(T_Saldo[[#This Row],[ID - Product - Fecha]],T_Stocks[ID],1),1))</f>
        <v>79.489999999999995</v>
      </c>
      <c r="F147" cm="1">
        <f t="array" ref="F147">IF(T_Saldo[[#This Row],[Divisa]]="USD",INDEX(T_USD_EUR[EURUSD],MATCH(T_Saldo[[#This Row],[Fecha]],T_USD_EUR[Fecha],1),0),1)</f>
        <v>1.11000111000111</v>
      </c>
      <c r="G147" t="str" cm="1">
        <f t="array" ref="G147">INDEX(T_Elementos[Divisa],MATCH(T_Saldo[[#This Row],[Producto]],T_Elementos[Producto],0),0)</f>
        <v>USD</v>
      </c>
      <c r="H1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47" t="str">
        <f>T_Saldo[[#This Row],[Producto]] &amp; "-" &amp; DATE(YEAR(T_Saldo[[#This Row],[Fecha]]),MONTH(T_Saldo[[#This Row],[Fecha]]),DAY(T_Saldo[[#This Row],[Fecha]]))</f>
        <v>AAPL-43982</v>
      </c>
    </row>
    <row r="148" spans="1:10" x14ac:dyDescent="0.45">
      <c r="A148" s="15">
        <v>43982</v>
      </c>
      <c r="B148" t="s">
        <v>43</v>
      </c>
      <c r="C148">
        <f>T_Saldo[[#This Row],[Valor liquidativo]]*T_Saldo[[#This Row],[Participaciones]]</f>
        <v>0</v>
      </c>
      <c r="D148" s="11">
        <f>T_Saldo[[#This Row],[Valor liquidativo (Moneda Extranjera)]]/T_Saldo[[#This Row],[Cambio]]</f>
        <v>250.42</v>
      </c>
      <c r="E148" s="13">
        <f>IF(ISERROR(MATCH(T_Saldo[[#This Row],[Producto]],T_Stocks[Ticker],0)),1,INDEX(T_Stocks[Close],MATCH(T_Saldo[[#This Row],[ID - Product - Fecha]],T_Stocks[ID],1),1))</f>
        <v>250.42</v>
      </c>
      <c r="F148" cm="1">
        <f t="array" ref="F148">IF(T_Saldo[[#This Row],[Divisa]]="USD",INDEX(T_USD_EUR[EURUSD],MATCH(T_Saldo[[#This Row],[Fecha]],T_USD_EUR[Fecha],1),0),1)</f>
        <v>1</v>
      </c>
      <c r="G148" t="str" cm="1">
        <f t="array" ref="G148">INDEX(T_Elementos[Divisa],MATCH(T_Saldo[[#This Row],[Producto]],T_Elementos[Producto],0),0)</f>
        <v>EUR</v>
      </c>
      <c r="H1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8" t="str">
        <f>T_Saldo[[#This Row],[Producto]] &amp; "-" &amp; DATE(YEAR(T_Saldo[[#This Row],[Fecha]]),MONTH(T_Saldo[[#This Row],[Fecha]]),DAY(T_Saldo[[#This Row],[Fecha]]))</f>
        <v>Bonos-43982</v>
      </c>
    </row>
    <row r="149" spans="1:10" x14ac:dyDescent="0.45">
      <c r="A149" s="15">
        <v>43982</v>
      </c>
      <c r="B149" t="s">
        <v>155</v>
      </c>
      <c r="C149">
        <f>T_Saldo[[#This Row],[Valor liquidativo]]*T_Saldo[[#This Row],[Participaciones]]</f>
        <v>0</v>
      </c>
      <c r="D149" s="11">
        <f>T_Saldo[[#This Row],[Valor liquidativo (Moneda Extranjera)]]/T_Saldo[[#This Row],[Cambio]]</f>
        <v>8496.6443909999998</v>
      </c>
      <c r="E149" s="13">
        <f>IF(ISERROR(MATCH(T_Saldo[[#This Row],[Producto]],T_Stocks[Ticker],0)),1,INDEX(T_Stocks[Close],MATCH(T_Saldo[[#This Row],[ID - Product - Fecha]],T_Stocks[ID],1),1))</f>
        <v>8496.6443909999998</v>
      </c>
      <c r="F149" cm="1">
        <f t="array" ref="F149">IF(T_Saldo[[#This Row],[Divisa]]="USD",INDEX(T_USD_EUR[EURUSD],MATCH(T_Saldo[[#This Row],[Fecha]],T_USD_EUR[Fecha],1),0),1)</f>
        <v>1</v>
      </c>
      <c r="G149" t="str" cm="1">
        <f t="array" ref="G149">INDEX(T_Elementos[Divisa],MATCH(T_Saldo[[#This Row],[Producto]],T_Elementos[Producto],0),0)</f>
        <v>EUR</v>
      </c>
      <c r="H1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49" t="str">
        <f>T_Saldo[[#This Row],[Producto]] &amp; "-" &amp; DATE(YEAR(T_Saldo[[#This Row],[Fecha]]),MONTH(T_Saldo[[#This Row],[Fecha]]),DAY(T_Saldo[[#This Row],[Fecha]]))</f>
        <v>BTCEUR-43982</v>
      </c>
    </row>
    <row r="150" spans="1:10" x14ac:dyDescent="0.45">
      <c r="A150" s="15">
        <v>43982</v>
      </c>
      <c r="B150" t="s">
        <v>46</v>
      </c>
      <c r="C150">
        <f>T_Saldo[[#This Row],[Valor liquidativo]]*T_Saldo[[#This Row],[Participaciones]]</f>
        <v>6298.1100000000006</v>
      </c>
      <c r="D150" s="11">
        <f>T_Saldo[[#This Row],[Valor liquidativo (Moneda Extranjera)]]/T_Saldo[[#This Row],[Cambio]]</f>
        <v>1</v>
      </c>
      <c r="E150" s="13">
        <f>IF(ISERROR(MATCH(T_Saldo[[#This Row],[Producto]],T_Stocks[Ticker],0)),1,INDEX(T_Stocks[Close],MATCH(T_Saldo[[#This Row],[ID - Product - Fecha]],T_Stocks[ID],1),1))</f>
        <v>1</v>
      </c>
      <c r="F150" cm="1">
        <f t="array" ref="F150">IF(T_Saldo[[#This Row],[Divisa]]="USD",INDEX(T_USD_EUR[EURUSD],MATCH(T_Saldo[[#This Row],[Fecha]],T_USD_EUR[Fecha],1),0),1)</f>
        <v>1</v>
      </c>
      <c r="G150" t="str" cm="1">
        <f t="array" ref="G150">INDEX(T_Elementos[Divisa],MATCH(T_Saldo[[#This Row],[Producto]],T_Elementos[Producto],0),0)</f>
        <v>EUR</v>
      </c>
      <c r="H1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6298.1100000000006</v>
      </c>
      <c r="J150" t="str">
        <f>T_Saldo[[#This Row],[Producto]] &amp; "-" &amp; DATE(YEAR(T_Saldo[[#This Row],[Fecha]]),MONTH(T_Saldo[[#This Row],[Fecha]]),DAY(T_Saldo[[#This Row],[Fecha]]))</f>
        <v>CA 1-43982</v>
      </c>
    </row>
    <row r="151" spans="1:10" x14ac:dyDescent="0.45">
      <c r="A151" s="15">
        <v>43982</v>
      </c>
      <c r="B151" t="s">
        <v>10</v>
      </c>
      <c r="C151">
        <f>T_Saldo[[#This Row],[Valor liquidativo]]*T_Saldo[[#This Row],[Participaciones]]</f>
        <v>14574.509999999998</v>
      </c>
      <c r="D151" s="11">
        <f>T_Saldo[[#This Row],[Valor liquidativo (Moneda Extranjera)]]/T_Saldo[[#This Row],[Cambio]]</f>
        <v>1</v>
      </c>
      <c r="E151" s="13">
        <f>IF(ISERROR(MATCH(T_Saldo[[#This Row],[Producto]],T_Stocks[Ticker],0)),1,INDEX(T_Stocks[Close],MATCH(T_Saldo[[#This Row],[ID - Product - Fecha]],T_Stocks[ID],1),1))</f>
        <v>1</v>
      </c>
      <c r="F151" cm="1">
        <f t="array" ref="F151">IF(T_Saldo[[#This Row],[Divisa]]="USD",INDEX(T_USD_EUR[EURUSD],MATCH(T_Saldo[[#This Row],[Fecha]],T_USD_EUR[Fecha],1),0),1)</f>
        <v>1</v>
      </c>
      <c r="G151" t="str" cm="1">
        <f t="array" ref="G151">INDEX(T_Elementos[Divisa],MATCH(T_Saldo[[#This Row],[Producto]],T_Elementos[Producto],0),0)</f>
        <v>EUR</v>
      </c>
      <c r="H1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14574.509999999998</v>
      </c>
      <c r="J151" t="str">
        <f>T_Saldo[[#This Row],[Producto]] &amp; "-" &amp; DATE(YEAR(T_Saldo[[#This Row],[Fecha]]),MONTH(T_Saldo[[#This Row],[Fecha]]),DAY(T_Saldo[[#This Row],[Fecha]]))</f>
        <v>CC 1-43982</v>
      </c>
    </row>
    <row r="152" spans="1:10" x14ac:dyDescent="0.45">
      <c r="A152" s="15">
        <v>43982</v>
      </c>
      <c r="B152" t="s">
        <v>49</v>
      </c>
      <c r="C152">
        <f>T_Saldo[[#This Row],[Valor liquidativo]]*T_Saldo[[#This Row],[Participaciones]]</f>
        <v>11950.750000000002</v>
      </c>
      <c r="D152" s="11">
        <f>T_Saldo[[#This Row],[Valor liquidativo (Moneda Extranjera)]]/T_Saldo[[#This Row],[Cambio]]</f>
        <v>1</v>
      </c>
      <c r="E152" s="13">
        <f>IF(ISERROR(MATCH(T_Saldo[[#This Row],[Producto]],T_Stocks[Ticker],0)),1,INDEX(T_Stocks[Close],MATCH(T_Saldo[[#This Row],[ID - Product - Fecha]],T_Stocks[ID],1),1))</f>
        <v>1</v>
      </c>
      <c r="F152" cm="1">
        <f t="array" ref="F152">IF(T_Saldo[[#This Row],[Divisa]]="USD",INDEX(T_USD_EUR[EURUSD],MATCH(T_Saldo[[#This Row],[Fecha]],T_USD_EUR[Fecha],1),0),1)</f>
        <v>1</v>
      </c>
      <c r="G152" t="str" cm="1">
        <f t="array" ref="G152">INDEX(T_Elementos[Divisa],MATCH(T_Saldo[[#This Row],[Producto]],T_Elementos[Producto],0),0)</f>
        <v>EUR</v>
      </c>
      <c r="H1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11950.750000000002</v>
      </c>
      <c r="J152" t="str">
        <f>T_Saldo[[#This Row],[Producto]] &amp; "-" &amp; DATE(YEAR(T_Saldo[[#This Row],[Fecha]]),MONTH(T_Saldo[[#This Row],[Fecha]]),DAY(T_Saldo[[#This Row],[Fecha]]))</f>
        <v>CC 2-43982</v>
      </c>
    </row>
    <row r="153" spans="1:10" x14ac:dyDescent="0.45">
      <c r="A153" s="15">
        <v>43982</v>
      </c>
      <c r="B153" t="s">
        <v>41</v>
      </c>
      <c r="C153">
        <f>T_Saldo[[#This Row],[Valor liquidativo]]*T_Saldo[[#This Row],[Participaciones]]</f>
        <v>0</v>
      </c>
      <c r="D153" s="11">
        <f>T_Saldo[[#This Row],[Valor liquidativo (Moneda Extranjera)]]/T_Saldo[[#This Row],[Cambio]]</f>
        <v>165.08992499999999</v>
      </c>
      <c r="E153" s="13">
        <f>IF(ISERROR(MATCH(T_Saldo[[#This Row],[Producto]],T_Stocks[Ticker],0)),1,INDEX(T_Stocks[Close],MATCH(T_Saldo[[#This Row],[ID - Product - Fecha]],T_Stocks[ID],1),1))</f>
        <v>183.25</v>
      </c>
      <c r="F153" cm="1">
        <f t="array" ref="F153">IF(T_Saldo[[#This Row],[Divisa]]="USD",INDEX(T_USD_EUR[EURUSD],MATCH(T_Saldo[[#This Row],[Fecha]],T_USD_EUR[Fecha],1),0),1)</f>
        <v>1.11000111000111</v>
      </c>
      <c r="G153" t="str" cm="1">
        <f t="array" ref="G153">INDEX(T_Elementos[Divisa],MATCH(T_Saldo[[#This Row],[Producto]],T_Elementos[Producto],0),0)</f>
        <v>USD</v>
      </c>
      <c r="H1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53" t="str">
        <f>T_Saldo[[#This Row],[Producto]] &amp; "-" &amp; DATE(YEAR(T_Saldo[[#This Row],[Fecha]]),MONTH(T_Saldo[[#This Row],[Fecha]]),DAY(T_Saldo[[#This Row],[Fecha]]))</f>
        <v>MSFT-43982</v>
      </c>
    </row>
    <row r="154" spans="1:10" x14ac:dyDescent="0.45">
      <c r="A154" s="15">
        <v>43982</v>
      </c>
      <c r="B154" t="s">
        <v>51</v>
      </c>
      <c r="C154">
        <f>T_Saldo[[#This Row],[Valor liquidativo]]*T_Saldo[[#This Row],[Participaciones]]</f>
        <v>0</v>
      </c>
      <c r="D154" s="11">
        <f>T_Saldo[[#This Row],[Valor liquidativo (Moneda Extranjera)]]/T_Saldo[[#This Row],[Cambio]]</f>
        <v>77.846768999999995</v>
      </c>
      <c r="E154" s="13">
        <f>IF(ISERROR(MATCH(T_Saldo[[#This Row],[Producto]],T_Stocks[Ticker],0)),1,INDEX(T_Stocks[Close],MATCH(T_Saldo[[#This Row],[ID - Product - Fecha]],T_Stocks[ID],1),1))</f>
        <v>86.41</v>
      </c>
      <c r="F154" cm="1">
        <f t="array" ref="F154">IF(T_Saldo[[#This Row],[Divisa]]="USD",INDEX(T_USD_EUR[EURUSD],MATCH(T_Saldo[[#This Row],[Fecha]],T_USD_EUR[Fecha],1),0),1)</f>
        <v>1.11000111000111</v>
      </c>
      <c r="G154" t="str" cm="1">
        <f t="array" ref="G154">INDEX(T_Elementos[Divisa],MATCH(T_Saldo[[#This Row],[Producto]],T_Elementos[Producto],0),0)</f>
        <v>USD</v>
      </c>
      <c r="H1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54" t="str">
        <f>T_Saldo[[#This Row],[Producto]] &amp; "-" &amp; DATE(YEAR(T_Saldo[[#This Row],[Fecha]]),MONTH(T_Saldo[[#This Row],[Fecha]]),DAY(T_Saldo[[#This Row],[Fecha]]))</f>
        <v>PRHSX-43982</v>
      </c>
    </row>
    <row r="155" spans="1:10" x14ac:dyDescent="0.45">
      <c r="A155" s="15">
        <v>43982</v>
      </c>
      <c r="B155" t="s">
        <v>32</v>
      </c>
      <c r="C155">
        <f>T_Saldo[[#This Row],[Valor liquidativo]]*T_Saldo[[#This Row],[Participaciones]]</f>
        <v>0</v>
      </c>
      <c r="D155" s="11">
        <f>T_Saldo[[#This Row],[Valor liquidativo (Moneda Extranjera)]]/T_Saldo[[#This Row],[Cambio]]</f>
        <v>67.468401</v>
      </c>
      <c r="E155" s="13">
        <f>IF(ISERROR(MATCH(T_Saldo[[#This Row],[Producto]],T_Stocks[Ticker],0)),1,INDEX(T_Stocks[Close],MATCH(T_Saldo[[#This Row],[ID - Product - Fecha]],T_Stocks[ID],1),1))</f>
        <v>74.89</v>
      </c>
      <c r="F155" cm="1">
        <f t="array" ref="F155">IF(T_Saldo[[#This Row],[Divisa]]="USD",INDEX(T_USD_EUR[EURUSD],MATCH(T_Saldo[[#This Row],[Fecha]],T_USD_EUR[Fecha],1),0),1)</f>
        <v>1.11000111000111</v>
      </c>
      <c r="G155" t="str" cm="1">
        <f t="array" ref="G155">INDEX(T_Elementos[Divisa],MATCH(T_Saldo[[#This Row],[Producto]],T_Elementos[Producto],0),0)</f>
        <v>USD</v>
      </c>
      <c r="H1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55" t="str">
        <f>T_Saldo[[#This Row],[Producto]] &amp; "-" &amp; DATE(YEAR(T_Saldo[[#This Row],[Fecha]]),MONTH(T_Saldo[[#This Row],[Fecha]]),DAY(T_Saldo[[#This Row],[Fecha]]))</f>
        <v>VTSAX-43982</v>
      </c>
    </row>
    <row r="156" spans="1:10" x14ac:dyDescent="0.45">
      <c r="A156" s="15">
        <v>44012</v>
      </c>
      <c r="B156" t="s">
        <v>38</v>
      </c>
      <c r="C156">
        <f>T_Saldo[[#This Row],[Valor liquidativo]]*T_Saldo[[#This Row],[Participaciones]]</f>
        <v>8117.7120000000004</v>
      </c>
      <c r="D156" s="11">
        <f>T_Saldo[[#This Row],[Valor liquidativo (Moneda Extranjera)]]/T_Saldo[[#This Row],[Cambio]]</f>
        <v>81.177120000000002</v>
      </c>
      <c r="E156" s="13">
        <f>IF(ISERROR(MATCH(T_Saldo[[#This Row],[Producto]],T_Stocks[Ticker],0)),1,INDEX(T_Stocks[Close],MATCH(T_Saldo[[#This Row],[ID - Product - Fecha]],T_Stocks[ID],1),1))</f>
        <v>91.2</v>
      </c>
      <c r="F156" cm="1">
        <f t="array" ref="F156">IF(T_Saldo[[#This Row],[Divisa]]="USD",INDEX(T_USD_EUR[EURUSD],MATCH(T_Saldo[[#This Row],[Fecha]],T_USD_EUR[Fecha],1),0),1)</f>
        <v>1.1234692731153804</v>
      </c>
      <c r="G156" t="str" cm="1">
        <f t="array" ref="G156">INDEX(T_Elementos[Divisa],MATCH(T_Saldo[[#This Row],[Producto]],T_Elementos[Producto],0),0)</f>
        <v>USD</v>
      </c>
      <c r="H1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56" t="str">
        <f>T_Saldo[[#This Row],[Producto]] &amp; "-" &amp; DATE(YEAR(T_Saldo[[#This Row],[Fecha]]),MONTH(T_Saldo[[#This Row],[Fecha]]),DAY(T_Saldo[[#This Row],[Fecha]]))</f>
        <v>AAPL-44012</v>
      </c>
    </row>
    <row r="157" spans="1:10" x14ac:dyDescent="0.45">
      <c r="A157" s="15">
        <v>44012</v>
      </c>
      <c r="B157" t="s">
        <v>43</v>
      </c>
      <c r="C157">
        <f>T_Saldo[[#This Row],[Valor liquidativo]]*T_Saldo[[#This Row],[Participaciones]]</f>
        <v>0</v>
      </c>
      <c r="D157" s="11">
        <f>T_Saldo[[#This Row],[Valor liquidativo (Moneda Extranjera)]]/T_Saldo[[#This Row],[Cambio]]</f>
        <v>250.42</v>
      </c>
      <c r="E157" s="13">
        <f>IF(ISERROR(MATCH(T_Saldo[[#This Row],[Producto]],T_Stocks[Ticker],0)),1,INDEX(T_Stocks[Close],MATCH(T_Saldo[[#This Row],[ID - Product - Fecha]],T_Stocks[ID],1),1))</f>
        <v>250.42</v>
      </c>
      <c r="F157" cm="1">
        <f t="array" ref="F157">IF(T_Saldo[[#This Row],[Divisa]]="USD",INDEX(T_USD_EUR[EURUSD],MATCH(T_Saldo[[#This Row],[Fecha]],T_USD_EUR[Fecha],1),0),1)</f>
        <v>1</v>
      </c>
      <c r="G157" t="str" cm="1">
        <f t="array" ref="G157">INDEX(T_Elementos[Divisa],MATCH(T_Saldo[[#This Row],[Producto]],T_Elementos[Producto],0),0)</f>
        <v>EUR</v>
      </c>
      <c r="H1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57" t="str">
        <f>T_Saldo[[#This Row],[Producto]] &amp; "-" &amp; DATE(YEAR(T_Saldo[[#This Row],[Fecha]]),MONTH(T_Saldo[[#This Row],[Fecha]]),DAY(T_Saldo[[#This Row],[Fecha]]))</f>
        <v>Bonos-44012</v>
      </c>
    </row>
    <row r="158" spans="1:10" x14ac:dyDescent="0.45">
      <c r="A158" s="15">
        <v>44012</v>
      </c>
      <c r="B158" t="s">
        <v>155</v>
      </c>
      <c r="C158">
        <f>T_Saldo[[#This Row],[Valor liquidativo]]*T_Saldo[[#This Row],[Participaciones]]</f>
        <v>0</v>
      </c>
      <c r="D158" s="11">
        <f>T_Saldo[[#This Row],[Valor liquidativo (Moneda Extranjera)]]/T_Saldo[[#This Row],[Cambio]]</f>
        <v>8131.4529599999996</v>
      </c>
      <c r="E158" s="13">
        <f>IF(ISERROR(MATCH(T_Saldo[[#This Row],[Producto]],T_Stocks[Ticker],0)),1,INDEX(T_Stocks[Close],MATCH(T_Saldo[[#This Row],[ID - Product - Fecha]],T_Stocks[ID],1),1))</f>
        <v>8131.4529599999996</v>
      </c>
      <c r="F158" cm="1">
        <f t="array" ref="F158">IF(T_Saldo[[#This Row],[Divisa]]="USD",INDEX(T_USD_EUR[EURUSD],MATCH(T_Saldo[[#This Row],[Fecha]],T_USD_EUR[Fecha],1),0),1)</f>
        <v>1</v>
      </c>
      <c r="G158" t="str" cm="1">
        <f t="array" ref="G158">INDEX(T_Elementos[Divisa],MATCH(T_Saldo[[#This Row],[Producto]],T_Elementos[Producto],0),0)</f>
        <v>EUR</v>
      </c>
      <c r="H1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58" t="str">
        <f>T_Saldo[[#This Row],[Producto]] &amp; "-" &amp; DATE(YEAR(T_Saldo[[#This Row],[Fecha]]),MONTH(T_Saldo[[#This Row],[Fecha]]),DAY(T_Saldo[[#This Row],[Fecha]]))</f>
        <v>BTCEUR-44012</v>
      </c>
    </row>
    <row r="159" spans="1:10" x14ac:dyDescent="0.45">
      <c r="A159" s="15">
        <v>44012</v>
      </c>
      <c r="B159" t="s">
        <v>46</v>
      </c>
      <c r="C159">
        <f>T_Saldo[[#This Row],[Valor liquidativo]]*T_Saldo[[#This Row],[Participaciones]]</f>
        <v>8530.7300000000014</v>
      </c>
      <c r="D159" s="11">
        <f>T_Saldo[[#This Row],[Valor liquidativo (Moneda Extranjera)]]/T_Saldo[[#This Row],[Cambio]]</f>
        <v>1</v>
      </c>
      <c r="E159" s="13">
        <f>IF(ISERROR(MATCH(T_Saldo[[#This Row],[Producto]],T_Stocks[Ticker],0)),1,INDEX(T_Stocks[Close],MATCH(T_Saldo[[#This Row],[ID - Product - Fecha]],T_Stocks[ID],1),1))</f>
        <v>1</v>
      </c>
      <c r="F159" cm="1">
        <f t="array" ref="F159">IF(T_Saldo[[#This Row],[Divisa]]="USD",INDEX(T_USD_EUR[EURUSD],MATCH(T_Saldo[[#This Row],[Fecha]],T_USD_EUR[Fecha],1),0),1)</f>
        <v>1</v>
      </c>
      <c r="G159" t="str" cm="1">
        <f t="array" ref="G159">INDEX(T_Elementos[Divisa],MATCH(T_Saldo[[#This Row],[Producto]],T_Elementos[Producto],0),0)</f>
        <v>EUR</v>
      </c>
      <c r="H1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8530.7300000000014</v>
      </c>
      <c r="J159" t="str">
        <f>T_Saldo[[#This Row],[Producto]] &amp; "-" &amp; DATE(YEAR(T_Saldo[[#This Row],[Fecha]]),MONTH(T_Saldo[[#This Row],[Fecha]]),DAY(T_Saldo[[#This Row],[Fecha]]))</f>
        <v>CA 1-44012</v>
      </c>
    </row>
    <row r="160" spans="1:10" x14ac:dyDescent="0.45">
      <c r="A160" s="15">
        <v>44012</v>
      </c>
      <c r="B160" t="s">
        <v>10</v>
      </c>
      <c r="C160">
        <f>T_Saldo[[#This Row],[Valor liquidativo]]*T_Saldo[[#This Row],[Participaciones]]</f>
        <v>14306.989999999998</v>
      </c>
      <c r="D160" s="11">
        <f>T_Saldo[[#This Row],[Valor liquidativo (Moneda Extranjera)]]/T_Saldo[[#This Row],[Cambio]]</f>
        <v>1</v>
      </c>
      <c r="E160" s="13">
        <f>IF(ISERROR(MATCH(T_Saldo[[#This Row],[Producto]],T_Stocks[Ticker],0)),1,INDEX(T_Stocks[Close],MATCH(T_Saldo[[#This Row],[ID - Product - Fecha]],T_Stocks[ID],1),1))</f>
        <v>1</v>
      </c>
      <c r="F160" cm="1">
        <f t="array" ref="F160">IF(T_Saldo[[#This Row],[Divisa]]="USD",INDEX(T_USD_EUR[EURUSD],MATCH(T_Saldo[[#This Row],[Fecha]],T_USD_EUR[Fecha],1),0),1)</f>
        <v>1</v>
      </c>
      <c r="G160" t="str" cm="1">
        <f t="array" ref="G160">INDEX(T_Elementos[Divisa],MATCH(T_Saldo[[#This Row],[Producto]],T_Elementos[Producto],0),0)</f>
        <v>EUR</v>
      </c>
      <c r="H1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14306.989999999998</v>
      </c>
      <c r="J160" t="str">
        <f>T_Saldo[[#This Row],[Producto]] &amp; "-" &amp; DATE(YEAR(T_Saldo[[#This Row],[Fecha]]),MONTH(T_Saldo[[#This Row],[Fecha]]),DAY(T_Saldo[[#This Row],[Fecha]]))</f>
        <v>CC 1-44012</v>
      </c>
    </row>
    <row r="161" spans="1:10" x14ac:dyDescent="0.45">
      <c r="A161" s="15">
        <v>44012</v>
      </c>
      <c r="B161" t="s">
        <v>49</v>
      </c>
      <c r="C161">
        <f>T_Saldo[[#This Row],[Valor liquidativo]]*T_Saldo[[#This Row],[Participaciones]]</f>
        <v>11579.230000000003</v>
      </c>
      <c r="D161" s="11">
        <f>T_Saldo[[#This Row],[Valor liquidativo (Moneda Extranjera)]]/T_Saldo[[#This Row],[Cambio]]</f>
        <v>1</v>
      </c>
      <c r="E161" s="13">
        <f>IF(ISERROR(MATCH(T_Saldo[[#This Row],[Producto]],T_Stocks[Ticker],0)),1,INDEX(T_Stocks[Close],MATCH(T_Saldo[[#This Row],[ID - Product - Fecha]],T_Stocks[ID],1),1))</f>
        <v>1</v>
      </c>
      <c r="F161" cm="1">
        <f t="array" ref="F161">IF(T_Saldo[[#This Row],[Divisa]]="USD",INDEX(T_USD_EUR[EURUSD],MATCH(T_Saldo[[#This Row],[Fecha]],T_USD_EUR[Fecha],1),0),1)</f>
        <v>1</v>
      </c>
      <c r="G161" t="str" cm="1">
        <f t="array" ref="G161">INDEX(T_Elementos[Divisa],MATCH(T_Saldo[[#This Row],[Producto]],T_Elementos[Producto],0),0)</f>
        <v>EUR</v>
      </c>
      <c r="H1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11579.230000000003</v>
      </c>
      <c r="J161" t="str">
        <f>T_Saldo[[#This Row],[Producto]] &amp; "-" &amp; DATE(YEAR(T_Saldo[[#This Row],[Fecha]]),MONTH(T_Saldo[[#This Row],[Fecha]]),DAY(T_Saldo[[#This Row],[Fecha]]))</f>
        <v>CC 2-44012</v>
      </c>
    </row>
    <row r="162" spans="1:10" x14ac:dyDescent="0.45">
      <c r="A162" s="15">
        <v>44012</v>
      </c>
      <c r="B162" t="s">
        <v>41</v>
      </c>
      <c r="C162">
        <f>T_Saldo[[#This Row],[Valor liquidativo]]*T_Saldo[[#This Row],[Participaciones]]</f>
        <v>0</v>
      </c>
      <c r="D162" s="11">
        <f>T_Saldo[[#This Row],[Valor liquidativo (Moneda Extranjera)]]/T_Saldo[[#This Row],[Cambio]]</f>
        <v>181.14425099999997</v>
      </c>
      <c r="E162" s="13">
        <f>IF(ISERROR(MATCH(T_Saldo[[#This Row],[Producto]],T_Stocks[Ticker],0)),1,INDEX(T_Stocks[Close],MATCH(T_Saldo[[#This Row],[ID - Product - Fecha]],T_Stocks[ID],1),1))</f>
        <v>203.51</v>
      </c>
      <c r="F162" cm="1">
        <f t="array" ref="F162">IF(T_Saldo[[#This Row],[Divisa]]="USD",INDEX(T_USD_EUR[EURUSD],MATCH(T_Saldo[[#This Row],[Fecha]],T_USD_EUR[Fecha],1),0),1)</f>
        <v>1.1234692731153804</v>
      </c>
      <c r="G162" t="str" cm="1">
        <f t="array" ref="G162">INDEX(T_Elementos[Divisa],MATCH(T_Saldo[[#This Row],[Producto]],T_Elementos[Producto],0),0)</f>
        <v>USD</v>
      </c>
      <c r="H1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62" t="str">
        <f>T_Saldo[[#This Row],[Producto]] &amp; "-" &amp; DATE(YEAR(T_Saldo[[#This Row],[Fecha]]),MONTH(T_Saldo[[#This Row],[Fecha]]),DAY(T_Saldo[[#This Row],[Fecha]]))</f>
        <v>MSFT-44012</v>
      </c>
    </row>
    <row r="163" spans="1:10" x14ac:dyDescent="0.45">
      <c r="A163" s="15">
        <v>44012</v>
      </c>
      <c r="B163" t="s">
        <v>51</v>
      </c>
      <c r="C163">
        <f>T_Saldo[[#This Row],[Valor liquidativo]]*T_Saldo[[#This Row],[Participaciones]]</f>
        <v>0</v>
      </c>
      <c r="D163" s="11">
        <f>T_Saldo[[#This Row],[Valor liquidativo (Moneda Extranjera)]]/T_Saldo[[#This Row],[Cambio]]</f>
        <v>77.492105999999993</v>
      </c>
      <c r="E163" s="13">
        <f>IF(ISERROR(MATCH(T_Saldo[[#This Row],[Producto]],T_Stocks[Ticker],0)),1,INDEX(T_Stocks[Close],MATCH(T_Saldo[[#This Row],[ID - Product - Fecha]],T_Stocks[ID],1),1))</f>
        <v>87.06</v>
      </c>
      <c r="F163" cm="1">
        <f t="array" ref="F163">IF(T_Saldo[[#This Row],[Divisa]]="USD",INDEX(T_USD_EUR[EURUSD],MATCH(T_Saldo[[#This Row],[Fecha]],T_USD_EUR[Fecha],1),0),1)</f>
        <v>1.1234692731153804</v>
      </c>
      <c r="G163" t="str" cm="1">
        <f t="array" ref="G163">INDEX(T_Elementos[Divisa],MATCH(T_Saldo[[#This Row],[Producto]],T_Elementos[Producto],0),0)</f>
        <v>USD</v>
      </c>
      <c r="H1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63" t="str">
        <f>T_Saldo[[#This Row],[Producto]] &amp; "-" &amp; DATE(YEAR(T_Saldo[[#This Row],[Fecha]]),MONTH(T_Saldo[[#This Row],[Fecha]]),DAY(T_Saldo[[#This Row],[Fecha]]))</f>
        <v>PRHSX-44012</v>
      </c>
    </row>
    <row r="164" spans="1:10" x14ac:dyDescent="0.45">
      <c r="A164" s="15">
        <v>44012</v>
      </c>
      <c r="B164" t="s">
        <v>32</v>
      </c>
      <c r="C164">
        <f>T_Saldo[[#This Row],[Valor liquidativo]]*T_Saldo[[#This Row],[Participaciones]]</f>
        <v>0</v>
      </c>
      <c r="D164" s="11">
        <f>T_Saldo[[#This Row],[Valor liquidativo (Moneda Extranjera)]]/T_Saldo[[#This Row],[Cambio]]</f>
        <v>67.879025999999996</v>
      </c>
      <c r="E164" s="13">
        <f>IF(ISERROR(MATCH(T_Saldo[[#This Row],[Producto]],T_Stocks[Ticker],0)),1,INDEX(T_Stocks[Close],MATCH(T_Saldo[[#This Row],[ID - Product - Fecha]],T_Stocks[ID],1),1))</f>
        <v>76.260000000000005</v>
      </c>
      <c r="F164" cm="1">
        <f t="array" ref="F164">IF(T_Saldo[[#This Row],[Divisa]]="USD",INDEX(T_USD_EUR[EURUSD],MATCH(T_Saldo[[#This Row],[Fecha]],T_USD_EUR[Fecha],1),0),1)</f>
        <v>1.1234692731153804</v>
      </c>
      <c r="G164" t="str" cm="1">
        <f t="array" ref="G164">INDEX(T_Elementos[Divisa],MATCH(T_Saldo[[#This Row],[Producto]],T_Elementos[Producto],0),0)</f>
        <v>USD</v>
      </c>
      <c r="H1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64" t="str">
        <f>T_Saldo[[#This Row],[Producto]] &amp; "-" &amp; DATE(YEAR(T_Saldo[[#This Row],[Fecha]]),MONTH(T_Saldo[[#This Row],[Fecha]]),DAY(T_Saldo[[#This Row],[Fecha]]))</f>
        <v>VTSAX-44012</v>
      </c>
    </row>
    <row r="165" spans="1:10" x14ac:dyDescent="0.45">
      <c r="A165" s="15">
        <v>44043</v>
      </c>
      <c r="B165" t="s">
        <v>38</v>
      </c>
      <c r="C165">
        <f>T_Saldo[[#This Row],[Valor liquidativo]]*T_Saldo[[#This Row],[Participaciones]]</f>
        <v>9019.3487999999998</v>
      </c>
      <c r="D165" s="11">
        <f>T_Saldo[[#This Row],[Valor liquidativo (Moneda Extranjera)]]/T_Saldo[[#This Row],[Cambio]]</f>
        <v>90.193488000000002</v>
      </c>
      <c r="E165" s="13">
        <f>IF(ISERROR(MATCH(T_Saldo[[#This Row],[Producto]],T_Stocks[Ticker],0)),1,INDEX(T_Stocks[Close],MATCH(T_Saldo[[#This Row],[ID - Product - Fecha]],T_Stocks[ID],1),1))</f>
        <v>106.26</v>
      </c>
      <c r="F165" cm="1">
        <f t="array" ref="F165">IF(T_Saldo[[#This Row],[Divisa]]="USD",INDEX(T_USD_EUR[EURUSD],MATCH(T_Saldo[[#This Row],[Fecha]],T_USD_EUR[Fecha],1),0),1)</f>
        <v>1.1781338360037701</v>
      </c>
      <c r="G165" t="str" cm="1">
        <f t="array" ref="G165">INDEX(T_Elementos[Divisa],MATCH(T_Saldo[[#This Row],[Producto]],T_Elementos[Producto],0),0)</f>
        <v>USD</v>
      </c>
      <c r="H1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65" t="str">
        <f>T_Saldo[[#This Row],[Producto]] &amp; "-" &amp; DATE(YEAR(T_Saldo[[#This Row],[Fecha]]),MONTH(T_Saldo[[#This Row],[Fecha]]),DAY(T_Saldo[[#This Row],[Fecha]]))</f>
        <v>AAPL-44043</v>
      </c>
    </row>
    <row r="166" spans="1:10" x14ac:dyDescent="0.45">
      <c r="A166" s="15">
        <v>44043</v>
      </c>
      <c r="B166" t="s">
        <v>43</v>
      </c>
      <c r="C166">
        <f>T_Saldo[[#This Row],[Valor liquidativo]]*T_Saldo[[#This Row],[Participaciones]]</f>
        <v>0</v>
      </c>
      <c r="D166" s="11">
        <f>T_Saldo[[#This Row],[Valor liquidativo (Moneda Extranjera)]]/T_Saldo[[#This Row],[Cambio]]</f>
        <v>250.42</v>
      </c>
      <c r="E166" s="13">
        <f>IF(ISERROR(MATCH(T_Saldo[[#This Row],[Producto]],T_Stocks[Ticker],0)),1,INDEX(T_Stocks[Close],MATCH(T_Saldo[[#This Row],[ID - Product - Fecha]],T_Stocks[ID],1),1))</f>
        <v>250.42</v>
      </c>
      <c r="F166" cm="1">
        <f t="array" ref="F166">IF(T_Saldo[[#This Row],[Divisa]]="USD",INDEX(T_USD_EUR[EURUSD],MATCH(T_Saldo[[#This Row],[Fecha]],T_USD_EUR[Fecha],1),0),1)</f>
        <v>1</v>
      </c>
      <c r="G166" t="str" cm="1">
        <f t="array" ref="G166">INDEX(T_Elementos[Divisa],MATCH(T_Saldo[[#This Row],[Producto]],T_Elementos[Producto],0),0)</f>
        <v>EUR</v>
      </c>
      <c r="H1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66" t="str">
        <f>T_Saldo[[#This Row],[Producto]] &amp; "-" &amp; DATE(YEAR(T_Saldo[[#This Row],[Fecha]]),MONTH(T_Saldo[[#This Row],[Fecha]]),DAY(T_Saldo[[#This Row],[Fecha]]))</f>
        <v>Bonos-44043</v>
      </c>
    </row>
    <row r="167" spans="1:10" x14ac:dyDescent="0.45">
      <c r="A167" s="15">
        <v>44043</v>
      </c>
      <c r="B167" t="s">
        <v>155</v>
      </c>
      <c r="C167">
        <f>T_Saldo[[#This Row],[Valor liquidativo]]*T_Saldo[[#This Row],[Participaciones]]</f>
        <v>0</v>
      </c>
      <c r="D167" s="11">
        <f>T_Saldo[[#This Row],[Valor liquidativo (Moneda Extranjera)]]/T_Saldo[[#This Row],[Cambio]]</f>
        <v>9634.5304219999998</v>
      </c>
      <c r="E167" s="13">
        <f>IF(ISERROR(MATCH(T_Saldo[[#This Row],[Producto]],T_Stocks[Ticker],0)),1,INDEX(T_Stocks[Close],MATCH(T_Saldo[[#This Row],[ID - Product - Fecha]],T_Stocks[ID],1),1))</f>
        <v>9634.5304219999998</v>
      </c>
      <c r="F167" cm="1">
        <f t="array" ref="F167">IF(T_Saldo[[#This Row],[Divisa]]="USD",INDEX(T_USD_EUR[EURUSD],MATCH(T_Saldo[[#This Row],[Fecha]],T_USD_EUR[Fecha],1),0),1)</f>
        <v>1</v>
      </c>
      <c r="G167" t="str" cm="1">
        <f t="array" ref="G167">INDEX(T_Elementos[Divisa],MATCH(T_Saldo[[#This Row],[Producto]],T_Elementos[Producto],0),0)</f>
        <v>EUR</v>
      </c>
      <c r="H1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67" t="str">
        <f>T_Saldo[[#This Row],[Producto]] &amp; "-" &amp; DATE(YEAR(T_Saldo[[#This Row],[Fecha]]),MONTH(T_Saldo[[#This Row],[Fecha]]),DAY(T_Saldo[[#This Row],[Fecha]]))</f>
        <v>BTCEUR-44043</v>
      </c>
    </row>
    <row r="168" spans="1:10" x14ac:dyDescent="0.45">
      <c r="A168" s="15">
        <v>44043</v>
      </c>
      <c r="B168" t="s">
        <v>46</v>
      </c>
      <c r="C168">
        <f>T_Saldo[[#This Row],[Valor liquidativo]]*T_Saldo[[#This Row],[Participaciones]]</f>
        <v>8239.92</v>
      </c>
      <c r="D168" s="11">
        <f>T_Saldo[[#This Row],[Valor liquidativo (Moneda Extranjera)]]/T_Saldo[[#This Row],[Cambio]]</f>
        <v>1</v>
      </c>
      <c r="E168" s="13">
        <f>IF(ISERROR(MATCH(T_Saldo[[#This Row],[Producto]],T_Stocks[Ticker],0)),1,INDEX(T_Stocks[Close],MATCH(T_Saldo[[#This Row],[ID - Product - Fecha]],T_Stocks[ID],1),1))</f>
        <v>1</v>
      </c>
      <c r="F168" cm="1">
        <f t="array" ref="F168">IF(T_Saldo[[#This Row],[Divisa]]="USD",INDEX(T_USD_EUR[EURUSD],MATCH(T_Saldo[[#This Row],[Fecha]],T_USD_EUR[Fecha],1),0),1)</f>
        <v>1</v>
      </c>
      <c r="G168" t="str" cm="1">
        <f t="array" ref="G168">INDEX(T_Elementos[Divisa],MATCH(T_Saldo[[#This Row],[Producto]],T_Elementos[Producto],0),0)</f>
        <v>EUR</v>
      </c>
      <c r="H1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8239.92</v>
      </c>
      <c r="J168" t="str">
        <f>T_Saldo[[#This Row],[Producto]] &amp; "-" &amp; DATE(YEAR(T_Saldo[[#This Row],[Fecha]]),MONTH(T_Saldo[[#This Row],[Fecha]]),DAY(T_Saldo[[#This Row],[Fecha]]))</f>
        <v>CA 1-44043</v>
      </c>
    </row>
    <row r="169" spans="1:10" x14ac:dyDescent="0.45">
      <c r="A169" s="15">
        <v>44043</v>
      </c>
      <c r="B169" t="s">
        <v>10</v>
      </c>
      <c r="C169">
        <f>T_Saldo[[#This Row],[Valor liquidativo]]*T_Saldo[[#This Row],[Participaciones]]</f>
        <v>14181.91</v>
      </c>
      <c r="D169" s="11">
        <f>T_Saldo[[#This Row],[Valor liquidativo (Moneda Extranjera)]]/T_Saldo[[#This Row],[Cambio]]</f>
        <v>1</v>
      </c>
      <c r="E169" s="13">
        <f>IF(ISERROR(MATCH(T_Saldo[[#This Row],[Producto]],T_Stocks[Ticker],0)),1,INDEX(T_Stocks[Close],MATCH(T_Saldo[[#This Row],[ID - Product - Fecha]],T_Stocks[ID],1),1))</f>
        <v>1</v>
      </c>
      <c r="F169" cm="1">
        <f t="array" ref="F169">IF(T_Saldo[[#This Row],[Divisa]]="USD",INDEX(T_USD_EUR[EURUSD],MATCH(T_Saldo[[#This Row],[Fecha]],T_USD_EUR[Fecha],1),0),1)</f>
        <v>1</v>
      </c>
      <c r="G169" t="str" cm="1">
        <f t="array" ref="G169">INDEX(T_Elementos[Divisa],MATCH(T_Saldo[[#This Row],[Producto]],T_Elementos[Producto],0),0)</f>
        <v>EUR</v>
      </c>
      <c r="H1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14181.91</v>
      </c>
      <c r="J169" t="str">
        <f>T_Saldo[[#This Row],[Producto]] &amp; "-" &amp; DATE(YEAR(T_Saldo[[#This Row],[Fecha]]),MONTH(T_Saldo[[#This Row],[Fecha]]),DAY(T_Saldo[[#This Row],[Fecha]]))</f>
        <v>CC 1-44043</v>
      </c>
    </row>
    <row r="170" spans="1:10" x14ac:dyDescent="0.45">
      <c r="A170" s="15">
        <v>44043</v>
      </c>
      <c r="B170" t="s">
        <v>49</v>
      </c>
      <c r="C170">
        <f>T_Saldo[[#This Row],[Valor liquidativo]]*T_Saldo[[#This Row],[Participaciones]]</f>
        <v>14055.220000000001</v>
      </c>
      <c r="D170" s="11">
        <f>T_Saldo[[#This Row],[Valor liquidativo (Moneda Extranjera)]]/T_Saldo[[#This Row],[Cambio]]</f>
        <v>1</v>
      </c>
      <c r="E170" s="13">
        <f>IF(ISERROR(MATCH(T_Saldo[[#This Row],[Producto]],T_Stocks[Ticker],0)),1,INDEX(T_Stocks[Close],MATCH(T_Saldo[[#This Row],[ID - Product - Fecha]],T_Stocks[ID],1),1))</f>
        <v>1</v>
      </c>
      <c r="F170" cm="1">
        <f t="array" ref="F170">IF(T_Saldo[[#This Row],[Divisa]]="USD",INDEX(T_USD_EUR[EURUSD],MATCH(T_Saldo[[#This Row],[Fecha]],T_USD_EUR[Fecha],1),0),1)</f>
        <v>1</v>
      </c>
      <c r="G170" t="str" cm="1">
        <f t="array" ref="G170">INDEX(T_Elementos[Divisa],MATCH(T_Saldo[[#This Row],[Producto]],T_Elementos[Producto],0),0)</f>
        <v>EUR</v>
      </c>
      <c r="H1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14055.220000000001</v>
      </c>
      <c r="J170" t="str">
        <f>T_Saldo[[#This Row],[Producto]] &amp; "-" &amp; DATE(YEAR(T_Saldo[[#This Row],[Fecha]]),MONTH(T_Saldo[[#This Row],[Fecha]]),DAY(T_Saldo[[#This Row],[Fecha]]))</f>
        <v>CC 2-44043</v>
      </c>
    </row>
    <row r="171" spans="1:10" x14ac:dyDescent="0.45">
      <c r="A171" s="15">
        <v>44043</v>
      </c>
      <c r="B171" t="s">
        <v>41</v>
      </c>
      <c r="C171">
        <f>T_Saldo[[#This Row],[Valor liquidativo]]*T_Saldo[[#This Row],[Participaciones]]</f>
        <v>0</v>
      </c>
      <c r="D171" s="11">
        <f>T_Saldo[[#This Row],[Valor liquidativo (Moneda Extranjera)]]/T_Saldo[[#This Row],[Cambio]]</f>
        <v>174.01248799999999</v>
      </c>
      <c r="E171" s="13">
        <f>IF(ISERROR(MATCH(T_Saldo[[#This Row],[Producto]],T_Stocks[Ticker],0)),1,INDEX(T_Stocks[Close],MATCH(T_Saldo[[#This Row],[ID - Product - Fecha]],T_Stocks[ID],1),1))</f>
        <v>205.01</v>
      </c>
      <c r="F171" cm="1">
        <f t="array" ref="F171">IF(T_Saldo[[#This Row],[Divisa]]="USD",INDEX(T_USD_EUR[EURUSD],MATCH(T_Saldo[[#This Row],[Fecha]],T_USD_EUR[Fecha],1),0),1)</f>
        <v>1.1781338360037701</v>
      </c>
      <c r="G171" t="str" cm="1">
        <f t="array" ref="G171">INDEX(T_Elementos[Divisa],MATCH(T_Saldo[[#This Row],[Producto]],T_Elementos[Producto],0),0)</f>
        <v>USD</v>
      </c>
      <c r="H1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71" t="str">
        <f>T_Saldo[[#This Row],[Producto]] &amp; "-" &amp; DATE(YEAR(T_Saldo[[#This Row],[Fecha]]),MONTH(T_Saldo[[#This Row],[Fecha]]),DAY(T_Saldo[[#This Row],[Fecha]]))</f>
        <v>MSFT-44043</v>
      </c>
    </row>
    <row r="172" spans="1:10" x14ac:dyDescent="0.45">
      <c r="A172" s="15">
        <v>44043</v>
      </c>
      <c r="B172" t="s">
        <v>51</v>
      </c>
      <c r="C172">
        <f>T_Saldo[[#This Row],[Valor liquidativo]]*T_Saldo[[#This Row],[Participaciones]]</f>
        <v>0</v>
      </c>
      <c r="D172" s="11">
        <f>T_Saldo[[#This Row],[Valor liquidativo (Moneda Extranjera)]]/T_Saldo[[#This Row],[Cambio]]</f>
        <v>76.324095999999997</v>
      </c>
      <c r="E172" s="13">
        <f>IF(ISERROR(MATCH(T_Saldo[[#This Row],[Producto]],T_Stocks[Ticker],0)),1,INDEX(T_Stocks[Close],MATCH(T_Saldo[[#This Row],[ID - Product - Fecha]],T_Stocks[ID],1),1))</f>
        <v>89.92</v>
      </c>
      <c r="F172" cm="1">
        <f t="array" ref="F172">IF(T_Saldo[[#This Row],[Divisa]]="USD",INDEX(T_USD_EUR[EURUSD],MATCH(T_Saldo[[#This Row],[Fecha]],T_USD_EUR[Fecha],1),0),1)</f>
        <v>1.1781338360037701</v>
      </c>
      <c r="G172" t="str" cm="1">
        <f t="array" ref="G172">INDEX(T_Elementos[Divisa],MATCH(T_Saldo[[#This Row],[Producto]],T_Elementos[Producto],0),0)</f>
        <v>USD</v>
      </c>
      <c r="H1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72" t="str">
        <f>T_Saldo[[#This Row],[Producto]] &amp; "-" &amp; DATE(YEAR(T_Saldo[[#This Row],[Fecha]]),MONTH(T_Saldo[[#This Row],[Fecha]]),DAY(T_Saldo[[#This Row],[Fecha]]))</f>
        <v>PRHSX-44043</v>
      </c>
    </row>
    <row r="173" spans="1:10" x14ac:dyDescent="0.45">
      <c r="A173" s="15">
        <v>44043</v>
      </c>
      <c r="B173" t="s">
        <v>32</v>
      </c>
      <c r="C173">
        <f>T_Saldo[[#This Row],[Valor liquidativo]]*T_Saldo[[#This Row],[Participaciones]]</f>
        <v>0</v>
      </c>
      <c r="D173" s="11">
        <f>T_Saldo[[#This Row],[Valor liquidativo (Moneda Extranjera)]]/T_Saldo[[#This Row],[Cambio]]</f>
        <v>68.387815999999987</v>
      </c>
      <c r="E173" s="13">
        <f>IF(ISERROR(MATCH(T_Saldo[[#This Row],[Producto]],T_Stocks[Ticker],0)),1,INDEX(T_Stocks[Close],MATCH(T_Saldo[[#This Row],[ID - Product - Fecha]],T_Stocks[ID],1),1))</f>
        <v>80.569999999999993</v>
      </c>
      <c r="F173" cm="1">
        <f t="array" ref="F173">IF(T_Saldo[[#This Row],[Divisa]]="USD",INDEX(T_USD_EUR[EURUSD],MATCH(T_Saldo[[#This Row],[Fecha]],T_USD_EUR[Fecha],1),0),1)</f>
        <v>1.1781338360037701</v>
      </c>
      <c r="G173" t="str" cm="1">
        <f t="array" ref="G173">INDEX(T_Elementos[Divisa],MATCH(T_Saldo[[#This Row],[Producto]],T_Elementos[Producto],0),0)</f>
        <v>USD</v>
      </c>
      <c r="H1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73" t="str">
        <f>T_Saldo[[#This Row],[Producto]] &amp; "-" &amp; DATE(YEAR(T_Saldo[[#This Row],[Fecha]]),MONTH(T_Saldo[[#This Row],[Fecha]]),DAY(T_Saldo[[#This Row],[Fecha]]))</f>
        <v>VTSAX-44043</v>
      </c>
    </row>
    <row r="174" spans="1:10" x14ac:dyDescent="0.45">
      <c r="A174" s="15">
        <v>44074</v>
      </c>
      <c r="B174" t="s">
        <v>38</v>
      </c>
      <c r="C174">
        <f>T_Saldo[[#This Row],[Valor liquidativo]]*T_Saldo[[#This Row],[Participaciones]]</f>
        <v>10809.6808</v>
      </c>
      <c r="D174" s="11">
        <f>T_Saldo[[#This Row],[Valor liquidativo (Moneda Extranjera)]]/T_Saldo[[#This Row],[Cambio]]</f>
        <v>108.096808</v>
      </c>
      <c r="E174" s="13">
        <f>IF(ISERROR(MATCH(T_Saldo[[#This Row],[Producto]],T_Stocks[Ticker],0)),1,INDEX(T_Stocks[Close],MATCH(T_Saldo[[#This Row],[ID - Product - Fecha]],T_Stocks[ID],1),1))</f>
        <v>129.04</v>
      </c>
      <c r="F174" cm="1">
        <f t="array" ref="F174">IF(T_Saldo[[#This Row],[Divisa]]="USD",INDEX(T_USD_EUR[EURUSD],MATCH(T_Saldo[[#This Row],[Fecha]],T_USD_EUR[Fecha],1),0),1)</f>
        <v>1.193744777366599</v>
      </c>
      <c r="G174" t="str" cm="1">
        <f t="array" ref="G174">INDEX(T_Elementos[Divisa],MATCH(T_Saldo[[#This Row],[Producto]],T_Elementos[Producto],0),0)</f>
        <v>USD</v>
      </c>
      <c r="H1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74" t="str">
        <f>T_Saldo[[#This Row],[Producto]] &amp; "-" &amp; DATE(YEAR(T_Saldo[[#This Row],[Fecha]]),MONTH(T_Saldo[[#This Row],[Fecha]]),DAY(T_Saldo[[#This Row],[Fecha]]))</f>
        <v>AAPL-44074</v>
      </c>
    </row>
    <row r="175" spans="1:10" x14ac:dyDescent="0.45">
      <c r="A175" s="15">
        <v>44074</v>
      </c>
      <c r="B175" t="s">
        <v>43</v>
      </c>
      <c r="C175">
        <f>T_Saldo[[#This Row],[Valor liquidativo]]*T_Saldo[[#This Row],[Participaciones]]</f>
        <v>0</v>
      </c>
      <c r="D175" s="11">
        <f>T_Saldo[[#This Row],[Valor liquidativo (Moneda Extranjera)]]/T_Saldo[[#This Row],[Cambio]]</f>
        <v>250.42</v>
      </c>
      <c r="E175" s="13">
        <f>IF(ISERROR(MATCH(T_Saldo[[#This Row],[Producto]],T_Stocks[Ticker],0)),1,INDEX(T_Stocks[Close],MATCH(T_Saldo[[#This Row],[ID - Product - Fecha]],T_Stocks[ID],1),1))</f>
        <v>250.42</v>
      </c>
      <c r="F175" cm="1">
        <f t="array" ref="F175">IF(T_Saldo[[#This Row],[Divisa]]="USD",INDEX(T_USD_EUR[EURUSD],MATCH(T_Saldo[[#This Row],[Fecha]],T_USD_EUR[Fecha],1),0),1)</f>
        <v>1</v>
      </c>
      <c r="G175" t="str" cm="1">
        <f t="array" ref="G175">INDEX(T_Elementos[Divisa],MATCH(T_Saldo[[#This Row],[Producto]],T_Elementos[Producto],0),0)</f>
        <v>EUR</v>
      </c>
      <c r="H1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75" t="str">
        <f>T_Saldo[[#This Row],[Producto]] &amp; "-" &amp; DATE(YEAR(T_Saldo[[#This Row],[Fecha]]),MONTH(T_Saldo[[#This Row],[Fecha]]),DAY(T_Saldo[[#This Row],[Fecha]]))</f>
        <v>Bonos-44074</v>
      </c>
    </row>
    <row r="176" spans="1:10" x14ac:dyDescent="0.45">
      <c r="A176" s="15">
        <v>44074</v>
      </c>
      <c r="B176" t="s">
        <v>155</v>
      </c>
      <c r="C176">
        <f>T_Saldo[[#This Row],[Valor liquidativo]]*T_Saldo[[#This Row],[Participaciones]]</f>
        <v>0</v>
      </c>
      <c r="D176" s="11">
        <f>T_Saldo[[#This Row],[Valor liquidativo (Moneda Extranjera)]]/T_Saldo[[#This Row],[Cambio]]</f>
        <v>9763.6693670000004</v>
      </c>
      <c r="E176" s="13">
        <f>IF(ISERROR(MATCH(T_Saldo[[#This Row],[Producto]],T_Stocks[Ticker],0)),1,INDEX(T_Stocks[Close],MATCH(T_Saldo[[#This Row],[ID - Product - Fecha]],T_Stocks[ID],1),1))</f>
        <v>9763.6693670000004</v>
      </c>
      <c r="F176" cm="1">
        <f t="array" ref="F176">IF(T_Saldo[[#This Row],[Divisa]]="USD",INDEX(T_USD_EUR[EURUSD],MATCH(T_Saldo[[#This Row],[Fecha]],T_USD_EUR[Fecha],1),0),1)</f>
        <v>1</v>
      </c>
      <c r="G176" t="str" cm="1">
        <f t="array" ref="G176">INDEX(T_Elementos[Divisa],MATCH(T_Saldo[[#This Row],[Producto]],T_Elementos[Producto],0),0)</f>
        <v>EUR</v>
      </c>
      <c r="H1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76" t="str">
        <f>T_Saldo[[#This Row],[Producto]] &amp; "-" &amp; DATE(YEAR(T_Saldo[[#This Row],[Fecha]]),MONTH(T_Saldo[[#This Row],[Fecha]]),DAY(T_Saldo[[#This Row],[Fecha]]))</f>
        <v>BTCEUR-44074</v>
      </c>
    </row>
    <row r="177" spans="1:10" x14ac:dyDescent="0.45">
      <c r="A177" s="15">
        <v>44074</v>
      </c>
      <c r="B177" t="s">
        <v>46</v>
      </c>
      <c r="C177">
        <f>T_Saldo[[#This Row],[Valor liquidativo]]*T_Saldo[[#This Row],[Participaciones]]</f>
        <v>10262.02</v>
      </c>
      <c r="D177" s="11">
        <f>T_Saldo[[#This Row],[Valor liquidativo (Moneda Extranjera)]]/T_Saldo[[#This Row],[Cambio]]</f>
        <v>1</v>
      </c>
      <c r="E177" s="13">
        <f>IF(ISERROR(MATCH(T_Saldo[[#This Row],[Producto]],T_Stocks[Ticker],0)),1,INDEX(T_Stocks[Close],MATCH(T_Saldo[[#This Row],[ID - Product - Fecha]],T_Stocks[ID],1),1))</f>
        <v>1</v>
      </c>
      <c r="F177" cm="1">
        <f t="array" ref="F177">IF(T_Saldo[[#This Row],[Divisa]]="USD",INDEX(T_USD_EUR[EURUSD],MATCH(T_Saldo[[#This Row],[Fecha]],T_USD_EUR[Fecha],1),0),1)</f>
        <v>1</v>
      </c>
      <c r="G177" t="str" cm="1">
        <f t="array" ref="G177">INDEX(T_Elementos[Divisa],MATCH(T_Saldo[[#This Row],[Producto]],T_Elementos[Producto],0),0)</f>
        <v>EUR</v>
      </c>
      <c r="H1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10262.02</v>
      </c>
      <c r="J177" t="str">
        <f>T_Saldo[[#This Row],[Producto]] &amp; "-" &amp; DATE(YEAR(T_Saldo[[#This Row],[Fecha]]),MONTH(T_Saldo[[#This Row],[Fecha]]),DAY(T_Saldo[[#This Row],[Fecha]]))</f>
        <v>CA 1-44074</v>
      </c>
    </row>
    <row r="178" spans="1:10" x14ac:dyDescent="0.45">
      <c r="A178" s="15">
        <v>44074</v>
      </c>
      <c r="B178" t="s">
        <v>10</v>
      </c>
      <c r="C178">
        <f>T_Saldo[[#This Row],[Valor liquidativo]]*T_Saldo[[#This Row],[Participaciones]]</f>
        <v>13797.789999999999</v>
      </c>
      <c r="D178" s="11">
        <f>T_Saldo[[#This Row],[Valor liquidativo (Moneda Extranjera)]]/T_Saldo[[#This Row],[Cambio]]</f>
        <v>1</v>
      </c>
      <c r="E178" s="13">
        <f>IF(ISERROR(MATCH(T_Saldo[[#This Row],[Producto]],T_Stocks[Ticker],0)),1,INDEX(T_Stocks[Close],MATCH(T_Saldo[[#This Row],[ID - Product - Fecha]],T_Stocks[ID],1),1))</f>
        <v>1</v>
      </c>
      <c r="F178" cm="1">
        <f t="array" ref="F178">IF(T_Saldo[[#This Row],[Divisa]]="USD",INDEX(T_USD_EUR[EURUSD],MATCH(T_Saldo[[#This Row],[Fecha]],T_USD_EUR[Fecha],1),0),1)</f>
        <v>1</v>
      </c>
      <c r="G178" t="str" cm="1">
        <f t="array" ref="G178">INDEX(T_Elementos[Divisa],MATCH(T_Saldo[[#This Row],[Producto]],T_Elementos[Producto],0),0)</f>
        <v>EUR</v>
      </c>
      <c r="H1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13797.789999999999</v>
      </c>
      <c r="J178" t="str">
        <f>T_Saldo[[#This Row],[Producto]] &amp; "-" &amp; DATE(YEAR(T_Saldo[[#This Row],[Fecha]]),MONTH(T_Saldo[[#This Row],[Fecha]]),DAY(T_Saldo[[#This Row],[Fecha]]))</f>
        <v>CC 1-44074</v>
      </c>
    </row>
    <row r="179" spans="1:10" x14ac:dyDescent="0.45">
      <c r="A179" s="15">
        <v>44074</v>
      </c>
      <c r="B179" t="s">
        <v>49</v>
      </c>
      <c r="C179">
        <f>T_Saldo[[#This Row],[Valor liquidativo]]*T_Saldo[[#This Row],[Participaciones]]</f>
        <v>13994.770000000002</v>
      </c>
      <c r="D179" s="11">
        <f>T_Saldo[[#This Row],[Valor liquidativo (Moneda Extranjera)]]/T_Saldo[[#This Row],[Cambio]]</f>
        <v>1</v>
      </c>
      <c r="E179" s="13">
        <f>IF(ISERROR(MATCH(T_Saldo[[#This Row],[Producto]],T_Stocks[Ticker],0)),1,INDEX(T_Stocks[Close],MATCH(T_Saldo[[#This Row],[ID - Product - Fecha]],T_Stocks[ID],1),1))</f>
        <v>1</v>
      </c>
      <c r="F179" cm="1">
        <f t="array" ref="F179">IF(T_Saldo[[#This Row],[Divisa]]="USD",INDEX(T_USD_EUR[EURUSD],MATCH(T_Saldo[[#This Row],[Fecha]],T_USD_EUR[Fecha],1),0),1)</f>
        <v>1</v>
      </c>
      <c r="G179" t="str" cm="1">
        <f t="array" ref="G179">INDEX(T_Elementos[Divisa],MATCH(T_Saldo[[#This Row],[Producto]],T_Elementos[Producto],0),0)</f>
        <v>EUR</v>
      </c>
      <c r="H1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13994.770000000002</v>
      </c>
      <c r="J179" t="str">
        <f>T_Saldo[[#This Row],[Producto]] &amp; "-" &amp; DATE(YEAR(T_Saldo[[#This Row],[Fecha]]),MONTH(T_Saldo[[#This Row],[Fecha]]),DAY(T_Saldo[[#This Row],[Fecha]]))</f>
        <v>CC 2-44074</v>
      </c>
    </row>
    <row r="180" spans="1:10" x14ac:dyDescent="0.45">
      <c r="A180" s="15">
        <v>44074</v>
      </c>
      <c r="B180" t="s">
        <v>41</v>
      </c>
      <c r="C180">
        <f>T_Saldo[[#This Row],[Valor liquidativo]]*T_Saldo[[#This Row],[Participaciones]]</f>
        <v>0</v>
      </c>
      <c r="D180" s="11">
        <f>T_Saldo[[#This Row],[Valor liquidativo (Moneda Extranjera)]]/T_Saldo[[#This Row],[Cambio]]</f>
        <v>188.926481</v>
      </c>
      <c r="E180" s="13">
        <f>IF(ISERROR(MATCH(T_Saldo[[#This Row],[Producto]],T_Stocks[Ticker],0)),1,INDEX(T_Stocks[Close],MATCH(T_Saldo[[#This Row],[ID - Product - Fecha]],T_Stocks[ID],1),1))</f>
        <v>225.53</v>
      </c>
      <c r="F180" cm="1">
        <f t="array" ref="F180">IF(T_Saldo[[#This Row],[Divisa]]="USD",INDEX(T_USD_EUR[EURUSD],MATCH(T_Saldo[[#This Row],[Fecha]],T_USD_EUR[Fecha],1),0),1)</f>
        <v>1.193744777366599</v>
      </c>
      <c r="G180" t="str" cm="1">
        <f t="array" ref="G180">INDEX(T_Elementos[Divisa],MATCH(T_Saldo[[#This Row],[Producto]],T_Elementos[Producto],0),0)</f>
        <v>USD</v>
      </c>
      <c r="H1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0" t="str">
        <f>T_Saldo[[#This Row],[Producto]] &amp; "-" &amp; DATE(YEAR(T_Saldo[[#This Row],[Fecha]]),MONTH(T_Saldo[[#This Row],[Fecha]]),DAY(T_Saldo[[#This Row],[Fecha]]))</f>
        <v>MSFT-44074</v>
      </c>
    </row>
    <row r="181" spans="1:10" x14ac:dyDescent="0.45">
      <c r="A181" s="15">
        <v>44074</v>
      </c>
      <c r="B181" t="s">
        <v>51</v>
      </c>
      <c r="C181">
        <f>T_Saldo[[#This Row],[Valor liquidativo]]*T_Saldo[[#This Row],[Participaciones]]</f>
        <v>0</v>
      </c>
      <c r="D181" s="11">
        <f>T_Saldo[[#This Row],[Valor liquidativo (Moneda Extranjera)]]/T_Saldo[[#This Row],[Cambio]]</f>
        <v>76.674681000000007</v>
      </c>
      <c r="E181" s="13">
        <f>IF(ISERROR(MATCH(T_Saldo[[#This Row],[Producto]],T_Stocks[Ticker],0)),1,INDEX(T_Stocks[Close],MATCH(T_Saldo[[#This Row],[ID - Product - Fecha]],T_Stocks[ID],1),1))</f>
        <v>91.53</v>
      </c>
      <c r="F181" cm="1">
        <f t="array" ref="F181">IF(T_Saldo[[#This Row],[Divisa]]="USD",INDEX(T_USD_EUR[EURUSD],MATCH(T_Saldo[[#This Row],[Fecha]],T_USD_EUR[Fecha],1),0),1)</f>
        <v>1.193744777366599</v>
      </c>
      <c r="G181" t="str" cm="1">
        <f t="array" ref="G181">INDEX(T_Elementos[Divisa],MATCH(T_Saldo[[#This Row],[Producto]],T_Elementos[Producto],0),0)</f>
        <v>USD</v>
      </c>
      <c r="H1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1" t="str">
        <f>T_Saldo[[#This Row],[Producto]] &amp; "-" &amp; DATE(YEAR(T_Saldo[[#This Row],[Fecha]]),MONTH(T_Saldo[[#This Row],[Fecha]]),DAY(T_Saldo[[#This Row],[Fecha]]))</f>
        <v>PRHSX-44074</v>
      </c>
    </row>
    <row r="182" spans="1:10" x14ac:dyDescent="0.45">
      <c r="A182" s="15">
        <v>44074</v>
      </c>
      <c r="B182" t="s">
        <v>32</v>
      </c>
      <c r="C182">
        <f>T_Saldo[[#This Row],[Valor liquidativo]]*T_Saldo[[#This Row],[Participaciones]]</f>
        <v>0</v>
      </c>
      <c r="D182" s="11">
        <f>T_Saldo[[#This Row],[Valor liquidativo (Moneda Extranjera)]]/T_Saldo[[#This Row],[Cambio]]</f>
        <v>72.335394999999991</v>
      </c>
      <c r="E182" s="13">
        <f>IF(ISERROR(MATCH(T_Saldo[[#This Row],[Producto]],T_Stocks[Ticker],0)),1,INDEX(T_Stocks[Close],MATCH(T_Saldo[[#This Row],[ID - Product - Fecha]],T_Stocks[ID],1),1))</f>
        <v>86.35</v>
      </c>
      <c r="F182" cm="1">
        <f t="array" ref="F182">IF(T_Saldo[[#This Row],[Divisa]]="USD",INDEX(T_USD_EUR[EURUSD],MATCH(T_Saldo[[#This Row],[Fecha]],T_USD_EUR[Fecha],1),0),1)</f>
        <v>1.193744777366599</v>
      </c>
      <c r="G182" t="str" cm="1">
        <f t="array" ref="G182">INDEX(T_Elementos[Divisa],MATCH(T_Saldo[[#This Row],[Producto]],T_Elementos[Producto],0),0)</f>
        <v>USD</v>
      </c>
      <c r="H1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2" t="str">
        <f>T_Saldo[[#This Row],[Producto]] &amp; "-" &amp; DATE(YEAR(T_Saldo[[#This Row],[Fecha]]),MONTH(T_Saldo[[#This Row],[Fecha]]),DAY(T_Saldo[[#This Row],[Fecha]]))</f>
        <v>VTSAX-44074</v>
      </c>
    </row>
    <row r="183" spans="1:10" x14ac:dyDescent="0.45">
      <c r="A183" s="15">
        <v>44104</v>
      </c>
      <c r="B183" t="s">
        <v>38</v>
      </c>
      <c r="C183">
        <f>T_Saldo[[#This Row],[Valor liquidativo]]*T_Saldo[[#This Row],[Participaciones]]</f>
        <v>9879.7511000000013</v>
      </c>
      <c r="D183" s="11">
        <f>T_Saldo[[#This Row],[Valor liquidativo (Moneda Extranjera)]]/T_Saldo[[#This Row],[Cambio]]</f>
        <v>98.797511000000014</v>
      </c>
      <c r="E183" s="13">
        <f>IF(ISERROR(MATCH(T_Saldo[[#This Row],[Producto]],T_Stocks[Ticker],0)),1,INDEX(T_Stocks[Close],MATCH(T_Saldo[[#This Row],[ID - Product - Fecha]],T_Stocks[ID],1),1))</f>
        <v>115.81</v>
      </c>
      <c r="F183" cm="1">
        <f t="array" ref="F183">IF(T_Saldo[[#This Row],[Divisa]]="USD",INDEX(T_USD_EUR[EURUSD],MATCH(T_Saldo[[#This Row],[Fecha]],T_USD_EUR[Fecha],1),0),1)</f>
        <v>1.1721955222131051</v>
      </c>
      <c r="G183" t="str" cm="1">
        <f t="array" ref="G183">INDEX(T_Elementos[Divisa],MATCH(T_Saldo[[#This Row],[Producto]],T_Elementos[Producto],0),0)</f>
        <v>USD</v>
      </c>
      <c r="H1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83" t="str">
        <f>T_Saldo[[#This Row],[Producto]] &amp; "-" &amp; DATE(YEAR(T_Saldo[[#This Row],[Fecha]]),MONTH(T_Saldo[[#This Row],[Fecha]]),DAY(T_Saldo[[#This Row],[Fecha]]))</f>
        <v>AAPL-44104</v>
      </c>
    </row>
    <row r="184" spans="1:10" x14ac:dyDescent="0.45">
      <c r="A184" s="15">
        <v>44104</v>
      </c>
      <c r="B184" t="s">
        <v>43</v>
      </c>
      <c r="C184">
        <f>T_Saldo[[#This Row],[Valor liquidativo]]*T_Saldo[[#This Row],[Participaciones]]</f>
        <v>0</v>
      </c>
      <c r="D184" s="11">
        <f>T_Saldo[[#This Row],[Valor liquidativo (Moneda Extranjera)]]/T_Saldo[[#This Row],[Cambio]]</f>
        <v>250.42</v>
      </c>
      <c r="E184" s="13">
        <f>IF(ISERROR(MATCH(T_Saldo[[#This Row],[Producto]],T_Stocks[Ticker],0)),1,INDEX(T_Stocks[Close],MATCH(T_Saldo[[#This Row],[ID - Product - Fecha]],T_Stocks[ID],1),1))</f>
        <v>250.42</v>
      </c>
      <c r="F184" cm="1">
        <f t="array" ref="F184">IF(T_Saldo[[#This Row],[Divisa]]="USD",INDEX(T_USD_EUR[EURUSD],MATCH(T_Saldo[[#This Row],[Fecha]],T_USD_EUR[Fecha],1),0),1)</f>
        <v>1</v>
      </c>
      <c r="G184" t="str" cm="1">
        <f t="array" ref="G184">INDEX(T_Elementos[Divisa],MATCH(T_Saldo[[#This Row],[Producto]],T_Elementos[Producto],0),0)</f>
        <v>EUR</v>
      </c>
      <c r="H1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4" t="str">
        <f>T_Saldo[[#This Row],[Producto]] &amp; "-" &amp; DATE(YEAR(T_Saldo[[#This Row],[Fecha]]),MONTH(T_Saldo[[#This Row],[Fecha]]),DAY(T_Saldo[[#This Row],[Fecha]]))</f>
        <v>Bonos-44104</v>
      </c>
    </row>
    <row r="185" spans="1:10" x14ac:dyDescent="0.45">
      <c r="A185" s="15">
        <v>44104</v>
      </c>
      <c r="B185" t="s">
        <v>155</v>
      </c>
      <c r="C185">
        <f>T_Saldo[[#This Row],[Valor liquidativo]]*T_Saldo[[#This Row],[Participaciones]]</f>
        <v>0</v>
      </c>
      <c r="D185" s="11">
        <f>T_Saldo[[#This Row],[Valor liquidativo (Moneda Extranjera)]]/T_Saldo[[#This Row],[Cambio]]</f>
        <v>9192.996384</v>
      </c>
      <c r="E185" s="13">
        <f>IF(ISERROR(MATCH(T_Saldo[[#This Row],[Producto]],T_Stocks[Ticker],0)),1,INDEX(T_Stocks[Close],MATCH(T_Saldo[[#This Row],[ID - Product - Fecha]],T_Stocks[ID],1),1))</f>
        <v>9192.996384</v>
      </c>
      <c r="F185" cm="1">
        <f t="array" ref="F185">IF(T_Saldo[[#This Row],[Divisa]]="USD",INDEX(T_USD_EUR[EURUSD],MATCH(T_Saldo[[#This Row],[Fecha]],T_USD_EUR[Fecha],1),0),1)</f>
        <v>1</v>
      </c>
      <c r="G185" t="str" cm="1">
        <f t="array" ref="G185">INDEX(T_Elementos[Divisa],MATCH(T_Saldo[[#This Row],[Producto]],T_Elementos[Producto],0),0)</f>
        <v>EUR</v>
      </c>
      <c r="H1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5" t="str">
        <f>T_Saldo[[#This Row],[Producto]] &amp; "-" &amp; DATE(YEAR(T_Saldo[[#This Row],[Fecha]]),MONTH(T_Saldo[[#This Row],[Fecha]]),DAY(T_Saldo[[#This Row],[Fecha]]))</f>
        <v>BTCEUR-44104</v>
      </c>
    </row>
    <row r="186" spans="1:10" x14ac:dyDescent="0.45">
      <c r="A186" s="15">
        <v>44104</v>
      </c>
      <c r="B186" t="s">
        <v>46</v>
      </c>
      <c r="C186">
        <f>T_Saldo[[#This Row],[Valor liquidativo]]*T_Saldo[[#This Row],[Participaciones]]</f>
        <v>10006.36</v>
      </c>
      <c r="D186" s="11">
        <f>T_Saldo[[#This Row],[Valor liquidativo (Moneda Extranjera)]]/T_Saldo[[#This Row],[Cambio]]</f>
        <v>1</v>
      </c>
      <c r="E186" s="13">
        <f>IF(ISERROR(MATCH(T_Saldo[[#This Row],[Producto]],T_Stocks[Ticker],0)),1,INDEX(T_Stocks[Close],MATCH(T_Saldo[[#This Row],[ID - Product - Fecha]],T_Stocks[ID],1),1))</f>
        <v>1</v>
      </c>
      <c r="F186" cm="1">
        <f t="array" ref="F186">IF(T_Saldo[[#This Row],[Divisa]]="USD",INDEX(T_USD_EUR[EURUSD],MATCH(T_Saldo[[#This Row],[Fecha]],T_USD_EUR[Fecha],1),0),1)</f>
        <v>1</v>
      </c>
      <c r="G186" t="str" cm="1">
        <f t="array" ref="G186">INDEX(T_Elementos[Divisa],MATCH(T_Saldo[[#This Row],[Producto]],T_Elementos[Producto],0),0)</f>
        <v>EUR</v>
      </c>
      <c r="H1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10006.36</v>
      </c>
      <c r="J186" t="str">
        <f>T_Saldo[[#This Row],[Producto]] &amp; "-" &amp; DATE(YEAR(T_Saldo[[#This Row],[Fecha]]),MONTH(T_Saldo[[#This Row],[Fecha]]),DAY(T_Saldo[[#This Row],[Fecha]]))</f>
        <v>CA 1-44104</v>
      </c>
    </row>
    <row r="187" spans="1:10" x14ac:dyDescent="0.45">
      <c r="A187" s="15">
        <v>44104</v>
      </c>
      <c r="B187" t="s">
        <v>10</v>
      </c>
      <c r="C187">
        <f>T_Saldo[[#This Row],[Valor liquidativo]]*T_Saldo[[#This Row],[Participaciones]]</f>
        <v>13234.279999999999</v>
      </c>
      <c r="D187" s="11">
        <f>T_Saldo[[#This Row],[Valor liquidativo (Moneda Extranjera)]]/T_Saldo[[#This Row],[Cambio]]</f>
        <v>1</v>
      </c>
      <c r="E187" s="13">
        <f>IF(ISERROR(MATCH(T_Saldo[[#This Row],[Producto]],T_Stocks[Ticker],0)),1,INDEX(T_Stocks[Close],MATCH(T_Saldo[[#This Row],[ID - Product - Fecha]],T_Stocks[ID],1),1))</f>
        <v>1</v>
      </c>
      <c r="F187" cm="1">
        <f t="array" ref="F187">IF(T_Saldo[[#This Row],[Divisa]]="USD",INDEX(T_USD_EUR[EURUSD],MATCH(T_Saldo[[#This Row],[Fecha]],T_USD_EUR[Fecha],1),0),1)</f>
        <v>1</v>
      </c>
      <c r="G187" t="str" cm="1">
        <f t="array" ref="G187">INDEX(T_Elementos[Divisa],MATCH(T_Saldo[[#This Row],[Producto]],T_Elementos[Producto],0),0)</f>
        <v>EUR</v>
      </c>
      <c r="H1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13234.279999999999</v>
      </c>
      <c r="J187" t="str">
        <f>T_Saldo[[#This Row],[Producto]] &amp; "-" &amp; DATE(YEAR(T_Saldo[[#This Row],[Fecha]]),MONTH(T_Saldo[[#This Row],[Fecha]]),DAY(T_Saldo[[#This Row],[Fecha]]))</f>
        <v>CC 1-44104</v>
      </c>
    </row>
    <row r="188" spans="1:10" x14ac:dyDescent="0.45">
      <c r="A188" s="15">
        <v>44104</v>
      </c>
      <c r="B188" t="s">
        <v>49</v>
      </c>
      <c r="C188">
        <f>T_Saldo[[#This Row],[Valor liquidativo]]*T_Saldo[[#This Row],[Participaciones]]</f>
        <v>15821.450000000003</v>
      </c>
      <c r="D188" s="11">
        <f>T_Saldo[[#This Row],[Valor liquidativo (Moneda Extranjera)]]/T_Saldo[[#This Row],[Cambio]]</f>
        <v>1</v>
      </c>
      <c r="E188" s="13">
        <f>IF(ISERROR(MATCH(T_Saldo[[#This Row],[Producto]],T_Stocks[Ticker],0)),1,INDEX(T_Stocks[Close],MATCH(T_Saldo[[#This Row],[ID - Product - Fecha]],T_Stocks[ID],1),1))</f>
        <v>1</v>
      </c>
      <c r="F188" cm="1">
        <f t="array" ref="F188">IF(T_Saldo[[#This Row],[Divisa]]="USD",INDEX(T_USD_EUR[EURUSD],MATCH(T_Saldo[[#This Row],[Fecha]],T_USD_EUR[Fecha],1),0),1)</f>
        <v>1</v>
      </c>
      <c r="G188" t="str" cm="1">
        <f t="array" ref="G188">INDEX(T_Elementos[Divisa],MATCH(T_Saldo[[#This Row],[Producto]],T_Elementos[Producto],0),0)</f>
        <v>EUR</v>
      </c>
      <c r="H1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15821.450000000003</v>
      </c>
      <c r="J188" t="str">
        <f>T_Saldo[[#This Row],[Producto]] &amp; "-" &amp; DATE(YEAR(T_Saldo[[#This Row],[Fecha]]),MONTH(T_Saldo[[#This Row],[Fecha]]),DAY(T_Saldo[[#This Row],[Fecha]]))</f>
        <v>CC 2-44104</v>
      </c>
    </row>
    <row r="189" spans="1:10" x14ac:dyDescent="0.45">
      <c r="A189" s="15">
        <v>44104</v>
      </c>
      <c r="B189" t="s">
        <v>41</v>
      </c>
      <c r="C189">
        <f>T_Saldo[[#This Row],[Valor liquidativo]]*T_Saldo[[#This Row],[Participaciones]]</f>
        <v>0</v>
      </c>
      <c r="D189" s="11">
        <f>T_Saldo[[#This Row],[Valor liquidativo (Moneda Extranjera)]]/T_Saldo[[#This Row],[Cambio]]</f>
        <v>179.43252300000003</v>
      </c>
      <c r="E189" s="13">
        <f>IF(ISERROR(MATCH(T_Saldo[[#This Row],[Producto]],T_Stocks[Ticker],0)),1,INDEX(T_Stocks[Close],MATCH(T_Saldo[[#This Row],[ID - Product - Fecha]],T_Stocks[ID],1),1))</f>
        <v>210.33</v>
      </c>
      <c r="F189" cm="1">
        <f t="array" ref="F189">IF(T_Saldo[[#This Row],[Divisa]]="USD",INDEX(T_USD_EUR[EURUSD],MATCH(T_Saldo[[#This Row],[Fecha]],T_USD_EUR[Fecha],1),0),1)</f>
        <v>1.1721955222131051</v>
      </c>
      <c r="G189" t="str" cm="1">
        <f t="array" ref="G189">INDEX(T_Elementos[Divisa],MATCH(T_Saldo[[#This Row],[Producto]],T_Elementos[Producto],0),0)</f>
        <v>USD</v>
      </c>
      <c r="H1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89" t="str">
        <f>T_Saldo[[#This Row],[Producto]] &amp; "-" &amp; DATE(YEAR(T_Saldo[[#This Row],[Fecha]]),MONTH(T_Saldo[[#This Row],[Fecha]]),DAY(T_Saldo[[#This Row],[Fecha]]))</f>
        <v>MSFT-44104</v>
      </c>
    </row>
    <row r="190" spans="1:10" x14ac:dyDescent="0.45">
      <c r="A190" s="15">
        <v>44104</v>
      </c>
      <c r="B190" t="s">
        <v>51</v>
      </c>
      <c r="C190">
        <f>T_Saldo[[#This Row],[Valor liquidativo]]*T_Saldo[[#This Row],[Participaciones]]</f>
        <v>0</v>
      </c>
      <c r="D190" s="11">
        <f>T_Saldo[[#This Row],[Valor liquidativo (Moneda Extranjera)]]/T_Saldo[[#This Row],[Cambio]]</f>
        <v>79.355362</v>
      </c>
      <c r="E190" s="13">
        <f>IF(ISERROR(MATCH(T_Saldo[[#This Row],[Producto]],T_Stocks[Ticker],0)),1,INDEX(T_Stocks[Close],MATCH(T_Saldo[[#This Row],[ID - Product - Fecha]],T_Stocks[ID],1),1))</f>
        <v>93.02</v>
      </c>
      <c r="F190" cm="1">
        <f t="array" ref="F190">IF(T_Saldo[[#This Row],[Divisa]]="USD",INDEX(T_USD_EUR[EURUSD],MATCH(T_Saldo[[#This Row],[Fecha]],T_USD_EUR[Fecha],1),0),1)</f>
        <v>1.1721955222131051</v>
      </c>
      <c r="G190" t="str" cm="1">
        <f t="array" ref="G190">INDEX(T_Elementos[Divisa],MATCH(T_Saldo[[#This Row],[Producto]],T_Elementos[Producto],0),0)</f>
        <v>USD</v>
      </c>
      <c r="H1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0" t="str">
        <f>T_Saldo[[#This Row],[Producto]] &amp; "-" &amp; DATE(YEAR(T_Saldo[[#This Row],[Fecha]]),MONTH(T_Saldo[[#This Row],[Fecha]]),DAY(T_Saldo[[#This Row],[Fecha]]))</f>
        <v>PRHSX-44104</v>
      </c>
    </row>
    <row r="191" spans="1:10" x14ac:dyDescent="0.45">
      <c r="A191" s="15">
        <v>44104</v>
      </c>
      <c r="B191" t="s">
        <v>32</v>
      </c>
      <c r="C191">
        <f>T_Saldo[[#This Row],[Valor liquidativo]]*T_Saldo[[#This Row],[Participaciones]]</f>
        <v>0</v>
      </c>
      <c r="D191" s="11">
        <f>T_Saldo[[#This Row],[Valor liquidativo (Moneda Extranjera)]]/T_Saldo[[#This Row],[Cambio]]</f>
        <v>70.756113999999997</v>
      </c>
      <c r="E191" s="13">
        <f>IF(ISERROR(MATCH(T_Saldo[[#This Row],[Producto]],T_Stocks[Ticker],0)),1,INDEX(T_Stocks[Close],MATCH(T_Saldo[[#This Row],[ID - Product - Fecha]],T_Stocks[ID],1),1))</f>
        <v>82.94</v>
      </c>
      <c r="F191" cm="1">
        <f t="array" ref="F191">IF(T_Saldo[[#This Row],[Divisa]]="USD",INDEX(T_USD_EUR[EURUSD],MATCH(T_Saldo[[#This Row],[Fecha]],T_USD_EUR[Fecha],1),0),1)</f>
        <v>1.1721955222131051</v>
      </c>
      <c r="G191" t="str" cm="1">
        <f t="array" ref="G191">INDEX(T_Elementos[Divisa],MATCH(T_Saldo[[#This Row],[Producto]],T_Elementos[Producto],0),0)</f>
        <v>USD</v>
      </c>
      <c r="H1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1" t="str">
        <f>T_Saldo[[#This Row],[Producto]] &amp; "-" &amp; DATE(YEAR(T_Saldo[[#This Row],[Fecha]]),MONTH(T_Saldo[[#This Row],[Fecha]]),DAY(T_Saldo[[#This Row],[Fecha]]))</f>
        <v>VTSAX-44104</v>
      </c>
    </row>
    <row r="192" spans="1:10" x14ac:dyDescent="0.45">
      <c r="A192" s="15">
        <v>44135</v>
      </c>
      <c r="B192" t="s">
        <v>38</v>
      </c>
      <c r="C192">
        <f>T_Saldo[[#This Row],[Valor liquidativo]]*T_Saldo[[#This Row],[Participaciones]]</f>
        <v>9343.4538000000011</v>
      </c>
      <c r="D192" s="11">
        <f>T_Saldo[[#This Row],[Valor liquidativo (Moneda Extranjera)]]/T_Saldo[[#This Row],[Cambio]]</f>
        <v>93.434538000000003</v>
      </c>
      <c r="E192" s="13">
        <f>IF(ISERROR(MATCH(T_Saldo[[#This Row],[Producto]],T_Stocks[Ticker],0)),1,INDEX(T_Stocks[Close],MATCH(T_Saldo[[#This Row],[ID - Product - Fecha]],T_Stocks[ID],1),1))</f>
        <v>108.86</v>
      </c>
      <c r="F192" cm="1">
        <f t="array" ref="F192">IF(T_Saldo[[#This Row],[Divisa]]="USD",INDEX(T_USD_EUR[EURUSD],MATCH(T_Saldo[[#This Row],[Fecha]],T_USD_EUR[Fecha],1),0),1)</f>
        <v>1.1650937900500991</v>
      </c>
      <c r="G192" t="str" cm="1">
        <f t="array" ref="G192">INDEX(T_Elementos[Divisa],MATCH(T_Saldo[[#This Row],[Producto]],T_Elementos[Producto],0),0)</f>
        <v>USD</v>
      </c>
      <c r="H1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192" t="str">
        <f>T_Saldo[[#This Row],[Producto]] &amp; "-" &amp; DATE(YEAR(T_Saldo[[#This Row],[Fecha]]),MONTH(T_Saldo[[#This Row],[Fecha]]),DAY(T_Saldo[[#This Row],[Fecha]]))</f>
        <v>AAPL-44135</v>
      </c>
    </row>
    <row r="193" spans="1:10" x14ac:dyDescent="0.45">
      <c r="A193" s="15">
        <v>44135</v>
      </c>
      <c r="B193" t="s">
        <v>43</v>
      </c>
      <c r="C193">
        <f>T_Saldo[[#This Row],[Valor liquidativo]]*T_Saldo[[#This Row],[Participaciones]]</f>
        <v>0</v>
      </c>
      <c r="D193" s="11">
        <f>T_Saldo[[#This Row],[Valor liquidativo (Moneda Extranjera)]]/T_Saldo[[#This Row],[Cambio]]</f>
        <v>250.42</v>
      </c>
      <c r="E193" s="13">
        <f>IF(ISERROR(MATCH(T_Saldo[[#This Row],[Producto]],T_Stocks[Ticker],0)),1,INDEX(T_Stocks[Close],MATCH(T_Saldo[[#This Row],[ID - Product - Fecha]],T_Stocks[ID],1),1))</f>
        <v>250.42</v>
      </c>
      <c r="F193" cm="1">
        <f t="array" ref="F193">IF(T_Saldo[[#This Row],[Divisa]]="USD",INDEX(T_USD_EUR[EURUSD],MATCH(T_Saldo[[#This Row],[Fecha]],T_USD_EUR[Fecha],1),0),1)</f>
        <v>1</v>
      </c>
      <c r="G193" t="str" cm="1">
        <f t="array" ref="G193">INDEX(T_Elementos[Divisa],MATCH(T_Saldo[[#This Row],[Producto]],T_Elementos[Producto],0),0)</f>
        <v>EUR</v>
      </c>
      <c r="H1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3" t="str">
        <f>T_Saldo[[#This Row],[Producto]] &amp; "-" &amp; DATE(YEAR(T_Saldo[[#This Row],[Fecha]]),MONTH(T_Saldo[[#This Row],[Fecha]]),DAY(T_Saldo[[#This Row],[Fecha]]))</f>
        <v>Bonos-44135</v>
      </c>
    </row>
    <row r="194" spans="1:10" x14ac:dyDescent="0.45">
      <c r="A194" s="15">
        <v>44135</v>
      </c>
      <c r="B194" t="s">
        <v>155</v>
      </c>
      <c r="C194">
        <f>T_Saldo[[#This Row],[Valor liquidativo]]*T_Saldo[[#This Row],[Participaciones]]</f>
        <v>0</v>
      </c>
      <c r="D194" s="11">
        <f>T_Saldo[[#This Row],[Valor liquidativo (Moneda Extranjera)]]/T_Saldo[[#This Row],[Cambio]]</f>
        <v>11815.05277</v>
      </c>
      <c r="E194" s="13">
        <f>IF(ISERROR(MATCH(T_Saldo[[#This Row],[Producto]],T_Stocks[Ticker],0)),1,INDEX(T_Stocks[Close],MATCH(T_Saldo[[#This Row],[ID - Product - Fecha]],T_Stocks[ID],1),1))</f>
        <v>11815.05277</v>
      </c>
      <c r="F194" cm="1">
        <f t="array" ref="F194">IF(T_Saldo[[#This Row],[Divisa]]="USD",INDEX(T_USD_EUR[EURUSD],MATCH(T_Saldo[[#This Row],[Fecha]],T_USD_EUR[Fecha],1),0),1)</f>
        <v>1</v>
      </c>
      <c r="G194" t="str" cm="1">
        <f t="array" ref="G194">INDEX(T_Elementos[Divisa],MATCH(T_Saldo[[#This Row],[Producto]],T_Elementos[Producto],0),0)</f>
        <v>EUR</v>
      </c>
      <c r="H1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4" t="str">
        <f>T_Saldo[[#This Row],[Producto]] &amp; "-" &amp; DATE(YEAR(T_Saldo[[#This Row],[Fecha]]),MONTH(T_Saldo[[#This Row],[Fecha]]),DAY(T_Saldo[[#This Row],[Fecha]]))</f>
        <v>BTCEUR-44135</v>
      </c>
    </row>
    <row r="195" spans="1:10" x14ac:dyDescent="0.45">
      <c r="A195" s="15">
        <v>44135</v>
      </c>
      <c r="B195" t="s">
        <v>46</v>
      </c>
      <c r="C195">
        <f>T_Saldo[[#This Row],[Valor liquidativo]]*T_Saldo[[#This Row],[Participaciones]]</f>
        <v>12546.35</v>
      </c>
      <c r="D195" s="11">
        <f>T_Saldo[[#This Row],[Valor liquidativo (Moneda Extranjera)]]/T_Saldo[[#This Row],[Cambio]]</f>
        <v>1</v>
      </c>
      <c r="E195" s="13">
        <f>IF(ISERROR(MATCH(T_Saldo[[#This Row],[Producto]],T_Stocks[Ticker],0)),1,INDEX(T_Stocks[Close],MATCH(T_Saldo[[#This Row],[ID - Product - Fecha]],T_Stocks[ID],1),1))</f>
        <v>1</v>
      </c>
      <c r="F195" cm="1">
        <f t="array" ref="F195">IF(T_Saldo[[#This Row],[Divisa]]="USD",INDEX(T_USD_EUR[EURUSD],MATCH(T_Saldo[[#This Row],[Fecha]],T_USD_EUR[Fecha],1),0),1)</f>
        <v>1</v>
      </c>
      <c r="G195" t="str" cm="1">
        <f t="array" ref="G195">INDEX(T_Elementos[Divisa],MATCH(T_Saldo[[#This Row],[Producto]],T_Elementos[Producto],0),0)</f>
        <v>EUR</v>
      </c>
      <c r="H1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12546.35</v>
      </c>
      <c r="J195" t="str">
        <f>T_Saldo[[#This Row],[Producto]] &amp; "-" &amp; DATE(YEAR(T_Saldo[[#This Row],[Fecha]]),MONTH(T_Saldo[[#This Row],[Fecha]]),DAY(T_Saldo[[#This Row],[Fecha]]))</f>
        <v>CA 1-44135</v>
      </c>
    </row>
    <row r="196" spans="1:10" x14ac:dyDescent="0.45">
      <c r="A196" s="15">
        <v>44135</v>
      </c>
      <c r="B196" t="s">
        <v>10</v>
      </c>
      <c r="C196">
        <f>T_Saldo[[#This Row],[Valor liquidativo]]*T_Saldo[[#This Row],[Participaciones]]</f>
        <v>15450.179999999998</v>
      </c>
      <c r="D196" s="11">
        <f>T_Saldo[[#This Row],[Valor liquidativo (Moneda Extranjera)]]/T_Saldo[[#This Row],[Cambio]]</f>
        <v>1</v>
      </c>
      <c r="E196" s="13">
        <f>IF(ISERROR(MATCH(T_Saldo[[#This Row],[Producto]],T_Stocks[Ticker],0)),1,INDEX(T_Stocks[Close],MATCH(T_Saldo[[#This Row],[ID - Product - Fecha]],T_Stocks[ID],1),1))</f>
        <v>1</v>
      </c>
      <c r="F196" cm="1">
        <f t="array" ref="F196">IF(T_Saldo[[#This Row],[Divisa]]="USD",INDEX(T_USD_EUR[EURUSD],MATCH(T_Saldo[[#This Row],[Fecha]],T_USD_EUR[Fecha],1),0),1)</f>
        <v>1</v>
      </c>
      <c r="G196" t="str" cm="1">
        <f t="array" ref="G196">INDEX(T_Elementos[Divisa],MATCH(T_Saldo[[#This Row],[Producto]],T_Elementos[Producto],0),0)</f>
        <v>EUR</v>
      </c>
      <c r="H1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15450.179999999998</v>
      </c>
      <c r="J196" t="str">
        <f>T_Saldo[[#This Row],[Producto]] &amp; "-" &amp; DATE(YEAR(T_Saldo[[#This Row],[Fecha]]),MONTH(T_Saldo[[#This Row],[Fecha]]),DAY(T_Saldo[[#This Row],[Fecha]]))</f>
        <v>CC 1-44135</v>
      </c>
    </row>
    <row r="197" spans="1:10" x14ac:dyDescent="0.45">
      <c r="A197" s="15">
        <v>44135</v>
      </c>
      <c r="B197" t="s">
        <v>49</v>
      </c>
      <c r="C197">
        <f>T_Saldo[[#This Row],[Valor liquidativo]]*T_Saldo[[#This Row],[Participaciones]]</f>
        <v>15623.410000000003</v>
      </c>
      <c r="D197" s="11">
        <f>T_Saldo[[#This Row],[Valor liquidativo (Moneda Extranjera)]]/T_Saldo[[#This Row],[Cambio]]</f>
        <v>1</v>
      </c>
      <c r="E197" s="13">
        <f>IF(ISERROR(MATCH(T_Saldo[[#This Row],[Producto]],T_Stocks[Ticker],0)),1,INDEX(T_Stocks[Close],MATCH(T_Saldo[[#This Row],[ID - Product - Fecha]],T_Stocks[ID],1),1))</f>
        <v>1</v>
      </c>
      <c r="F197" cm="1">
        <f t="array" ref="F197">IF(T_Saldo[[#This Row],[Divisa]]="USD",INDEX(T_USD_EUR[EURUSD],MATCH(T_Saldo[[#This Row],[Fecha]],T_USD_EUR[Fecha],1),0),1)</f>
        <v>1</v>
      </c>
      <c r="G197" t="str" cm="1">
        <f t="array" ref="G197">INDEX(T_Elementos[Divisa],MATCH(T_Saldo[[#This Row],[Producto]],T_Elementos[Producto],0),0)</f>
        <v>EUR</v>
      </c>
      <c r="H1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15623.410000000003</v>
      </c>
      <c r="J197" t="str">
        <f>T_Saldo[[#This Row],[Producto]] &amp; "-" &amp; DATE(YEAR(T_Saldo[[#This Row],[Fecha]]),MONTH(T_Saldo[[#This Row],[Fecha]]),DAY(T_Saldo[[#This Row],[Fecha]]))</f>
        <v>CC 2-44135</v>
      </c>
    </row>
    <row r="198" spans="1:10" x14ac:dyDescent="0.45">
      <c r="A198" s="15">
        <v>44135</v>
      </c>
      <c r="B198" t="s">
        <v>41</v>
      </c>
      <c r="C198">
        <f>T_Saldo[[#This Row],[Valor liquidativo]]*T_Saldo[[#This Row],[Participaciones]]</f>
        <v>0</v>
      </c>
      <c r="D198" s="11">
        <f>T_Saldo[[#This Row],[Valor liquidativo (Moneda Extranjera)]]/T_Saldo[[#This Row],[Cambio]]</f>
        <v>173.780001</v>
      </c>
      <c r="E198" s="13">
        <f>IF(ISERROR(MATCH(T_Saldo[[#This Row],[Producto]],T_Stocks[Ticker],0)),1,INDEX(T_Stocks[Close],MATCH(T_Saldo[[#This Row],[ID - Product - Fecha]],T_Stocks[ID],1),1))</f>
        <v>202.47</v>
      </c>
      <c r="F198" cm="1">
        <f t="array" ref="F198">IF(T_Saldo[[#This Row],[Divisa]]="USD",INDEX(T_USD_EUR[EURUSD],MATCH(T_Saldo[[#This Row],[Fecha]],T_USD_EUR[Fecha],1),0),1)</f>
        <v>1.1650937900500991</v>
      </c>
      <c r="G198" t="str" cm="1">
        <f t="array" ref="G198">INDEX(T_Elementos[Divisa],MATCH(T_Saldo[[#This Row],[Producto]],T_Elementos[Producto],0),0)</f>
        <v>USD</v>
      </c>
      <c r="H1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8" t="str">
        <f>T_Saldo[[#This Row],[Producto]] &amp; "-" &amp; DATE(YEAR(T_Saldo[[#This Row],[Fecha]]),MONTH(T_Saldo[[#This Row],[Fecha]]),DAY(T_Saldo[[#This Row],[Fecha]]))</f>
        <v>MSFT-44135</v>
      </c>
    </row>
    <row r="199" spans="1:10" x14ac:dyDescent="0.45">
      <c r="A199" s="15">
        <v>44135</v>
      </c>
      <c r="B199" t="s">
        <v>51</v>
      </c>
      <c r="C199">
        <f>T_Saldo[[#This Row],[Valor liquidativo]]*T_Saldo[[#This Row],[Participaciones]]</f>
        <v>0</v>
      </c>
      <c r="D199" s="11">
        <f>T_Saldo[[#This Row],[Valor liquidativo (Moneda Extranjera)]]/T_Saldo[[#This Row],[Cambio]]</f>
        <v>78.9636</v>
      </c>
      <c r="E199" s="13">
        <f>IF(ISERROR(MATCH(T_Saldo[[#This Row],[Producto]],T_Stocks[Ticker],0)),1,INDEX(T_Stocks[Close],MATCH(T_Saldo[[#This Row],[ID - Product - Fecha]],T_Stocks[ID],1),1))</f>
        <v>92</v>
      </c>
      <c r="F199" cm="1">
        <f t="array" ref="F199">IF(T_Saldo[[#This Row],[Divisa]]="USD",INDEX(T_USD_EUR[EURUSD],MATCH(T_Saldo[[#This Row],[Fecha]],T_USD_EUR[Fecha],1),0),1)</f>
        <v>1.1650937900500991</v>
      </c>
      <c r="G199" t="str" cm="1">
        <f t="array" ref="G199">INDEX(T_Elementos[Divisa],MATCH(T_Saldo[[#This Row],[Producto]],T_Elementos[Producto],0),0)</f>
        <v>USD</v>
      </c>
      <c r="H1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199" t="str">
        <f>T_Saldo[[#This Row],[Producto]] &amp; "-" &amp; DATE(YEAR(T_Saldo[[#This Row],[Fecha]]),MONTH(T_Saldo[[#This Row],[Fecha]]),DAY(T_Saldo[[#This Row],[Fecha]]))</f>
        <v>PRHSX-44135</v>
      </c>
    </row>
    <row r="200" spans="1:10" x14ac:dyDescent="0.45">
      <c r="A200" s="15">
        <v>44135</v>
      </c>
      <c r="B200" t="s">
        <v>32</v>
      </c>
      <c r="C200">
        <f>T_Saldo[[#This Row],[Valor liquidativo]]*T_Saldo[[#This Row],[Participaciones]]</f>
        <v>0</v>
      </c>
      <c r="D200" s="11">
        <f>T_Saldo[[#This Row],[Valor liquidativo (Moneda Extranjera)]]/T_Saldo[[#This Row],[Cambio]]</f>
        <v>69.659627999999998</v>
      </c>
      <c r="E200" s="13">
        <f>IF(ISERROR(MATCH(T_Saldo[[#This Row],[Producto]],T_Stocks[Ticker],0)),1,INDEX(T_Stocks[Close],MATCH(T_Saldo[[#This Row],[ID - Product - Fecha]],T_Stocks[ID],1),1))</f>
        <v>81.16</v>
      </c>
      <c r="F200" cm="1">
        <f t="array" ref="F200">IF(T_Saldo[[#This Row],[Divisa]]="USD",INDEX(T_USD_EUR[EURUSD],MATCH(T_Saldo[[#This Row],[Fecha]],T_USD_EUR[Fecha],1),0),1)</f>
        <v>1.1650937900500991</v>
      </c>
      <c r="G200" t="str" cm="1">
        <f t="array" ref="G200">INDEX(T_Elementos[Divisa],MATCH(T_Saldo[[#This Row],[Producto]],T_Elementos[Producto],0),0)</f>
        <v>USD</v>
      </c>
      <c r="H2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0" t="str">
        <f>T_Saldo[[#This Row],[Producto]] &amp; "-" &amp; DATE(YEAR(T_Saldo[[#This Row],[Fecha]]),MONTH(T_Saldo[[#This Row],[Fecha]]),DAY(T_Saldo[[#This Row],[Fecha]]))</f>
        <v>VTSAX-44135</v>
      </c>
    </row>
    <row r="201" spans="1:10" x14ac:dyDescent="0.45">
      <c r="A201" s="15">
        <v>44165</v>
      </c>
      <c r="B201" t="s">
        <v>38</v>
      </c>
      <c r="C201">
        <f>T_Saldo[[#This Row],[Valor liquidativo]]*T_Saldo[[#This Row],[Participaciones]]</f>
        <v>9977.5805</v>
      </c>
      <c r="D201" s="11">
        <f>T_Saldo[[#This Row],[Valor liquidativo (Moneda Extranjera)]]/T_Saldo[[#This Row],[Cambio]]</f>
        <v>99.775804999999991</v>
      </c>
      <c r="E201" s="13">
        <f>IF(ISERROR(MATCH(T_Saldo[[#This Row],[Producto]],T_Stocks[Ticker],0)),1,INDEX(T_Stocks[Close],MATCH(T_Saldo[[#This Row],[ID - Product - Fecha]],T_Stocks[ID],1),1))</f>
        <v>119.05</v>
      </c>
      <c r="F201" cm="1">
        <f t="array" ref="F201">IF(T_Saldo[[#This Row],[Divisa]]="USD",INDEX(T_USD_EUR[EURUSD],MATCH(T_Saldo[[#This Row],[Fecha]],T_USD_EUR[Fecha],1),0),1)</f>
        <v>1.1931750387781888</v>
      </c>
      <c r="G201" t="str" cm="1">
        <f t="array" ref="G201">INDEX(T_Elementos[Divisa],MATCH(T_Saldo[[#This Row],[Producto]],T_Elementos[Producto],0),0)</f>
        <v>USD</v>
      </c>
      <c r="H2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201" t="str">
        <f>T_Saldo[[#This Row],[Producto]] &amp; "-" &amp; DATE(YEAR(T_Saldo[[#This Row],[Fecha]]),MONTH(T_Saldo[[#This Row],[Fecha]]),DAY(T_Saldo[[#This Row],[Fecha]]))</f>
        <v>AAPL-44165</v>
      </c>
    </row>
    <row r="202" spans="1:10" x14ac:dyDescent="0.45">
      <c r="A202" s="15">
        <v>44165</v>
      </c>
      <c r="B202" t="s">
        <v>43</v>
      </c>
      <c r="C202">
        <f>T_Saldo[[#This Row],[Valor liquidativo]]*T_Saldo[[#This Row],[Participaciones]]</f>
        <v>0</v>
      </c>
      <c r="D202" s="11">
        <f>T_Saldo[[#This Row],[Valor liquidativo (Moneda Extranjera)]]/T_Saldo[[#This Row],[Cambio]]</f>
        <v>250.42</v>
      </c>
      <c r="E202" s="13">
        <f>IF(ISERROR(MATCH(T_Saldo[[#This Row],[Producto]],T_Stocks[Ticker],0)),1,INDEX(T_Stocks[Close],MATCH(T_Saldo[[#This Row],[ID - Product - Fecha]],T_Stocks[ID],1),1))</f>
        <v>250.42</v>
      </c>
      <c r="F202" cm="1">
        <f t="array" ref="F202">IF(T_Saldo[[#This Row],[Divisa]]="USD",INDEX(T_USD_EUR[EURUSD],MATCH(T_Saldo[[#This Row],[Fecha]],T_USD_EUR[Fecha],1),0),1)</f>
        <v>1</v>
      </c>
      <c r="G202" t="str" cm="1">
        <f t="array" ref="G202">INDEX(T_Elementos[Divisa],MATCH(T_Saldo[[#This Row],[Producto]],T_Elementos[Producto],0),0)</f>
        <v>EUR</v>
      </c>
      <c r="H2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2" t="str">
        <f>T_Saldo[[#This Row],[Producto]] &amp; "-" &amp; DATE(YEAR(T_Saldo[[#This Row],[Fecha]]),MONTH(T_Saldo[[#This Row],[Fecha]]),DAY(T_Saldo[[#This Row],[Fecha]]))</f>
        <v>Bonos-44165</v>
      </c>
    </row>
    <row r="203" spans="1:10" x14ac:dyDescent="0.45">
      <c r="A203" s="15">
        <v>44165</v>
      </c>
      <c r="B203" t="s">
        <v>155</v>
      </c>
      <c r="C203">
        <f>T_Saldo[[#This Row],[Valor liquidativo]]*T_Saldo[[#This Row],[Participaciones]]</f>
        <v>0</v>
      </c>
      <c r="D203" s="11">
        <f>T_Saldo[[#This Row],[Valor liquidativo (Moneda Extranjera)]]/T_Saldo[[#This Row],[Cambio]]</f>
        <v>16505.181240000002</v>
      </c>
      <c r="E203" s="13">
        <f>IF(ISERROR(MATCH(T_Saldo[[#This Row],[Producto]],T_Stocks[Ticker],0)),1,INDEX(T_Stocks[Close],MATCH(T_Saldo[[#This Row],[ID - Product - Fecha]],T_Stocks[ID],1),1))</f>
        <v>16505.181240000002</v>
      </c>
      <c r="F203" cm="1">
        <f t="array" ref="F203">IF(T_Saldo[[#This Row],[Divisa]]="USD",INDEX(T_USD_EUR[EURUSD],MATCH(T_Saldo[[#This Row],[Fecha]],T_USD_EUR[Fecha],1),0),1)</f>
        <v>1</v>
      </c>
      <c r="G203" t="str" cm="1">
        <f t="array" ref="G203">INDEX(T_Elementos[Divisa],MATCH(T_Saldo[[#This Row],[Producto]],T_Elementos[Producto],0),0)</f>
        <v>EUR</v>
      </c>
      <c r="H2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3" t="str">
        <f>T_Saldo[[#This Row],[Producto]] &amp; "-" &amp; DATE(YEAR(T_Saldo[[#This Row],[Fecha]]),MONTH(T_Saldo[[#This Row],[Fecha]]),DAY(T_Saldo[[#This Row],[Fecha]]))</f>
        <v>BTCEUR-44165</v>
      </c>
    </row>
    <row r="204" spans="1:10" x14ac:dyDescent="0.45">
      <c r="A204" s="15">
        <v>44165</v>
      </c>
      <c r="B204" t="s">
        <v>46</v>
      </c>
      <c r="C204">
        <f>T_Saldo[[#This Row],[Valor liquidativo]]*T_Saldo[[#This Row],[Participaciones]]</f>
        <v>12397.28</v>
      </c>
      <c r="D204" s="11">
        <f>T_Saldo[[#This Row],[Valor liquidativo (Moneda Extranjera)]]/T_Saldo[[#This Row],[Cambio]]</f>
        <v>1</v>
      </c>
      <c r="E204" s="13">
        <f>IF(ISERROR(MATCH(T_Saldo[[#This Row],[Producto]],T_Stocks[Ticker],0)),1,INDEX(T_Stocks[Close],MATCH(T_Saldo[[#This Row],[ID - Product - Fecha]],T_Stocks[ID],1),1))</f>
        <v>1</v>
      </c>
      <c r="F204" cm="1">
        <f t="array" ref="F204">IF(T_Saldo[[#This Row],[Divisa]]="USD",INDEX(T_USD_EUR[EURUSD],MATCH(T_Saldo[[#This Row],[Fecha]],T_USD_EUR[Fecha],1),0),1)</f>
        <v>1</v>
      </c>
      <c r="G204" t="str" cm="1">
        <f t="array" ref="G204">INDEX(T_Elementos[Divisa],MATCH(T_Saldo[[#This Row],[Producto]],T_Elementos[Producto],0),0)</f>
        <v>EUR</v>
      </c>
      <c r="H2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12397.28</v>
      </c>
      <c r="J204" t="str">
        <f>T_Saldo[[#This Row],[Producto]] &amp; "-" &amp; DATE(YEAR(T_Saldo[[#This Row],[Fecha]]),MONTH(T_Saldo[[#This Row],[Fecha]]),DAY(T_Saldo[[#This Row],[Fecha]]))</f>
        <v>CA 1-44165</v>
      </c>
    </row>
    <row r="205" spans="1:10" x14ac:dyDescent="0.45">
      <c r="A205" s="15">
        <v>44165</v>
      </c>
      <c r="B205" t="s">
        <v>10</v>
      </c>
      <c r="C205">
        <f>T_Saldo[[#This Row],[Valor liquidativo]]*T_Saldo[[#This Row],[Participaciones]]</f>
        <v>18161.099999999999</v>
      </c>
      <c r="D205" s="11">
        <f>T_Saldo[[#This Row],[Valor liquidativo (Moneda Extranjera)]]/T_Saldo[[#This Row],[Cambio]]</f>
        <v>1</v>
      </c>
      <c r="E205" s="13">
        <f>IF(ISERROR(MATCH(T_Saldo[[#This Row],[Producto]],T_Stocks[Ticker],0)),1,INDEX(T_Stocks[Close],MATCH(T_Saldo[[#This Row],[ID - Product - Fecha]],T_Stocks[ID],1),1))</f>
        <v>1</v>
      </c>
      <c r="F205" cm="1">
        <f t="array" ref="F205">IF(T_Saldo[[#This Row],[Divisa]]="USD",INDEX(T_USD_EUR[EURUSD],MATCH(T_Saldo[[#This Row],[Fecha]],T_USD_EUR[Fecha],1),0),1)</f>
        <v>1</v>
      </c>
      <c r="G205" t="str" cm="1">
        <f t="array" ref="G205">INDEX(T_Elementos[Divisa],MATCH(T_Saldo[[#This Row],[Producto]],T_Elementos[Producto],0),0)</f>
        <v>EUR</v>
      </c>
      <c r="H2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18161.099999999999</v>
      </c>
      <c r="J205" t="str">
        <f>T_Saldo[[#This Row],[Producto]] &amp; "-" &amp; DATE(YEAR(T_Saldo[[#This Row],[Fecha]]),MONTH(T_Saldo[[#This Row],[Fecha]]),DAY(T_Saldo[[#This Row],[Fecha]]))</f>
        <v>CC 1-44165</v>
      </c>
    </row>
    <row r="206" spans="1:10" x14ac:dyDescent="0.45">
      <c r="A206" s="15">
        <v>44165</v>
      </c>
      <c r="B206" t="s">
        <v>49</v>
      </c>
      <c r="C206">
        <f>T_Saldo[[#This Row],[Valor liquidativo]]*T_Saldo[[#This Row],[Participaciones]]</f>
        <v>18239.920000000002</v>
      </c>
      <c r="D206" s="11">
        <f>T_Saldo[[#This Row],[Valor liquidativo (Moneda Extranjera)]]/T_Saldo[[#This Row],[Cambio]]</f>
        <v>1</v>
      </c>
      <c r="E206" s="13">
        <f>IF(ISERROR(MATCH(T_Saldo[[#This Row],[Producto]],T_Stocks[Ticker],0)),1,INDEX(T_Stocks[Close],MATCH(T_Saldo[[#This Row],[ID - Product - Fecha]],T_Stocks[ID],1),1))</f>
        <v>1</v>
      </c>
      <c r="F206" cm="1">
        <f t="array" ref="F206">IF(T_Saldo[[#This Row],[Divisa]]="USD",INDEX(T_USD_EUR[EURUSD],MATCH(T_Saldo[[#This Row],[Fecha]],T_USD_EUR[Fecha],1),0),1)</f>
        <v>1</v>
      </c>
      <c r="G206" t="str" cm="1">
        <f t="array" ref="G206">INDEX(T_Elementos[Divisa],MATCH(T_Saldo[[#This Row],[Producto]],T_Elementos[Producto],0),0)</f>
        <v>EUR</v>
      </c>
      <c r="H2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18239.920000000002</v>
      </c>
      <c r="J206" t="str">
        <f>T_Saldo[[#This Row],[Producto]] &amp; "-" &amp; DATE(YEAR(T_Saldo[[#This Row],[Fecha]]),MONTH(T_Saldo[[#This Row],[Fecha]]),DAY(T_Saldo[[#This Row],[Fecha]]))</f>
        <v>CC 2-44165</v>
      </c>
    </row>
    <row r="207" spans="1:10" x14ac:dyDescent="0.45">
      <c r="A207" s="15">
        <v>44165</v>
      </c>
      <c r="B207" t="s">
        <v>41</v>
      </c>
      <c r="C207">
        <f>T_Saldo[[#This Row],[Valor liquidativo]]*T_Saldo[[#This Row],[Participaciones]]</f>
        <v>0</v>
      </c>
      <c r="D207" s="11">
        <f>T_Saldo[[#This Row],[Valor liquidativo (Moneda Extranjera)]]/T_Saldo[[#This Row],[Cambio]]</f>
        <v>179.41206700000001</v>
      </c>
      <c r="E207" s="13">
        <f>IF(ISERROR(MATCH(T_Saldo[[#This Row],[Producto]],T_Stocks[Ticker],0)),1,INDEX(T_Stocks[Close],MATCH(T_Saldo[[#This Row],[ID - Product - Fecha]],T_Stocks[ID],1),1))</f>
        <v>214.07</v>
      </c>
      <c r="F207" cm="1">
        <f t="array" ref="F207">IF(T_Saldo[[#This Row],[Divisa]]="USD",INDEX(T_USD_EUR[EURUSD],MATCH(T_Saldo[[#This Row],[Fecha]],T_USD_EUR[Fecha],1),0),1)</f>
        <v>1.1931750387781888</v>
      </c>
      <c r="G207" t="str" cm="1">
        <f t="array" ref="G207">INDEX(T_Elementos[Divisa],MATCH(T_Saldo[[#This Row],[Producto]],T_Elementos[Producto],0),0)</f>
        <v>USD</v>
      </c>
      <c r="H2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7" t="str">
        <f>T_Saldo[[#This Row],[Producto]] &amp; "-" &amp; DATE(YEAR(T_Saldo[[#This Row],[Fecha]]),MONTH(T_Saldo[[#This Row],[Fecha]]),DAY(T_Saldo[[#This Row],[Fecha]]))</f>
        <v>MSFT-44165</v>
      </c>
    </row>
    <row r="208" spans="1:10" x14ac:dyDescent="0.45">
      <c r="A208" s="15">
        <v>44165</v>
      </c>
      <c r="B208" t="s">
        <v>51</v>
      </c>
      <c r="C208">
        <f>T_Saldo[[#This Row],[Valor liquidativo]]*T_Saldo[[#This Row],[Participaciones]]</f>
        <v>0</v>
      </c>
      <c r="D208" s="11">
        <f>T_Saldo[[#This Row],[Valor liquidativo (Moneda Extranjera)]]/T_Saldo[[#This Row],[Cambio]]</f>
        <v>84.840862999999999</v>
      </c>
      <c r="E208" s="13">
        <f>IF(ISERROR(MATCH(T_Saldo[[#This Row],[Producto]],T_Stocks[Ticker],0)),1,INDEX(T_Stocks[Close],MATCH(T_Saldo[[#This Row],[ID - Product - Fecha]],T_Stocks[ID],1),1))</f>
        <v>101.23</v>
      </c>
      <c r="F208" cm="1">
        <f t="array" ref="F208">IF(T_Saldo[[#This Row],[Divisa]]="USD",INDEX(T_USD_EUR[EURUSD],MATCH(T_Saldo[[#This Row],[Fecha]],T_USD_EUR[Fecha],1),0),1)</f>
        <v>1.1931750387781888</v>
      </c>
      <c r="G208" t="str" cm="1">
        <f t="array" ref="G208">INDEX(T_Elementos[Divisa],MATCH(T_Saldo[[#This Row],[Producto]],T_Elementos[Producto],0),0)</f>
        <v>USD</v>
      </c>
      <c r="H2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8" t="str">
        <f>T_Saldo[[#This Row],[Producto]] &amp; "-" &amp; DATE(YEAR(T_Saldo[[#This Row],[Fecha]]),MONTH(T_Saldo[[#This Row],[Fecha]]),DAY(T_Saldo[[#This Row],[Fecha]]))</f>
        <v>PRHSX-44165</v>
      </c>
    </row>
    <row r="209" spans="1:10" x14ac:dyDescent="0.45">
      <c r="A209" s="15">
        <v>44165</v>
      </c>
      <c r="B209" t="s">
        <v>32</v>
      </c>
      <c r="C209">
        <f>T_Saldo[[#This Row],[Valor liquidativo]]*T_Saldo[[#This Row],[Participaciones]]</f>
        <v>0</v>
      </c>
      <c r="D209" s="11">
        <f>T_Saldo[[#This Row],[Valor liquidativo (Moneda Extranjera)]]/T_Saldo[[#This Row],[Cambio]]</f>
        <v>76.317385999999999</v>
      </c>
      <c r="E209" s="13">
        <f>IF(ISERROR(MATCH(T_Saldo[[#This Row],[Producto]],T_Stocks[Ticker],0)),1,INDEX(T_Stocks[Close],MATCH(T_Saldo[[#This Row],[ID - Product - Fecha]],T_Stocks[ID],1),1))</f>
        <v>91.06</v>
      </c>
      <c r="F209" cm="1">
        <f t="array" ref="F209">IF(T_Saldo[[#This Row],[Divisa]]="USD",INDEX(T_USD_EUR[EURUSD],MATCH(T_Saldo[[#This Row],[Fecha]],T_USD_EUR[Fecha],1),0),1)</f>
        <v>1.1931750387781888</v>
      </c>
      <c r="G209" t="str" cm="1">
        <f t="array" ref="G209">INDEX(T_Elementos[Divisa],MATCH(T_Saldo[[#This Row],[Producto]],T_Elementos[Producto],0),0)</f>
        <v>USD</v>
      </c>
      <c r="H2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09" t="str">
        <f>T_Saldo[[#This Row],[Producto]] &amp; "-" &amp; DATE(YEAR(T_Saldo[[#This Row],[Fecha]]),MONTH(T_Saldo[[#This Row],[Fecha]]),DAY(T_Saldo[[#This Row],[Fecha]]))</f>
        <v>VTSAX-44165</v>
      </c>
    </row>
    <row r="210" spans="1:10" x14ac:dyDescent="0.45">
      <c r="A210" s="15">
        <v>44196</v>
      </c>
      <c r="B210" t="s">
        <v>38</v>
      </c>
      <c r="C210">
        <f>T_Saldo[[#This Row],[Valor liquidativo]]*T_Saldo[[#This Row],[Participaciones]]</f>
        <v>0</v>
      </c>
      <c r="D210" s="11">
        <f>T_Saldo[[#This Row],[Valor liquidativo (Moneda Extranjera)]]/T_Saldo[[#This Row],[Cambio]]</f>
        <v>108.60676500000001</v>
      </c>
      <c r="E210" s="13">
        <f>IF(ISERROR(MATCH(T_Saldo[[#This Row],[Producto]],T_Stocks[Ticker],0)),1,INDEX(T_Stocks[Close],MATCH(T_Saldo[[#This Row],[ID - Product - Fecha]],T_Stocks[ID],1),1))</f>
        <v>132.69</v>
      </c>
      <c r="F210" cm="1">
        <f t="array" ref="F210">IF(T_Saldo[[#This Row],[Divisa]]="USD",INDEX(T_USD_EUR[EURUSD],MATCH(T_Saldo[[#This Row],[Fecha]],T_USD_EUR[Fecha],1),0),1)</f>
        <v>1.2217470983506413</v>
      </c>
      <c r="G210" t="str" cm="1">
        <f t="array" ref="G210">INDEX(T_Elementos[Divisa],MATCH(T_Saldo[[#This Row],[Producto]],T_Elementos[Producto],0),0)</f>
        <v>USD</v>
      </c>
      <c r="H2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0" t="str">
        <f>T_Saldo[[#This Row],[Producto]] &amp; "-" &amp; DATE(YEAR(T_Saldo[[#This Row],[Fecha]]),MONTH(T_Saldo[[#This Row],[Fecha]]),DAY(T_Saldo[[#This Row],[Fecha]]))</f>
        <v>AAPL-44196</v>
      </c>
    </row>
    <row r="211" spans="1:10" x14ac:dyDescent="0.45">
      <c r="A211" s="15">
        <v>44196</v>
      </c>
      <c r="B211" t="s">
        <v>43</v>
      </c>
      <c r="C211">
        <f>T_Saldo[[#This Row],[Valor liquidativo]]*T_Saldo[[#This Row],[Participaciones]]</f>
        <v>0</v>
      </c>
      <c r="D211" s="11">
        <f>T_Saldo[[#This Row],[Valor liquidativo (Moneda Extranjera)]]/T_Saldo[[#This Row],[Cambio]]</f>
        <v>250.42</v>
      </c>
      <c r="E211" s="13">
        <f>IF(ISERROR(MATCH(T_Saldo[[#This Row],[Producto]],T_Stocks[Ticker],0)),1,INDEX(T_Stocks[Close],MATCH(T_Saldo[[#This Row],[ID - Product - Fecha]],T_Stocks[ID],1),1))</f>
        <v>250.42</v>
      </c>
      <c r="F211" cm="1">
        <f t="array" ref="F211">IF(T_Saldo[[#This Row],[Divisa]]="USD",INDEX(T_USD_EUR[EURUSD],MATCH(T_Saldo[[#This Row],[Fecha]],T_USD_EUR[Fecha],1),0),1)</f>
        <v>1</v>
      </c>
      <c r="G211" t="str" cm="1">
        <f t="array" ref="G211">INDEX(T_Elementos[Divisa],MATCH(T_Saldo[[#This Row],[Producto]],T_Elementos[Producto],0),0)</f>
        <v>EUR</v>
      </c>
      <c r="H2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1" t="str">
        <f>T_Saldo[[#This Row],[Producto]] &amp; "-" &amp; DATE(YEAR(T_Saldo[[#This Row],[Fecha]]),MONTH(T_Saldo[[#This Row],[Fecha]]),DAY(T_Saldo[[#This Row],[Fecha]]))</f>
        <v>Bonos-44196</v>
      </c>
    </row>
    <row r="212" spans="1:10" x14ac:dyDescent="0.45">
      <c r="A212" s="15">
        <v>44196</v>
      </c>
      <c r="B212" t="s">
        <v>155</v>
      </c>
      <c r="C212">
        <f>T_Saldo[[#This Row],[Valor liquidativo]]*T_Saldo[[#This Row],[Participaciones]]</f>
        <v>11881.33959</v>
      </c>
      <c r="D212" s="11">
        <f>T_Saldo[[#This Row],[Valor liquidativo (Moneda Extranjera)]]/T_Saldo[[#This Row],[Cambio]]</f>
        <v>23762.679179999999</v>
      </c>
      <c r="E212" s="13">
        <f>IF(ISERROR(MATCH(T_Saldo[[#This Row],[Producto]],T_Stocks[Ticker],0)),1,INDEX(T_Stocks[Close],MATCH(T_Saldo[[#This Row],[ID - Product - Fecha]],T_Stocks[ID],1),1))</f>
        <v>23762.679179999999</v>
      </c>
      <c r="F212" cm="1">
        <f t="array" ref="F212">IF(T_Saldo[[#This Row],[Divisa]]="USD",INDEX(T_USD_EUR[EURUSD],MATCH(T_Saldo[[#This Row],[Fecha]],T_USD_EUR[Fecha],1),0),1)</f>
        <v>1</v>
      </c>
      <c r="G212" t="str" cm="1">
        <f t="array" ref="G212">INDEX(T_Elementos[Divisa],MATCH(T_Saldo[[#This Row],[Producto]],T_Elementos[Producto],0),0)</f>
        <v>EUR</v>
      </c>
      <c r="H2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12" t="str">
        <f>T_Saldo[[#This Row],[Producto]] &amp; "-" &amp; DATE(YEAR(T_Saldo[[#This Row],[Fecha]]),MONTH(T_Saldo[[#This Row],[Fecha]]),DAY(T_Saldo[[#This Row],[Fecha]]))</f>
        <v>BTCEUR-44196</v>
      </c>
    </row>
    <row r="213" spans="1:10" x14ac:dyDescent="0.45">
      <c r="A213" s="15">
        <v>44196</v>
      </c>
      <c r="B213" t="s">
        <v>46</v>
      </c>
      <c r="C213">
        <f>T_Saldo[[#This Row],[Valor liquidativo]]*T_Saldo[[#This Row],[Participaciones]]</f>
        <v>12397.28</v>
      </c>
      <c r="D213" s="11">
        <f>T_Saldo[[#This Row],[Valor liquidativo (Moneda Extranjera)]]/T_Saldo[[#This Row],[Cambio]]</f>
        <v>1</v>
      </c>
      <c r="E213" s="13">
        <f>IF(ISERROR(MATCH(T_Saldo[[#This Row],[Producto]],T_Stocks[Ticker],0)),1,INDEX(T_Stocks[Close],MATCH(T_Saldo[[#This Row],[ID - Product - Fecha]],T_Stocks[ID],1),1))</f>
        <v>1</v>
      </c>
      <c r="F213" cm="1">
        <f t="array" ref="F213">IF(T_Saldo[[#This Row],[Divisa]]="USD",INDEX(T_USD_EUR[EURUSD],MATCH(T_Saldo[[#This Row],[Fecha]],T_USD_EUR[Fecha],1),0),1)</f>
        <v>1</v>
      </c>
      <c r="G213" t="str" cm="1">
        <f t="array" ref="G213">INDEX(T_Elementos[Divisa],MATCH(T_Saldo[[#This Row],[Producto]],T_Elementos[Producto],0),0)</f>
        <v>EUR</v>
      </c>
      <c r="H2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12397.28</v>
      </c>
      <c r="J213" t="str">
        <f>T_Saldo[[#This Row],[Producto]] &amp; "-" &amp; DATE(YEAR(T_Saldo[[#This Row],[Fecha]]),MONTH(T_Saldo[[#This Row],[Fecha]]),DAY(T_Saldo[[#This Row],[Fecha]]))</f>
        <v>CA 1-44196</v>
      </c>
    </row>
    <row r="214" spans="1:10" x14ac:dyDescent="0.45">
      <c r="A214" s="15">
        <v>44196</v>
      </c>
      <c r="B214" t="s">
        <v>10</v>
      </c>
      <c r="C214">
        <f>T_Saldo[[#This Row],[Valor liquidativo]]*T_Saldo[[#This Row],[Participaciones]]</f>
        <v>17975.96</v>
      </c>
      <c r="D214" s="11">
        <f>T_Saldo[[#This Row],[Valor liquidativo (Moneda Extranjera)]]/T_Saldo[[#This Row],[Cambio]]</f>
        <v>1</v>
      </c>
      <c r="E214" s="13">
        <f>IF(ISERROR(MATCH(T_Saldo[[#This Row],[Producto]],T_Stocks[Ticker],0)),1,INDEX(T_Stocks[Close],MATCH(T_Saldo[[#This Row],[ID - Product - Fecha]],T_Stocks[ID],1),1))</f>
        <v>1</v>
      </c>
      <c r="F214" cm="1">
        <f t="array" ref="F214">IF(T_Saldo[[#This Row],[Divisa]]="USD",INDEX(T_USD_EUR[EURUSD],MATCH(T_Saldo[[#This Row],[Fecha]],T_USD_EUR[Fecha],1),0),1)</f>
        <v>1</v>
      </c>
      <c r="G214" t="str" cm="1">
        <f t="array" ref="G214">INDEX(T_Elementos[Divisa],MATCH(T_Saldo[[#This Row],[Producto]],T_Elementos[Producto],0),0)</f>
        <v>EUR</v>
      </c>
      <c r="H2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17975.96</v>
      </c>
      <c r="J214" t="str">
        <f>T_Saldo[[#This Row],[Producto]] &amp; "-" &amp; DATE(YEAR(T_Saldo[[#This Row],[Fecha]]),MONTH(T_Saldo[[#This Row],[Fecha]]),DAY(T_Saldo[[#This Row],[Fecha]]))</f>
        <v>CC 1-44196</v>
      </c>
    </row>
    <row r="215" spans="1:10" x14ac:dyDescent="0.45">
      <c r="A215" s="15">
        <v>44196</v>
      </c>
      <c r="B215" t="s">
        <v>49</v>
      </c>
      <c r="C215">
        <f>T_Saldo[[#This Row],[Valor liquidativo]]*T_Saldo[[#This Row],[Participaciones]]</f>
        <v>17946.200000000004</v>
      </c>
      <c r="D215" s="11">
        <f>T_Saldo[[#This Row],[Valor liquidativo (Moneda Extranjera)]]/T_Saldo[[#This Row],[Cambio]]</f>
        <v>1</v>
      </c>
      <c r="E215" s="13">
        <f>IF(ISERROR(MATCH(T_Saldo[[#This Row],[Producto]],T_Stocks[Ticker],0)),1,INDEX(T_Stocks[Close],MATCH(T_Saldo[[#This Row],[ID - Product - Fecha]],T_Stocks[ID],1),1))</f>
        <v>1</v>
      </c>
      <c r="F215" cm="1">
        <f t="array" ref="F215">IF(T_Saldo[[#This Row],[Divisa]]="USD",INDEX(T_USD_EUR[EURUSD],MATCH(T_Saldo[[#This Row],[Fecha]],T_USD_EUR[Fecha],1),0),1)</f>
        <v>1</v>
      </c>
      <c r="G215" t="str" cm="1">
        <f t="array" ref="G215">INDEX(T_Elementos[Divisa],MATCH(T_Saldo[[#This Row],[Producto]],T_Elementos[Producto],0),0)</f>
        <v>EUR</v>
      </c>
      <c r="H2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17946.200000000004</v>
      </c>
      <c r="J215" t="str">
        <f>T_Saldo[[#This Row],[Producto]] &amp; "-" &amp; DATE(YEAR(T_Saldo[[#This Row],[Fecha]]),MONTH(T_Saldo[[#This Row],[Fecha]]),DAY(T_Saldo[[#This Row],[Fecha]]))</f>
        <v>CC 2-44196</v>
      </c>
    </row>
    <row r="216" spans="1:10" x14ac:dyDescent="0.45">
      <c r="A216" s="15">
        <v>44196</v>
      </c>
      <c r="B216" t="s">
        <v>41</v>
      </c>
      <c r="C216">
        <f>T_Saldo[[#This Row],[Valor liquidativo]]*T_Saldo[[#This Row],[Participaciones]]</f>
        <v>0</v>
      </c>
      <c r="D216" s="11">
        <f>T_Saldo[[#This Row],[Valor liquidativo (Moneda Extranjera)]]/T_Saldo[[#This Row],[Cambio]]</f>
        <v>182.05077</v>
      </c>
      <c r="E216" s="13">
        <f>IF(ISERROR(MATCH(T_Saldo[[#This Row],[Producto]],T_Stocks[Ticker],0)),1,INDEX(T_Stocks[Close],MATCH(T_Saldo[[#This Row],[ID - Product - Fecha]],T_Stocks[ID],1),1))</f>
        <v>222.42</v>
      </c>
      <c r="F216" cm="1">
        <f t="array" ref="F216">IF(T_Saldo[[#This Row],[Divisa]]="USD",INDEX(T_USD_EUR[EURUSD],MATCH(T_Saldo[[#This Row],[Fecha]],T_USD_EUR[Fecha],1),0),1)</f>
        <v>1.2217470983506413</v>
      </c>
      <c r="G216" t="str" cm="1">
        <f t="array" ref="G216">INDEX(T_Elementos[Divisa],MATCH(T_Saldo[[#This Row],[Producto]],T_Elementos[Producto],0),0)</f>
        <v>USD</v>
      </c>
      <c r="H2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6" t="str">
        <f>T_Saldo[[#This Row],[Producto]] &amp; "-" &amp; DATE(YEAR(T_Saldo[[#This Row],[Fecha]]),MONTH(T_Saldo[[#This Row],[Fecha]]),DAY(T_Saldo[[#This Row],[Fecha]]))</f>
        <v>MSFT-44196</v>
      </c>
    </row>
    <row r="217" spans="1:10" x14ac:dyDescent="0.45">
      <c r="A217" s="15">
        <v>44196</v>
      </c>
      <c r="B217" t="s">
        <v>51</v>
      </c>
      <c r="C217">
        <f>T_Saldo[[#This Row],[Valor liquidativo]]*T_Saldo[[#This Row],[Participaciones]]</f>
        <v>0</v>
      </c>
      <c r="D217" s="11">
        <f>T_Saldo[[#This Row],[Valor liquidativo (Moneda Extranjera)]]/T_Saldo[[#This Row],[Cambio]]</f>
        <v>80.908725000000004</v>
      </c>
      <c r="E217" s="13">
        <f>IF(ISERROR(MATCH(T_Saldo[[#This Row],[Producto]],T_Stocks[Ticker],0)),1,INDEX(T_Stocks[Close],MATCH(T_Saldo[[#This Row],[ID - Product - Fecha]],T_Stocks[ID],1),1))</f>
        <v>98.85</v>
      </c>
      <c r="F217" cm="1">
        <f t="array" ref="F217">IF(T_Saldo[[#This Row],[Divisa]]="USD",INDEX(T_USD_EUR[EURUSD],MATCH(T_Saldo[[#This Row],[Fecha]],T_USD_EUR[Fecha],1),0),1)</f>
        <v>1.2217470983506413</v>
      </c>
      <c r="G217" t="str" cm="1">
        <f t="array" ref="G217">INDEX(T_Elementos[Divisa],MATCH(T_Saldo[[#This Row],[Producto]],T_Elementos[Producto],0),0)</f>
        <v>USD</v>
      </c>
      <c r="H2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7" t="str">
        <f>T_Saldo[[#This Row],[Producto]] &amp; "-" &amp; DATE(YEAR(T_Saldo[[#This Row],[Fecha]]),MONTH(T_Saldo[[#This Row],[Fecha]]),DAY(T_Saldo[[#This Row],[Fecha]]))</f>
        <v>PRHSX-44196</v>
      </c>
    </row>
    <row r="218" spans="1:10" x14ac:dyDescent="0.45">
      <c r="A218" s="15">
        <v>44196</v>
      </c>
      <c r="B218" t="s">
        <v>32</v>
      </c>
      <c r="C218">
        <f>T_Saldo[[#This Row],[Valor liquidativo]]*T_Saldo[[#This Row],[Participaciones]]</f>
        <v>0</v>
      </c>
      <c r="D218" s="11">
        <f>T_Saldo[[#This Row],[Valor liquidativo (Moneda Extranjera)]]/T_Saldo[[#This Row],[Cambio]]</f>
        <v>77.544690000000003</v>
      </c>
      <c r="E218" s="13">
        <f>IF(ISERROR(MATCH(T_Saldo[[#This Row],[Producto]],T_Stocks[Ticker],0)),1,INDEX(T_Stocks[Close],MATCH(T_Saldo[[#This Row],[ID - Product - Fecha]],T_Stocks[ID],1),1))</f>
        <v>94.74</v>
      </c>
      <c r="F218" cm="1">
        <f t="array" ref="F218">IF(T_Saldo[[#This Row],[Divisa]]="USD",INDEX(T_USD_EUR[EURUSD],MATCH(T_Saldo[[#This Row],[Fecha]],T_USD_EUR[Fecha],1),0),1)</f>
        <v>1.2217470983506413</v>
      </c>
      <c r="G218" t="str" cm="1">
        <f t="array" ref="G218">INDEX(T_Elementos[Divisa],MATCH(T_Saldo[[#This Row],[Producto]],T_Elementos[Producto],0),0)</f>
        <v>USD</v>
      </c>
      <c r="H2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8" t="str">
        <f>T_Saldo[[#This Row],[Producto]] &amp; "-" &amp; DATE(YEAR(T_Saldo[[#This Row],[Fecha]]),MONTH(T_Saldo[[#This Row],[Fecha]]),DAY(T_Saldo[[#This Row],[Fecha]]))</f>
        <v>VTSAX-44196</v>
      </c>
    </row>
    <row r="219" spans="1:10" x14ac:dyDescent="0.45">
      <c r="A219" s="15">
        <v>44227</v>
      </c>
      <c r="B219" t="s">
        <v>38</v>
      </c>
      <c r="C219">
        <f>T_Saldo[[#This Row],[Valor liquidativo]]*T_Saldo[[#This Row],[Participaciones]]</f>
        <v>0</v>
      </c>
      <c r="D219" s="11">
        <f>T_Saldo[[#This Row],[Valor liquidativo (Moneda Extranjera)]]/T_Saldo[[#This Row],[Cambio]]</f>
        <v>108.721844</v>
      </c>
      <c r="E219" s="13">
        <f>IF(ISERROR(MATCH(T_Saldo[[#This Row],[Producto]],T_Stocks[Ticker],0)),1,INDEX(T_Stocks[Close],MATCH(T_Saldo[[#This Row],[ID - Product - Fecha]],T_Stocks[ID],1),1))</f>
        <v>131.96</v>
      </c>
      <c r="F219" cm="1">
        <f t="array" ref="F219">IF(T_Saldo[[#This Row],[Divisa]]="USD",INDEX(T_USD_EUR[EURUSD],MATCH(T_Saldo[[#This Row],[Fecha]],T_USD_EUR[Fecha],1),0),1)</f>
        <v>1.2137395314965409</v>
      </c>
      <c r="G219" t="str" cm="1">
        <f t="array" ref="G219">INDEX(T_Elementos[Divisa],MATCH(T_Saldo[[#This Row],[Producto]],T_Elementos[Producto],0),0)</f>
        <v>USD</v>
      </c>
      <c r="H2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19" t="str">
        <f>T_Saldo[[#This Row],[Producto]] &amp; "-" &amp; DATE(YEAR(T_Saldo[[#This Row],[Fecha]]),MONTH(T_Saldo[[#This Row],[Fecha]]),DAY(T_Saldo[[#This Row],[Fecha]]))</f>
        <v>AAPL-44227</v>
      </c>
    </row>
    <row r="220" spans="1:10" x14ac:dyDescent="0.45">
      <c r="A220" s="15">
        <v>44227</v>
      </c>
      <c r="B220" t="s">
        <v>43</v>
      </c>
      <c r="C220">
        <f>T_Saldo[[#This Row],[Valor liquidativo]]*T_Saldo[[#This Row],[Participaciones]]</f>
        <v>0</v>
      </c>
      <c r="D220" s="11">
        <f>T_Saldo[[#This Row],[Valor liquidativo (Moneda Extranjera)]]/T_Saldo[[#This Row],[Cambio]]</f>
        <v>250.42</v>
      </c>
      <c r="E220" s="13">
        <f>IF(ISERROR(MATCH(T_Saldo[[#This Row],[Producto]],T_Stocks[Ticker],0)),1,INDEX(T_Stocks[Close],MATCH(T_Saldo[[#This Row],[ID - Product - Fecha]],T_Stocks[ID],1),1))</f>
        <v>250.42</v>
      </c>
      <c r="F220" cm="1">
        <f t="array" ref="F220">IF(T_Saldo[[#This Row],[Divisa]]="USD",INDEX(T_USD_EUR[EURUSD],MATCH(T_Saldo[[#This Row],[Fecha]],T_USD_EUR[Fecha],1),0),1)</f>
        <v>1</v>
      </c>
      <c r="G220" t="str" cm="1">
        <f t="array" ref="G220">INDEX(T_Elementos[Divisa],MATCH(T_Saldo[[#This Row],[Producto]],T_Elementos[Producto],0),0)</f>
        <v>EUR</v>
      </c>
      <c r="H2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0" t="str">
        <f>T_Saldo[[#This Row],[Producto]] &amp; "-" &amp; DATE(YEAR(T_Saldo[[#This Row],[Fecha]]),MONTH(T_Saldo[[#This Row],[Fecha]]),DAY(T_Saldo[[#This Row],[Fecha]]))</f>
        <v>Bonos-44227</v>
      </c>
    </row>
    <row r="221" spans="1:10" x14ac:dyDescent="0.45">
      <c r="A221" s="15">
        <v>44227</v>
      </c>
      <c r="B221" t="s">
        <v>155</v>
      </c>
      <c r="C221">
        <f>T_Saldo[[#This Row],[Valor liquidativo]]*T_Saldo[[#This Row],[Participaciones]]</f>
        <v>13658.990330000001</v>
      </c>
      <c r="D221" s="11">
        <f>T_Saldo[[#This Row],[Valor liquidativo (Moneda Extranjera)]]/T_Saldo[[#This Row],[Cambio]]</f>
        <v>27317.980660000001</v>
      </c>
      <c r="E221" s="13">
        <f>IF(ISERROR(MATCH(T_Saldo[[#This Row],[Producto]],T_Stocks[Ticker],0)),1,INDEX(T_Stocks[Close],MATCH(T_Saldo[[#This Row],[ID - Product - Fecha]],T_Stocks[ID],1),1))</f>
        <v>27317.980660000001</v>
      </c>
      <c r="F221" cm="1">
        <f t="array" ref="F221">IF(T_Saldo[[#This Row],[Divisa]]="USD",INDEX(T_USD_EUR[EURUSD],MATCH(T_Saldo[[#This Row],[Fecha]],T_USD_EUR[Fecha],1),0),1)</f>
        <v>1</v>
      </c>
      <c r="G221" t="str" cm="1">
        <f t="array" ref="G221">INDEX(T_Elementos[Divisa],MATCH(T_Saldo[[#This Row],[Producto]],T_Elementos[Producto],0),0)</f>
        <v>EUR</v>
      </c>
      <c r="H2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21" t="str">
        <f>T_Saldo[[#This Row],[Producto]] &amp; "-" &amp; DATE(YEAR(T_Saldo[[#This Row],[Fecha]]),MONTH(T_Saldo[[#This Row],[Fecha]]),DAY(T_Saldo[[#This Row],[Fecha]]))</f>
        <v>BTCEUR-44227</v>
      </c>
    </row>
    <row r="222" spans="1:10" x14ac:dyDescent="0.45">
      <c r="A222" s="15">
        <v>44227</v>
      </c>
      <c r="B222" t="s">
        <v>46</v>
      </c>
      <c r="C222">
        <f>T_Saldo[[#This Row],[Valor liquidativo]]*T_Saldo[[#This Row],[Participaciones]]</f>
        <v>12186.42</v>
      </c>
      <c r="D222" s="11">
        <f>T_Saldo[[#This Row],[Valor liquidativo (Moneda Extranjera)]]/T_Saldo[[#This Row],[Cambio]]</f>
        <v>1</v>
      </c>
      <c r="E222" s="13">
        <f>IF(ISERROR(MATCH(T_Saldo[[#This Row],[Producto]],T_Stocks[Ticker],0)),1,INDEX(T_Stocks[Close],MATCH(T_Saldo[[#This Row],[ID - Product - Fecha]],T_Stocks[ID],1),1))</f>
        <v>1</v>
      </c>
      <c r="F222" cm="1">
        <f t="array" ref="F222">IF(T_Saldo[[#This Row],[Divisa]]="USD",INDEX(T_USD_EUR[EURUSD],MATCH(T_Saldo[[#This Row],[Fecha]],T_USD_EUR[Fecha],1),0),1)</f>
        <v>1</v>
      </c>
      <c r="G222" t="str" cm="1">
        <f t="array" ref="G222">INDEX(T_Elementos[Divisa],MATCH(T_Saldo[[#This Row],[Producto]],T_Elementos[Producto],0),0)</f>
        <v>EUR</v>
      </c>
      <c r="H2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12186.42</v>
      </c>
      <c r="J222" t="str">
        <f>T_Saldo[[#This Row],[Producto]] &amp; "-" &amp; DATE(YEAR(T_Saldo[[#This Row],[Fecha]]),MONTH(T_Saldo[[#This Row],[Fecha]]),DAY(T_Saldo[[#This Row],[Fecha]]))</f>
        <v>CA 1-44227</v>
      </c>
    </row>
    <row r="223" spans="1:10" x14ac:dyDescent="0.45">
      <c r="A223" s="15">
        <v>44227</v>
      </c>
      <c r="B223" t="s">
        <v>10</v>
      </c>
      <c r="C223">
        <f>T_Saldo[[#This Row],[Valor liquidativo]]*T_Saldo[[#This Row],[Participaciones]]</f>
        <v>17723.7</v>
      </c>
      <c r="D223" s="11">
        <f>T_Saldo[[#This Row],[Valor liquidativo (Moneda Extranjera)]]/T_Saldo[[#This Row],[Cambio]]</f>
        <v>1</v>
      </c>
      <c r="E223" s="13">
        <f>IF(ISERROR(MATCH(T_Saldo[[#This Row],[Producto]],T_Stocks[Ticker],0)),1,INDEX(T_Stocks[Close],MATCH(T_Saldo[[#This Row],[ID - Product - Fecha]],T_Stocks[ID],1),1))</f>
        <v>1</v>
      </c>
      <c r="F223" cm="1">
        <f t="array" ref="F223">IF(T_Saldo[[#This Row],[Divisa]]="USD",INDEX(T_USD_EUR[EURUSD],MATCH(T_Saldo[[#This Row],[Fecha]],T_USD_EUR[Fecha],1),0),1)</f>
        <v>1</v>
      </c>
      <c r="G223" t="str" cm="1">
        <f t="array" ref="G223">INDEX(T_Elementos[Divisa],MATCH(T_Saldo[[#This Row],[Producto]],T_Elementos[Producto],0),0)</f>
        <v>EUR</v>
      </c>
      <c r="H2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17723.7</v>
      </c>
      <c r="J223" t="str">
        <f>T_Saldo[[#This Row],[Producto]] &amp; "-" &amp; DATE(YEAR(T_Saldo[[#This Row],[Fecha]]),MONTH(T_Saldo[[#This Row],[Fecha]]),DAY(T_Saldo[[#This Row],[Fecha]]))</f>
        <v>CC 1-44227</v>
      </c>
    </row>
    <row r="224" spans="1:10" x14ac:dyDescent="0.45">
      <c r="A224" s="15">
        <v>44227</v>
      </c>
      <c r="B224" t="s">
        <v>49</v>
      </c>
      <c r="C224">
        <f>T_Saldo[[#This Row],[Valor liquidativo]]*T_Saldo[[#This Row],[Participaciones]]</f>
        <v>17876.5</v>
      </c>
      <c r="D224" s="11">
        <f>T_Saldo[[#This Row],[Valor liquidativo (Moneda Extranjera)]]/T_Saldo[[#This Row],[Cambio]]</f>
        <v>1</v>
      </c>
      <c r="E224" s="13">
        <f>IF(ISERROR(MATCH(T_Saldo[[#This Row],[Producto]],T_Stocks[Ticker],0)),1,INDEX(T_Stocks[Close],MATCH(T_Saldo[[#This Row],[ID - Product - Fecha]],T_Stocks[ID],1),1))</f>
        <v>1</v>
      </c>
      <c r="F224" cm="1">
        <f t="array" ref="F224">IF(T_Saldo[[#This Row],[Divisa]]="USD",INDEX(T_USD_EUR[EURUSD],MATCH(T_Saldo[[#This Row],[Fecha]],T_USD_EUR[Fecha],1),0),1)</f>
        <v>1</v>
      </c>
      <c r="G224" t="str" cm="1">
        <f t="array" ref="G224">INDEX(T_Elementos[Divisa],MATCH(T_Saldo[[#This Row],[Producto]],T_Elementos[Producto],0),0)</f>
        <v>EUR</v>
      </c>
      <c r="H2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17876.5</v>
      </c>
      <c r="J224" t="str">
        <f>T_Saldo[[#This Row],[Producto]] &amp; "-" &amp; DATE(YEAR(T_Saldo[[#This Row],[Fecha]]),MONTH(T_Saldo[[#This Row],[Fecha]]),DAY(T_Saldo[[#This Row],[Fecha]]))</f>
        <v>CC 2-44227</v>
      </c>
    </row>
    <row r="225" spans="1:10" x14ac:dyDescent="0.45">
      <c r="A225" s="15">
        <v>44227</v>
      </c>
      <c r="B225" t="s">
        <v>41</v>
      </c>
      <c r="C225">
        <f>T_Saldo[[#This Row],[Valor liquidativo]]*T_Saldo[[#This Row],[Participaciones]]</f>
        <v>0</v>
      </c>
      <c r="D225" s="11">
        <f>T_Saldo[[#This Row],[Valor liquidativo (Moneda Extranjera)]]/T_Saldo[[#This Row],[Cambio]]</f>
        <v>191.11184399999999</v>
      </c>
      <c r="E225" s="13">
        <f>IF(ISERROR(MATCH(T_Saldo[[#This Row],[Producto]],T_Stocks[Ticker],0)),1,INDEX(T_Stocks[Close],MATCH(T_Saldo[[#This Row],[ID - Product - Fecha]],T_Stocks[ID],1),1))</f>
        <v>231.96</v>
      </c>
      <c r="F225" cm="1">
        <f t="array" ref="F225">IF(T_Saldo[[#This Row],[Divisa]]="USD",INDEX(T_USD_EUR[EURUSD],MATCH(T_Saldo[[#This Row],[Fecha]],T_USD_EUR[Fecha],1),0),1)</f>
        <v>1.2137395314965409</v>
      </c>
      <c r="G225" t="str" cm="1">
        <f t="array" ref="G225">INDEX(T_Elementos[Divisa],MATCH(T_Saldo[[#This Row],[Producto]],T_Elementos[Producto],0),0)</f>
        <v>USD</v>
      </c>
      <c r="H2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5" t="str">
        <f>T_Saldo[[#This Row],[Producto]] &amp; "-" &amp; DATE(YEAR(T_Saldo[[#This Row],[Fecha]]),MONTH(T_Saldo[[#This Row],[Fecha]]),DAY(T_Saldo[[#This Row],[Fecha]]))</f>
        <v>MSFT-44227</v>
      </c>
    </row>
    <row r="226" spans="1:10" x14ac:dyDescent="0.45">
      <c r="A226" s="15">
        <v>44227</v>
      </c>
      <c r="B226" t="s">
        <v>51</v>
      </c>
      <c r="C226">
        <f>T_Saldo[[#This Row],[Valor liquidativo]]*T_Saldo[[#This Row],[Participaciones]]</f>
        <v>0</v>
      </c>
      <c r="D226" s="11">
        <f>T_Saldo[[#This Row],[Valor liquidativo (Moneda Extranjera)]]/T_Saldo[[#This Row],[Cambio]]</f>
        <v>83.353962999999993</v>
      </c>
      <c r="E226" s="13">
        <f>IF(ISERROR(MATCH(T_Saldo[[#This Row],[Producto]],T_Stocks[Ticker],0)),1,INDEX(T_Stocks[Close],MATCH(T_Saldo[[#This Row],[ID - Product - Fecha]],T_Stocks[ID],1),1))</f>
        <v>101.17</v>
      </c>
      <c r="F226" cm="1">
        <f t="array" ref="F226">IF(T_Saldo[[#This Row],[Divisa]]="USD",INDEX(T_USD_EUR[EURUSD],MATCH(T_Saldo[[#This Row],[Fecha]],T_USD_EUR[Fecha],1),0),1)</f>
        <v>1.2137395314965409</v>
      </c>
      <c r="G226" t="str" cm="1">
        <f t="array" ref="G226">INDEX(T_Elementos[Divisa],MATCH(T_Saldo[[#This Row],[Producto]],T_Elementos[Producto],0),0)</f>
        <v>USD</v>
      </c>
      <c r="H2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6" t="str">
        <f>T_Saldo[[#This Row],[Producto]] &amp; "-" &amp; DATE(YEAR(T_Saldo[[#This Row],[Fecha]]),MONTH(T_Saldo[[#This Row],[Fecha]]),DAY(T_Saldo[[#This Row],[Fecha]]))</f>
        <v>PRHSX-44227</v>
      </c>
    </row>
    <row r="227" spans="1:10" x14ac:dyDescent="0.45">
      <c r="A227" s="15">
        <v>44227</v>
      </c>
      <c r="B227" t="s">
        <v>32</v>
      </c>
      <c r="C227">
        <f>T_Saldo[[#This Row],[Valor liquidativo]]*T_Saldo[[#This Row],[Participaciones]]</f>
        <v>0</v>
      </c>
      <c r="D227" s="11">
        <f>T_Saldo[[#This Row],[Valor liquidativo (Moneda Extranjera)]]/T_Saldo[[#This Row],[Cambio]]</f>
        <v>77.800877</v>
      </c>
      <c r="E227" s="13">
        <f>IF(ISERROR(MATCH(T_Saldo[[#This Row],[Producto]],T_Stocks[Ticker],0)),1,INDEX(T_Stocks[Close],MATCH(T_Saldo[[#This Row],[ID - Product - Fecha]],T_Stocks[ID],1),1))</f>
        <v>94.43</v>
      </c>
      <c r="F227" cm="1">
        <f t="array" ref="F227">IF(T_Saldo[[#This Row],[Divisa]]="USD",INDEX(T_USD_EUR[EURUSD],MATCH(T_Saldo[[#This Row],[Fecha]],T_USD_EUR[Fecha],1),0),1)</f>
        <v>1.2137395314965409</v>
      </c>
      <c r="G227" t="str" cm="1">
        <f t="array" ref="G227">INDEX(T_Elementos[Divisa],MATCH(T_Saldo[[#This Row],[Producto]],T_Elementos[Producto],0),0)</f>
        <v>USD</v>
      </c>
      <c r="H2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7" t="str">
        <f>T_Saldo[[#This Row],[Producto]] &amp; "-" &amp; DATE(YEAR(T_Saldo[[#This Row],[Fecha]]),MONTH(T_Saldo[[#This Row],[Fecha]]),DAY(T_Saldo[[#This Row],[Fecha]]))</f>
        <v>VTSAX-44227</v>
      </c>
    </row>
    <row r="228" spans="1:10" x14ac:dyDescent="0.45">
      <c r="A228" s="15">
        <v>44255</v>
      </c>
      <c r="B228" t="s">
        <v>38</v>
      </c>
      <c r="C228">
        <f>T_Saldo[[#This Row],[Valor liquidativo]]*T_Saldo[[#This Row],[Participaciones]]</f>
        <v>0</v>
      </c>
      <c r="D228" s="11">
        <f>T_Saldo[[#This Row],[Valor liquidativo (Moneda Extranjera)]]/T_Saldo[[#This Row],[Cambio]]</f>
        <v>100.40328</v>
      </c>
      <c r="E228" s="13">
        <f>IF(ISERROR(MATCH(T_Saldo[[#This Row],[Producto]],T_Stocks[Ticker],0)),1,INDEX(T_Stocks[Close],MATCH(T_Saldo[[#This Row],[ID - Product - Fecha]],T_Stocks[ID],1),1))</f>
        <v>121.26</v>
      </c>
      <c r="F228" cm="1">
        <f t="array" ref="F228">IF(T_Saldo[[#This Row],[Divisa]]="USD",INDEX(T_USD_EUR[EURUSD],MATCH(T_Saldo[[#This Row],[Fecha]],T_USD_EUR[Fecha],1),0),1)</f>
        <v>1.2077294685990339</v>
      </c>
      <c r="G228" t="str" cm="1">
        <f t="array" ref="G228">INDEX(T_Elementos[Divisa],MATCH(T_Saldo[[#This Row],[Producto]],T_Elementos[Producto],0),0)</f>
        <v>USD</v>
      </c>
      <c r="H2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8" t="str">
        <f>T_Saldo[[#This Row],[Producto]] &amp; "-" &amp; DATE(YEAR(T_Saldo[[#This Row],[Fecha]]),MONTH(T_Saldo[[#This Row],[Fecha]]),DAY(T_Saldo[[#This Row],[Fecha]]))</f>
        <v>AAPL-44255</v>
      </c>
    </row>
    <row r="229" spans="1:10" x14ac:dyDescent="0.45">
      <c r="A229" s="15">
        <v>44255</v>
      </c>
      <c r="B229" t="s">
        <v>43</v>
      </c>
      <c r="C229">
        <f>T_Saldo[[#This Row],[Valor liquidativo]]*T_Saldo[[#This Row],[Participaciones]]</f>
        <v>0</v>
      </c>
      <c r="D229" s="11">
        <f>T_Saldo[[#This Row],[Valor liquidativo (Moneda Extranjera)]]/T_Saldo[[#This Row],[Cambio]]</f>
        <v>250.42</v>
      </c>
      <c r="E229" s="13">
        <f>IF(ISERROR(MATCH(T_Saldo[[#This Row],[Producto]],T_Stocks[Ticker],0)),1,INDEX(T_Stocks[Close],MATCH(T_Saldo[[#This Row],[ID - Product - Fecha]],T_Stocks[ID],1),1))</f>
        <v>250.42</v>
      </c>
      <c r="F229" cm="1">
        <f t="array" ref="F229">IF(T_Saldo[[#This Row],[Divisa]]="USD",INDEX(T_USD_EUR[EURUSD],MATCH(T_Saldo[[#This Row],[Fecha]],T_USD_EUR[Fecha],1),0),1)</f>
        <v>1</v>
      </c>
      <c r="G229" t="str" cm="1">
        <f t="array" ref="G229">INDEX(T_Elementos[Divisa],MATCH(T_Saldo[[#This Row],[Producto]],T_Elementos[Producto],0),0)</f>
        <v>EUR</v>
      </c>
      <c r="H2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29" t="str">
        <f>T_Saldo[[#This Row],[Producto]] &amp; "-" &amp; DATE(YEAR(T_Saldo[[#This Row],[Fecha]]),MONTH(T_Saldo[[#This Row],[Fecha]]),DAY(T_Saldo[[#This Row],[Fecha]]))</f>
        <v>Bonos-44255</v>
      </c>
    </row>
    <row r="230" spans="1:10" x14ac:dyDescent="0.45">
      <c r="A230" s="15">
        <v>44255</v>
      </c>
      <c r="B230" t="s">
        <v>155</v>
      </c>
      <c r="C230">
        <f>T_Saldo[[#This Row],[Valor liquidativo]]*T_Saldo[[#This Row],[Participaciones]]</f>
        <v>18695.077415</v>
      </c>
      <c r="D230" s="11">
        <f>T_Saldo[[#This Row],[Valor liquidativo (Moneda Extranjera)]]/T_Saldo[[#This Row],[Cambio]]</f>
        <v>37390.154829999999</v>
      </c>
      <c r="E230" s="13">
        <f>IF(ISERROR(MATCH(T_Saldo[[#This Row],[Producto]],T_Stocks[Ticker],0)),1,INDEX(T_Stocks[Close],MATCH(T_Saldo[[#This Row],[ID - Product - Fecha]],T_Stocks[ID],1),1))</f>
        <v>37390.154829999999</v>
      </c>
      <c r="F230" cm="1">
        <f t="array" ref="F230">IF(T_Saldo[[#This Row],[Divisa]]="USD",INDEX(T_USD_EUR[EURUSD],MATCH(T_Saldo[[#This Row],[Fecha]],T_USD_EUR[Fecha],1),0),1)</f>
        <v>1</v>
      </c>
      <c r="G230" t="str" cm="1">
        <f t="array" ref="G230">INDEX(T_Elementos[Divisa],MATCH(T_Saldo[[#This Row],[Producto]],T_Elementos[Producto],0),0)</f>
        <v>EUR</v>
      </c>
      <c r="H2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30" t="str">
        <f>T_Saldo[[#This Row],[Producto]] &amp; "-" &amp; DATE(YEAR(T_Saldo[[#This Row],[Fecha]]),MONTH(T_Saldo[[#This Row],[Fecha]]),DAY(T_Saldo[[#This Row],[Fecha]]))</f>
        <v>BTCEUR-44255</v>
      </c>
    </row>
    <row r="231" spans="1:10" x14ac:dyDescent="0.45">
      <c r="A231" s="15">
        <v>44255</v>
      </c>
      <c r="B231" t="s">
        <v>46</v>
      </c>
      <c r="C231">
        <f>T_Saldo[[#This Row],[Valor liquidativo]]*T_Saldo[[#This Row],[Participaciones]]</f>
        <v>12026.92</v>
      </c>
      <c r="D231" s="11">
        <f>T_Saldo[[#This Row],[Valor liquidativo (Moneda Extranjera)]]/T_Saldo[[#This Row],[Cambio]]</f>
        <v>1</v>
      </c>
      <c r="E231" s="13">
        <f>IF(ISERROR(MATCH(T_Saldo[[#This Row],[Producto]],T_Stocks[Ticker],0)),1,INDEX(T_Stocks[Close],MATCH(T_Saldo[[#This Row],[ID - Product - Fecha]],T_Stocks[ID],1),1))</f>
        <v>1</v>
      </c>
      <c r="F231" cm="1">
        <f t="array" ref="F231">IF(T_Saldo[[#This Row],[Divisa]]="USD",INDEX(T_USD_EUR[EURUSD],MATCH(T_Saldo[[#This Row],[Fecha]],T_USD_EUR[Fecha],1),0),1)</f>
        <v>1</v>
      </c>
      <c r="G231" t="str" cm="1">
        <f t="array" ref="G231">INDEX(T_Elementos[Divisa],MATCH(T_Saldo[[#This Row],[Producto]],T_Elementos[Producto],0),0)</f>
        <v>EUR</v>
      </c>
      <c r="H2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12026.92</v>
      </c>
      <c r="J231" t="str">
        <f>T_Saldo[[#This Row],[Producto]] &amp; "-" &amp; DATE(YEAR(T_Saldo[[#This Row],[Fecha]]),MONTH(T_Saldo[[#This Row],[Fecha]]),DAY(T_Saldo[[#This Row],[Fecha]]))</f>
        <v>CA 1-44255</v>
      </c>
    </row>
    <row r="232" spans="1:10" x14ac:dyDescent="0.45">
      <c r="A232" s="15">
        <v>44255</v>
      </c>
      <c r="B232" t="s">
        <v>10</v>
      </c>
      <c r="C232">
        <f>T_Saldo[[#This Row],[Valor liquidativo]]*T_Saldo[[#This Row],[Participaciones]]</f>
        <v>17624.099999999999</v>
      </c>
      <c r="D232" s="11">
        <f>T_Saldo[[#This Row],[Valor liquidativo (Moneda Extranjera)]]/T_Saldo[[#This Row],[Cambio]]</f>
        <v>1</v>
      </c>
      <c r="E232" s="13">
        <f>IF(ISERROR(MATCH(T_Saldo[[#This Row],[Producto]],T_Stocks[Ticker],0)),1,INDEX(T_Stocks[Close],MATCH(T_Saldo[[#This Row],[ID - Product - Fecha]],T_Stocks[ID],1),1))</f>
        <v>1</v>
      </c>
      <c r="F232" cm="1">
        <f t="array" ref="F232">IF(T_Saldo[[#This Row],[Divisa]]="USD",INDEX(T_USD_EUR[EURUSD],MATCH(T_Saldo[[#This Row],[Fecha]],T_USD_EUR[Fecha],1),0),1)</f>
        <v>1</v>
      </c>
      <c r="G232" t="str" cm="1">
        <f t="array" ref="G232">INDEX(T_Elementos[Divisa],MATCH(T_Saldo[[#This Row],[Producto]],T_Elementos[Producto],0),0)</f>
        <v>EUR</v>
      </c>
      <c r="H2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17624.099999999999</v>
      </c>
      <c r="J232" t="str">
        <f>T_Saldo[[#This Row],[Producto]] &amp; "-" &amp; DATE(YEAR(T_Saldo[[#This Row],[Fecha]]),MONTH(T_Saldo[[#This Row],[Fecha]]),DAY(T_Saldo[[#This Row],[Fecha]]))</f>
        <v>CC 1-44255</v>
      </c>
    </row>
    <row r="233" spans="1:10" x14ac:dyDescent="0.45">
      <c r="A233" s="15">
        <v>44255</v>
      </c>
      <c r="B233" t="s">
        <v>49</v>
      </c>
      <c r="C233">
        <f>T_Saldo[[#This Row],[Valor liquidativo]]*T_Saldo[[#This Row],[Participaciones]]</f>
        <v>17653.900000000001</v>
      </c>
      <c r="D233" s="11">
        <f>T_Saldo[[#This Row],[Valor liquidativo (Moneda Extranjera)]]/T_Saldo[[#This Row],[Cambio]]</f>
        <v>1</v>
      </c>
      <c r="E233" s="13">
        <f>IF(ISERROR(MATCH(T_Saldo[[#This Row],[Producto]],T_Stocks[Ticker],0)),1,INDEX(T_Stocks[Close],MATCH(T_Saldo[[#This Row],[ID - Product - Fecha]],T_Stocks[ID],1),1))</f>
        <v>1</v>
      </c>
      <c r="F233" cm="1">
        <f t="array" ref="F233">IF(T_Saldo[[#This Row],[Divisa]]="USD",INDEX(T_USD_EUR[EURUSD],MATCH(T_Saldo[[#This Row],[Fecha]],T_USD_EUR[Fecha],1),0),1)</f>
        <v>1</v>
      </c>
      <c r="G233" t="str" cm="1">
        <f t="array" ref="G233">INDEX(T_Elementos[Divisa],MATCH(T_Saldo[[#This Row],[Producto]],T_Elementos[Producto],0),0)</f>
        <v>EUR</v>
      </c>
      <c r="H2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17653.900000000001</v>
      </c>
      <c r="J233" t="str">
        <f>T_Saldo[[#This Row],[Producto]] &amp; "-" &amp; DATE(YEAR(T_Saldo[[#This Row],[Fecha]]),MONTH(T_Saldo[[#This Row],[Fecha]]),DAY(T_Saldo[[#This Row],[Fecha]]))</f>
        <v>CC 2-44255</v>
      </c>
    </row>
    <row r="234" spans="1:10" x14ac:dyDescent="0.45">
      <c r="A234" s="15">
        <v>44255</v>
      </c>
      <c r="B234" t="s">
        <v>41</v>
      </c>
      <c r="C234">
        <f>T_Saldo[[#This Row],[Valor liquidativo]]*T_Saldo[[#This Row],[Participaciones]]</f>
        <v>0</v>
      </c>
      <c r="D234" s="11">
        <f>T_Saldo[[#This Row],[Valor liquidativo (Moneda Extranjera)]]/T_Saldo[[#This Row],[Cambio]]</f>
        <v>192.41064</v>
      </c>
      <c r="E234" s="13">
        <f>IF(ISERROR(MATCH(T_Saldo[[#This Row],[Producto]],T_Stocks[Ticker],0)),1,INDEX(T_Stocks[Close],MATCH(T_Saldo[[#This Row],[ID - Product - Fecha]],T_Stocks[ID],1),1))</f>
        <v>232.38</v>
      </c>
      <c r="F234" cm="1">
        <f t="array" ref="F234">IF(T_Saldo[[#This Row],[Divisa]]="USD",INDEX(T_USD_EUR[EURUSD],MATCH(T_Saldo[[#This Row],[Fecha]],T_USD_EUR[Fecha],1),0),1)</f>
        <v>1.2077294685990339</v>
      </c>
      <c r="G234" t="str" cm="1">
        <f t="array" ref="G234">INDEX(T_Elementos[Divisa],MATCH(T_Saldo[[#This Row],[Producto]],T_Elementos[Producto],0),0)</f>
        <v>USD</v>
      </c>
      <c r="H2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4" t="str">
        <f>T_Saldo[[#This Row],[Producto]] &amp; "-" &amp; DATE(YEAR(T_Saldo[[#This Row],[Fecha]]),MONTH(T_Saldo[[#This Row],[Fecha]]),DAY(T_Saldo[[#This Row],[Fecha]]))</f>
        <v>MSFT-44255</v>
      </c>
    </row>
    <row r="235" spans="1:10" x14ac:dyDescent="0.45">
      <c r="A235" s="15">
        <v>44255</v>
      </c>
      <c r="B235" t="s">
        <v>51</v>
      </c>
      <c r="C235">
        <f>T_Saldo[[#This Row],[Valor liquidativo]]*T_Saldo[[#This Row],[Participaciones]]</f>
        <v>0</v>
      </c>
      <c r="D235" s="11">
        <f>T_Saldo[[#This Row],[Valor liquidativo (Moneda Extranjera)]]/T_Saldo[[#This Row],[Cambio]]</f>
        <v>82.245239999999995</v>
      </c>
      <c r="E235" s="13">
        <f>IF(ISERROR(MATCH(T_Saldo[[#This Row],[Producto]],T_Stocks[Ticker],0)),1,INDEX(T_Stocks[Close],MATCH(T_Saldo[[#This Row],[ID - Product - Fecha]],T_Stocks[ID],1),1))</f>
        <v>99.33</v>
      </c>
      <c r="F235" cm="1">
        <f t="array" ref="F235">IF(T_Saldo[[#This Row],[Divisa]]="USD",INDEX(T_USD_EUR[EURUSD],MATCH(T_Saldo[[#This Row],[Fecha]],T_USD_EUR[Fecha],1),0),1)</f>
        <v>1.2077294685990339</v>
      </c>
      <c r="G235" t="str" cm="1">
        <f t="array" ref="G235">INDEX(T_Elementos[Divisa],MATCH(T_Saldo[[#This Row],[Producto]],T_Elementos[Producto],0),0)</f>
        <v>USD</v>
      </c>
      <c r="H2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5" t="str">
        <f>T_Saldo[[#This Row],[Producto]] &amp; "-" &amp; DATE(YEAR(T_Saldo[[#This Row],[Fecha]]),MONTH(T_Saldo[[#This Row],[Fecha]]),DAY(T_Saldo[[#This Row],[Fecha]]))</f>
        <v>PRHSX-44255</v>
      </c>
    </row>
    <row r="236" spans="1:10" x14ac:dyDescent="0.45">
      <c r="A236" s="15">
        <v>44255</v>
      </c>
      <c r="B236" t="s">
        <v>32</v>
      </c>
      <c r="C236">
        <f>T_Saldo[[#This Row],[Valor liquidativo]]*T_Saldo[[#This Row],[Participaciones]]</f>
        <v>0</v>
      </c>
      <c r="D236" s="11">
        <f>T_Saldo[[#This Row],[Valor liquidativo (Moneda Extranjera)]]/T_Saldo[[#This Row],[Cambio]]</f>
        <v>80.680319999999995</v>
      </c>
      <c r="E236" s="13">
        <f>IF(ISERROR(MATCH(T_Saldo[[#This Row],[Producto]],T_Stocks[Ticker],0)),1,INDEX(T_Stocks[Close],MATCH(T_Saldo[[#This Row],[ID - Product - Fecha]],T_Stocks[ID],1),1))</f>
        <v>97.44</v>
      </c>
      <c r="F236" cm="1">
        <f t="array" ref="F236">IF(T_Saldo[[#This Row],[Divisa]]="USD",INDEX(T_USD_EUR[EURUSD],MATCH(T_Saldo[[#This Row],[Fecha]],T_USD_EUR[Fecha],1),0),1)</f>
        <v>1.2077294685990339</v>
      </c>
      <c r="G236" t="str" cm="1">
        <f t="array" ref="G236">INDEX(T_Elementos[Divisa],MATCH(T_Saldo[[#This Row],[Producto]],T_Elementos[Producto],0),0)</f>
        <v>USD</v>
      </c>
      <c r="H2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6" t="str">
        <f>T_Saldo[[#This Row],[Producto]] &amp; "-" &amp; DATE(YEAR(T_Saldo[[#This Row],[Fecha]]),MONTH(T_Saldo[[#This Row],[Fecha]]),DAY(T_Saldo[[#This Row],[Fecha]]))</f>
        <v>VTSAX-44255</v>
      </c>
    </row>
    <row r="237" spans="1:10" x14ac:dyDescent="0.45">
      <c r="A237" s="15">
        <v>44286</v>
      </c>
      <c r="B237" t="s">
        <v>38</v>
      </c>
      <c r="C237">
        <f>T_Saldo[[#This Row],[Valor liquidativo]]*T_Saldo[[#This Row],[Participaciones]]</f>
        <v>0</v>
      </c>
      <c r="D237" s="11">
        <f>T_Saldo[[#This Row],[Valor liquidativo (Moneda Extranjera)]]/T_Saldo[[#This Row],[Cambio]]</f>
        <v>104.12066000000002</v>
      </c>
      <c r="E237" s="13">
        <f>IF(ISERROR(MATCH(T_Saldo[[#This Row],[Producto]],T_Stocks[Ticker],0)),1,INDEX(T_Stocks[Close],MATCH(T_Saldo[[#This Row],[ID - Product - Fecha]],T_Stocks[ID],1),1))</f>
        <v>122.15</v>
      </c>
      <c r="F237" cm="1">
        <f t="array" ref="F237">IF(T_Saldo[[#This Row],[Divisa]]="USD",INDEX(T_USD_EUR[EURUSD],MATCH(T_Saldo[[#This Row],[Fecha]],T_USD_EUR[Fecha],1),0),1)</f>
        <v>1.1731581417175034</v>
      </c>
      <c r="G237" t="str" cm="1">
        <f t="array" ref="G237">INDEX(T_Elementos[Divisa],MATCH(T_Saldo[[#This Row],[Producto]],T_Elementos[Producto],0),0)</f>
        <v>USD</v>
      </c>
      <c r="H2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7" t="str">
        <f>T_Saldo[[#This Row],[Producto]] &amp; "-" &amp; DATE(YEAR(T_Saldo[[#This Row],[Fecha]]),MONTH(T_Saldo[[#This Row],[Fecha]]),DAY(T_Saldo[[#This Row],[Fecha]]))</f>
        <v>AAPL-44286</v>
      </c>
    </row>
    <row r="238" spans="1:10" x14ac:dyDescent="0.45">
      <c r="A238" s="15">
        <v>44286</v>
      </c>
      <c r="B238" t="s">
        <v>43</v>
      </c>
      <c r="C238">
        <f>T_Saldo[[#This Row],[Valor liquidativo]]*T_Saldo[[#This Row],[Participaciones]]</f>
        <v>0</v>
      </c>
      <c r="D238" s="11">
        <f>T_Saldo[[#This Row],[Valor liquidativo (Moneda Extranjera)]]/T_Saldo[[#This Row],[Cambio]]</f>
        <v>250.42</v>
      </c>
      <c r="E238" s="13">
        <f>IF(ISERROR(MATCH(T_Saldo[[#This Row],[Producto]],T_Stocks[Ticker],0)),1,INDEX(T_Stocks[Close],MATCH(T_Saldo[[#This Row],[ID - Product - Fecha]],T_Stocks[ID],1),1))</f>
        <v>250.42</v>
      </c>
      <c r="F238" cm="1">
        <f t="array" ref="F238">IF(T_Saldo[[#This Row],[Divisa]]="USD",INDEX(T_USD_EUR[EURUSD],MATCH(T_Saldo[[#This Row],[Fecha]],T_USD_EUR[Fecha],1),0),1)</f>
        <v>1</v>
      </c>
      <c r="G238" t="str" cm="1">
        <f t="array" ref="G238">INDEX(T_Elementos[Divisa],MATCH(T_Saldo[[#This Row],[Producto]],T_Elementos[Producto],0),0)</f>
        <v>EUR</v>
      </c>
      <c r="H2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38" t="str">
        <f>T_Saldo[[#This Row],[Producto]] &amp; "-" &amp; DATE(YEAR(T_Saldo[[#This Row],[Fecha]]),MONTH(T_Saldo[[#This Row],[Fecha]]),DAY(T_Saldo[[#This Row],[Fecha]]))</f>
        <v>Bonos-44286</v>
      </c>
    </row>
    <row r="239" spans="1:10" x14ac:dyDescent="0.45">
      <c r="A239" s="15">
        <v>44286</v>
      </c>
      <c r="B239" t="s">
        <v>155</v>
      </c>
      <c r="C239">
        <f>T_Saldo[[#This Row],[Valor liquidativo]]*T_Saldo[[#This Row],[Participaciones]]</f>
        <v>25064.282920000001</v>
      </c>
      <c r="D239" s="11">
        <f>T_Saldo[[#This Row],[Valor liquidativo (Moneda Extranjera)]]/T_Saldo[[#This Row],[Cambio]]</f>
        <v>50128.565840000003</v>
      </c>
      <c r="E239" s="13">
        <f>IF(ISERROR(MATCH(T_Saldo[[#This Row],[Producto]],T_Stocks[Ticker],0)),1,INDEX(T_Stocks[Close],MATCH(T_Saldo[[#This Row],[ID - Product - Fecha]],T_Stocks[ID],1),1))</f>
        <v>50128.565840000003</v>
      </c>
      <c r="F239" cm="1">
        <f t="array" ref="F239">IF(T_Saldo[[#This Row],[Divisa]]="USD",INDEX(T_USD_EUR[EURUSD],MATCH(T_Saldo[[#This Row],[Fecha]],T_USD_EUR[Fecha],1),0),1)</f>
        <v>1</v>
      </c>
      <c r="G239" t="str" cm="1">
        <f t="array" ref="G239">INDEX(T_Elementos[Divisa],MATCH(T_Saldo[[#This Row],[Producto]],T_Elementos[Producto],0),0)</f>
        <v>EUR</v>
      </c>
      <c r="H2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39" t="str">
        <f>T_Saldo[[#This Row],[Producto]] &amp; "-" &amp; DATE(YEAR(T_Saldo[[#This Row],[Fecha]]),MONTH(T_Saldo[[#This Row],[Fecha]]),DAY(T_Saldo[[#This Row],[Fecha]]))</f>
        <v>BTCEUR-44286</v>
      </c>
    </row>
    <row r="240" spans="1:10" x14ac:dyDescent="0.45">
      <c r="A240" s="15">
        <v>44286</v>
      </c>
      <c r="B240" t="s">
        <v>46</v>
      </c>
      <c r="C240">
        <f>T_Saldo[[#This Row],[Valor liquidativo]]*T_Saldo[[#This Row],[Participaciones]]</f>
        <v>16692.78</v>
      </c>
      <c r="D240" s="11">
        <f>T_Saldo[[#This Row],[Valor liquidativo (Moneda Extranjera)]]/T_Saldo[[#This Row],[Cambio]]</f>
        <v>1</v>
      </c>
      <c r="E240" s="13">
        <f>IF(ISERROR(MATCH(T_Saldo[[#This Row],[Producto]],T_Stocks[Ticker],0)),1,INDEX(T_Stocks[Close],MATCH(T_Saldo[[#This Row],[ID - Product - Fecha]],T_Stocks[ID],1),1))</f>
        <v>1</v>
      </c>
      <c r="F240" cm="1">
        <f t="array" ref="F240">IF(T_Saldo[[#This Row],[Divisa]]="USD",INDEX(T_USD_EUR[EURUSD],MATCH(T_Saldo[[#This Row],[Fecha]],T_USD_EUR[Fecha],1),0),1)</f>
        <v>1</v>
      </c>
      <c r="G240" t="str" cm="1">
        <f t="array" ref="G240">INDEX(T_Elementos[Divisa],MATCH(T_Saldo[[#This Row],[Producto]],T_Elementos[Producto],0),0)</f>
        <v>EUR</v>
      </c>
      <c r="H2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16692.78</v>
      </c>
      <c r="J240" t="str">
        <f>T_Saldo[[#This Row],[Producto]] &amp; "-" &amp; DATE(YEAR(T_Saldo[[#This Row],[Fecha]]),MONTH(T_Saldo[[#This Row],[Fecha]]),DAY(T_Saldo[[#This Row],[Fecha]]))</f>
        <v>CA 1-44286</v>
      </c>
    </row>
    <row r="241" spans="1:10" x14ac:dyDescent="0.45">
      <c r="A241" s="15">
        <v>44286</v>
      </c>
      <c r="B241" t="s">
        <v>10</v>
      </c>
      <c r="C241">
        <f>T_Saldo[[#This Row],[Valor liquidativo]]*T_Saldo[[#This Row],[Participaciones]]</f>
        <v>17140.489999999998</v>
      </c>
      <c r="D241" s="11">
        <f>T_Saldo[[#This Row],[Valor liquidativo (Moneda Extranjera)]]/T_Saldo[[#This Row],[Cambio]]</f>
        <v>1</v>
      </c>
      <c r="E241" s="13">
        <f>IF(ISERROR(MATCH(T_Saldo[[#This Row],[Producto]],T_Stocks[Ticker],0)),1,INDEX(T_Stocks[Close],MATCH(T_Saldo[[#This Row],[ID - Product - Fecha]],T_Stocks[ID],1),1))</f>
        <v>1</v>
      </c>
      <c r="F241" cm="1">
        <f t="array" ref="F241">IF(T_Saldo[[#This Row],[Divisa]]="USD",INDEX(T_USD_EUR[EURUSD],MATCH(T_Saldo[[#This Row],[Fecha]],T_USD_EUR[Fecha],1),0),1)</f>
        <v>1</v>
      </c>
      <c r="G241" t="str" cm="1">
        <f t="array" ref="G241">INDEX(T_Elementos[Divisa],MATCH(T_Saldo[[#This Row],[Producto]],T_Elementos[Producto],0),0)</f>
        <v>EUR</v>
      </c>
      <c r="H2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17140.489999999998</v>
      </c>
      <c r="J241" t="str">
        <f>T_Saldo[[#This Row],[Producto]] &amp; "-" &amp; DATE(YEAR(T_Saldo[[#This Row],[Fecha]]),MONTH(T_Saldo[[#This Row],[Fecha]]),DAY(T_Saldo[[#This Row],[Fecha]]))</f>
        <v>CC 1-44286</v>
      </c>
    </row>
    <row r="242" spans="1:10" x14ac:dyDescent="0.45">
      <c r="A242" s="15">
        <v>44286</v>
      </c>
      <c r="B242" t="s">
        <v>49</v>
      </c>
      <c r="C242">
        <f>T_Saldo[[#This Row],[Valor liquidativo]]*T_Saldo[[#This Row],[Participaciones]]</f>
        <v>17595.430000000004</v>
      </c>
      <c r="D242" s="11">
        <f>T_Saldo[[#This Row],[Valor liquidativo (Moneda Extranjera)]]/T_Saldo[[#This Row],[Cambio]]</f>
        <v>1</v>
      </c>
      <c r="E242" s="13">
        <f>IF(ISERROR(MATCH(T_Saldo[[#This Row],[Producto]],T_Stocks[Ticker],0)),1,INDEX(T_Stocks[Close],MATCH(T_Saldo[[#This Row],[ID - Product - Fecha]],T_Stocks[ID],1),1))</f>
        <v>1</v>
      </c>
      <c r="F242" cm="1">
        <f t="array" ref="F242">IF(T_Saldo[[#This Row],[Divisa]]="USD",INDEX(T_USD_EUR[EURUSD],MATCH(T_Saldo[[#This Row],[Fecha]],T_USD_EUR[Fecha],1),0),1)</f>
        <v>1</v>
      </c>
      <c r="G242" t="str" cm="1">
        <f t="array" ref="G242">INDEX(T_Elementos[Divisa],MATCH(T_Saldo[[#This Row],[Producto]],T_Elementos[Producto],0),0)</f>
        <v>EUR</v>
      </c>
      <c r="H2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17595.430000000004</v>
      </c>
      <c r="J242" t="str">
        <f>T_Saldo[[#This Row],[Producto]] &amp; "-" &amp; DATE(YEAR(T_Saldo[[#This Row],[Fecha]]),MONTH(T_Saldo[[#This Row],[Fecha]]),DAY(T_Saldo[[#This Row],[Fecha]]))</f>
        <v>CC 2-44286</v>
      </c>
    </row>
    <row r="243" spans="1:10" x14ac:dyDescent="0.45">
      <c r="A243" s="15">
        <v>44286</v>
      </c>
      <c r="B243" t="s">
        <v>41</v>
      </c>
      <c r="C243">
        <f>T_Saldo[[#This Row],[Valor liquidativo]]*T_Saldo[[#This Row],[Participaciones]]</f>
        <v>0</v>
      </c>
      <c r="D243" s="11">
        <f>T_Saldo[[#This Row],[Valor liquidativo (Moneda Extranjera)]]/T_Saldo[[#This Row],[Cambio]]</f>
        <v>200.97034800000003</v>
      </c>
      <c r="E243" s="13">
        <f>IF(ISERROR(MATCH(T_Saldo[[#This Row],[Producto]],T_Stocks[Ticker],0)),1,INDEX(T_Stocks[Close],MATCH(T_Saldo[[#This Row],[ID - Product - Fecha]],T_Stocks[ID],1),1))</f>
        <v>235.77</v>
      </c>
      <c r="F243" cm="1">
        <f t="array" ref="F243">IF(T_Saldo[[#This Row],[Divisa]]="USD",INDEX(T_USD_EUR[EURUSD],MATCH(T_Saldo[[#This Row],[Fecha]],T_USD_EUR[Fecha],1),0),1)</f>
        <v>1.1731581417175034</v>
      </c>
      <c r="G243" t="str" cm="1">
        <f t="array" ref="G243">INDEX(T_Elementos[Divisa],MATCH(T_Saldo[[#This Row],[Producto]],T_Elementos[Producto],0),0)</f>
        <v>USD</v>
      </c>
      <c r="H2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43" t="str">
        <f>T_Saldo[[#This Row],[Producto]] &amp; "-" &amp; DATE(YEAR(T_Saldo[[#This Row],[Fecha]]),MONTH(T_Saldo[[#This Row],[Fecha]]),DAY(T_Saldo[[#This Row],[Fecha]]))</f>
        <v>MSFT-44286</v>
      </c>
    </row>
    <row r="244" spans="1:10" x14ac:dyDescent="0.45">
      <c r="A244" s="15">
        <v>44286</v>
      </c>
      <c r="B244" t="s">
        <v>51</v>
      </c>
      <c r="C244">
        <f>T_Saldo[[#This Row],[Valor liquidativo]]*T_Saldo[[#This Row],[Participaciones]]</f>
        <v>0</v>
      </c>
      <c r="D244" s="11">
        <f>T_Saldo[[#This Row],[Valor liquidativo (Moneda Extranjera)]]/T_Saldo[[#This Row],[Cambio]]</f>
        <v>84.021068</v>
      </c>
      <c r="E244" s="13">
        <f>IF(ISERROR(MATCH(T_Saldo[[#This Row],[Producto]],T_Stocks[Ticker],0)),1,INDEX(T_Stocks[Close],MATCH(T_Saldo[[#This Row],[ID - Product - Fecha]],T_Stocks[ID],1),1))</f>
        <v>98.57</v>
      </c>
      <c r="F244" cm="1">
        <f t="array" ref="F244">IF(T_Saldo[[#This Row],[Divisa]]="USD",INDEX(T_USD_EUR[EURUSD],MATCH(T_Saldo[[#This Row],[Fecha]],T_USD_EUR[Fecha],1),0),1)</f>
        <v>1.1731581417175034</v>
      </c>
      <c r="G244" t="str" cm="1">
        <f t="array" ref="G244">INDEX(T_Elementos[Divisa],MATCH(T_Saldo[[#This Row],[Producto]],T_Elementos[Producto],0),0)</f>
        <v>USD</v>
      </c>
      <c r="H2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44" t="str">
        <f>T_Saldo[[#This Row],[Producto]] &amp; "-" &amp; DATE(YEAR(T_Saldo[[#This Row],[Fecha]]),MONTH(T_Saldo[[#This Row],[Fecha]]),DAY(T_Saldo[[#This Row],[Fecha]]))</f>
        <v>PRHSX-44286</v>
      </c>
    </row>
    <row r="245" spans="1:10" x14ac:dyDescent="0.45">
      <c r="A245" s="15">
        <v>44286</v>
      </c>
      <c r="B245" t="s">
        <v>32</v>
      </c>
      <c r="C245">
        <f>T_Saldo[[#This Row],[Valor liquidativo]]*T_Saldo[[#This Row],[Participaciones]]</f>
        <v>0</v>
      </c>
      <c r="D245" s="11">
        <f>T_Saldo[[#This Row],[Valor liquidativo (Moneda Extranjera)]]/T_Saldo[[#This Row],[Cambio]]</f>
        <v>85.666200000000003</v>
      </c>
      <c r="E245" s="13">
        <f>IF(ISERROR(MATCH(T_Saldo[[#This Row],[Producto]],T_Stocks[Ticker],0)),1,INDEX(T_Stocks[Close],MATCH(T_Saldo[[#This Row],[ID - Product - Fecha]],T_Stocks[ID],1),1))</f>
        <v>100.5</v>
      </c>
      <c r="F245" cm="1">
        <f t="array" ref="F245">IF(T_Saldo[[#This Row],[Divisa]]="USD",INDEX(T_USD_EUR[EURUSD],MATCH(T_Saldo[[#This Row],[Fecha]],T_USD_EUR[Fecha],1),0),1)</f>
        <v>1.1731581417175034</v>
      </c>
      <c r="G245" t="str" cm="1">
        <f t="array" ref="G245">INDEX(T_Elementos[Divisa],MATCH(T_Saldo[[#This Row],[Producto]],T_Elementos[Producto],0),0)</f>
        <v>USD</v>
      </c>
      <c r="H2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45" t="str">
        <f>T_Saldo[[#This Row],[Producto]] &amp; "-" &amp; DATE(YEAR(T_Saldo[[#This Row],[Fecha]]),MONTH(T_Saldo[[#This Row],[Fecha]]),DAY(T_Saldo[[#This Row],[Fecha]]))</f>
        <v>VTSAX-44286</v>
      </c>
    </row>
    <row r="246" spans="1:10" x14ac:dyDescent="0.45">
      <c r="A246" s="15">
        <v>44316</v>
      </c>
      <c r="B246" t="s">
        <v>38</v>
      </c>
      <c r="C246">
        <f>T_Saldo[[#This Row],[Valor liquidativo]]*T_Saldo[[#This Row],[Participaciones]]</f>
        <v>0</v>
      </c>
      <c r="D246" s="11">
        <f>T_Saldo[[#This Row],[Valor liquidativo (Moneda Extranjera)]]/T_Saldo[[#This Row],[Cambio]]</f>
        <v>109.348428</v>
      </c>
      <c r="E246" s="13">
        <f>IF(ISERROR(MATCH(T_Saldo[[#This Row],[Producto]],T_Stocks[Ticker],0)),1,INDEX(T_Stocks[Close],MATCH(T_Saldo[[#This Row],[ID - Product - Fecha]],T_Stocks[ID],1),1))</f>
        <v>131.46</v>
      </c>
      <c r="F246" cm="1">
        <f t="array" ref="F246">IF(T_Saldo[[#This Row],[Divisa]]="USD",INDEX(T_USD_EUR[EURUSD],MATCH(T_Saldo[[#This Row],[Fecha]],T_USD_EUR[Fecha],1),0),1)</f>
        <v>1.202212070209185</v>
      </c>
      <c r="G246" t="str" cm="1">
        <f t="array" ref="G246">INDEX(T_Elementos[Divisa],MATCH(T_Saldo[[#This Row],[Producto]],T_Elementos[Producto],0),0)</f>
        <v>USD</v>
      </c>
      <c r="H2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46" t="str">
        <f>T_Saldo[[#This Row],[Producto]] &amp; "-" &amp; DATE(YEAR(T_Saldo[[#This Row],[Fecha]]),MONTH(T_Saldo[[#This Row],[Fecha]]),DAY(T_Saldo[[#This Row],[Fecha]]))</f>
        <v>AAPL-44316</v>
      </c>
    </row>
    <row r="247" spans="1:10" x14ac:dyDescent="0.45">
      <c r="A247" s="15">
        <v>44316</v>
      </c>
      <c r="B247" t="s">
        <v>43</v>
      </c>
      <c r="C247">
        <f>T_Saldo[[#This Row],[Valor liquidativo]]*T_Saldo[[#This Row],[Participaciones]]</f>
        <v>0</v>
      </c>
      <c r="D247" s="11">
        <f>T_Saldo[[#This Row],[Valor liquidativo (Moneda Extranjera)]]/T_Saldo[[#This Row],[Cambio]]</f>
        <v>250.42</v>
      </c>
      <c r="E247" s="13">
        <f>IF(ISERROR(MATCH(T_Saldo[[#This Row],[Producto]],T_Stocks[Ticker],0)),1,INDEX(T_Stocks[Close],MATCH(T_Saldo[[#This Row],[ID - Product - Fecha]],T_Stocks[ID],1),1))</f>
        <v>250.42</v>
      </c>
      <c r="F247" cm="1">
        <f t="array" ref="F247">IF(T_Saldo[[#This Row],[Divisa]]="USD",INDEX(T_USD_EUR[EURUSD],MATCH(T_Saldo[[#This Row],[Fecha]],T_USD_EUR[Fecha],1),0),1)</f>
        <v>1</v>
      </c>
      <c r="G247" t="str" cm="1">
        <f t="array" ref="G247">INDEX(T_Elementos[Divisa],MATCH(T_Saldo[[#This Row],[Producto]],T_Elementos[Producto],0),0)</f>
        <v>EUR</v>
      </c>
      <c r="H2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47" t="str">
        <f>T_Saldo[[#This Row],[Producto]] &amp; "-" &amp; DATE(YEAR(T_Saldo[[#This Row],[Fecha]]),MONTH(T_Saldo[[#This Row],[Fecha]]),DAY(T_Saldo[[#This Row],[Fecha]]))</f>
        <v>Bonos-44316</v>
      </c>
    </row>
    <row r="248" spans="1:10" x14ac:dyDescent="0.45">
      <c r="A248" s="15">
        <v>44316</v>
      </c>
      <c r="B248" t="s">
        <v>155</v>
      </c>
      <c r="C248">
        <f>T_Saldo[[#This Row],[Valor liquidativo]]*T_Saldo[[#This Row],[Participaciones]]</f>
        <v>24027.138625</v>
      </c>
      <c r="D248" s="11">
        <f>T_Saldo[[#This Row],[Valor liquidativo (Moneda Extranjera)]]/T_Saldo[[#This Row],[Cambio]]</f>
        <v>48054.277249999999</v>
      </c>
      <c r="E248" s="13">
        <f>IF(ISERROR(MATCH(T_Saldo[[#This Row],[Producto]],T_Stocks[Ticker],0)),1,INDEX(T_Stocks[Close],MATCH(T_Saldo[[#This Row],[ID - Product - Fecha]],T_Stocks[ID],1),1))</f>
        <v>48054.277249999999</v>
      </c>
      <c r="F248" cm="1">
        <f t="array" ref="F248">IF(T_Saldo[[#This Row],[Divisa]]="USD",INDEX(T_USD_EUR[EURUSD],MATCH(T_Saldo[[#This Row],[Fecha]],T_USD_EUR[Fecha],1),0),1)</f>
        <v>1</v>
      </c>
      <c r="G248" t="str" cm="1">
        <f t="array" ref="G248">INDEX(T_Elementos[Divisa],MATCH(T_Saldo[[#This Row],[Producto]],T_Elementos[Producto],0),0)</f>
        <v>EUR</v>
      </c>
      <c r="H2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48" t="str">
        <f>T_Saldo[[#This Row],[Producto]] &amp; "-" &amp; DATE(YEAR(T_Saldo[[#This Row],[Fecha]]),MONTH(T_Saldo[[#This Row],[Fecha]]),DAY(T_Saldo[[#This Row],[Fecha]]))</f>
        <v>BTCEUR-44316</v>
      </c>
    </row>
    <row r="249" spans="1:10" x14ac:dyDescent="0.45">
      <c r="A249" s="15">
        <v>44316</v>
      </c>
      <c r="B249" t="s">
        <v>46</v>
      </c>
      <c r="C249">
        <f>T_Saldo[[#This Row],[Valor liquidativo]]*T_Saldo[[#This Row],[Participaciones]]</f>
        <v>16369.350000000002</v>
      </c>
      <c r="D249" s="11">
        <f>T_Saldo[[#This Row],[Valor liquidativo (Moneda Extranjera)]]/T_Saldo[[#This Row],[Cambio]]</f>
        <v>1</v>
      </c>
      <c r="E249" s="13">
        <f>IF(ISERROR(MATCH(T_Saldo[[#This Row],[Producto]],T_Stocks[Ticker],0)),1,INDEX(T_Stocks[Close],MATCH(T_Saldo[[#This Row],[ID - Product - Fecha]],T_Stocks[ID],1),1))</f>
        <v>1</v>
      </c>
      <c r="F249" cm="1">
        <f t="array" ref="F249">IF(T_Saldo[[#This Row],[Divisa]]="USD",INDEX(T_USD_EUR[EURUSD],MATCH(T_Saldo[[#This Row],[Fecha]],T_USD_EUR[Fecha],1),0),1)</f>
        <v>1</v>
      </c>
      <c r="G249" t="str" cm="1">
        <f t="array" ref="G249">INDEX(T_Elementos[Divisa],MATCH(T_Saldo[[#This Row],[Producto]],T_Elementos[Producto],0),0)</f>
        <v>EUR</v>
      </c>
      <c r="H2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16369.350000000002</v>
      </c>
      <c r="J249" t="str">
        <f>T_Saldo[[#This Row],[Producto]] &amp; "-" &amp; DATE(YEAR(T_Saldo[[#This Row],[Fecha]]),MONTH(T_Saldo[[#This Row],[Fecha]]),DAY(T_Saldo[[#This Row],[Fecha]]))</f>
        <v>CA 1-44316</v>
      </c>
    </row>
    <row r="250" spans="1:10" x14ac:dyDescent="0.45">
      <c r="A250" s="15">
        <v>44316</v>
      </c>
      <c r="B250" t="s">
        <v>10</v>
      </c>
      <c r="C250">
        <f>T_Saldo[[#This Row],[Valor liquidativo]]*T_Saldo[[#This Row],[Participaciones]]</f>
        <v>16895.379999999997</v>
      </c>
      <c r="D250" s="11">
        <f>T_Saldo[[#This Row],[Valor liquidativo (Moneda Extranjera)]]/T_Saldo[[#This Row],[Cambio]]</f>
        <v>1</v>
      </c>
      <c r="E250" s="13">
        <f>IF(ISERROR(MATCH(T_Saldo[[#This Row],[Producto]],T_Stocks[Ticker],0)),1,INDEX(T_Stocks[Close],MATCH(T_Saldo[[#This Row],[ID - Product - Fecha]],T_Stocks[ID],1),1))</f>
        <v>1</v>
      </c>
      <c r="F250" cm="1">
        <f t="array" ref="F250">IF(T_Saldo[[#This Row],[Divisa]]="USD",INDEX(T_USD_EUR[EURUSD],MATCH(T_Saldo[[#This Row],[Fecha]],T_USD_EUR[Fecha],1),0),1)</f>
        <v>1</v>
      </c>
      <c r="G250" t="str" cm="1">
        <f t="array" ref="G250">INDEX(T_Elementos[Divisa],MATCH(T_Saldo[[#This Row],[Producto]],T_Elementos[Producto],0),0)</f>
        <v>EUR</v>
      </c>
      <c r="H2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16895.379999999997</v>
      </c>
      <c r="J250" t="str">
        <f>T_Saldo[[#This Row],[Producto]] &amp; "-" &amp; DATE(YEAR(T_Saldo[[#This Row],[Fecha]]),MONTH(T_Saldo[[#This Row],[Fecha]]),DAY(T_Saldo[[#This Row],[Fecha]]))</f>
        <v>CC 1-44316</v>
      </c>
    </row>
    <row r="251" spans="1:10" x14ac:dyDescent="0.45">
      <c r="A251" s="15">
        <v>44316</v>
      </c>
      <c r="B251" t="s">
        <v>49</v>
      </c>
      <c r="C251">
        <f>T_Saldo[[#This Row],[Valor liquidativo]]*T_Saldo[[#This Row],[Participaciones]]</f>
        <v>17349.520000000004</v>
      </c>
      <c r="D251" s="11">
        <f>T_Saldo[[#This Row],[Valor liquidativo (Moneda Extranjera)]]/T_Saldo[[#This Row],[Cambio]]</f>
        <v>1</v>
      </c>
      <c r="E251" s="13">
        <f>IF(ISERROR(MATCH(T_Saldo[[#This Row],[Producto]],T_Stocks[Ticker],0)),1,INDEX(T_Stocks[Close],MATCH(T_Saldo[[#This Row],[ID - Product - Fecha]],T_Stocks[ID],1),1))</f>
        <v>1</v>
      </c>
      <c r="F251" cm="1">
        <f t="array" ref="F251">IF(T_Saldo[[#This Row],[Divisa]]="USD",INDEX(T_USD_EUR[EURUSD],MATCH(T_Saldo[[#This Row],[Fecha]],T_USD_EUR[Fecha],1),0),1)</f>
        <v>1</v>
      </c>
      <c r="G251" t="str" cm="1">
        <f t="array" ref="G251">INDEX(T_Elementos[Divisa],MATCH(T_Saldo[[#This Row],[Producto]],T_Elementos[Producto],0),0)</f>
        <v>EUR</v>
      </c>
      <c r="H2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17349.520000000004</v>
      </c>
      <c r="J251" t="str">
        <f>T_Saldo[[#This Row],[Producto]] &amp; "-" &amp; DATE(YEAR(T_Saldo[[#This Row],[Fecha]]),MONTH(T_Saldo[[#This Row],[Fecha]]),DAY(T_Saldo[[#This Row],[Fecha]]))</f>
        <v>CC 2-44316</v>
      </c>
    </row>
    <row r="252" spans="1:10" x14ac:dyDescent="0.45">
      <c r="A252" s="15">
        <v>44316</v>
      </c>
      <c r="B252" t="s">
        <v>41</v>
      </c>
      <c r="C252">
        <f>T_Saldo[[#This Row],[Valor liquidativo]]*T_Saldo[[#This Row],[Participaciones]]</f>
        <v>12585.799439999999</v>
      </c>
      <c r="D252" s="11">
        <f>T_Saldo[[#This Row],[Valor liquidativo (Moneda Extranjera)]]/T_Saldo[[#This Row],[Cambio]]</f>
        <v>209.76332399999998</v>
      </c>
      <c r="E252" s="13">
        <f>IF(ISERROR(MATCH(T_Saldo[[#This Row],[Producto]],T_Stocks[Ticker],0)),1,INDEX(T_Stocks[Close],MATCH(T_Saldo[[#This Row],[ID - Product - Fecha]],T_Stocks[ID],1),1))</f>
        <v>252.18</v>
      </c>
      <c r="F252" cm="1">
        <f t="array" ref="F252">IF(T_Saldo[[#This Row],[Divisa]]="USD",INDEX(T_USD_EUR[EURUSD],MATCH(T_Saldo[[#This Row],[Fecha]],T_USD_EUR[Fecha],1),0),1)</f>
        <v>1.202212070209185</v>
      </c>
      <c r="G252" t="str" cm="1">
        <f t="array" ref="G252">INDEX(T_Elementos[Divisa],MATCH(T_Saldo[[#This Row],[Producto]],T_Elementos[Producto],0),0)</f>
        <v>USD</v>
      </c>
      <c r="H2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60</v>
      </c>
      <c r="J252" t="str">
        <f>T_Saldo[[#This Row],[Producto]] &amp; "-" &amp; DATE(YEAR(T_Saldo[[#This Row],[Fecha]]),MONTH(T_Saldo[[#This Row],[Fecha]]),DAY(T_Saldo[[#This Row],[Fecha]]))</f>
        <v>MSFT-44316</v>
      </c>
    </row>
    <row r="253" spans="1:10" x14ac:dyDescent="0.45">
      <c r="A253" s="15">
        <v>44316</v>
      </c>
      <c r="B253" t="s">
        <v>51</v>
      </c>
      <c r="C253">
        <f>T_Saldo[[#This Row],[Valor liquidativo]]*T_Saldo[[#This Row],[Participaciones]]</f>
        <v>0</v>
      </c>
      <c r="D253" s="11">
        <f>T_Saldo[[#This Row],[Valor liquidativo (Moneda Extranjera)]]/T_Saldo[[#This Row],[Cambio]]</f>
        <v>86.04970999999999</v>
      </c>
      <c r="E253" s="13">
        <f>IF(ISERROR(MATCH(T_Saldo[[#This Row],[Producto]],T_Stocks[Ticker],0)),1,INDEX(T_Stocks[Close],MATCH(T_Saldo[[#This Row],[ID - Product - Fecha]],T_Stocks[ID],1),1))</f>
        <v>103.45</v>
      </c>
      <c r="F253" cm="1">
        <f t="array" ref="F253">IF(T_Saldo[[#This Row],[Divisa]]="USD",INDEX(T_USD_EUR[EURUSD],MATCH(T_Saldo[[#This Row],[Fecha]],T_USD_EUR[Fecha],1),0),1)</f>
        <v>1.202212070209185</v>
      </c>
      <c r="G253" t="str" cm="1">
        <f t="array" ref="G253">INDEX(T_Elementos[Divisa],MATCH(T_Saldo[[#This Row],[Producto]],T_Elementos[Producto],0),0)</f>
        <v>USD</v>
      </c>
      <c r="H2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53" t="str">
        <f>T_Saldo[[#This Row],[Producto]] &amp; "-" &amp; DATE(YEAR(T_Saldo[[#This Row],[Fecha]]),MONTH(T_Saldo[[#This Row],[Fecha]]),DAY(T_Saldo[[#This Row],[Fecha]]))</f>
        <v>PRHSX-44316</v>
      </c>
    </row>
    <row r="254" spans="1:10" x14ac:dyDescent="0.45">
      <c r="A254" s="15">
        <v>44316</v>
      </c>
      <c r="B254" t="s">
        <v>32</v>
      </c>
      <c r="C254">
        <f>T_Saldo[[#This Row],[Valor liquidativo]]*T_Saldo[[#This Row],[Participaciones]]</f>
        <v>0</v>
      </c>
      <c r="D254" s="11">
        <f>T_Saldo[[#This Row],[Valor liquidativo (Moneda Extranjera)]]/T_Saldo[[#This Row],[Cambio]]</f>
        <v>87.887987999999993</v>
      </c>
      <c r="E254" s="13">
        <f>IF(ISERROR(MATCH(T_Saldo[[#This Row],[Producto]],T_Stocks[Ticker],0)),1,INDEX(T_Stocks[Close],MATCH(T_Saldo[[#This Row],[ID - Product - Fecha]],T_Stocks[ID],1),1))</f>
        <v>105.66</v>
      </c>
      <c r="F254" cm="1">
        <f t="array" ref="F254">IF(T_Saldo[[#This Row],[Divisa]]="USD",INDEX(T_USD_EUR[EURUSD],MATCH(T_Saldo[[#This Row],[Fecha]],T_USD_EUR[Fecha],1),0),1)</f>
        <v>1.202212070209185</v>
      </c>
      <c r="G254" t="str" cm="1">
        <f t="array" ref="G254">INDEX(T_Elementos[Divisa],MATCH(T_Saldo[[#This Row],[Producto]],T_Elementos[Producto],0),0)</f>
        <v>USD</v>
      </c>
      <c r="H2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54" t="str">
        <f>T_Saldo[[#This Row],[Producto]] &amp; "-" &amp; DATE(YEAR(T_Saldo[[#This Row],[Fecha]]),MONTH(T_Saldo[[#This Row],[Fecha]]),DAY(T_Saldo[[#This Row],[Fecha]]))</f>
        <v>VTSAX-44316</v>
      </c>
    </row>
    <row r="255" spans="1:10" x14ac:dyDescent="0.45">
      <c r="A255" s="15">
        <v>44347</v>
      </c>
      <c r="B255" t="s">
        <v>38</v>
      </c>
      <c r="C255">
        <f>T_Saldo[[#This Row],[Valor liquidativo]]*T_Saldo[[#This Row],[Participaciones]]</f>
        <v>0</v>
      </c>
      <c r="D255" s="11">
        <f>T_Saldo[[#This Row],[Valor liquidativo (Moneda Extranjera)]]/T_Saldo[[#This Row],[Cambio]]</f>
        <v>101.89359699999999</v>
      </c>
      <c r="E255" s="13">
        <f>IF(ISERROR(MATCH(T_Saldo[[#This Row],[Producto]],T_Stocks[Ticker],0)),1,INDEX(T_Stocks[Close],MATCH(T_Saldo[[#This Row],[ID - Product - Fecha]],T_Stocks[ID],1),1))</f>
        <v>124.61</v>
      </c>
      <c r="F255" cm="1">
        <f t="array" ref="F255">IF(T_Saldo[[#This Row],[Divisa]]="USD",INDEX(T_USD_EUR[EURUSD],MATCH(T_Saldo[[#This Row],[Fecha]],T_USD_EUR[Fecha],1),0),1)</f>
        <v>1.2229423994129878</v>
      </c>
      <c r="G255" t="str" cm="1">
        <f t="array" ref="G255">INDEX(T_Elementos[Divisa],MATCH(T_Saldo[[#This Row],[Producto]],T_Elementos[Producto],0),0)</f>
        <v>USD</v>
      </c>
      <c r="H2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55" t="str">
        <f>T_Saldo[[#This Row],[Producto]] &amp; "-" &amp; DATE(YEAR(T_Saldo[[#This Row],[Fecha]]),MONTH(T_Saldo[[#This Row],[Fecha]]),DAY(T_Saldo[[#This Row],[Fecha]]))</f>
        <v>AAPL-44347</v>
      </c>
    </row>
    <row r="256" spans="1:10" x14ac:dyDescent="0.45">
      <c r="A256" s="15">
        <v>44347</v>
      </c>
      <c r="B256" t="s">
        <v>43</v>
      </c>
      <c r="C256">
        <f>T_Saldo[[#This Row],[Valor liquidativo]]*T_Saldo[[#This Row],[Participaciones]]</f>
        <v>0</v>
      </c>
      <c r="D256" s="11">
        <f>T_Saldo[[#This Row],[Valor liquidativo (Moneda Extranjera)]]/T_Saldo[[#This Row],[Cambio]]</f>
        <v>250.42</v>
      </c>
      <c r="E256" s="13">
        <f>IF(ISERROR(MATCH(T_Saldo[[#This Row],[Producto]],T_Stocks[Ticker],0)),1,INDEX(T_Stocks[Close],MATCH(T_Saldo[[#This Row],[ID - Product - Fecha]],T_Stocks[ID],1),1))</f>
        <v>250.42</v>
      </c>
      <c r="F256" cm="1">
        <f t="array" ref="F256">IF(T_Saldo[[#This Row],[Divisa]]="USD",INDEX(T_USD_EUR[EURUSD],MATCH(T_Saldo[[#This Row],[Fecha]],T_USD_EUR[Fecha],1),0),1)</f>
        <v>1</v>
      </c>
      <c r="G256" t="str" cm="1">
        <f t="array" ref="G256">INDEX(T_Elementos[Divisa],MATCH(T_Saldo[[#This Row],[Producto]],T_Elementos[Producto],0),0)</f>
        <v>EUR</v>
      </c>
      <c r="H2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56" t="str">
        <f>T_Saldo[[#This Row],[Producto]] &amp; "-" &amp; DATE(YEAR(T_Saldo[[#This Row],[Fecha]]),MONTH(T_Saldo[[#This Row],[Fecha]]),DAY(T_Saldo[[#This Row],[Fecha]]))</f>
        <v>Bonos-44347</v>
      </c>
    </row>
    <row r="257" spans="1:10" x14ac:dyDescent="0.45">
      <c r="A257" s="15">
        <v>44347</v>
      </c>
      <c r="B257" t="s">
        <v>155</v>
      </c>
      <c r="C257">
        <f>T_Saldo[[#This Row],[Valor liquidativo]]*T_Saldo[[#This Row],[Participaciones]]</f>
        <v>15249.641255</v>
      </c>
      <c r="D257" s="11">
        <f>T_Saldo[[#This Row],[Valor liquidativo (Moneda Extranjera)]]/T_Saldo[[#This Row],[Cambio]]</f>
        <v>30499.282510000001</v>
      </c>
      <c r="E257" s="13">
        <f>IF(ISERROR(MATCH(T_Saldo[[#This Row],[Producto]],T_Stocks[Ticker],0)),1,INDEX(T_Stocks[Close],MATCH(T_Saldo[[#This Row],[ID - Product - Fecha]],T_Stocks[ID],1),1))</f>
        <v>30499.282510000001</v>
      </c>
      <c r="F257" cm="1">
        <f t="array" ref="F257">IF(T_Saldo[[#This Row],[Divisa]]="USD",INDEX(T_USD_EUR[EURUSD],MATCH(T_Saldo[[#This Row],[Fecha]],T_USD_EUR[Fecha],1),0),1)</f>
        <v>1</v>
      </c>
      <c r="G257" t="str" cm="1">
        <f t="array" ref="G257">INDEX(T_Elementos[Divisa],MATCH(T_Saldo[[#This Row],[Producto]],T_Elementos[Producto],0),0)</f>
        <v>EUR</v>
      </c>
      <c r="H2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57" t="str">
        <f>T_Saldo[[#This Row],[Producto]] &amp; "-" &amp; DATE(YEAR(T_Saldo[[#This Row],[Fecha]]),MONTH(T_Saldo[[#This Row],[Fecha]]),DAY(T_Saldo[[#This Row],[Fecha]]))</f>
        <v>BTCEUR-44347</v>
      </c>
    </row>
    <row r="258" spans="1:10" x14ac:dyDescent="0.45">
      <c r="A258" s="15">
        <v>44347</v>
      </c>
      <c r="B258" t="s">
        <v>46</v>
      </c>
      <c r="C258">
        <f>T_Saldo[[#This Row],[Valor liquidativo]]*T_Saldo[[#This Row],[Participaciones]]</f>
        <v>19093.160000000003</v>
      </c>
      <c r="D258" s="11">
        <f>T_Saldo[[#This Row],[Valor liquidativo (Moneda Extranjera)]]/T_Saldo[[#This Row],[Cambio]]</f>
        <v>1</v>
      </c>
      <c r="E258" s="13">
        <f>IF(ISERROR(MATCH(T_Saldo[[#This Row],[Producto]],T_Stocks[Ticker],0)),1,INDEX(T_Stocks[Close],MATCH(T_Saldo[[#This Row],[ID - Product - Fecha]],T_Stocks[ID],1),1))</f>
        <v>1</v>
      </c>
      <c r="F258" cm="1">
        <f t="array" ref="F258">IF(T_Saldo[[#This Row],[Divisa]]="USD",INDEX(T_USD_EUR[EURUSD],MATCH(T_Saldo[[#This Row],[Fecha]],T_USD_EUR[Fecha],1),0),1)</f>
        <v>1</v>
      </c>
      <c r="G258" t="str" cm="1">
        <f t="array" ref="G258">INDEX(T_Elementos[Divisa],MATCH(T_Saldo[[#This Row],[Producto]],T_Elementos[Producto],0),0)</f>
        <v>EUR</v>
      </c>
      <c r="H2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19093.160000000003</v>
      </c>
      <c r="J258" t="str">
        <f>T_Saldo[[#This Row],[Producto]] &amp; "-" &amp; DATE(YEAR(T_Saldo[[#This Row],[Fecha]]),MONTH(T_Saldo[[#This Row],[Fecha]]),DAY(T_Saldo[[#This Row],[Fecha]]))</f>
        <v>CA 1-44347</v>
      </c>
    </row>
    <row r="259" spans="1:10" x14ac:dyDescent="0.45">
      <c r="A259" s="15">
        <v>44347</v>
      </c>
      <c r="B259" t="s">
        <v>10</v>
      </c>
      <c r="C259">
        <f>T_Saldo[[#This Row],[Valor liquidativo]]*T_Saldo[[#This Row],[Participaciones]]</f>
        <v>16752.739999999998</v>
      </c>
      <c r="D259" s="11">
        <f>T_Saldo[[#This Row],[Valor liquidativo (Moneda Extranjera)]]/T_Saldo[[#This Row],[Cambio]]</f>
        <v>1</v>
      </c>
      <c r="E259" s="13">
        <f>IF(ISERROR(MATCH(T_Saldo[[#This Row],[Producto]],T_Stocks[Ticker],0)),1,INDEX(T_Stocks[Close],MATCH(T_Saldo[[#This Row],[ID - Product - Fecha]],T_Stocks[ID],1),1))</f>
        <v>1</v>
      </c>
      <c r="F259" cm="1">
        <f t="array" ref="F259">IF(T_Saldo[[#This Row],[Divisa]]="USD",INDEX(T_USD_EUR[EURUSD],MATCH(T_Saldo[[#This Row],[Fecha]],T_USD_EUR[Fecha],1),0),1)</f>
        <v>1</v>
      </c>
      <c r="G259" t="str" cm="1">
        <f t="array" ref="G259">INDEX(T_Elementos[Divisa],MATCH(T_Saldo[[#This Row],[Producto]],T_Elementos[Producto],0),0)</f>
        <v>EUR</v>
      </c>
      <c r="H2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16752.739999999998</v>
      </c>
      <c r="J259" t="str">
        <f>T_Saldo[[#This Row],[Producto]] &amp; "-" &amp; DATE(YEAR(T_Saldo[[#This Row],[Fecha]]),MONTH(T_Saldo[[#This Row],[Fecha]]),DAY(T_Saldo[[#This Row],[Fecha]]))</f>
        <v>CC 1-44347</v>
      </c>
    </row>
    <row r="260" spans="1:10" x14ac:dyDescent="0.45">
      <c r="A260" s="15">
        <v>44347</v>
      </c>
      <c r="B260" t="s">
        <v>49</v>
      </c>
      <c r="C260">
        <f>T_Saldo[[#This Row],[Valor liquidativo]]*T_Saldo[[#This Row],[Participaciones]]</f>
        <v>17139.660000000003</v>
      </c>
      <c r="D260" s="11">
        <f>T_Saldo[[#This Row],[Valor liquidativo (Moneda Extranjera)]]/T_Saldo[[#This Row],[Cambio]]</f>
        <v>1</v>
      </c>
      <c r="E260" s="13">
        <f>IF(ISERROR(MATCH(T_Saldo[[#This Row],[Producto]],T_Stocks[Ticker],0)),1,INDEX(T_Stocks[Close],MATCH(T_Saldo[[#This Row],[ID - Product - Fecha]],T_Stocks[ID],1),1))</f>
        <v>1</v>
      </c>
      <c r="F260" cm="1">
        <f t="array" ref="F260">IF(T_Saldo[[#This Row],[Divisa]]="USD",INDEX(T_USD_EUR[EURUSD],MATCH(T_Saldo[[#This Row],[Fecha]],T_USD_EUR[Fecha],1),0),1)</f>
        <v>1</v>
      </c>
      <c r="G260" t="str" cm="1">
        <f t="array" ref="G260">INDEX(T_Elementos[Divisa],MATCH(T_Saldo[[#This Row],[Producto]],T_Elementos[Producto],0),0)</f>
        <v>EUR</v>
      </c>
      <c r="H2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17139.660000000003</v>
      </c>
      <c r="J260" t="str">
        <f>T_Saldo[[#This Row],[Producto]] &amp; "-" &amp; DATE(YEAR(T_Saldo[[#This Row],[Fecha]]),MONTH(T_Saldo[[#This Row],[Fecha]]),DAY(T_Saldo[[#This Row],[Fecha]]))</f>
        <v>CC 2-44347</v>
      </c>
    </row>
    <row r="261" spans="1:10" x14ac:dyDescent="0.45">
      <c r="A261" s="15">
        <v>44347</v>
      </c>
      <c r="B261" t="s">
        <v>41</v>
      </c>
      <c r="C261">
        <f>T_Saldo[[#This Row],[Valor liquidativo]]*T_Saldo[[#This Row],[Participaciones]]</f>
        <v>2041.6333599999998</v>
      </c>
      <c r="D261" s="11">
        <f>T_Saldo[[#This Row],[Valor liquidativo (Moneda Extranjera)]]/T_Saldo[[#This Row],[Cambio]]</f>
        <v>204.16333599999999</v>
      </c>
      <c r="E261" s="13">
        <f>IF(ISERROR(MATCH(T_Saldo[[#This Row],[Producto]],T_Stocks[Ticker],0)),1,INDEX(T_Stocks[Close],MATCH(T_Saldo[[#This Row],[ID - Product - Fecha]],T_Stocks[ID],1),1))</f>
        <v>249.68</v>
      </c>
      <c r="F261" cm="1">
        <f t="array" ref="F261">IF(T_Saldo[[#This Row],[Divisa]]="USD",INDEX(T_USD_EUR[EURUSD],MATCH(T_Saldo[[#This Row],[Fecha]],T_USD_EUR[Fecha],1),0),1)</f>
        <v>1.2229423994129878</v>
      </c>
      <c r="G261" t="str" cm="1">
        <f t="array" ref="G261">INDEX(T_Elementos[Divisa],MATCH(T_Saldo[[#This Row],[Producto]],T_Elementos[Producto],0),0)</f>
        <v>USD</v>
      </c>
      <c r="H2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261" t="str">
        <f>T_Saldo[[#This Row],[Producto]] &amp; "-" &amp; DATE(YEAR(T_Saldo[[#This Row],[Fecha]]),MONTH(T_Saldo[[#This Row],[Fecha]]),DAY(T_Saldo[[#This Row],[Fecha]]))</f>
        <v>MSFT-44347</v>
      </c>
    </row>
    <row r="262" spans="1:10" x14ac:dyDescent="0.45">
      <c r="A262" s="15">
        <v>44347</v>
      </c>
      <c r="B262" t="s">
        <v>51</v>
      </c>
      <c r="C262">
        <f>T_Saldo[[#This Row],[Valor liquidativo]]*T_Saldo[[#This Row],[Participaciones]]</f>
        <v>0</v>
      </c>
      <c r="D262" s="11">
        <f>T_Saldo[[#This Row],[Valor liquidativo (Moneda Extranjera)]]/T_Saldo[[#This Row],[Cambio]]</f>
        <v>83.814249999999987</v>
      </c>
      <c r="E262" s="13">
        <f>IF(ISERROR(MATCH(T_Saldo[[#This Row],[Producto]],T_Stocks[Ticker],0)),1,INDEX(T_Stocks[Close],MATCH(T_Saldo[[#This Row],[ID - Product - Fecha]],T_Stocks[ID],1),1))</f>
        <v>102.5</v>
      </c>
      <c r="F262" cm="1">
        <f t="array" ref="F262">IF(T_Saldo[[#This Row],[Divisa]]="USD",INDEX(T_USD_EUR[EURUSD],MATCH(T_Saldo[[#This Row],[Fecha]],T_USD_EUR[Fecha],1),0),1)</f>
        <v>1.2229423994129878</v>
      </c>
      <c r="G262" t="str" cm="1">
        <f t="array" ref="G262">INDEX(T_Elementos[Divisa],MATCH(T_Saldo[[#This Row],[Producto]],T_Elementos[Producto],0),0)</f>
        <v>USD</v>
      </c>
      <c r="H2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62" t="str">
        <f>T_Saldo[[#This Row],[Producto]] &amp; "-" &amp; DATE(YEAR(T_Saldo[[#This Row],[Fecha]]),MONTH(T_Saldo[[#This Row],[Fecha]]),DAY(T_Saldo[[#This Row],[Fecha]]))</f>
        <v>PRHSX-44347</v>
      </c>
    </row>
    <row r="263" spans="1:10" x14ac:dyDescent="0.45">
      <c r="A263" s="15">
        <v>44347</v>
      </c>
      <c r="B263" t="s">
        <v>32</v>
      </c>
      <c r="C263">
        <f>T_Saldo[[#This Row],[Valor liquidativo]]*T_Saldo[[#This Row],[Participaciones]]</f>
        <v>0</v>
      </c>
      <c r="D263" s="11">
        <f>T_Saldo[[#This Row],[Valor liquidativo (Moneda Extranjera)]]/T_Saldo[[#This Row],[Cambio]]</f>
        <v>86.774323999999993</v>
      </c>
      <c r="E263" s="13">
        <f>IF(ISERROR(MATCH(T_Saldo[[#This Row],[Producto]],T_Stocks[Ticker],0)),1,INDEX(T_Stocks[Close],MATCH(T_Saldo[[#This Row],[ID - Product - Fecha]],T_Stocks[ID],1),1))</f>
        <v>106.12</v>
      </c>
      <c r="F263" cm="1">
        <f t="array" ref="F263">IF(T_Saldo[[#This Row],[Divisa]]="USD",INDEX(T_USD_EUR[EURUSD],MATCH(T_Saldo[[#This Row],[Fecha]],T_USD_EUR[Fecha],1),0),1)</f>
        <v>1.2229423994129878</v>
      </c>
      <c r="G263" t="str" cm="1">
        <f t="array" ref="G263">INDEX(T_Elementos[Divisa],MATCH(T_Saldo[[#This Row],[Producto]],T_Elementos[Producto],0),0)</f>
        <v>USD</v>
      </c>
      <c r="H2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63" t="str">
        <f>T_Saldo[[#This Row],[Producto]] &amp; "-" &amp; DATE(YEAR(T_Saldo[[#This Row],[Fecha]]),MONTH(T_Saldo[[#This Row],[Fecha]]),DAY(T_Saldo[[#This Row],[Fecha]]))</f>
        <v>VTSAX-44347</v>
      </c>
    </row>
    <row r="264" spans="1:10" x14ac:dyDescent="0.45">
      <c r="A264" s="15">
        <v>44377</v>
      </c>
      <c r="B264" t="s">
        <v>38</v>
      </c>
      <c r="C264">
        <f>T_Saldo[[#This Row],[Valor liquidativo]]*T_Saldo[[#This Row],[Participaciones]]</f>
        <v>0</v>
      </c>
      <c r="D264" s="11">
        <f>T_Saldo[[#This Row],[Valor liquidativo (Moneda Extranjera)]]/T_Saldo[[#This Row],[Cambio]]</f>
        <v>115.49836800000001</v>
      </c>
      <c r="E264" s="13">
        <f>IF(ISERROR(MATCH(T_Saldo[[#This Row],[Producto]],T_Stocks[Ticker],0)),1,INDEX(T_Stocks[Close],MATCH(T_Saldo[[#This Row],[ID - Product - Fecha]],T_Stocks[ID],1),1))</f>
        <v>136.96</v>
      </c>
      <c r="F264" cm="1">
        <f t="array" ref="F264">IF(T_Saldo[[#This Row],[Divisa]]="USD",INDEX(T_USD_EUR[EURUSD],MATCH(T_Saldo[[#This Row],[Fecha]],T_USD_EUR[Fecha],1),0),1)</f>
        <v>1.1858176212498517</v>
      </c>
      <c r="G264" t="str" cm="1">
        <f t="array" ref="G264">INDEX(T_Elementos[Divisa],MATCH(T_Saldo[[#This Row],[Producto]],T_Elementos[Producto],0),0)</f>
        <v>USD</v>
      </c>
      <c r="H2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64" t="str">
        <f>T_Saldo[[#This Row],[Producto]] &amp; "-" &amp; DATE(YEAR(T_Saldo[[#This Row],[Fecha]]),MONTH(T_Saldo[[#This Row],[Fecha]]),DAY(T_Saldo[[#This Row],[Fecha]]))</f>
        <v>AAPL-44377</v>
      </c>
    </row>
    <row r="265" spans="1:10" x14ac:dyDescent="0.45">
      <c r="A265" s="15">
        <v>44377</v>
      </c>
      <c r="B265" t="s">
        <v>43</v>
      </c>
      <c r="C265">
        <f>T_Saldo[[#This Row],[Valor liquidativo]]*T_Saldo[[#This Row],[Participaciones]]</f>
        <v>0</v>
      </c>
      <c r="D265" s="11">
        <f>T_Saldo[[#This Row],[Valor liquidativo (Moneda Extranjera)]]/T_Saldo[[#This Row],[Cambio]]</f>
        <v>250.42</v>
      </c>
      <c r="E265" s="13">
        <f>IF(ISERROR(MATCH(T_Saldo[[#This Row],[Producto]],T_Stocks[Ticker],0)),1,INDEX(T_Stocks[Close],MATCH(T_Saldo[[#This Row],[ID - Product - Fecha]],T_Stocks[ID],1),1))</f>
        <v>250.42</v>
      </c>
      <c r="F265" cm="1">
        <f t="array" ref="F265">IF(T_Saldo[[#This Row],[Divisa]]="USD",INDEX(T_USD_EUR[EURUSD],MATCH(T_Saldo[[#This Row],[Fecha]],T_USD_EUR[Fecha],1),0),1)</f>
        <v>1</v>
      </c>
      <c r="G265" t="str" cm="1">
        <f t="array" ref="G265">INDEX(T_Elementos[Divisa],MATCH(T_Saldo[[#This Row],[Producto]],T_Elementos[Producto],0),0)</f>
        <v>EUR</v>
      </c>
      <c r="H2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65" t="str">
        <f>T_Saldo[[#This Row],[Producto]] &amp; "-" &amp; DATE(YEAR(T_Saldo[[#This Row],[Fecha]]),MONTH(T_Saldo[[#This Row],[Fecha]]),DAY(T_Saldo[[#This Row],[Fecha]]))</f>
        <v>Bonos-44377</v>
      </c>
    </row>
    <row r="266" spans="1:10" x14ac:dyDescent="0.45">
      <c r="A266" s="15">
        <v>44377</v>
      </c>
      <c r="B266" t="s">
        <v>155</v>
      </c>
      <c r="C266">
        <f>T_Saldo[[#This Row],[Valor liquidativo]]*T_Saldo[[#This Row],[Participaciones]]</f>
        <v>14772.872105</v>
      </c>
      <c r="D266" s="11">
        <f>T_Saldo[[#This Row],[Valor liquidativo (Moneda Extranjera)]]/T_Saldo[[#This Row],[Cambio]]</f>
        <v>29545.744210000001</v>
      </c>
      <c r="E266" s="13">
        <f>IF(ISERROR(MATCH(T_Saldo[[#This Row],[Producto]],T_Stocks[Ticker],0)),1,INDEX(T_Stocks[Close],MATCH(T_Saldo[[#This Row],[ID - Product - Fecha]],T_Stocks[ID],1),1))</f>
        <v>29545.744210000001</v>
      </c>
      <c r="F266" cm="1">
        <f t="array" ref="F266">IF(T_Saldo[[#This Row],[Divisa]]="USD",INDEX(T_USD_EUR[EURUSD],MATCH(T_Saldo[[#This Row],[Fecha]],T_USD_EUR[Fecha],1),0),1)</f>
        <v>1</v>
      </c>
      <c r="G266" t="str" cm="1">
        <f t="array" ref="G266">INDEX(T_Elementos[Divisa],MATCH(T_Saldo[[#This Row],[Producto]],T_Elementos[Producto],0),0)</f>
        <v>EUR</v>
      </c>
      <c r="H2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66" t="str">
        <f>T_Saldo[[#This Row],[Producto]] &amp; "-" &amp; DATE(YEAR(T_Saldo[[#This Row],[Fecha]]),MONTH(T_Saldo[[#This Row],[Fecha]]),DAY(T_Saldo[[#This Row],[Fecha]]))</f>
        <v>BTCEUR-44377</v>
      </c>
    </row>
    <row r="267" spans="1:10" x14ac:dyDescent="0.45">
      <c r="A267" s="15">
        <v>44377</v>
      </c>
      <c r="B267" t="s">
        <v>46</v>
      </c>
      <c r="C267">
        <f>T_Saldo[[#This Row],[Valor liquidativo]]*T_Saldo[[#This Row],[Participaciones]]</f>
        <v>21267.58</v>
      </c>
      <c r="D267" s="11">
        <f>T_Saldo[[#This Row],[Valor liquidativo (Moneda Extranjera)]]/T_Saldo[[#This Row],[Cambio]]</f>
        <v>1</v>
      </c>
      <c r="E267" s="13">
        <f>IF(ISERROR(MATCH(T_Saldo[[#This Row],[Producto]],T_Stocks[Ticker],0)),1,INDEX(T_Stocks[Close],MATCH(T_Saldo[[#This Row],[ID - Product - Fecha]],T_Stocks[ID],1),1))</f>
        <v>1</v>
      </c>
      <c r="F267" cm="1">
        <f t="array" ref="F267">IF(T_Saldo[[#This Row],[Divisa]]="USD",INDEX(T_USD_EUR[EURUSD],MATCH(T_Saldo[[#This Row],[Fecha]],T_USD_EUR[Fecha],1),0),1)</f>
        <v>1</v>
      </c>
      <c r="G267" t="str" cm="1">
        <f t="array" ref="G267">INDEX(T_Elementos[Divisa],MATCH(T_Saldo[[#This Row],[Producto]],T_Elementos[Producto],0),0)</f>
        <v>EUR</v>
      </c>
      <c r="H2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21267.58</v>
      </c>
      <c r="J267" t="str">
        <f>T_Saldo[[#This Row],[Producto]] &amp; "-" &amp; DATE(YEAR(T_Saldo[[#This Row],[Fecha]]),MONTH(T_Saldo[[#This Row],[Fecha]]),DAY(T_Saldo[[#This Row],[Fecha]]))</f>
        <v>CA 1-44377</v>
      </c>
    </row>
    <row r="268" spans="1:10" x14ac:dyDescent="0.45">
      <c r="A268" s="15">
        <v>44377</v>
      </c>
      <c r="B268" t="s">
        <v>10</v>
      </c>
      <c r="C268">
        <f>T_Saldo[[#This Row],[Valor liquidativo]]*T_Saldo[[#This Row],[Participaciones]]</f>
        <v>16630.650000000001</v>
      </c>
      <c r="D268" s="11">
        <f>T_Saldo[[#This Row],[Valor liquidativo (Moneda Extranjera)]]/T_Saldo[[#This Row],[Cambio]]</f>
        <v>1</v>
      </c>
      <c r="E268" s="13">
        <f>IF(ISERROR(MATCH(T_Saldo[[#This Row],[Producto]],T_Stocks[Ticker],0)),1,INDEX(T_Stocks[Close],MATCH(T_Saldo[[#This Row],[ID - Product - Fecha]],T_Stocks[ID],1),1))</f>
        <v>1</v>
      </c>
      <c r="F268" cm="1">
        <f t="array" ref="F268">IF(T_Saldo[[#This Row],[Divisa]]="USD",INDEX(T_USD_EUR[EURUSD],MATCH(T_Saldo[[#This Row],[Fecha]],T_USD_EUR[Fecha],1),0),1)</f>
        <v>1</v>
      </c>
      <c r="G268" t="str" cm="1">
        <f t="array" ref="G268">INDEX(T_Elementos[Divisa],MATCH(T_Saldo[[#This Row],[Producto]],T_Elementos[Producto],0),0)</f>
        <v>EUR</v>
      </c>
      <c r="H2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16630.650000000001</v>
      </c>
      <c r="J268" t="str">
        <f>T_Saldo[[#This Row],[Producto]] &amp; "-" &amp; DATE(YEAR(T_Saldo[[#This Row],[Fecha]]),MONTH(T_Saldo[[#This Row],[Fecha]]),DAY(T_Saldo[[#This Row],[Fecha]]))</f>
        <v>CC 1-44377</v>
      </c>
    </row>
    <row r="269" spans="1:10" x14ac:dyDescent="0.45">
      <c r="A269" s="15">
        <v>44377</v>
      </c>
      <c r="B269" t="s">
        <v>49</v>
      </c>
      <c r="C269">
        <f>T_Saldo[[#This Row],[Valor liquidativo]]*T_Saldo[[#This Row],[Participaciones]]</f>
        <v>20011.570000000003</v>
      </c>
      <c r="D269" s="11">
        <f>T_Saldo[[#This Row],[Valor liquidativo (Moneda Extranjera)]]/T_Saldo[[#This Row],[Cambio]]</f>
        <v>1</v>
      </c>
      <c r="E269" s="13">
        <f>IF(ISERROR(MATCH(T_Saldo[[#This Row],[Producto]],T_Stocks[Ticker],0)),1,INDEX(T_Stocks[Close],MATCH(T_Saldo[[#This Row],[ID - Product - Fecha]],T_Stocks[ID],1),1))</f>
        <v>1</v>
      </c>
      <c r="F269" cm="1">
        <f t="array" ref="F269">IF(T_Saldo[[#This Row],[Divisa]]="USD",INDEX(T_USD_EUR[EURUSD],MATCH(T_Saldo[[#This Row],[Fecha]],T_USD_EUR[Fecha],1),0),1)</f>
        <v>1</v>
      </c>
      <c r="G269" t="str" cm="1">
        <f t="array" ref="G269">INDEX(T_Elementos[Divisa],MATCH(T_Saldo[[#This Row],[Producto]],T_Elementos[Producto],0),0)</f>
        <v>EUR</v>
      </c>
      <c r="H2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20011.570000000003</v>
      </c>
      <c r="J269" t="str">
        <f>T_Saldo[[#This Row],[Producto]] &amp; "-" &amp; DATE(YEAR(T_Saldo[[#This Row],[Fecha]]),MONTH(T_Saldo[[#This Row],[Fecha]]),DAY(T_Saldo[[#This Row],[Fecha]]))</f>
        <v>CC 2-44377</v>
      </c>
    </row>
    <row r="270" spans="1:10" x14ac:dyDescent="0.45">
      <c r="A270" s="15">
        <v>44377</v>
      </c>
      <c r="B270" t="s">
        <v>41</v>
      </c>
      <c r="C270">
        <f>T_Saldo[[#This Row],[Valor liquidativo]]*T_Saldo[[#This Row],[Participaciones]]</f>
        <v>2284.4997000000003</v>
      </c>
      <c r="D270" s="11">
        <f>T_Saldo[[#This Row],[Valor liquidativo (Moneda Extranjera)]]/T_Saldo[[#This Row],[Cambio]]</f>
        <v>228.44997000000001</v>
      </c>
      <c r="E270" s="13">
        <f>IF(ISERROR(MATCH(T_Saldo[[#This Row],[Producto]],T_Stocks[Ticker],0)),1,INDEX(T_Stocks[Close],MATCH(T_Saldo[[#This Row],[ID - Product - Fecha]],T_Stocks[ID],1),1))</f>
        <v>270.89999999999998</v>
      </c>
      <c r="F270" cm="1">
        <f t="array" ref="F270">IF(T_Saldo[[#This Row],[Divisa]]="USD",INDEX(T_USD_EUR[EURUSD],MATCH(T_Saldo[[#This Row],[Fecha]],T_USD_EUR[Fecha],1),0),1)</f>
        <v>1.1858176212498517</v>
      </c>
      <c r="G270" t="str" cm="1">
        <f t="array" ref="G270">INDEX(T_Elementos[Divisa],MATCH(T_Saldo[[#This Row],[Producto]],T_Elementos[Producto],0),0)</f>
        <v>USD</v>
      </c>
      <c r="H2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270" t="str">
        <f>T_Saldo[[#This Row],[Producto]] &amp; "-" &amp; DATE(YEAR(T_Saldo[[#This Row],[Fecha]]),MONTH(T_Saldo[[#This Row],[Fecha]]),DAY(T_Saldo[[#This Row],[Fecha]]))</f>
        <v>MSFT-44377</v>
      </c>
    </row>
    <row r="271" spans="1:10" x14ac:dyDescent="0.45">
      <c r="A271" s="15">
        <v>44377</v>
      </c>
      <c r="B271" t="s">
        <v>51</v>
      </c>
      <c r="C271">
        <f>T_Saldo[[#This Row],[Valor liquidativo]]*T_Saldo[[#This Row],[Participaciones]]</f>
        <v>0</v>
      </c>
      <c r="D271" s="11">
        <f>T_Saldo[[#This Row],[Valor liquidativo (Moneda Extranjera)]]/T_Saldo[[#This Row],[Cambio]]</f>
        <v>91.287225000000007</v>
      </c>
      <c r="E271" s="13">
        <f>IF(ISERROR(MATCH(T_Saldo[[#This Row],[Producto]],T_Stocks[Ticker],0)),1,INDEX(T_Stocks[Close],MATCH(T_Saldo[[#This Row],[ID - Product - Fecha]],T_Stocks[ID],1),1))</f>
        <v>108.25</v>
      </c>
      <c r="F271" cm="1">
        <f t="array" ref="F271">IF(T_Saldo[[#This Row],[Divisa]]="USD",INDEX(T_USD_EUR[EURUSD],MATCH(T_Saldo[[#This Row],[Fecha]],T_USD_EUR[Fecha],1),0),1)</f>
        <v>1.1858176212498517</v>
      </c>
      <c r="G271" t="str" cm="1">
        <f t="array" ref="G271">INDEX(T_Elementos[Divisa],MATCH(T_Saldo[[#This Row],[Producto]],T_Elementos[Producto],0),0)</f>
        <v>USD</v>
      </c>
      <c r="H2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71" t="str">
        <f>T_Saldo[[#This Row],[Producto]] &amp; "-" &amp; DATE(YEAR(T_Saldo[[#This Row],[Fecha]]),MONTH(T_Saldo[[#This Row],[Fecha]]),DAY(T_Saldo[[#This Row],[Fecha]]))</f>
        <v>PRHSX-44377</v>
      </c>
    </row>
    <row r="272" spans="1:10" x14ac:dyDescent="0.45">
      <c r="A272" s="15">
        <v>44377</v>
      </c>
      <c r="B272" t="s">
        <v>32</v>
      </c>
      <c r="C272">
        <f>T_Saldo[[#This Row],[Valor liquidativo]]*T_Saldo[[#This Row],[Participaciones]]</f>
        <v>0</v>
      </c>
      <c r="D272" s="11">
        <f>T_Saldo[[#This Row],[Valor liquidativo (Moneda Extranjera)]]/T_Saldo[[#This Row],[Cambio]]</f>
        <v>91.489616999999996</v>
      </c>
      <c r="E272" s="13">
        <f>IF(ISERROR(MATCH(T_Saldo[[#This Row],[Producto]],T_Stocks[Ticker],0)),1,INDEX(T_Stocks[Close],MATCH(T_Saldo[[#This Row],[ID - Product - Fecha]],T_Stocks[ID],1),1))</f>
        <v>108.49</v>
      </c>
      <c r="F272" cm="1">
        <f t="array" ref="F272">IF(T_Saldo[[#This Row],[Divisa]]="USD",INDEX(T_USD_EUR[EURUSD],MATCH(T_Saldo[[#This Row],[Fecha]],T_USD_EUR[Fecha],1),0),1)</f>
        <v>1.1858176212498517</v>
      </c>
      <c r="G272" t="str" cm="1">
        <f t="array" ref="G272">INDEX(T_Elementos[Divisa],MATCH(T_Saldo[[#This Row],[Producto]],T_Elementos[Producto],0),0)</f>
        <v>USD</v>
      </c>
      <c r="H2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72" t="str">
        <f>T_Saldo[[#This Row],[Producto]] &amp; "-" &amp; DATE(YEAR(T_Saldo[[#This Row],[Fecha]]),MONTH(T_Saldo[[#This Row],[Fecha]]),DAY(T_Saldo[[#This Row],[Fecha]]))</f>
        <v>VTSAX-44377</v>
      </c>
    </row>
    <row r="273" spans="1:10" x14ac:dyDescent="0.45">
      <c r="A273" s="15">
        <v>44408</v>
      </c>
      <c r="B273" t="s">
        <v>38</v>
      </c>
      <c r="C273">
        <f>T_Saldo[[#This Row],[Valor liquidativo]]*T_Saldo[[#This Row],[Participaciones]]</f>
        <v>0</v>
      </c>
      <c r="D273" s="11">
        <f>T_Saldo[[#This Row],[Valor liquidativo (Moneda Extranjera)]]/T_Saldo[[#This Row],[Cambio]]</f>
        <v>122.85787800000001</v>
      </c>
      <c r="E273" s="13">
        <f>IF(ISERROR(MATCH(T_Saldo[[#This Row],[Producto]],T_Stocks[Ticker],0)),1,INDEX(T_Stocks[Close],MATCH(T_Saldo[[#This Row],[ID - Product - Fecha]],T_Stocks[ID],1),1))</f>
        <v>145.86000000000001</v>
      </c>
      <c r="F273" cm="1">
        <f t="array" ref="F273">IF(T_Saldo[[#This Row],[Divisa]]="USD",INDEX(T_USD_EUR[EURUSD],MATCH(T_Saldo[[#This Row],[Fecha]],T_USD_EUR[Fecha],1),0),1)</f>
        <v>1.1872254541137361</v>
      </c>
      <c r="G273" t="str" cm="1">
        <f t="array" ref="G273">INDEX(T_Elementos[Divisa],MATCH(T_Saldo[[#This Row],[Producto]],T_Elementos[Producto],0),0)</f>
        <v>USD</v>
      </c>
      <c r="H2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73" t="str">
        <f>T_Saldo[[#This Row],[Producto]] &amp; "-" &amp; DATE(YEAR(T_Saldo[[#This Row],[Fecha]]),MONTH(T_Saldo[[#This Row],[Fecha]]),DAY(T_Saldo[[#This Row],[Fecha]]))</f>
        <v>AAPL-44408</v>
      </c>
    </row>
    <row r="274" spans="1:10" x14ac:dyDescent="0.45">
      <c r="A274" s="15">
        <v>44408</v>
      </c>
      <c r="B274" t="s">
        <v>43</v>
      </c>
      <c r="C274">
        <f>T_Saldo[[#This Row],[Valor liquidativo]]*T_Saldo[[#This Row],[Participaciones]]</f>
        <v>0</v>
      </c>
      <c r="D274" s="11">
        <f>T_Saldo[[#This Row],[Valor liquidativo (Moneda Extranjera)]]/T_Saldo[[#This Row],[Cambio]]</f>
        <v>250.42</v>
      </c>
      <c r="E274" s="13">
        <f>IF(ISERROR(MATCH(T_Saldo[[#This Row],[Producto]],T_Stocks[Ticker],0)),1,INDEX(T_Stocks[Close],MATCH(T_Saldo[[#This Row],[ID - Product - Fecha]],T_Stocks[ID],1),1))</f>
        <v>250.42</v>
      </c>
      <c r="F274" cm="1">
        <f t="array" ref="F274">IF(T_Saldo[[#This Row],[Divisa]]="USD",INDEX(T_USD_EUR[EURUSD],MATCH(T_Saldo[[#This Row],[Fecha]],T_USD_EUR[Fecha],1),0),1)</f>
        <v>1</v>
      </c>
      <c r="G274" t="str" cm="1">
        <f t="array" ref="G274">INDEX(T_Elementos[Divisa],MATCH(T_Saldo[[#This Row],[Producto]],T_Elementos[Producto],0),0)</f>
        <v>EUR</v>
      </c>
      <c r="H2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74" t="str">
        <f>T_Saldo[[#This Row],[Producto]] &amp; "-" &amp; DATE(YEAR(T_Saldo[[#This Row],[Fecha]]),MONTH(T_Saldo[[#This Row],[Fecha]]),DAY(T_Saldo[[#This Row],[Fecha]]))</f>
        <v>Bonos-44408</v>
      </c>
    </row>
    <row r="275" spans="1:10" x14ac:dyDescent="0.45">
      <c r="A275" s="15">
        <v>44408</v>
      </c>
      <c r="B275" t="s">
        <v>155</v>
      </c>
      <c r="C275">
        <f>T_Saldo[[#This Row],[Valor liquidativo]]*T_Saldo[[#This Row],[Participaciones]]</f>
        <v>17500.969959999999</v>
      </c>
      <c r="D275" s="11">
        <f>T_Saldo[[#This Row],[Valor liquidativo (Moneda Extranjera)]]/T_Saldo[[#This Row],[Cambio]]</f>
        <v>35001.939919999997</v>
      </c>
      <c r="E275" s="13">
        <f>IF(ISERROR(MATCH(T_Saldo[[#This Row],[Producto]],T_Stocks[Ticker],0)),1,INDEX(T_Stocks[Close],MATCH(T_Saldo[[#This Row],[ID - Product - Fecha]],T_Stocks[ID],1),1))</f>
        <v>35001.939919999997</v>
      </c>
      <c r="F275" cm="1">
        <f t="array" ref="F275">IF(T_Saldo[[#This Row],[Divisa]]="USD",INDEX(T_USD_EUR[EURUSD],MATCH(T_Saldo[[#This Row],[Fecha]],T_USD_EUR[Fecha],1),0),1)</f>
        <v>1</v>
      </c>
      <c r="G275" t="str" cm="1">
        <f t="array" ref="G275">INDEX(T_Elementos[Divisa],MATCH(T_Saldo[[#This Row],[Producto]],T_Elementos[Producto],0),0)</f>
        <v>EUR</v>
      </c>
      <c r="H2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75" t="str">
        <f>T_Saldo[[#This Row],[Producto]] &amp; "-" &amp; DATE(YEAR(T_Saldo[[#This Row],[Fecha]]),MONTH(T_Saldo[[#This Row],[Fecha]]),DAY(T_Saldo[[#This Row],[Fecha]]))</f>
        <v>BTCEUR-44408</v>
      </c>
    </row>
    <row r="276" spans="1:10" x14ac:dyDescent="0.45">
      <c r="A276" s="15">
        <v>44408</v>
      </c>
      <c r="B276" t="s">
        <v>46</v>
      </c>
      <c r="C276">
        <f>T_Saldo[[#This Row],[Valor liquidativo]]*T_Saldo[[#This Row],[Participaciones]]</f>
        <v>21112.850000000002</v>
      </c>
      <c r="D276" s="11">
        <f>T_Saldo[[#This Row],[Valor liquidativo (Moneda Extranjera)]]/T_Saldo[[#This Row],[Cambio]]</f>
        <v>1</v>
      </c>
      <c r="E276" s="13">
        <f>IF(ISERROR(MATCH(T_Saldo[[#This Row],[Producto]],T_Stocks[Ticker],0)),1,INDEX(T_Stocks[Close],MATCH(T_Saldo[[#This Row],[ID - Product - Fecha]],T_Stocks[ID],1),1))</f>
        <v>1</v>
      </c>
      <c r="F276" cm="1">
        <f t="array" ref="F276">IF(T_Saldo[[#This Row],[Divisa]]="USD",INDEX(T_USD_EUR[EURUSD],MATCH(T_Saldo[[#This Row],[Fecha]],T_USD_EUR[Fecha],1),0),1)</f>
        <v>1</v>
      </c>
      <c r="G276" t="str" cm="1">
        <f t="array" ref="G276">INDEX(T_Elementos[Divisa],MATCH(T_Saldo[[#This Row],[Producto]],T_Elementos[Producto],0),0)</f>
        <v>EUR</v>
      </c>
      <c r="H2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21112.850000000002</v>
      </c>
      <c r="J276" t="str">
        <f>T_Saldo[[#This Row],[Producto]] &amp; "-" &amp; DATE(YEAR(T_Saldo[[#This Row],[Fecha]]),MONTH(T_Saldo[[#This Row],[Fecha]]),DAY(T_Saldo[[#This Row],[Fecha]]))</f>
        <v>CA 1-44408</v>
      </c>
    </row>
    <row r="277" spans="1:10" x14ac:dyDescent="0.45">
      <c r="A277" s="15">
        <v>44408</v>
      </c>
      <c r="B277" t="s">
        <v>10</v>
      </c>
      <c r="C277">
        <f>T_Saldo[[#This Row],[Valor liquidativo]]*T_Saldo[[#This Row],[Participaciones]]</f>
        <v>16190.13</v>
      </c>
      <c r="D277" s="11">
        <f>T_Saldo[[#This Row],[Valor liquidativo (Moneda Extranjera)]]/T_Saldo[[#This Row],[Cambio]]</f>
        <v>1</v>
      </c>
      <c r="E277" s="13">
        <f>IF(ISERROR(MATCH(T_Saldo[[#This Row],[Producto]],T_Stocks[Ticker],0)),1,INDEX(T_Stocks[Close],MATCH(T_Saldo[[#This Row],[ID - Product - Fecha]],T_Stocks[ID],1),1))</f>
        <v>1</v>
      </c>
      <c r="F277" cm="1">
        <f t="array" ref="F277">IF(T_Saldo[[#This Row],[Divisa]]="USD",INDEX(T_USD_EUR[EURUSD],MATCH(T_Saldo[[#This Row],[Fecha]],T_USD_EUR[Fecha],1),0),1)</f>
        <v>1</v>
      </c>
      <c r="G277" t="str" cm="1">
        <f t="array" ref="G277">INDEX(T_Elementos[Divisa],MATCH(T_Saldo[[#This Row],[Producto]],T_Elementos[Producto],0),0)</f>
        <v>EUR</v>
      </c>
      <c r="H2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16190.13</v>
      </c>
      <c r="J277" t="str">
        <f>T_Saldo[[#This Row],[Producto]] &amp; "-" &amp; DATE(YEAR(T_Saldo[[#This Row],[Fecha]]),MONTH(T_Saldo[[#This Row],[Fecha]]),DAY(T_Saldo[[#This Row],[Fecha]]))</f>
        <v>CC 1-44408</v>
      </c>
    </row>
    <row r="278" spans="1:10" x14ac:dyDescent="0.45">
      <c r="A278" s="15">
        <v>44408</v>
      </c>
      <c r="B278" t="s">
        <v>49</v>
      </c>
      <c r="C278">
        <f>T_Saldo[[#This Row],[Valor liquidativo]]*T_Saldo[[#This Row],[Participaciones]]</f>
        <v>19864.180000000004</v>
      </c>
      <c r="D278" s="11">
        <f>T_Saldo[[#This Row],[Valor liquidativo (Moneda Extranjera)]]/T_Saldo[[#This Row],[Cambio]]</f>
        <v>1</v>
      </c>
      <c r="E278" s="13">
        <f>IF(ISERROR(MATCH(T_Saldo[[#This Row],[Producto]],T_Stocks[Ticker],0)),1,INDEX(T_Stocks[Close],MATCH(T_Saldo[[#This Row],[ID - Product - Fecha]],T_Stocks[ID],1),1))</f>
        <v>1</v>
      </c>
      <c r="F278" cm="1">
        <f t="array" ref="F278">IF(T_Saldo[[#This Row],[Divisa]]="USD",INDEX(T_USD_EUR[EURUSD],MATCH(T_Saldo[[#This Row],[Fecha]],T_USD_EUR[Fecha],1),0),1)</f>
        <v>1</v>
      </c>
      <c r="G278" t="str" cm="1">
        <f t="array" ref="G278">INDEX(T_Elementos[Divisa],MATCH(T_Saldo[[#This Row],[Producto]],T_Elementos[Producto],0),0)</f>
        <v>EUR</v>
      </c>
      <c r="H2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19864.180000000004</v>
      </c>
      <c r="J278" t="str">
        <f>T_Saldo[[#This Row],[Producto]] &amp; "-" &amp; DATE(YEAR(T_Saldo[[#This Row],[Fecha]]),MONTH(T_Saldo[[#This Row],[Fecha]]),DAY(T_Saldo[[#This Row],[Fecha]]))</f>
        <v>CC 2-44408</v>
      </c>
    </row>
    <row r="279" spans="1:10" x14ac:dyDescent="0.45">
      <c r="A279" s="15">
        <v>44408</v>
      </c>
      <c r="B279" t="s">
        <v>41</v>
      </c>
      <c r="C279">
        <f>T_Saldo[[#This Row],[Valor liquidativo]]*T_Saldo[[#This Row],[Participaciones]]</f>
        <v>2399.7969300000004</v>
      </c>
      <c r="D279" s="11">
        <f>T_Saldo[[#This Row],[Valor liquidativo (Moneda Extranjera)]]/T_Saldo[[#This Row],[Cambio]]</f>
        <v>239.97969300000003</v>
      </c>
      <c r="E279" s="13">
        <f>IF(ISERROR(MATCH(T_Saldo[[#This Row],[Producto]],T_Stocks[Ticker],0)),1,INDEX(T_Stocks[Close],MATCH(T_Saldo[[#This Row],[ID - Product - Fecha]],T_Stocks[ID],1),1))</f>
        <v>284.91000000000003</v>
      </c>
      <c r="F279" cm="1">
        <f t="array" ref="F279">IF(T_Saldo[[#This Row],[Divisa]]="USD",INDEX(T_USD_EUR[EURUSD],MATCH(T_Saldo[[#This Row],[Fecha]],T_USD_EUR[Fecha],1),0),1)</f>
        <v>1.1872254541137361</v>
      </c>
      <c r="G279" t="str" cm="1">
        <f t="array" ref="G279">INDEX(T_Elementos[Divisa],MATCH(T_Saldo[[#This Row],[Producto]],T_Elementos[Producto],0),0)</f>
        <v>USD</v>
      </c>
      <c r="H2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279" t="str">
        <f>T_Saldo[[#This Row],[Producto]] &amp; "-" &amp; DATE(YEAR(T_Saldo[[#This Row],[Fecha]]),MONTH(T_Saldo[[#This Row],[Fecha]]),DAY(T_Saldo[[#This Row],[Fecha]]))</f>
        <v>MSFT-44408</v>
      </c>
    </row>
    <row r="280" spans="1:10" x14ac:dyDescent="0.45">
      <c r="A280" s="15">
        <v>44408</v>
      </c>
      <c r="B280" t="s">
        <v>51</v>
      </c>
      <c r="C280">
        <f>T_Saldo[[#This Row],[Valor liquidativo]]*T_Saldo[[#This Row],[Participaciones]]</f>
        <v>0</v>
      </c>
      <c r="D280" s="11">
        <f>T_Saldo[[#This Row],[Valor liquidativo (Moneda Extranjera)]]/T_Saldo[[#This Row],[Cambio]]</f>
        <v>93.023612</v>
      </c>
      <c r="E280" s="13">
        <f>IF(ISERROR(MATCH(T_Saldo[[#This Row],[Producto]],T_Stocks[Ticker],0)),1,INDEX(T_Stocks[Close],MATCH(T_Saldo[[#This Row],[ID - Product - Fecha]],T_Stocks[ID],1),1))</f>
        <v>110.44</v>
      </c>
      <c r="F280" cm="1">
        <f t="array" ref="F280">IF(T_Saldo[[#This Row],[Divisa]]="USD",INDEX(T_USD_EUR[EURUSD],MATCH(T_Saldo[[#This Row],[Fecha]],T_USD_EUR[Fecha],1),0),1)</f>
        <v>1.1872254541137361</v>
      </c>
      <c r="G280" t="str" cm="1">
        <f t="array" ref="G280">INDEX(T_Elementos[Divisa],MATCH(T_Saldo[[#This Row],[Producto]],T_Elementos[Producto],0),0)</f>
        <v>USD</v>
      </c>
      <c r="H2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0" t="str">
        <f>T_Saldo[[#This Row],[Producto]] &amp; "-" &amp; DATE(YEAR(T_Saldo[[#This Row],[Fecha]]),MONTH(T_Saldo[[#This Row],[Fecha]]),DAY(T_Saldo[[#This Row],[Fecha]]))</f>
        <v>PRHSX-44408</v>
      </c>
    </row>
    <row r="281" spans="1:10" x14ac:dyDescent="0.45">
      <c r="A281" s="15">
        <v>44408</v>
      </c>
      <c r="B281" t="s">
        <v>32</v>
      </c>
      <c r="C281">
        <f>T_Saldo[[#This Row],[Valor liquidativo]]*T_Saldo[[#This Row],[Participaciones]]</f>
        <v>0</v>
      </c>
      <c r="D281" s="11">
        <f>T_Saldo[[#This Row],[Valor liquidativo (Moneda Extranjera)]]/T_Saldo[[#This Row],[Cambio]]</f>
        <v>92.947805000000002</v>
      </c>
      <c r="E281" s="13">
        <f>IF(ISERROR(MATCH(T_Saldo[[#This Row],[Producto]],T_Stocks[Ticker],0)),1,INDEX(T_Stocks[Close],MATCH(T_Saldo[[#This Row],[ID - Product - Fecha]],T_Stocks[ID],1),1))</f>
        <v>110.35</v>
      </c>
      <c r="F281" cm="1">
        <f t="array" ref="F281">IF(T_Saldo[[#This Row],[Divisa]]="USD",INDEX(T_USD_EUR[EURUSD],MATCH(T_Saldo[[#This Row],[Fecha]],T_USD_EUR[Fecha],1),0),1)</f>
        <v>1.1872254541137361</v>
      </c>
      <c r="G281" t="str" cm="1">
        <f t="array" ref="G281">INDEX(T_Elementos[Divisa],MATCH(T_Saldo[[#This Row],[Producto]],T_Elementos[Producto],0),0)</f>
        <v>USD</v>
      </c>
      <c r="H2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1" t="str">
        <f>T_Saldo[[#This Row],[Producto]] &amp; "-" &amp; DATE(YEAR(T_Saldo[[#This Row],[Fecha]]),MONTH(T_Saldo[[#This Row],[Fecha]]),DAY(T_Saldo[[#This Row],[Fecha]]))</f>
        <v>VTSAX-44408</v>
      </c>
    </row>
    <row r="282" spans="1:10" x14ac:dyDescent="0.45">
      <c r="A282" s="15">
        <v>44439</v>
      </c>
      <c r="B282" t="s">
        <v>38</v>
      </c>
      <c r="C282">
        <f>T_Saldo[[#This Row],[Valor liquidativo]]*T_Saldo[[#This Row],[Participaciones]]</f>
        <v>0</v>
      </c>
      <c r="D282" s="11">
        <f>T_Saldo[[#This Row],[Valor liquidativo (Moneda Extranjera)]]/T_Saldo[[#This Row],[Cambio]]</f>
        <v>128.554461</v>
      </c>
      <c r="E282" s="13">
        <f>IF(ISERROR(MATCH(T_Saldo[[#This Row],[Producto]],T_Stocks[Ticker],0)),1,INDEX(T_Stocks[Close],MATCH(T_Saldo[[#This Row],[ID - Product - Fecha]],T_Stocks[ID],1),1))</f>
        <v>151.83000000000001</v>
      </c>
      <c r="F282" cm="1">
        <f t="array" ref="F282">IF(T_Saldo[[#This Row],[Divisa]]="USD",INDEX(T_USD_EUR[EURUSD],MATCH(T_Saldo[[#This Row],[Fecha]],T_USD_EUR[Fecha],1),0),1)</f>
        <v>1.1810558639423645</v>
      </c>
      <c r="G282" t="str" cm="1">
        <f t="array" ref="G282">INDEX(T_Elementos[Divisa],MATCH(T_Saldo[[#This Row],[Producto]],T_Elementos[Producto],0),0)</f>
        <v>USD</v>
      </c>
      <c r="H2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2" t="str">
        <f>T_Saldo[[#This Row],[Producto]] &amp; "-" &amp; DATE(YEAR(T_Saldo[[#This Row],[Fecha]]),MONTH(T_Saldo[[#This Row],[Fecha]]),DAY(T_Saldo[[#This Row],[Fecha]]))</f>
        <v>AAPL-44439</v>
      </c>
    </row>
    <row r="283" spans="1:10" x14ac:dyDescent="0.45">
      <c r="A283" s="15">
        <v>44439</v>
      </c>
      <c r="B283" t="s">
        <v>43</v>
      </c>
      <c r="C283">
        <f>T_Saldo[[#This Row],[Valor liquidativo]]*T_Saldo[[#This Row],[Participaciones]]</f>
        <v>0</v>
      </c>
      <c r="D283" s="11">
        <f>T_Saldo[[#This Row],[Valor liquidativo (Moneda Extranjera)]]/T_Saldo[[#This Row],[Cambio]]</f>
        <v>250.42</v>
      </c>
      <c r="E283" s="13">
        <f>IF(ISERROR(MATCH(T_Saldo[[#This Row],[Producto]],T_Stocks[Ticker],0)),1,INDEX(T_Stocks[Close],MATCH(T_Saldo[[#This Row],[ID - Product - Fecha]],T_Stocks[ID],1),1))</f>
        <v>250.42</v>
      </c>
      <c r="F283" cm="1">
        <f t="array" ref="F283">IF(T_Saldo[[#This Row],[Divisa]]="USD",INDEX(T_USD_EUR[EURUSD],MATCH(T_Saldo[[#This Row],[Fecha]],T_USD_EUR[Fecha],1),0),1)</f>
        <v>1</v>
      </c>
      <c r="G283" t="str" cm="1">
        <f t="array" ref="G283">INDEX(T_Elementos[Divisa],MATCH(T_Saldo[[#This Row],[Producto]],T_Elementos[Producto],0),0)</f>
        <v>EUR</v>
      </c>
      <c r="H2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3" t="str">
        <f>T_Saldo[[#This Row],[Producto]] &amp; "-" &amp; DATE(YEAR(T_Saldo[[#This Row],[Fecha]]),MONTH(T_Saldo[[#This Row],[Fecha]]),DAY(T_Saldo[[#This Row],[Fecha]]))</f>
        <v>Bonos-44439</v>
      </c>
    </row>
    <row r="284" spans="1:10" x14ac:dyDescent="0.45">
      <c r="A284" s="15">
        <v>44439</v>
      </c>
      <c r="B284" t="s">
        <v>155</v>
      </c>
      <c r="C284">
        <f>T_Saldo[[#This Row],[Valor liquidativo]]*T_Saldo[[#This Row],[Participaciones]]</f>
        <v>19955.424985000001</v>
      </c>
      <c r="D284" s="11">
        <f>T_Saldo[[#This Row],[Valor liquidativo (Moneda Extranjera)]]/T_Saldo[[#This Row],[Cambio]]</f>
        <v>39910.849970000003</v>
      </c>
      <c r="E284" s="13">
        <f>IF(ISERROR(MATCH(T_Saldo[[#This Row],[Producto]],T_Stocks[Ticker],0)),1,INDEX(T_Stocks[Close],MATCH(T_Saldo[[#This Row],[ID - Product - Fecha]],T_Stocks[ID],1),1))</f>
        <v>39910.849970000003</v>
      </c>
      <c r="F284" cm="1">
        <f t="array" ref="F284">IF(T_Saldo[[#This Row],[Divisa]]="USD",INDEX(T_USD_EUR[EURUSD],MATCH(T_Saldo[[#This Row],[Fecha]],T_USD_EUR[Fecha],1),0),1)</f>
        <v>1</v>
      </c>
      <c r="G284" t="str" cm="1">
        <f t="array" ref="G284">INDEX(T_Elementos[Divisa],MATCH(T_Saldo[[#This Row],[Producto]],T_Elementos[Producto],0),0)</f>
        <v>EUR</v>
      </c>
      <c r="H2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84" t="str">
        <f>T_Saldo[[#This Row],[Producto]] &amp; "-" &amp; DATE(YEAR(T_Saldo[[#This Row],[Fecha]]),MONTH(T_Saldo[[#This Row],[Fecha]]),DAY(T_Saldo[[#This Row],[Fecha]]))</f>
        <v>BTCEUR-44439</v>
      </c>
    </row>
    <row r="285" spans="1:10" x14ac:dyDescent="0.45">
      <c r="A285" s="15">
        <v>44439</v>
      </c>
      <c r="B285" t="s">
        <v>46</v>
      </c>
      <c r="C285">
        <f>T_Saldo[[#This Row],[Valor liquidativo]]*T_Saldo[[#This Row],[Participaciones]]</f>
        <v>20987.279999999999</v>
      </c>
      <c r="D285" s="11">
        <f>T_Saldo[[#This Row],[Valor liquidativo (Moneda Extranjera)]]/T_Saldo[[#This Row],[Cambio]]</f>
        <v>1</v>
      </c>
      <c r="E285" s="13">
        <f>IF(ISERROR(MATCH(T_Saldo[[#This Row],[Producto]],T_Stocks[Ticker],0)),1,INDEX(T_Stocks[Close],MATCH(T_Saldo[[#This Row],[ID - Product - Fecha]],T_Stocks[ID],1),1))</f>
        <v>1</v>
      </c>
      <c r="F285" cm="1">
        <f t="array" ref="F285">IF(T_Saldo[[#This Row],[Divisa]]="USD",INDEX(T_USD_EUR[EURUSD],MATCH(T_Saldo[[#This Row],[Fecha]],T_USD_EUR[Fecha],1),0),1)</f>
        <v>1</v>
      </c>
      <c r="G285" t="str" cm="1">
        <f t="array" ref="G285">INDEX(T_Elementos[Divisa],MATCH(T_Saldo[[#This Row],[Producto]],T_Elementos[Producto],0),0)</f>
        <v>EUR</v>
      </c>
      <c r="H2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20987.279999999999</v>
      </c>
      <c r="J285" t="str">
        <f>T_Saldo[[#This Row],[Producto]] &amp; "-" &amp; DATE(YEAR(T_Saldo[[#This Row],[Fecha]]),MONTH(T_Saldo[[#This Row],[Fecha]]),DAY(T_Saldo[[#This Row],[Fecha]]))</f>
        <v>CA 1-44439</v>
      </c>
    </row>
    <row r="286" spans="1:10" x14ac:dyDescent="0.45">
      <c r="A286" s="15">
        <v>44439</v>
      </c>
      <c r="B286" t="s">
        <v>10</v>
      </c>
      <c r="C286">
        <f>T_Saldo[[#This Row],[Valor liquidativo]]*T_Saldo[[#This Row],[Participaciones]]</f>
        <v>15985.879999999997</v>
      </c>
      <c r="D286" s="11">
        <f>T_Saldo[[#This Row],[Valor liquidativo (Moneda Extranjera)]]/T_Saldo[[#This Row],[Cambio]]</f>
        <v>1</v>
      </c>
      <c r="E286" s="13">
        <f>IF(ISERROR(MATCH(T_Saldo[[#This Row],[Producto]],T_Stocks[Ticker],0)),1,INDEX(T_Stocks[Close],MATCH(T_Saldo[[#This Row],[ID - Product - Fecha]],T_Stocks[ID],1),1))</f>
        <v>1</v>
      </c>
      <c r="F286" cm="1">
        <f t="array" ref="F286">IF(T_Saldo[[#This Row],[Divisa]]="USD",INDEX(T_USD_EUR[EURUSD],MATCH(T_Saldo[[#This Row],[Fecha]],T_USD_EUR[Fecha],1),0),1)</f>
        <v>1</v>
      </c>
      <c r="G286" t="str" cm="1">
        <f t="array" ref="G286">INDEX(T_Elementos[Divisa],MATCH(T_Saldo[[#This Row],[Producto]],T_Elementos[Producto],0),0)</f>
        <v>EUR</v>
      </c>
      <c r="H2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15985.879999999997</v>
      </c>
      <c r="J286" t="str">
        <f>T_Saldo[[#This Row],[Producto]] &amp; "-" &amp; DATE(YEAR(T_Saldo[[#This Row],[Fecha]]),MONTH(T_Saldo[[#This Row],[Fecha]]),DAY(T_Saldo[[#This Row],[Fecha]]))</f>
        <v>CC 1-44439</v>
      </c>
    </row>
    <row r="287" spans="1:10" x14ac:dyDescent="0.45">
      <c r="A287" s="15">
        <v>44439</v>
      </c>
      <c r="B287" t="s">
        <v>49</v>
      </c>
      <c r="C287">
        <f>T_Saldo[[#This Row],[Valor liquidativo]]*T_Saldo[[#This Row],[Participaciones]]</f>
        <v>19484.460000000006</v>
      </c>
      <c r="D287" s="11">
        <f>T_Saldo[[#This Row],[Valor liquidativo (Moneda Extranjera)]]/T_Saldo[[#This Row],[Cambio]]</f>
        <v>1</v>
      </c>
      <c r="E287" s="13">
        <f>IF(ISERROR(MATCH(T_Saldo[[#This Row],[Producto]],T_Stocks[Ticker],0)),1,INDEX(T_Stocks[Close],MATCH(T_Saldo[[#This Row],[ID - Product - Fecha]],T_Stocks[ID],1),1))</f>
        <v>1</v>
      </c>
      <c r="F287" cm="1">
        <f t="array" ref="F287">IF(T_Saldo[[#This Row],[Divisa]]="USD",INDEX(T_USD_EUR[EURUSD],MATCH(T_Saldo[[#This Row],[Fecha]],T_USD_EUR[Fecha],1),0),1)</f>
        <v>1</v>
      </c>
      <c r="G287" t="str" cm="1">
        <f t="array" ref="G287">INDEX(T_Elementos[Divisa],MATCH(T_Saldo[[#This Row],[Producto]],T_Elementos[Producto],0),0)</f>
        <v>EUR</v>
      </c>
      <c r="H2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19484.460000000006</v>
      </c>
      <c r="J287" t="str">
        <f>T_Saldo[[#This Row],[Producto]] &amp; "-" &amp; DATE(YEAR(T_Saldo[[#This Row],[Fecha]]),MONTH(T_Saldo[[#This Row],[Fecha]]),DAY(T_Saldo[[#This Row],[Fecha]]))</f>
        <v>CC 2-44439</v>
      </c>
    </row>
    <row r="288" spans="1:10" x14ac:dyDescent="0.45">
      <c r="A288" s="15">
        <v>44439</v>
      </c>
      <c r="B288" t="s">
        <v>41</v>
      </c>
      <c r="C288">
        <f>T_Saldo[[#This Row],[Valor liquidativo]]*T_Saldo[[#This Row],[Participaciones]]</f>
        <v>2556.0179599999997</v>
      </c>
      <c r="D288" s="11">
        <f>T_Saldo[[#This Row],[Valor liquidativo (Moneda Extranjera)]]/T_Saldo[[#This Row],[Cambio]]</f>
        <v>255.60179599999998</v>
      </c>
      <c r="E288" s="13">
        <f>IF(ISERROR(MATCH(T_Saldo[[#This Row],[Producto]],T_Stocks[Ticker],0)),1,INDEX(T_Stocks[Close],MATCH(T_Saldo[[#This Row],[ID - Product - Fecha]],T_Stocks[ID],1),1))</f>
        <v>301.88</v>
      </c>
      <c r="F288" cm="1">
        <f t="array" ref="F288">IF(T_Saldo[[#This Row],[Divisa]]="USD",INDEX(T_USD_EUR[EURUSD],MATCH(T_Saldo[[#This Row],[Fecha]],T_USD_EUR[Fecha],1),0),1)</f>
        <v>1.1810558639423645</v>
      </c>
      <c r="G288" t="str" cm="1">
        <f t="array" ref="G288">INDEX(T_Elementos[Divisa],MATCH(T_Saldo[[#This Row],[Producto]],T_Elementos[Producto],0),0)</f>
        <v>USD</v>
      </c>
      <c r="H2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288" t="str">
        <f>T_Saldo[[#This Row],[Producto]] &amp; "-" &amp; DATE(YEAR(T_Saldo[[#This Row],[Fecha]]),MONTH(T_Saldo[[#This Row],[Fecha]]),DAY(T_Saldo[[#This Row],[Fecha]]))</f>
        <v>MSFT-44439</v>
      </c>
    </row>
    <row r="289" spans="1:10" x14ac:dyDescent="0.45">
      <c r="A289" s="15">
        <v>44439</v>
      </c>
      <c r="B289" t="s">
        <v>51</v>
      </c>
      <c r="C289">
        <f>T_Saldo[[#This Row],[Valor liquidativo]]*T_Saldo[[#This Row],[Participaciones]]</f>
        <v>0</v>
      </c>
      <c r="D289" s="11">
        <f>T_Saldo[[#This Row],[Valor liquidativo (Moneda Extranjera)]]/T_Saldo[[#This Row],[Cambio]]</f>
        <v>97.395900999999995</v>
      </c>
      <c r="E289" s="13">
        <f>IF(ISERROR(MATCH(T_Saldo[[#This Row],[Producto]],T_Stocks[Ticker],0)),1,INDEX(T_Stocks[Close],MATCH(T_Saldo[[#This Row],[ID - Product - Fecha]],T_Stocks[ID],1),1))</f>
        <v>115.03</v>
      </c>
      <c r="F289" cm="1">
        <f t="array" ref="F289">IF(T_Saldo[[#This Row],[Divisa]]="USD",INDEX(T_USD_EUR[EURUSD],MATCH(T_Saldo[[#This Row],[Fecha]],T_USD_EUR[Fecha],1),0),1)</f>
        <v>1.1810558639423645</v>
      </c>
      <c r="G289" t="str" cm="1">
        <f t="array" ref="G289">INDEX(T_Elementos[Divisa],MATCH(T_Saldo[[#This Row],[Producto]],T_Elementos[Producto],0),0)</f>
        <v>USD</v>
      </c>
      <c r="H2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89" t="str">
        <f>T_Saldo[[#This Row],[Producto]] &amp; "-" &amp; DATE(YEAR(T_Saldo[[#This Row],[Fecha]]),MONTH(T_Saldo[[#This Row],[Fecha]]),DAY(T_Saldo[[#This Row],[Fecha]]))</f>
        <v>PRHSX-44439</v>
      </c>
    </row>
    <row r="290" spans="1:10" x14ac:dyDescent="0.45">
      <c r="A290" s="15">
        <v>44439</v>
      </c>
      <c r="B290" t="s">
        <v>32</v>
      </c>
      <c r="C290">
        <f>T_Saldo[[#This Row],[Valor liquidativo]]*T_Saldo[[#This Row],[Participaciones]]</f>
        <v>0</v>
      </c>
      <c r="D290" s="11">
        <f>T_Saldo[[#This Row],[Valor liquidativo (Moneda Extranjera)]]/T_Saldo[[#This Row],[Cambio]]</f>
        <v>96.108917000000005</v>
      </c>
      <c r="E290" s="13">
        <f>IF(ISERROR(MATCH(T_Saldo[[#This Row],[Producto]],T_Stocks[Ticker],0)),1,INDEX(T_Stocks[Close],MATCH(T_Saldo[[#This Row],[ID - Product - Fecha]],T_Stocks[ID],1),1))</f>
        <v>113.51</v>
      </c>
      <c r="F290" cm="1">
        <f t="array" ref="F290">IF(T_Saldo[[#This Row],[Divisa]]="USD",INDEX(T_USD_EUR[EURUSD],MATCH(T_Saldo[[#This Row],[Fecha]],T_USD_EUR[Fecha],1),0),1)</f>
        <v>1.1810558639423645</v>
      </c>
      <c r="G290" t="str" cm="1">
        <f t="array" ref="G290">INDEX(T_Elementos[Divisa],MATCH(T_Saldo[[#This Row],[Producto]],T_Elementos[Producto],0),0)</f>
        <v>USD</v>
      </c>
      <c r="H2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0" t="str">
        <f>T_Saldo[[#This Row],[Producto]] &amp; "-" &amp; DATE(YEAR(T_Saldo[[#This Row],[Fecha]]),MONTH(T_Saldo[[#This Row],[Fecha]]),DAY(T_Saldo[[#This Row],[Fecha]]))</f>
        <v>VTSAX-44439</v>
      </c>
    </row>
    <row r="291" spans="1:10" x14ac:dyDescent="0.45">
      <c r="A291" s="15">
        <v>44469</v>
      </c>
      <c r="B291" t="s">
        <v>38</v>
      </c>
      <c r="C291">
        <f>T_Saldo[[#This Row],[Valor liquidativo]]*T_Saldo[[#This Row],[Participaciones]]</f>
        <v>0</v>
      </c>
      <c r="D291" s="11">
        <f>T_Saldo[[#This Row],[Valor liquidativo (Moneda Extranjera)]]/T_Saldo[[#This Row],[Cambio]]</f>
        <v>122.14279999999999</v>
      </c>
      <c r="E291" s="13">
        <f>IF(ISERROR(MATCH(T_Saldo[[#This Row],[Producto]],T_Stocks[Ticker],0)),1,INDEX(T_Stocks[Close],MATCH(T_Saldo[[#This Row],[ID - Product - Fecha]],T_Stocks[ID],1),1))</f>
        <v>141.5</v>
      </c>
      <c r="F291" cm="1">
        <f t="array" ref="F291">IF(T_Saldo[[#This Row],[Divisa]]="USD",INDEX(T_USD_EUR[EURUSD],MATCH(T_Saldo[[#This Row],[Fecha]],T_USD_EUR[Fecha],1),0),1)</f>
        <v>1.1584800741427248</v>
      </c>
      <c r="G291" t="str" cm="1">
        <f t="array" ref="G291">INDEX(T_Elementos[Divisa],MATCH(T_Saldo[[#This Row],[Producto]],T_Elementos[Producto],0),0)</f>
        <v>USD</v>
      </c>
      <c r="H2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1" t="str">
        <f>T_Saldo[[#This Row],[Producto]] &amp; "-" &amp; DATE(YEAR(T_Saldo[[#This Row],[Fecha]]),MONTH(T_Saldo[[#This Row],[Fecha]]),DAY(T_Saldo[[#This Row],[Fecha]]))</f>
        <v>AAPL-44469</v>
      </c>
    </row>
    <row r="292" spans="1:10" x14ac:dyDescent="0.45">
      <c r="A292" s="15">
        <v>44469</v>
      </c>
      <c r="B292" t="s">
        <v>43</v>
      </c>
      <c r="C292">
        <f>T_Saldo[[#This Row],[Valor liquidativo]]*T_Saldo[[#This Row],[Participaciones]]</f>
        <v>0</v>
      </c>
      <c r="D292" s="11">
        <f>T_Saldo[[#This Row],[Valor liquidativo (Moneda Extranjera)]]/T_Saldo[[#This Row],[Cambio]]</f>
        <v>250.42</v>
      </c>
      <c r="E292" s="13">
        <f>IF(ISERROR(MATCH(T_Saldo[[#This Row],[Producto]],T_Stocks[Ticker],0)),1,INDEX(T_Stocks[Close],MATCH(T_Saldo[[#This Row],[ID - Product - Fecha]],T_Stocks[ID],1),1))</f>
        <v>250.42</v>
      </c>
      <c r="F292" cm="1">
        <f t="array" ref="F292">IF(T_Saldo[[#This Row],[Divisa]]="USD",INDEX(T_USD_EUR[EURUSD],MATCH(T_Saldo[[#This Row],[Fecha]],T_USD_EUR[Fecha],1),0),1)</f>
        <v>1</v>
      </c>
      <c r="G292" t="str" cm="1">
        <f t="array" ref="G292">INDEX(T_Elementos[Divisa],MATCH(T_Saldo[[#This Row],[Producto]],T_Elementos[Producto],0),0)</f>
        <v>EUR</v>
      </c>
      <c r="H2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2" t="str">
        <f>T_Saldo[[#This Row],[Producto]] &amp; "-" &amp; DATE(YEAR(T_Saldo[[#This Row],[Fecha]]),MONTH(T_Saldo[[#This Row],[Fecha]]),DAY(T_Saldo[[#This Row],[Fecha]]))</f>
        <v>Bonos-44469</v>
      </c>
    </row>
    <row r="293" spans="1:10" x14ac:dyDescent="0.45">
      <c r="A293" s="15">
        <v>44469</v>
      </c>
      <c r="B293" t="s">
        <v>155</v>
      </c>
      <c r="C293">
        <f>T_Saldo[[#This Row],[Valor liquidativo]]*T_Saldo[[#This Row],[Participaciones]]</f>
        <v>18915.776454999999</v>
      </c>
      <c r="D293" s="11">
        <f>T_Saldo[[#This Row],[Valor liquidativo (Moneda Extranjera)]]/T_Saldo[[#This Row],[Cambio]]</f>
        <v>37831.552909999999</v>
      </c>
      <c r="E293" s="13">
        <f>IF(ISERROR(MATCH(T_Saldo[[#This Row],[Producto]],T_Stocks[Ticker],0)),1,INDEX(T_Stocks[Close],MATCH(T_Saldo[[#This Row],[ID - Product - Fecha]],T_Stocks[ID],1),1))</f>
        <v>37831.552909999999</v>
      </c>
      <c r="F293" cm="1">
        <f t="array" ref="F293">IF(T_Saldo[[#This Row],[Divisa]]="USD",INDEX(T_USD_EUR[EURUSD],MATCH(T_Saldo[[#This Row],[Fecha]],T_USD_EUR[Fecha],1),0),1)</f>
        <v>1</v>
      </c>
      <c r="G293" t="str" cm="1">
        <f t="array" ref="G293">INDEX(T_Elementos[Divisa],MATCH(T_Saldo[[#This Row],[Producto]],T_Elementos[Producto],0),0)</f>
        <v>EUR</v>
      </c>
      <c r="H2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293" t="str">
        <f>T_Saldo[[#This Row],[Producto]] &amp; "-" &amp; DATE(YEAR(T_Saldo[[#This Row],[Fecha]]),MONTH(T_Saldo[[#This Row],[Fecha]]),DAY(T_Saldo[[#This Row],[Fecha]]))</f>
        <v>BTCEUR-44469</v>
      </c>
    </row>
    <row r="294" spans="1:10" x14ac:dyDescent="0.45">
      <c r="A294" s="15">
        <v>44469</v>
      </c>
      <c r="B294" t="s">
        <v>46</v>
      </c>
      <c r="C294">
        <f>T_Saldo[[#This Row],[Valor liquidativo]]*T_Saldo[[#This Row],[Participaciones]]</f>
        <v>25519.08</v>
      </c>
      <c r="D294" s="11">
        <f>T_Saldo[[#This Row],[Valor liquidativo (Moneda Extranjera)]]/T_Saldo[[#This Row],[Cambio]]</f>
        <v>1</v>
      </c>
      <c r="E294" s="13">
        <f>IF(ISERROR(MATCH(T_Saldo[[#This Row],[Producto]],T_Stocks[Ticker],0)),1,INDEX(T_Stocks[Close],MATCH(T_Saldo[[#This Row],[ID - Product - Fecha]],T_Stocks[ID],1),1))</f>
        <v>1</v>
      </c>
      <c r="F294" cm="1">
        <f t="array" ref="F294">IF(T_Saldo[[#This Row],[Divisa]]="USD",INDEX(T_USD_EUR[EURUSD],MATCH(T_Saldo[[#This Row],[Fecha]],T_USD_EUR[Fecha],1),0),1)</f>
        <v>1</v>
      </c>
      <c r="G294" t="str" cm="1">
        <f t="array" ref="G294">INDEX(T_Elementos[Divisa],MATCH(T_Saldo[[#This Row],[Producto]],T_Elementos[Producto],0),0)</f>
        <v>EUR</v>
      </c>
      <c r="H2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25519.08</v>
      </c>
      <c r="J294" t="str">
        <f>T_Saldo[[#This Row],[Producto]] &amp; "-" &amp; DATE(YEAR(T_Saldo[[#This Row],[Fecha]]),MONTH(T_Saldo[[#This Row],[Fecha]]),DAY(T_Saldo[[#This Row],[Fecha]]))</f>
        <v>CA 1-44469</v>
      </c>
    </row>
    <row r="295" spans="1:10" x14ac:dyDescent="0.45">
      <c r="A295" s="15">
        <v>44469</v>
      </c>
      <c r="B295" t="s">
        <v>10</v>
      </c>
      <c r="C295">
        <f>T_Saldo[[#This Row],[Valor liquidativo]]*T_Saldo[[#This Row],[Participaciones]]</f>
        <v>15871.769999999997</v>
      </c>
      <c r="D295" s="11">
        <f>T_Saldo[[#This Row],[Valor liquidativo (Moneda Extranjera)]]/T_Saldo[[#This Row],[Cambio]]</f>
        <v>1</v>
      </c>
      <c r="E295" s="13">
        <f>IF(ISERROR(MATCH(T_Saldo[[#This Row],[Producto]],T_Stocks[Ticker],0)),1,INDEX(T_Stocks[Close],MATCH(T_Saldo[[#This Row],[ID - Product - Fecha]],T_Stocks[ID],1),1))</f>
        <v>1</v>
      </c>
      <c r="F295" cm="1">
        <f t="array" ref="F295">IF(T_Saldo[[#This Row],[Divisa]]="USD",INDEX(T_USD_EUR[EURUSD],MATCH(T_Saldo[[#This Row],[Fecha]],T_USD_EUR[Fecha],1),0),1)</f>
        <v>1</v>
      </c>
      <c r="G295" t="str" cm="1">
        <f t="array" ref="G295">INDEX(T_Elementos[Divisa],MATCH(T_Saldo[[#This Row],[Producto]],T_Elementos[Producto],0),0)</f>
        <v>EUR</v>
      </c>
      <c r="H2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15871.769999999997</v>
      </c>
      <c r="J295" t="str">
        <f>T_Saldo[[#This Row],[Producto]] &amp; "-" &amp; DATE(YEAR(T_Saldo[[#This Row],[Fecha]]),MONTH(T_Saldo[[#This Row],[Fecha]]),DAY(T_Saldo[[#This Row],[Fecha]]))</f>
        <v>CC 1-44469</v>
      </c>
    </row>
    <row r="296" spans="1:10" x14ac:dyDescent="0.45">
      <c r="A296" s="15">
        <v>44469</v>
      </c>
      <c r="B296" t="s">
        <v>49</v>
      </c>
      <c r="C296">
        <f>T_Saldo[[#This Row],[Valor liquidativo]]*T_Saldo[[#This Row],[Participaciones]]</f>
        <v>19157.700000000004</v>
      </c>
      <c r="D296" s="11">
        <f>T_Saldo[[#This Row],[Valor liquidativo (Moneda Extranjera)]]/T_Saldo[[#This Row],[Cambio]]</f>
        <v>1</v>
      </c>
      <c r="E296" s="13">
        <f>IF(ISERROR(MATCH(T_Saldo[[#This Row],[Producto]],T_Stocks[Ticker],0)),1,INDEX(T_Stocks[Close],MATCH(T_Saldo[[#This Row],[ID - Product - Fecha]],T_Stocks[ID],1),1))</f>
        <v>1</v>
      </c>
      <c r="F296" cm="1">
        <f t="array" ref="F296">IF(T_Saldo[[#This Row],[Divisa]]="USD",INDEX(T_USD_EUR[EURUSD],MATCH(T_Saldo[[#This Row],[Fecha]],T_USD_EUR[Fecha],1),0),1)</f>
        <v>1</v>
      </c>
      <c r="G296" t="str" cm="1">
        <f t="array" ref="G296">INDEX(T_Elementos[Divisa],MATCH(T_Saldo[[#This Row],[Producto]],T_Elementos[Producto],0),0)</f>
        <v>EUR</v>
      </c>
      <c r="H2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19157.700000000004</v>
      </c>
      <c r="J296" t="str">
        <f>T_Saldo[[#This Row],[Producto]] &amp; "-" &amp; DATE(YEAR(T_Saldo[[#This Row],[Fecha]]),MONTH(T_Saldo[[#This Row],[Fecha]]),DAY(T_Saldo[[#This Row],[Fecha]]))</f>
        <v>CC 2-44469</v>
      </c>
    </row>
    <row r="297" spans="1:10" x14ac:dyDescent="0.45">
      <c r="A297" s="15">
        <v>44469</v>
      </c>
      <c r="B297" t="s">
        <v>41</v>
      </c>
      <c r="C297">
        <f>T_Saldo[[#This Row],[Valor liquidativo]]*T_Saldo[[#This Row],[Participaciones]]</f>
        <v>2433.5334400000002</v>
      </c>
      <c r="D297" s="11">
        <f>T_Saldo[[#This Row],[Valor liquidativo (Moneda Extranjera)]]/T_Saldo[[#This Row],[Cambio]]</f>
        <v>243.35334399999999</v>
      </c>
      <c r="E297" s="13">
        <f>IF(ISERROR(MATCH(T_Saldo[[#This Row],[Producto]],T_Stocks[Ticker],0)),1,INDEX(T_Stocks[Close],MATCH(T_Saldo[[#This Row],[ID - Product - Fecha]],T_Stocks[ID],1),1))</f>
        <v>281.92</v>
      </c>
      <c r="F297" cm="1">
        <f t="array" ref="F297">IF(T_Saldo[[#This Row],[Divisa]]="USD",INDEX(T_USD_EUR[EURUSD],MATCH(T_Saldo[[#This Row],[Fecha]],T_USD_EUR[Fecha],1),0),1)</f>
        <v>1.1584800741427248</v>
      </c>
      <c r="G297" t="str" cm="1">
        <f t="array" ref="G297">INDEX(T_Elementos[Divisa],MATCH(T_Saldo[[#This Row],[Producto]],T_Elementos[Producto],0),0)</f>
        <v>USD</v>
      </c>
      <c r="H2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297" t="str">
        <f>T_Saldo[[#This Row],[Producto]] &amp; "-" &amp; DATE(YEAR(T_Saldo[[#This Row],[Fecha]]),MONTH(T_Saldo[[#This Row],[Fecha]]),DAY(T_Saldo[[#This Row],[Fecha]]))</f>
        <v>MSFT-44469</v>
      </c>
    </row>
    <row r="298" spans="1:10" x14ac:dyDescent="0.45">
      <c r="A298" s="15">
        <v>44469</v>
      </c>
      <c r="B298" t="s">
        <v>51</v>
      </c>
      <c r="C298">
        <f>T_Saldo[[#This Row],[Valor liquidativo]]*T_Saldo[[#This Row],[Participaciones]]</f>
        <v>0</v>
      </c>
      <c r="D298" s="11">
        <f>T_Saldo[[#This Row],[Valor liquidativo (Moneda Extranjera)]]/T_Saldo[[#This Row],[Cambio]]</f>
        <v>94.667143999999993</v>
      </c>
      <c r="E298" s="13">
        <f>IF(ISERROR(MATCH(T_Saldo[[#This Row],[Producto]],T_Stocks[Ticker],0)),1,INDEX(T_Stocks[Close],MATCH(T_Saldo[[#This Row],[ID - Product - Fecha]],T_Stocks[ID],1),1))</f>
        <v>109.67</v>
      </c>
      <c r="F298" cm="1">
        <f t="array" ref="F298">IF(T_Saldo[[#This Row],[Divisa]]="USD",INDEX(T_USD_EUR[EURUSD],MATCH(T_Saldo[[#This Row],[Fecha]],T_USD_EUR[Fecha],1),0),1)</f>
        <v>1.1584800741427248</v>
      </c>
      <c r="G298" t="str" cm="1">
        <f t="array" ref="G298">INDEX(T_Elementos[Divisa],MATCH(T_Saldo[[#This Row],[Producto]],T_Elementos[Producto],0),0)</f>
        <v>USD</v>
      </c>
      <c r="H2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8" t="str">
        <f>T_Saldo[[#This Row],[Producto]] &amp; "-" &amp; DATE(YEAR(T_Saldo[[#This Row],[Fecha]]),MONTH(T_Saldo[[#This Row],[Fecha]]),DAY(T_Saldo[[#This Row],[Fecha]]))</f>
        <v>PRHSX-44469</v>
      </c>
    </row>
    <row r="299" spans="1:10" x14ac:dyDescent="0.45">
      <c r="A299" s="15">
        <v>44469</v>
      </c>
      <c r="B299" t="s">
        <v>32</v>
      </c>
      <c r="C299">
        <f>T_Saldo[[#This Row],[Valor liquidativo]]*T_Saldo[[#This Row],[Participaciones]]</f>
        <v>0</v>
      </c>
      <c r="D299" s="11">
        <f>T_Saldo[[#This Row],[Valor liquidativo (Moneda Extranjera)]]/T_Saldo[[#This Row],[Cambio]]</f>
        <v>93.294655999999989</v>
      </c>
      <c r="E299" s="13">
        <f>IF(ISERROR(MATCH(T_Saldo[[#This Row],[Producto]],T_Stocks[Ticker],0)),1,INDEX(T_Stocks[Close],MATCH(T_Saldo[[#This Row],[ID - Product - Fecha]],T_Stocks[ID],1),1))</f>
        <v>108.08</v>
      </c>
      <c r="F299" cm="1">
        <f t="array" ref="F299">IF(T_Saldo[[#This Row],[Divisa]]="USD",INDEX(T_USD_EUR[EURUSD],MATCH(T_Saldo[[#This Row],[Fecha]],T_USD_EUR[Fecha],1),0),1)</f>
        <v>1.1584800741427248</v>
      </c>
      <c r="G299" t="str" cm="1">
        <f t="array" ref="G299">INDEX(T_Elementos[Divisa],MATCH(T_Saldo[[#This Row],[Producto]],T_Elementos[Producto],0),0)</f>
        <v>USD</v>
      </c>
      <c r="H2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299" t="str">
        <f>T_Saldo[[#This Row],[Producto]] &amp; "-" &amp; DATE(YEAR(T_Saldo[[#This Row],[Fecha]]),MONTH(T_Saldo[[#This Row],[Fecha]]),DAY(T_Saldo[[#This Row],[Fecha]]))</f>
        <v>VTSAX-44469</v>
      </c>
    </row>
    <row r="300" spans="1:10" x14ac:dyDescent="0.45">
      <c r="A300" s="15">
        <v>44500</v>
      </c>
      <c r="B300" t="s">
        <v>38</v>
      </c>
      <c r="C300">
        <f>T_Saldo[[#This Row],[Valor liquidativo]]*T_Saldo[[#This Row],[Participaciones]]</f>
        <v>0</v>
      </c>
      <c r="D300" s="11">
        <f>T_Saldo[[#This Row],[Valor liquidativo (Moneda Extranjera)]]/T_Saldo[[#This Row],[Cambio]]</f>
        <v>129.53206000000003</v>
      </c>
      <c r="E300" s="13">
        <f>IF(ISERROR(MATCH(T_Saldo[[#This Row],[Producto]],T_Stocks[Ticker],0)),1,INDEX(T_Stocks[Close],MATCH(T_Saldo[[#This Row],[ID - Product - Fecha]],T_Stocks[ID],1),1))</f>
        <v>149.80000000000001</v>
      </c>
      <c r="F300" cm="1">
        <f t="array" ref="F300">IF(T_Saldo[[#This Row],[Divisa]]="USD",INDEX(T_USD_EUR[EURUSD],MATCH(T_Saldo[[#This Row],[Fecha]],T_USD_EUR[Fecha],1),0),1)</f>
        <v>1.1564704521799467</v>
      </c>
      <c r="G300" t="str" cm="1">
        <f t="array" ref="G300">INDEX(T_Elementos[Divisa],MATCH(T_Saldo[[#This Row],[Producto]],T_Elementos[Producto],0),0)</f>
        <v>USD</v>
      </c>
      <c r="H3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00" t="str">
        <f>T_Saldo[[#This Row],[Producto]] &amp; "-" &amp; DATE(YEAR(T_Saldo[[#This Row],[Fecha]]),MONTH(T_Saldo[[#This Row],[Fecha]]),DAY(T_Saldo[[#This Row],[Fecha]]))</f>
        <v>AAPL-44500</v>
      </c>
    </row>
    <row r="301" spans="1:10" x14ac:dyDescent="0.45">
      <c r="A301" s="15">
        <v>44500</v>
      </c>
      <c r="B301" t="s">
        <v>43</v>
      </c>
      <c r="C301">
        <f>T_Saldo[[#This Row],[Valor liquidativo]]*T_Saldo[[#This Row],[Participaciones]]</f>
        <v>0</v>
      </c>
      <c r="D301" s="11">
        <f>T_Saldo[[#This Row],[Valor liquidativo (Moneda Extranjera)]]/T_Saldo[[#This Row],[Cambio]]</f>
        <v>250.42</v>
      </c>
      <c r="E301" s="13">
        <f>IF(ISERROR(MATCH(T_Saldo[[#This Row],[Producto]],T_Stocks[Ticker],0)),1,INDEX(T_Stocks[Close],MATCH(T_Saldo[[#This Row],[ID - Product - Fecha]],T_Stocks[ID],1),1))</f>
        <v>250.42</v>
      </c>
      <c r="F301" cm="1">
        <f t="array" ref="F301">IF(T_Saldo[[#This Row],[Divisa]]="USD",INDEX(T_USD_EUR[EURUSD],MATCH(T_Saldo[[#This Row],[Fecha]],T_USD_EUR[Fecha],1),0),1)</f>
        <v>1</v>
      </c>
      <c r="G301" t="str" cm="1">
        <f t="array" ref="G301">INDEX(T_Elementos[Divisa],MATCH(T_Saldo[[#This Row],[Producto]],T_Elementos[Producto],0),0)</f>
        <v>EUR</v>
      </c>
      <c r="H3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01" t="str">
        <f>T_Saldo[[#This Row],[Producto]] &amp; "-" &amp; DATE(YEAR(T_Saldo[[#This Row],[Fecha]]),MONTH(T_Saldo[[#This Row],[Fecha]]),DAY(T_Saldo[[#This Row],[Fecha]]))</f>
        <v>Bonos-44500</v>
      </c>
    </row>
    <row r="302" spans="1:10" x14ac:dyDescent="0.45">
      <c r="A302" s="15">
        <v>44500</v>
      </c>
      <c r="B302" t="s">
        <v>155</v>
      </c>
      <c r="C302">
        <f>T_Saldo[[#This Row],[Valor liquidativo]]*T_Saldo[[#This Row],[Participaciones]]</f>
        <v>26539.036544999999</v>
      </c>
      <c r="D302" s="11">
        <f>T_Saldo[[#This Row],[Valor liquidativo (Moneda Extranjera)]]/T_Saldo[[#This Row],[Cambio]]</f>
        <v>53078.073089999998</v>
      </c>
      <c r="E302" s="13">
        <f>IF(ISERROR(MATCH(T_Saldo[[#This Row],[Producto]],T_Stocks[Ticker],0)),1,INDEX(T_Stocks[Close],MATCH(T_Saldo[[#This Row],[ID - Product - Fecha]],T_Stocks[ID],1),1))</f>
        <v>53078.073089999998</v>
      </c>
      <c r="F302" cm="1">
        <f t="array" ref="F302">IF(T_Saldo[[#This Row],[Divisa]]="USD",INDEX(T_USD_EUR[EURUSD],MATCH(T_Saldo[[#This Row],[Fecha]],T_USD_EUR[Fecha],1),0),1)</f>
        <v>1</v>
      </c>
      <c r="G302" t="str" cm="1">
        <f t="array" ref="G302">INDEX(T_Elementos[Divisa],MATCH(T_Saldo[[#This Row],[Producto]],T_Elementos[Producto],0),0)</f>
        <v>EUR</v>
      </c>
      <c r="H3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0.5</v>
      </c>
      <c r="J302" t="str">
        <f>T_Saldo[[#This Row],[Producto]] &amp; "-" &amp; DATE(YEAR(T_Saldo[[#This Row],[Fecha]]),MONTH(T_Saldo[[#This Row],[Fecha]]),DAY(T_Saldo[[#This Row],[Fecha]]))</f>
        <v>BTCEUR-44500</v>
      </c>
    </row>
    <row r="303" spans="1:10" x14ac:dyDescent="0.45">
      <c r="A303" s="15">
        <v>44500</v>
      </c>
      <c r="B303" t="s">
        <v>46</v>
      </c>
      <c r="C303">
        <f>T_Saldo[[#This Row],[Valor liquidativo]]*T_Saldo[[#This Row],[Participaciones]]</f>
        <v>28231.199999999997</v>
      </c>
      <c r="D303" s="11">
        <f>T_Saldo[[#This Row],[Valor liquidativo (Moneda Extranjera)]]/T_Saldo[[#This Row],[Cambio]]</f>
        <v>1</v>
      </c>
      <c r="E303" s="13">
        <f>IF(ISERROR(MATCH(T_Saldo[[#This Row],[Producto]],T_Stocks[Ticker],0)),1,INDEX(T_Stocks[Close],MATCH(T_Saldo[[#This Row],[ID - Product - Fecha]],T_Stocks[ID],1),1))</f>
        <v>1</v>
      </c>
      <c r="F303" cm="1">
        <f t="array" ref="F303">IF(T_Saldo[[#This Row],[Divisa]]="USD",INDEX(T_USD_EUR[EURUSD],MATCH(T_Saldo[[#This Row],[Fecha]],T_USD_EUR[Fecha],1),0),1)</f>
        <v>1</v>
      </c>
      <c r="G303" t="str" cm="1">
        <f t="array" ref="G303">INDEX(T_Elementos[Divisa],MATCH(T_Saldo[[#This Row],[Producto]],T_Elementos[Producto],0),0)</f>
        <v>EUR</v>
      </c>
      <c r="H3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28231.199999999997</v>
      </c>
      <c r="J303" t="str">
        <f>T_Saldo[[#This Row],[Producto]] &amp; "-" &amp; DATE(YEAR(T_Saldo[[#This Row],[Fecha]]),MONTH(T_Saldo[[#This Row],[Fecha]]),DAY(T_Saldo[[#This Row],[Fecha]]))</f>
        <v>CA 1-44500</v>
      </c>
    </row>
    <row r="304" spans="1:10" x14ac:dyDescent="0.45">
      <c r="A304" s="15">
        <v>44500</v>
      </c>
      <c r="B304" t="s">
        <v>10</v>
      </c>
      <c r="C304">
        <f>T_Saldo[[#This Row],[Valor liquidativo]]*T_Saldo[[#This Row],[Participaciones]]</f>
        <v>15697.349999999997</v>
      </c>
      <c r="D304" s="11">
        <f>T_Saldo[[#This Row],[Valor liquidativo (Moneda Extranjera)]]/T_Saldo[[#This Row],[Cambio]]</f>
        <v>1</v>
      </c>
      <c r="E304" s="13">
        <f>IF(ISERROR(MATCH(T_Saldo[[#This Row],[Producto]],T_Stocks[Ticker],0)),1,INDEX(T_Stocks[Close],MATCH(T_Saldo[[#This Row],[ID - Product - Fecha]],T_Stocks[ID],1),1))</f>
        <v>1</v>
      </c>
      <c r="F304" cm="1">
        <f t="array" ref="F304">IF(T_Saldo[[#This Row],[Divisa]]="USD",INDEX(T_USD_EUR[EURUSD],MATCH(T_Saldo[[#This Row],[Fecha]],T_USD_EUR[Fecha],1),0),1)</f>
        <v>1</v>
      </c>
      <c r="G304" t="str" cm="1">
        <f t="array" ref="G304">INDEX(T_Elementos[Divisa],MATCH(T_Saldo[[#This Row],[Producto]],T_Elementos[Producto],0),0)</f>
        <v>EUR</v>
      </c>
      <c r="H3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15697.349999999997</v>
      </c>
      <c r="J304" t="str">
        <f>T_Saldo[[#This Row],[Producto]] &amp; "-" &amp; DATE(YEAR(T_Saldo[[#This Row],[Fecha]]),MONTH(T_Saldo[[#This Row],[Fecha]]),DAY(T_Saldo[[#This Row],[Fecha]]))</f>
        <v>CC 1-44500</v>
      </c>
    </row>
    <row r="305" spans="1:10" x14ac:dyDescent="0.45">
      <c r="A305" s="15">
        <v>44500</v>
      </c>
      <c r="B305" t="s">
        <v>49</v>
      </c>
      <c r="C305">
        <f>T_Saldo[[#This Row],[Valor liquidativo]]*T_Saldo[[#This Row],[Participaciones]]</f>
        <v>19090.420000000002</v>
      </c>
      <c r="D305" s="11">
        <f>T_Saldo[[#This Row],[Valor liquidativo (Moneda Extranjera)]]/T_Saldo[[#This Row],[Cambio]]</f>
        <v>1</v>
      </c>
      <c r="E305" s="13">
        <f>IF(ISERROR(MATCH(T_Saldo[[#This Row],[Producto]],T_Stocks[Ticker],0)),1,INDEX(T_Stocks[Close],MATCH(T_Saldo[[#This Row],[ID - Product - Fecha]],T_Stocks[ID],1),1))</f>
        <v>1</v>
      </c>
      <c r="F305" cm="1">
        <f t="array" ref="F305">IF(T_Saldo[[#This Row],[Divisa]]="USD",INDEX(T_USD_EUR[EURUSD],MATCH(T_Saldo[[#This Row],[Fecha]],T_USD_EUR[Fecha],1),0),1)</f>
        <v>1</v>
      </c>
      <c r="G305" t="str" cm="1">
        <f t="array" ref="G305">INDEX(T_Elementos[Divisa],MATCH(T_Saldo[[#This Row],[Producto]],T_Elementos[Producto],0),0)</f>
        <v>EUR</v>
      </c>
      <c r="H3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19090.420000000002</v>
      </c>
      <c r="J305" t="str">
        <f>T_Saldo[[#This Row],[Producto]] &amp; "-" &amp; DATE(YEAR(T_Saldo[[#This Row],[Fecha]]),MONTH(T_Saldo[[#This Row],[Fecha]]),DAY(T_Saldo[[#This Row],[Fecha]]))</f>
        <v>CC 2-44500</v>
      </c>
    </row>
    <row r="306" spans="1:10" x14ac:dyDescent="0.45">
      <c r="A306" s="15">
        <v>44500</v>
      </c>
      <c r="B306" t="s">
        <v>41</v>
      </c>
      <c r="C306">
        <f>T_Saldo[[#This Row],[Valor liquidativo]]*T_Saldo[[#This Row],[Participaciones]]</f>
        <v>2867.5181400000001</v>
      </c>
      <c r="D306" s="11">
        <f>T_Saldo[[#This Row],[Valor liquidativo (Moneda Extranjera)]]/T_Saldo[[#This Row],[Cambio]]</f>
        <v>286.75181400000002</v>
      </c>
      <c r="E306" s="13">
        <f>IF(ISERROR(MATCH(T_Saldo[[#This Row],[Producto]],T_Stocks[Ticker],0)),1,INDEX(T_Stocks[Close],MATCH(T_Saldo[[#This Row],[ID - Product - Fecha]],T_Stocks[ID],1),1))</f>
        <v>331.62</v>
      </c>
      <c r="F306" cm="1">
        <f t="array" ref="F306">IF(T_Saldo[[#This Row],[Divisa]]="USD",INDEX(T_USD_EUR[EURUSD],MATCH(T_Saldo[[#This Row],[Fecha]],T_USD_EUR[Fecha],1),0),1)</f>
        <v>1.1564704521799467</v>
      </c>
      <c r="G306" t="str" cm="1">
        <f t="array" ref="G306">INDEX(T_Elementos[Divisa],MATCH(T_Saldo[[#This Row],[Producto]],T_Elementos[Producto],0),0)</f>
        <v>USD</v>
      </c>
      <c r="H3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06" t="str">
        <f>T_Saldo[[#This Row],[Producto]] &amp; "-" &amp; DATE(YEAR(T_Saldo[[#This Row],[Fecha]]),MONTH(T_Saldo[[#This Row],[Fecha]]),DAY(T_Saldo[[#This Row],[Fecha]]))</f>
        <v>MSFT-44500</v>
      </c>
    </row>
    <row r="307" spans="1:10" x14ac:dyDescent="0.45">
      <c r="A307" s="15">
        <v>44500</v>
      </c>
      <c r="B307" t="s">
        <v>51</v>
      </c>
      <c r="C307">
        <f>T_Saldo[[#This Row],[Valor liquidativo]]*T_Saldo[[#This Row],[Participaciones]]</f>
        <v>0</v>
      </c>
      <c r="D307" s="11">
        <f>T_Saldo[[#This Row],[Valor liquidativo (Moneda Extranjera)]]/T_Saldo[[#This Row],[Cambio]]</f>
        <v>98.826563000000007</v>
      </c>
      <c r="E307" s="13">
        <f>IF(ISERROR(MATCH(T_Saldo[[#This Row],[Producto]],T_Stocks[Ticker],0)),1,INDEX(T_Stocks[Close],MATCH(T_Saldo[[#This Row],[ID - Product - Fecha]],T_Stocks[ID],1),1))</f>
        <v>114.29</v>
      </c>
      <c r="F307" cm="1">
        <f t="array" ref="F307">IF(T_Saldo[[#This Row],[Divisa]]="USD",INDEX(T_USD_EUR[EURUSD],MATCH(T_Saldo[[#This Row],[Fecha]],T_USD_EUR[Fecha],1),0),1)</f>
        <v>1.1564704521799467</v>
      </c>
      <c r="G307" t="str" cm="1">
        <f t="array" ref="G307">INDEX(T_Elementos[Divisa],MATCH(T_Saldo[[#This Row],[Producto]],T_Elementos[Producto],0),0)</f>
        <v>USD</v>
      </c>
      <c r="H3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07" t="str">
        <f>T_Saldo[[#This Row],[Producto]] &amp; "-" &amp; DATE(YEAR(T_Saldo[[#This Row],[Fecha]]),MONTH(T_Saldo[[#This Row],[Fecha]]),DAY(T_Saldo[[#This Row],[Fecha]]))</f>
        <v>PRHSX-44500</v>
      </c>
    </row>
    <row r="308" spans="1:10" x14ac:dyDescent="0.45">
      <c r="A308" s="15">
        <v>44500</v>
      </c>
      <c r="B308" t="s">
        <v>32</v>
      </c>
      <c r="C308">
        <f>T_Saldo[[#This Row],[Valor liquidativo]]*T_Saldo[[#This Row],[Participaciones]]</f>
        <v>0</v>
      </c>
      <c r="D308" s="11">
        <f>T_Saldo[[#This Row],[Valor liquidativo (Moneda Extranjera)]]/T_Saldo[[#This Row],[Cambio]]</f>
        <v>99.743144999999998</v>
      </c>
      <c r="E308" s="13">
        <f>IF(ISERROR(MATCH(T_Saldo[[#This Row],[Producto]],T_Stocks[Ticker],0)),1,INDEX(T_Stocks[Close],MATCH(T_Saldo[[#This Row],[ID - Product - Fecha]],T_Stocks[ID],1),1))</f>
        <v>115.35</v>
      </c>
      <c r="F308" cm="1">
        <f t="array" ref="F308">IF(T_Saldo[[#This Row],[Divisa]]="USD",INDEX(T_USD_EUR[EURUSD],MATCH(T_Saldo[[#This Row],[Fecha]],T_USD_EUR[Fecha],1),0),1)</f>
        <v>1.1564704521799467</v>
      </c>
      <c r="G308" t="str" cm="1">
        <f t="array" ref="G308">INDEX(T_Elementos[Divisa],MATCH(T_Saldo[[#This Row],[Producto]],T_Elementos[Producto],0),0)</f>
        <v>USD</v>
      </c>
      <c r="H3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08" t="str">
        <f>T_Saldo[[#This Row],[Producto]] &amp; "-" &amp; DATE(YEAR(T_Saldo[[#This Row],[Fecha]]),MONTH(T_Saldo[[#This Row],[Fecha]]),DAY(T_Saldo[[#This Row],[Fecha]]))</f>
        <v>VTSAX-44500</v>
      </c>
    </row>
    <row r="309" spans="1:10" x14ac:dyDescent="0.45">
      <c r="A309" s="15">
        <v>44530</v>
      </c>
      <c r="B309" t="s">
        <v>38</v>
      </c>
      <c r="C309">
        <f>T_Saldo[[#This Row],[Valor liquidativo]]*T_Saldo[[#This Row],[Participaciones]]</f>
        <v>0</v>
      </c>
      <c r="D309" s="11">
        <f>T_Saldo[[#This Row],[Valor liquidativo (Moneda Extranjera)]]/T_Saldo[[#This Row],[Cambio]]</f>
        <v>145.77807000000001</v>
      </c>
      <c r="E309" s="13">
        <f>IF(ISERROR(MATCH(T_Saldo[[#This Row],[Producto]],T_Stocks[Ticker],0)),1,INDEX(T_Stocks[Close],MATCH(T_Saldo[[#This Row],[ID - Product - Fecha]],T_Stocks[ID],1),1))</f>
        <v>165.3</v>
      </c>
      <c r="F309" cm="1">
        <f t="array" ref="F309">IF(T_Saldo[[#This Row],[Divisa]]="USD",INDEX(T_USD_EUR[EURUSD],MATCH(T_Saldo[[#This Row],[Fecha]],T_USD_EUR[Fecha],1),0),1)</f>
        <v>1.1339154099104207</v>
      </c>
      <c r="G309" t="str" cm="1">
        <f t="array" ref="G309">INDEX(T_Elementos[Divisa],MATCH(T_Saldo[[#This Row],[Producto]],T_Elementos[Producto],0),0)</f>
        <v>USD</v>
      </c>
      <c r="H3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09" t="str">
        <f>T_Saldo[[#This Row],[Producto]] &amp; "-" &amp; DATE(YEAR(T_Saldo[[#This Row],[Fecha]]),MONTH(T_Saldo[[#This Row],[Fecha]]),DAY(T_Saldo[[#This Row],[Fecha]]))</f>
        <v>AAPL-44530</v>
      </c>
    </row>
    <row r="310" spans="1:10" x14ac:dyDescent="0.45">
      <c r="A310" s="15">
        <v>44530</v>
      </c>
      <c r="B310" t="s">
        <v>43</v>
      </c>
      <c r="C310">
        <f>T_Saldo[[#This Row],[Valor liquidativo]]*T_Saldo[[#This Row],[Participaciones]]</f>
        <v>0</v>
      </c>
      <c r="D310" s="11">
        <f>T_Saldo[[#This Row],[Valor liquidativo (Moneda Extranjera)]]/T_Saldo[[#This Row],[Cambio]]</f>
        <v>250.42</v>
      </c>
      <c r="E310" s="13">
        <f>IF(ISERROR(MATCH(T_Saldo[[#This Row],[Producto]],T_Stocks[Ticker],0)),1,INDEX(T_Stocks[Close],MATCH(T_Saldo[[#This Row],[ID - Product - Fecha]],T_Stocks[ID],1),1))</f>
        <v>250.42</v>
      </c>
      <c r="F310" cm="1">
        <f t="array" ref="F310">IF(T_Saldo[[#This Row],[Divisa]]="USD",INDEX(T_USD_EUR[EURUSD],MATCH(T_Saldo[[#This Row],[Fecha]],T_USD_EUR[Fecha],1),0),1)</f>
        <v>1</v>
      </c>
      <c r="G310" t="str" cm="1">
        <f t="array" ref="G310">INDEX(T_Elementos[Divisa],MATCH(T_Saldo[[#This Row],[Producto]],T_Elementos[Producto],0),0)</f>
        <v>EUR</v>
      </c>
      <c r="H3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0" t="str">
        <f>T_Saldo[[#This Row],[Producto]] &amp; "-" &amp; DATE(YEAR(T_Saldo[[#This Row],[Fecha]]),MONTH(T_Saldo[[#This Row],[Fecha]]),DAY(T_Saldo[[#This Row],[Fecha]]))</f>
        <v>Bonos-44530</v>
      </c>
    </row>
    <row r="311" spans="1:10" x14ac:dyDescent="0.45">
      <c r="A311" s="15">
        <v>44530</v>
      </c>
      <c r="B311" t="s">
        <v>155</v>
      </c>
      <c r="C311">
        <f>T_Saldo[[#This Row],[Valor liquidativo]]*T_Saldo[[#This Row],[Participaciones]]</f>
        <v>50271.735059999999</v>
      </c>
      <c r="D311" s="11">
        <f>T_Saldo[[#This Row],[Valor liquidativo (Moneda Extranjera)]]/T_Saldo[[#This Row],[Cambio]]</f>
        <v>50271.735059999999</v>
      </c>
      <c r="E311" s="13">
        <f>IF(ISERROR(MATCH(T_Saldo[[#This Row],[Producto]],T_Stocks[Ticker],0)),1,INDEX(T_Stocks[Close],MATCH(T_Saldo[[#This Row],[ID - Product - Fecha]],T_Stocks[ID],1),1))</f>
        <v>50271.735059999999</v>
      </c>
      <c r="F311" cm="1">
        <f t="array" ref="F311">IF(T_Saldo[[#This Row],[Divisa]]="USD",INDEX(T_USD_EUR[EURUSD],MATCH(T_Saldo[[#This Row],[Fecha]],T_USD_EUR[Fecha],1),0),1)</f>
        <v>1</v>
      </c>
      <c r="G311" t="str" cm="1">
        <f t="array" ref="G311">INDEX(T_Elementos[Divisa],MATCH(T_Saldo[[#This Row],[Producto]],T_Elementos[Producto],0),0)</f>
        <v>EUR</v>
      </c>
      <c r="H3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11" t="str">
        <f>T_Saldo[[#This Row],[Producto]] &amp; "-" &amp; DATE(YEAR(T_Saldo[[#This Row],[Fecha]]),MONTH(T_Saldo[[#This Row],[Fecha]]),DAY(T_Saldo[[#This Row],[Fecha]]))</f>
        <v>BTCEUR-44530</v>
      </c>
    </row>
    <row r="312" spans="1:10" x14ac:dyDescent="0.45">
      <c r="A312" s="15">
        <v>44530</v>
      </c>
      <c r="B312" t="s">
        <v>46</v>
      </c>
      <c r="C312">
        <f>T_Saldo[[#This Row],[Valor liquidativo]]*T_Saldo[[#This Row],[Participaciones]]</f>
        <v>27662.789999999994</v>
      </c>
      <c r="D312" s="11">
        <f>T_Saldo[[#This Row],[Valor liquidativo (Moneda Extranjera)]]/T_Saldo[[#This Row],[Cambio]]</f>
        <v>1</v>
      </c>
      <c r="E312" s="13">
        <f>IF(ISERROR(MATCH(T_Saldo[[#This Row],[Producto]],T_Stocks[Ticker],0)),1,INDEX(T_Stocks[Close],MATCH(T_Saldo[[#This Row],[ID - Product - Fecha]],T_Stocks[ID],1),1))</f>
        <v>1</v>
      </c>
      <c r="F312" cm="1">
        <f t="array" ref="F312">IF(T_Saldo[[#This Row],[Divisa]]="USD",INDEX(T_USD_EUR[EURUSD],MATCH(T_Saldo[[#This Row],[Fecha]],T_USD_EUR[Fecha],1),0),1)</f>
        <v>1</v>
      </c>
      <c r="G312" t="str" cm="1">
        <f t="array" ref="G312">INDEX(T_Elementos[Divisa],MATCH(T_Saldo[[#This Row],[Producto]],T_Elementos[Producto],0),0)</f>
        <v>EUR</v>
      </c>
      <c r="H3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27662.789999999994</v>
      </c>
      <c r="J312" t="str">
        <f>T_Saldo[[#This Row],[Producto]] &amp; "-" &amp; DATE(YEAR(T_Saldo[[#This Row],[Fecha]]),MONTH(T_Saldo[[#This Row],[Fecha]]),DAY(T_Saldo[[#This Row],[Fecha]]))</f>
        <v>CA 1-44530</v>
      </c>
    </row>
    <row r="313" spans="1:10" x14ac:dyDescent="0.45">
      <c r="A313" s="15">
        <v>44530</v>
      </c>
      <c r="B313" t="s">
        <v>10</v>
      </c>
      <c r="C313">
        <f>T_Saldo[[#This Row],[Valor liquidativo]]*T_Saldo[[#This Row],[Participaciones]]</f>
        <v>15522.249999999996</v>
      </c>
      <c r="D313" s="11">
        <f>T_Saldo[[#This Row],[Valor liquidativo (Moneda Extranjera)]]/T_Saldo[[#This Row],[Cambio]]</f>
        <v>1</v>
      </c>
      <c r="E313" s="13">
        <f>IF(ISERROR(MATCH(T_Saldo[[#This Row],[Producto]],T_Stocks[Ticker],0)),1,INDEX(T_Stocks[Close],MATCH(T_Saldo[[#This Row],[ID - Product - Fecha]],T_Stocks[ID],1),1))</f>
        <v>1</v>
      </c>
      <c r="F313" cm="1">
        <f t="array" ref="F313">IF(T_Saldo[[#This Row],[Divisa]]="USD",INDEX(T_USD_EUR[EURUSD],MATCH(T_Saldo[[#This Row],[Fecha]],T_USD_EUR[Fecha],1),0),1)</f>
        <v>1</v>
      </c>
      <c r="G313" t="str" cm="1">
        <f t="array" ref="G313">INDEX(T_Elementos[Divisa],MATCH(T_Saldo[[#This Row],[Producto]],T_Elementos[Producto],0),0)</f>
        <v>EUR</v>
      </c>
      <c r="H3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15522.249999999996</v>
      </c>
      <c r="J313" t="str">
        <f>T_Saldo[[#This Row],[Producto]] &amp; "-" &amp; DATE(YEAR(T_Saldo[[#This Row],[Fecha]]),MONTH(T_Saldo[[#This Row],[Fecha]]),DAY(T_Saldo[[#This Row],[Fecha]]))</f>
        <v>CC 1-44530</v>
      </c>
    </row>
    <row r="314" spans="1:10" x14ac:dyDescent="0.45">
      <c r="A314" s="15">
        <v>44530</v>
      </c>
      <c r="B314" t="s">
        <v>49</v>
      </c>
      <c r="C314">
        <f>T_Saldo[[#This Row],[Valor liquidativo]]*T_Saldo[[#This Row],[Participaciones]]</f>
        <v>18996</v>
      </c>
      <c r="D314" s="11">
        <f>T_Saldo[[#This Row],[Valor liquidativo (Moneda Extranjera)]]/T_Saldo[[#This Row],[Cambio]]</f>
        <v>1</v>
      </c>
      <c r="E314" s="13">
        <f>IF(ISERROR(MATCH(T_Saldo[[#This Row],[Producto]],T_Stocks[Ticker],0)),1,INDEX(T_Stocks[Close],MATCH(T_Saldo[[#This Row],[ID - Product - Fecha]],T_Stocks[ID],1),1))</f>
        <v>1</v>
      </c>
      <c r="F314" cm="1">
        <f t="array" ref="F314">IF(T_Saldo[[#This Row],[Divisa]]="USD",INDEX(T_USD_EUR[EURUSD],MATCH(T_Saldo[[#This Row],[Fecha]],T_USD_EUR[Fecha],1),0),1)</f>
        <v>1</v>
      </c>
      <c r="G314" t="str" cm="1">
        <f t="array" ref="G314">INDEX(T_Elementos[Divisa],MATCH(T_Saldo[[#This Row],[Producto]],T_Elementos[Producto],0),0)</f>
        <v>EUR</v>
      </c>
      <c r="H3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18996</v>
      </c>
      <c r="J314" t="str">
        <f>T_Saldo[[#This Row],[Producto]] &amp; "-" &amp; DATE(YEAR(T_Saldo[[#This Row],[Fecha]]),MONTH(T_Saldo[[#This Row],[Fecha]]),DAY(T_Saldo[[#This Row],[Fecha]]))</f>
        <v>CC 2-44530</v>
      </c>
    </row>
    <row r="315" spans="1:10" x14ac:dyDescent="0.45">
      <c r="A315" s="15">
        <v>44530</v>
      </c>
      <c r="B315" t="s">
        <v>41</v>
      </c>
      <c r="C315">
        <f>T_Saldo[[#This Row],[Valor liquidativo]]*T_Saldo[[#This Row],[Participaciones]]</f>
        <v>2915.4732099999997</v>
      </c>
      <c r="D315" s="11">
        <f>T_Saldo[[#This Row],[Valor liquidativo (Moneda Extranjera)]]/T_Saldo[[#This Row],[Cambio]]</f>
        <v>291.54732099999995</v>
      </c>
      <c r="E315" s="13">
        <f>IF(ISERROR(MATCH(T_Saldo[[#This Row],[Producto]],T_Stocks[Ticker],0)),1,INDEX(T_Stocks[Close],MATCH(T_Saldo[[#This Row],[ID - Product - Fecha]],T_Stocks[ID],1),1))</f>
        <v>330.59</v>
      </c>
      <c r="F315" cm="1">
        <f t="array" ref="F315">IF(T_Saldo[[#This Row],[Divisa]]="USD",INDEX(T_USD_EUR[EURUSD],MATCH(T_Saldo[[#This Row],[Fecha]],T_USD_EUR[Fecha],1),0),1)</f>
        <v>1.1339154099104207</v>
      </c>
      <c r="G315" t="str" cm="1">
        <f t="array" ref="G315">INDEX(T_Elementos[Divisa],MATCH(T_Saldo[[#This Row],[Producto]],T_Elementos[Producto],0),0)</f>
        <v>USD</v>
      </c>
      <c r="H3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15" t="str">
        <f>T_Saldo[[#This Row],[Producto]] &amp; "-" &amp; DATE(YEAR(T_Saldo[[#This Row],[Fecha]]),MONTH(T_Saldo[[#This Row],[Fecha]]),DAY(T_Saldo[[#This Row],[Fecha]]))</f>
        <v>MSFT-44530</v>
      </c>
    </row>
    <row r="316" spans="1:10" x14ac:dyDescent="0.45">
      <c r="A316" s="15">
        <v>44530</v>
      </c>
      <c r="B316" t="s">
        <v>51</v>
      </c>
      <c r="C316">
        <f>T_Saldo[[#This Row],[Valor liquidativo]]*T_Saldo[[#This Row],[Participaciones]]</f>
        <v>0</v>
      </c>
      <c r="D316" s="11">
        <f>T_Saldo[[#This Row],[Valor liquidativo (Moneda Extranjera)]]/T_Saldo[[#This Row],[Cambio]]</f>
        <v>95.85371099999999</v>
      </c>
      <c r="E316" s="13">
        <f>IF(ISERROR(MATCH(T_Saldo[[#This Row],[Producto]],T_Stocks[Ticker],0)),1,INDEX(T_Stocks[Close],MATCH(T_Saldo[[#This Row],[ID - Product - Fecha]],T_Stocks[ID],1),1))</f>
        <v>108.69</v>
      </c>
      <c r="F316" cm="1">
        <f t="array" ref="F316">IF(T_Saldo[[#This Row],[Divisa]]="USD",INDEX(T_USD_EUR[EURUSD],MATCH(T_Saldo[[#This Row],[Fecha]],T_USD_EUR[Fecha],1),0),1)</f>
        <v>1.1339154099104207</v>
      </c>
      <c r="G316" t="str" cm="1">
        <f t="array" ref="G316">INDEX(T_Elementos[Divisa],MATCH(T_Saldo[[#This Row],[Producto]],T_Elementos[Producto],0),0)</f>
        <v>USD</v>
      </c>
      <c r="H3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6" t="str">
        <f>T_Saldo[[#This Row],[Producto]] &amp; "-" &amp; DATE(YEAR(T_Saldo[[#This Row],[Fecha]]),MONTH(T_Saldo[[#This Row],[Fecha]]),DAY(T_Saldo[[#This Row],[Fecha]]))</f>
        <v>PRHSX-44530</v>
      </c>
    </row>
    <row r="317" spans="1:10" x14ac:dyDescent="0.45">
      <c r="A317" s="15">
        <v>44530</v>
      </c>
      <c r="B317" t="s">
        <v>32</v>
      </c>
      <c r="C317">
        <f>T_Saldo[[#This Row],[Valor liquidativo]]*T_Saldo[[#This Row],[Participaciones]]</f>
        <v>0</v>
      </c>
      <c r="D317" s="11">
        <f>T_Saldo[[#This Row],[Valor liquidativo (Moneda Extranjera)]]/T_Saldo[[#This Row],[Cambio]]</f>
        <v>100.219116</v>
      </c>
      <c r="E317" s="13">
        <f>IF(ISERROR(MATCH(T_Saldo[[#This Row],[Producto]],T_Stocks[Ticker],0)),1,INDEX(T_Stocks[Close],MATCH(T_Saldo[[#This Row],[ID - Product - Fecha]],T_Stocks[ID],1),1))</f>
        <v>113.64</v>
      </c>
      <c r="F317" cm="1">
        <f t="array" ref="F317">IF(T_Saldo[[#This Row],[Divisa]]="USD",INDEX(T_USD_EUR[EURUSD],MATCH(T_Saldo[[#This Row],[Fecha]],T_USD_EUR[Fecha],1),0),1)</f>
        <v>1.1339154099104207</v>
      </c>
      <c r="G317" t="str" cm="1">
        <f t="array" ref="G317">INDEX(T_Elementos[Divisa],MATCH(T_Saldo[[#This Row],[Producto]],T_Elementos[Producto],0),0)</f>
        <v>USD</v>
      </c>
      <c r="H3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7" t="str">
        <f>T_Saldo[[#This Row],[Producto]] &amp; "-" &amp; DATE(YEAR(T_Saldo[[#This Row],[Fecha]]),MONTH(T_Saldo[[#This Row],[Fecha]]),DAY(T_Saldo[[#This Row],[Fecha]]))</f>
        <v>VTSAX-44530</v>
      </c>
    </row>
    <row r="318" spans="1:10" x14ac:dyDescent="0.45">
      <c r="A318" s="15">
        <v>44561</v>
      </c>
      <c r="B318" t="s">
        <v>38</v>
      </c>
      <c r="C318">
        <f>T_Saldo[[#This Row],[Valor liquidativo]]*T_Saldo[[#This Row],[Participaciones]]</f>
        <v>0</v>
      </c>
      <c r="D318" s="11">
        <f>T_Saldo[[#This Row],[Valor liquidativo (Moneda Extranjera)]]/T_Saldo[[#This Row],[Cambio]]</f>
        <v>156.155058</v>
      </c>
      <c r="E318" s="13">
        <f>IF(ISERROR(MATCH(T_Saldo[[#This Row],[Producto]],T_Stocks[Ticker],0)),1,INDEX(T_Stocks[Close],MATCH(T_Saldo[[#This Row],[ID - Product - Fecha]],T_Stocks[ID],1),1))</f>
        <v>177.57</v>
      </c>
      <c r="F318" cm="1">
        <f t="array" ref="F318">IF(T_Saldo[[#This Row],[Divisa]]="USD",INDEX(T_USD_EUR[EURUSD],MATCH(T_Saldo[[#This Row],[Fecha]],T_USD_EUR[Fecha],1),0),1)</f>
        <v>1.1371389583807141</v>
      </c>
      <c r="G318" t="str" cm="1">
        <f t="array" ref="G318">INDEX(T_Elementos[Divisa],MATCH(T_Saldo[[#This Row],[Producto]],T_Elementos[Producto],0),0)</f>
        <v>USD</v>
      </c>
      <c r="H3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8" t="str">
        <f>T_Saldo[[#This Row],[Producto]] &amp; "-" &amp; DATE(YEAR(T_Saldo[[#This Row],[Fecha]]),MONTH(T_Saldo[[#This Row],[Fecha]]),DAY(T_Saldo[[#This Row],[Fecha]]))</f>
        <v>AAPL-44561</v>
      </c>
    </row>
    <row r="319" spans="1:10" x14ac:dyDescent="0.45">
      <c r="A319" s="15">
        <v>44561</v>
      </c>
      <c r="B319" t="s">
        <v>43</v>
      </c>
      <c r="C319">
        <f>T_Saldo[[#This Row],[Valor liquidativo]]*T_Saldo[[#This Row],[Participaciones]]</f>
        <v>0</v>
      </c>
      <c r="D319" s="11">
        <f>T_Saldo[[#This Row],[Valor liquidativo (Moneda Extranjera)]]/T_Saldo[[#This Row],[Cambio]]</f>
        <v>250.42</v>
      </c>
      <c r="E319" s="13">
        <f>IF(ISERROR(MATCH(T_Saldo[[#This Row],[Producto]],T_Stocks[Ticker],0)),1,INDEX(T_Stocks[Close],MATCH(T_Saldo[[#This Row],[ID - Product - Fecha]],T_Stocks[ID],1),1))</f>
        <v>250.42</v>
      </c>
      <c r="F319" cm="1">
        <f t="array" ref="F319">IF(T_Saldo[[#This Row],[Divisa]]="USD",INDEX(T_USD_EUR[EURUSD],MATCH(T_Saldo[[#This Row],[Fecha]],T_USD_EUR[Fecha],1),0),1)</f>
        <v>1</v>
      </c>
      <c r="G319" t="str" cm="1">
        <f t="array" ref="G319">INDEX(T_Elementos[Divisa],MATCH(T_Saldo[[#This Row],[Producto]],T_Elementos[Producto],0),0)</f>
        <v>EUR</v>
      </c>
      <c r="H3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19" t="str">
        <f>T_Saldo[[#This Row],[Producto]] &amp; "-" &amp; DATE(YEAR(T_Saldo[[#This Row],[Fecha]]),MONTH(T_Saldo[[#This Row],[Fecha]]),DAY(T_Saldo[[#This Row],[Fecha]]))</f>
        <v>Bonos-44561</v>
      </c>
    </row>
    <row r="320" spans="1:10" x14ac:dyDescent="0.45">
      <c r="A320" s="15">
        <v>44561</v>
      </c>
      <c r="B320" t="s">
        <v>155</v>
      </c>
      <c r="C320">
        <f>T_Saldo[[#This Row],[Valor liquidativo]]*T_Saldo[[#This Row],[Participaciones]]</f>
        <v>40617.321029999999</v>
      </c>
      <c r="D320" s="11">
        <f>T_Saldo[[#This Row],[Valor liquidativo (Moneda Extranjera)]]/T_Saldo[[#This Row],[Cambio]]</f>
        <v>40617.321029999999</v>
      </c>
      <c r="E320" s="13">
        <f>IF(ISERROR(MATCH(T_Saldo[[#This Row],[Producto]],T_Stocks[Ticker],0)),1,INDEX(T_Stocks[Close],MATCH(T_Saldo[[#This Row],[ID - Product - Fecha]],T_Stocks[ID],1),1))</f>
        <v>40617.321029999999</v>
      </c>
      <c r="F320" cm="1">
        <f t="array" ref="F320">IF(T_Saldo[[#This Row],[Divisa]]="USD",INDEX(T_USD_EUR[EURUSD],MATCH(T_Saldo[[#This Row],[Fecha]],T_USD_EUR[Fecha],1),0),1)</f>
        <v>1</v>
      </c>
      <c r="G320" t="str" cm="1">
        <f t="array" ref="G320">INDEX(T_Elementos[Divisa],MATCH(T_Saldo[[#This Row],[Producto]],T_Elementos[Producto],0),0)</f>
        <v>EUR</v>
      </c>
      <c r="H3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20" t="str">
        <f>T_Saldo[[#This Row],[Producto]] &amp; "-" &amp; DATE(YEAR(T_Saldo[[#This Row],[Fecha]]),MONTH(T_Saldo[[#This Row],[Fecha]]),DAY(T_Saldo[[#This Row],[Fecha]]))</f>
        <v>BTCEUR-44561</v>
      </c>
    </row>
    <row r="321" spans="1:10" x14ac:dyDescent="0.45">
      <c r="A321" s="15">
        <v>44561</v>
      </c>
      <c r="B321" t="s">
        <v>46</v>
      </c>
      <c r="C321">
        <f>T_Saldo[[#This Row],[Valor liquidativo]]*T_Saldo[[#This Row],[Participaciones]]</f>
        <v>27385.609999999997</v>
      </c>
      <c r="D321" s="11">
        <f>T_Saldo[[#This Row],[Valor liquidativo (Moneda Extranjera)]]/T_Saldo[[#This Row],[Cambio]]</f>
        <v>1</v>
      </c>
      <c r="E321" s="13">
        <f>IF(ISERROR(MATCH(T_Saldo[[#This Row],[Producto]],T_Stocks[Ticker],0)),1,INDEX(T_Stocks[Close],MATCH(T_Saldo[[#This Row],[ID - Product - Fecha]],T_Stocks[ID],1),1))</f>
        <v>1</v>
      </c>
      <c r="F321" cm="1">
        <f t="array" ref="F321">IF(T_Saldo[[#This Row],[Divisa]]="USD",INDEX(T_USD_EUR[EURUSD],MATCH(T_Saldo[[#This Row],[Fecha]],T_USD_EUR[Fecha],1),0),1)</f>
        <v>1</v>
      </c>
      <c r="G321" t="str" cm="1">
        <f t="array" ref="G321">INDEX(T_Elementos[Divisa],MATCH(T_Saldo[[#This Row],[Producto]],T_Elementos[Producto],0),0)</f>
        <v>EUR</v>
      </c>
      <c r="H3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27385.609999999997</v>
      </c>
      <c r="J321" t="str">
        <f>T_Saldo[[#This Row],[Producto]] &amp; "-" &amp; DATE(YEAR(T_Saldo[[#This Row],[Fecha]]),MONTH(T_Saldo[[#This Row],[Fecha]]),DAY(T_Saldo[[#This Row],[Fecha]]))</f>
        <v>CA 1-44561</v>
      </c>
    </row>
    <row r="322" spans="1:10" x14ac:dyDescent="0.45">
      <c r="A322" s="15">
        <v>44561</v>
      </c>
      <c r="B322" t="s">
        <v>10</v>
      </c>
      <c r="C322">
        <f>T_Saldo[[#This Row],[Valor liquidativo]]*T_Saldo[[#This Row],[Participaciones]]</f>
        <v>15241.609999999997</v>
      </c>
      <c r="D322" s="11">
        <f>T_Saldo[[#This Row],[Valor liquidativo (Moneda Extranjera)]]/T_Saldo[[#This Row],[Cambio]]</f>
        <v>1</v>
      </c>
      <c r="E322" s="13">
        <f>IF(ISERROR(MATCH(T_Saldo[[#This Row],[Producto]],T_Stocks[Ticker],0)),1,INDEX(T_Stocks[Close],MATCH(T_Saldo[[#This Row],[ID - Product - Fecha]],T_Stocks[ID],1),1))</f>
        <v>1</v>
      </c>
      <c r="F322" cm="1">
        <f t="array" ref="F322">IF(T_Saldo[[#This Row],[Divisa]]="USD",INDEX(T_USD_EUR[EURUSD],MATCH(T_Saldo[[#This Row],[Fecha]],T_USD_EUR[Fecha],1),0),1)</f>
        <v>1</v>
      </c>
      <c r="G322" t="str" cm="1">
        <f t="array" ref="G322">INDEX(T_Elementos[Divisa],MATCH(T_Saldo[[#This Row],[Producto]],T_Elementos[Producto],0),0)</f>
        <v>EUR</v>
      </c>
      <c r="H3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15241.609999999997</v>
      </c>
      <c r="J322" t="str">
        <f>T_Saldo[[#This Row],[Producto]] &amp; "-" &amp; DATE(YEAR(T_Saldo[[#This Row],[Fecha]]),MONTH(T_Saldo[[#This Row],[Fecha]]),DAY(T_Saldo[[#This Row],[Fecha]]))</f>
        <v>CC 1-44561</v>
      </c>
    </row>
    <row r="323" spans="1:10" x14ac:dyDescent="0.45">
      <c r="A323" s="15">
        <v>44561</v>
      </c>
      <c r="B323" t="s">
        <v>49</v>
      </c>
      <c r="C323">
        <f>T_Saldo[[#This Row],[Valor liquidativo]]*T_Saldo[[#This Row],[Participaciones]]</f>
        <v>21521.49</v>
      </c>
      <c r="D323" s="11">
        <f>T_Saldo[[#This Row],[Valor liquidativo (Moneda Extranjera)]]/T_Saldo[[#This Row],[Cambio]]</f>
        <v>1</v>
      </c>
      <c r="E323" s="13">
        <f>IF(ISERROR(MATCH(T_Saldo[[#This Row],[Producto]],T_Stocks[Ticker],0)),1,INDEX(T_Stocks[Close],MATCH(T_Saldo[[#This Row],[ID - Product - Fecha]],T_Stocks[ID],1),1))</f>
        <v>1</v>
      </c>
      <c r="F323" cm="1">
        <f t="array" ref="F323">IF(T_Saldo[[#This Row],[Divisa]]="USD",INDEX(T_USD_EUR[EURUSD],MATCH(T_Saldo[[#This Row],[Fecha]],T_USD_EUR[Fecha],1),0),1)</f>
        <v>1</v>
      </c>
      <c r="G323" t="str" cm="1">
        <f t="array" ref="G323">INDEX(T_Elementos[Divisa],MATCH(T_Saldo[[#This Row],[Producto]],T_Elementos[Producto],0),0)</f>
        <v>EUR</v>
      </c>
      <c r="H3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21521.49</v>
      </c>
      <c r="J323" t="str">
        <f>T_Saldo[[#This Row],[Producto]] &amp; "-" &amp; DATE(YEAR(T_Saldo[[#This Row],[Fecha]]),MONTH(T_Saldo[[#This Row],[Fecha]]),DAY(T_Saldo[[#This Row],[Fecha]]))</f>
        <v>CC 2-44561</v>
      </c>
    </row>
    <row r="324" spans="1:10" x14ac:dyDescent="0.45">
      <c r="A324" s="15">
        <v>44561</v>
      </c>
      <c r="B324" t="s">
        <v>41</v>
      </c>
      <c r="C324">
        <f>T_Saldo[[#This Row],[Valor liquidativo]]*T_Saldo[[#This Row],[Participaciones]]</f>
        <v>2957.5980800000002</v>
      </c>
      <c r="D324" s="11">
        <f>T_Saldo[[#This Row],[Valor liquidativo (Moneda Extranjera)]]/T_Saldo[[#This Row],[Cambio]]</f>
        <v>295.75980800000002</v>
      </c>
      <c r="E324" s="13">
        <f>IF(ISERROR(MATCH(T_Saldo[[#This Row],[Producto]],T_Stocks[Ticker],0)),1,INDEX(T_Stocks[Close],MATCH(T_Saldo[[#This Row],[ID - Product - Fecha]],T_Stocks[ID],1),1))</f>
        <v>336.32</v>
      </c>
      <c r="F324" cm="1">
        <f t="array" ref="F324">IF(T_Saldo[[#This Row],[Divisa]]="USD",INDEX(T_USD_EUR[EURUSD],MATCH(T_Saldo[[#This Row],[Fecha]],T_USD_EUR[Fecha],1),0),1)</f>
        <v>1.1371389583807141</v>
      </c>
      <c r="G324" t="str" cm="1">
        <f t="array" ref="G324">INDEX(T_Elementos[Divisa],MATCH(T_Saldo[[#This Row],[Producto]],T_Elementos[Producto],0),0)</f>
        <v>USD</v>
      </c>
      <c r="H3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24" t="str">
        <f>T_Saldo[[#This Row],[Producto]] &amp; "-" &amp; DATE(YEAR(T_Saldo[[#This Row],[Fecha]]),MONTH(T_Saldo[[#This Row],[Fecha]]),DAY(T_Saldo[[#This Row],[Fecha]]))</f>
        <v>MSFT-44561</v>
      </c>
    </row>
    <row r="325" spans="1:10" x14ac:dyDescent="0.45">
      <c r="A325" s="15">
        <v>44561</v>
      </c>
      <c r="B325" t="s">
        <v>51</v>
      </c>
      <c r="C325">
        <f>T_Saldo[[#This Row],[Valor liquidativo]]*T_Saldo[[#This Row],[Participaciones]]</f>
        <v>0</v>
      </c>
      <c r="D325" s="11">
        <f>T_Saldo[[#This Row],[Valor liquidativo (Moneda Extranjera)]]/T_Saldo[[#This Row],[Cambio]]</f>
        <v>91.527951999999999</v>
      </c>
      <c r="E325" s="13">
        <f>IF(ISERROR(MATCH(T_Saldo[[#This Row],[Producto]],T_Stocks[Ticker],0)),1,INDEX(T_Stocks[Close],MATCH(T_Saldo[[#This Row],[ID - Product - Fecha]],T_Stocks[ID],1),1))</f>
        <v>104.08</v>
      </c>
      <c r="F325" cm="1">
        <f t="array" ref="F325">IF(T_Saldo[[#This Row],[Divisa]]="USD",INDEX(T_USD_EUR[EURUSD],MATCH(T_Saldo[[#This Row],[Fecha]],T_USD_EUR[Fecha],1),0),1)</f>
        <v>1.1371389583807141</v>
      </c>
      <c r="G325" t="str" cm="1">
        <f t="array" ref="G325">INDEX(T_Elementos[Divisa],MATCH(T_Saldo[[#This Row],[Producto]],T_Elementos[Producto],0),0)</f>
        <v>USD</v>
      </c>
      <c r="H3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25" t="str">
        <f>T_Saldo[[#This Row],[Producto]] &amp; "-" &amp; DATE(YEAR(T_Saldo[[#This Row],[Fecha]]),MONTH(T_Saldo[[#This Row],[Fecha]]),DAY(T_Saldo[[#This Row],[Fecha]]))</f>
        <v>PRHSX-44561</v>
      </c>
    </row>
    <row r="326" spans="1:10" x14ac:dyDescent="0.45">
      <c r="A326" s="15">
        <v>44561</v>
      </c>
      <c r="B326" t="s">
        <v>32</v>
      </c>
      <c r="C326">
        <f>T_Saldo[[#This Row],[Valor liquidativo]]*T_Saldo[[#This Row],[Participaciones]]</f>
        <v>0</v>
      </c>
      <c r="D326" s="11">
        <f>T_Saldo[[#This Row],[Valor liquidativo (Moneda Extranjera)]]/T_Saldo[[#This Row],[Cambio]]</f>
        <v>103.38226400000001</v>
      </c>
      <c r="E326" s="13">
        <f>IF(ISERROR(MATCH(T_Saldo[[#This Row],[Producto]],T_Stocks[Ticker],0)),1,INDEX(T_Stocks[Close],MATCH(T_Saldo[[#This Row],[ID - Product - Fecha]],T_Stocks[ID],1),1))</f>
        <v>117.56</v>
      </c>
      <c r="F326" cm="1">
        <f t="array" ref="F326">IF(T_Saldo[[#This Row],[Divisa]]="USD",INDEX(T_USD_EUR[EURUSD],MATCH(T_Saldo[[#This Row],[Fecha]],T_USD_EUR[Fecha],1),0),1)</f>
        <v>1.1371389583807141</v>
      </c>
      <c r="G326" t="str" cm="1">
        <f t="array" ref="G326">INDEX(T_Elementos[Divisa],MATCH(T_Saldo[[#This Row],[Producto]],T_Elementos[Producto],0),0)</f>
        <v>USD</v>
      </c>
      <c r="H3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26" t="str">
        <f>T_Saldo[[#This Row],[Producto]] &amp; "-" &amp; DATE(YEAR(T_Saldo[[#This Row],[Fecha]]),MONTH(T_Saldo[[#This Row],[Fecha]]),DAY(T_Saldo[[#This Row],[Fecha]]))</f>
        <v>VTSAX-44561</v>
      </c>
    </row>
    <row r="327" spans="1:10" x14ac:dyDescent="0.45">
      <c r="A327" s="15">
        <v>44592</v>
      </c>
      <c r="B327" t="s">
        <v>38</v>
      </c>
      <c r="C327">
        <f>T_Saldo[[#This Row],[Valor liquidativo]]*T_Saldo[[#This Row],[Participaciones]]</f>
        <v>0</v>
      </c>
      <c r="D327" s="11">
        <f>T_Saldo[[#This Row],[Valor liquidativo (Moneda Extranjera)]]/T_Saldo[[#This Row],[Cambio]]</f>
        <v>155.536722</v>
      </c>
      <c r="E327" s="13">
        <f>IF(ISERROR(MATCH(T_Saldo[[#This Row],[Producto]],T_Stocks[Ticker],0)),1,INDEX(T_Stocks[Close],MATCH(T_Saldo[[#This Row],[ID - Product - Fecha]],T_Stocks[ID],1),1))</f>
        <v>174.78</v>
      </c>
      <c r="F327" cm="1">
        <f t="array" ref="F327">IF(T_Saldo[[#This Row],[Divisa]]="USD",INDEX(T_USD_EUR[EURUSD],MATCH(T_Saldo[[#This Row],[Fecha]],T_USD_EUR[Fecha],1),0),1)</f>
        <v>1.1237217664906169</v>
      </c>
      <c r="G327" t="str" cm="1">
        <f t="array" ref="G327">INDEX(T_Elementos[Divisa],MATCH(T_Saldo[[#This Row],[Producto]],T_Elementos[Producto],0),0)</f>
        <v>USD</v>
      </c>
      <c r="H3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27" t="str">
        <f>T_Saldo[[#This Row],[Producto]] &amp; "-" &amp; DATE(YEAR(T_Saldo[[#This Row],[Fecha]]),MONTH(T_Saldo[[#This Row],[Fecha]]),DAY(T_Saldo[[#This Row],[Fecha]]))</f>
        <v>AAPL-44592</v>
      </c>
    </row>
    <row r="328" spans="1:10" x14ac:dyDescent="0.45">
      <c r="A328" s="15">
        <v>44592</v>
      </c>
      <c r="B328" t="s">
        <v>43</v>
      </c>
      <c r="C328">
        <f>T_Saldo[[#This Row],[Valor liquidativo]]*T_Saldo[[#This Row],[Participaciones]]</f>
        <v>0</v>
      </c>
      <c r="D328" s="11">
        <f>T_Saldo[[#This Row],[Valor liquidativo (Moneda Extranjera)]]/T_Saldo[[#This Row],[Cambio]]</f>
        <v>250.42</v>
      </c>
      <c r="E328" s="13">
        <f>IF(ISERROR(MATCH(T_Saldo[[#This Row],[Producto]],T_Stocks[Ticker],0)),1,INDEX(T_Stocks[Close],MATCH(T_Saldo[[#This Row],[ID - Product - Fecha]],T_Stocks[ID],1),1))</f>
        <v>250.42</v>
      </c>
      <c r="F328" cm="1">
        <f t="array" ref="F328">IF(T_Saldo[[#This Row],[Divisa]]="USD",INDEX(T_USD_EUR[EURUSD],MATCH(T_Saldo[[#This Row],[Fecha]],T_USD_EUR[Fecha],1),0),1)</f>
        <v>1</v>
      </c>
      <c r="G328" t="str" cm="1">
        <f t="array" ref="G328">INDEX(T_Elementos[Divisa],MATCH(T_Saldo[[#This Row],[Producto]],T_Elementos[Producto],0),0)</f>
        <v>EUR</v>
      </c>
      <c r="H3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28" t="str">
        <f>T_Saldo[[#This Row],[Producto]] &amp; "-" &amp; DATE(YEAR(T_Saldo[[#This Row],[Fecha]]),MONTH(T_Saldo[[#This Row],[Fecha]]),DAY(T_Saldo[[#This Row],[Fecha]]))</f>
        <v>Bonos-44592</v>
      </c>
    </row>
    <row r="329" spans="1:10" x14ac:dyDescent="0.45">
      <c r="A329" s="15">
        <v>44592</v>
      </c>
      <c r="B329" t="s">
        <v>155</v>
      </c>
      <c r="C329">
        <f>T_Saldo[[#This Row],[Valor liquidativo]]*T_Saldo[[#This Row],[Participaciones]]</f>
        <v>34279.254289999997</v>
      </c>
      <c r="D329" s="11">
        <f>T_Saldo[[#This Row],[Valor liquidativo (Moneda Extranjera)]]/T_Saldo[[#This Row],[Cambio]]</f>
        <v>34279.254289999997</v>
      </c>
      <c r="E329" s="13">
        <f>IF(ISERROR(MATCH(T_Saldo[[#This Row],[Producto]],T_Stocks[Ticker],0)),1,INDEX(T_Stocks[Close],MATCH(T_Saldo[[#This Row],[ID - Product - Fecha]],T_Stocks[ID],1),1))</f>
        <v>34279.254289999997</v>
      </c>
      <c r="F329" cm="1">
        <f t="array" ref="F329">IF(T_Saldo[[#This Row],[Divisa]]="USD",INDEX(T_USD_EUR[EURUSD],MATCH(T_Saldo[[#This Row],[Fecha]],T_USD_EUR[Fecha],1),0),1)</f>
        <v>1</v>
      </c>
      <c r="G329" t="str" cm="1">
        <f t="array" ref="G329">INDEX(T_Elementos[Divisa],MATCH(T_Saldo[[#This Row],[Producto]],T_Elementos[Producto],0),0)</f>
        <v>EUR</v>
      </c>
      <c r="H3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29" t="str">
        <f>T_Saldo[[#This Row],[Producto]] &amp; "-" &amp; DATE(YEAR(T_Saldo[[#This Row],[Fecha]]),MONTH(T_Saldo[[#This Row],[Fecha]]),DAY(T_Saldo[[#This Row],[Fecha]]))</f>
        <v>BTCEUR-44592</v>
      </c>
    </row>
    <row r="330" spans="1:10" x14ac:dyDescent="0.45">
      <c r="A330" s="15">
        <v>44592</v>
      </c>
      <c r="B330" t="s">
        <v>46</v>
      </c>
      <c r="C330">
        <f>T_Saldo[[#This Row],[Valor liquidativo]]*T_Saldo[[#This Row],[Participaciones]]</f>
        <v>27075.589999999993</v>
      </c>
      <c r="D330" s="11">
        <f>T_Saldo[[#This Row],[Valor liquidativo (Moneda Extranjera)]]/T_Saldo[[#This Row],[Cambio]]</f>
        <v>1</v>
      </c>
      <c r="E330" s="13">
        <f>IF(ISERROR(MATCH(T_Saldo[[#This Row],[Producto]],T_Stocks[Ticker],0)),1,INDEX(T_Stocks[Close],MATCH(T_Saldo[[#This Row],[ID - Product - Fecha]],T_Stocks[ID],1),1))</f>
        <v>1</v>
      </c>
      <c r="F330" cm="1">
        <f t="array" ref="F330">IF(T_Saldo[[#This Row],[Divisa]]="USD",INDEX(T_USD_EUR[EURUSD],MATCH(T_Saldo[[#This Row],[Fecha]],T_USD_EUR[Fecha],1),0),1)</f>
        <v>1</v>
      </c>
      <c r="G330" t="str" cm="1">
        <f t="array" ref="G330">INDEX(T_Elementos[Divisa],MATCH(T_Saldo[[#This Row],[Producto]],T_Elementos[Producto],0),0)</f>
        <v>EUR</v>
      </c>
      <c r="H3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27075.589999999993</v>
      </c>
      <c r="J330" t="str">
        <f>T_Saldo[[#This Row],[Producto]] &amp; "-" &amp; DATE(YEAR(T_Saldo[[#This Row],[Fecha]]),MONTH(T_Saldo[[#This Row],[Fecha]]),DAY(T_Saldo[[#This Row],[Fecha]]))</f>
        <v>CA 1-44592</v>
      </c>
    </row>
    <row r="331" spans="1:10" x14ac:dyDescent="0.45">
      <c r="A331" s="15">
        <v>44592</v>
      </c>
      <c r="B331" t="s">
        <v>10</v>
      </c>
      <c r="C331">
        <f>T_Saldo[[#This Row],[Valor liquidativo]]*T_Saldo[[#This Row],[Participaciones]]</f>
        <v>14870.729999999996</v>
      </c>
      <c r="D331" s="11">
        <f>T_Saldo[[#This Row],[Valor liquidativo (Moneda Extranjera)]]/T_Saldo[[#This Row],[Cambio]]</f>
        <v>1</v>
      </c>
      <c r="E331" s="13">
        <f>IF(ISERROR(MATCH(T_Saldo[[#This Row],[Producto]],T_Stocks[Ticker],0)),1,INDEX(T_Stocks[Close],MATCH(T_Saldo[[#This Row],[ID - Product - Fecha]],T_Stocks[ID],1),1))</f>
        <v>1</v>
      </c>
      <c r="F331" cm="1">
        <f t="array" ref="F331">IF(T_Saldo[[#This Row],[Divisa]]="USD",INDEX(T_USD_EUR[EURUSD],MATCH(T_Saldo[[#This Row],[Fecha]],T_USD_EUR[Fecha],1),0),1)</f>
        <v>1</v>
      </c>
      <c r="G331" t="str" cm="1">
        <f t="array" ref="G331">INDEX(T_Elementos[Divisa],MATCH(T_Saldo[[#This Row],[Producto]],T_Elementos[Producto],0),0)</f>
        <v>EUR</v>
      </c>
      <c r="H3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14870.729999999996</v>
      </c>
      <c r="J331" t="str">
        <f>T_Saldo[[#This Row],[Producto]] &amp; "-" &amp; DATE(YEAR(T_Saldo[[#This Row],[Fecha]]),MONTH(T_Saldo[[#This Row],[Fecha]]),DAY(T_Saldo[[#This Row],[Fecha]]))</f>
        <v>CC 1-44592</v>
      </c>
    </row>
    <row r="332" spans="1:10" x14ac:dyDescent="0.45">
      <c r="A332" s="15">
        <v>44592</v>
      </c>
      <c r="B332" t="s">
        <v>49</v>
      </c>
      <c r="C332">
        <f>T_Saldo[[#This Row],[Valor liquidativo]]*T_Saldo[[#This Row],[Participaciones]]</f>
        <v>21267.890000000003</v>
      </c>
      <c r="D332" s="11">
        <f>T_Saldo[[#This Row],[Valor liquidativo (Moneda Extranjera)]]/T_Saldo[[#This Row],[Cambio]]</f>
        <v>1</v>
      </c>
      <c r="E332" s="13">
        <f>IF(ISERROR(MATCH(T_Saldo[[#This Row],[Producto]],T_Stocks[Ticker],0)),1,INDEX(T_Stocks[Close],MATCH(T_Saldo[[#This Row],[ID - Product - Fecha]],T_Stocks[ID],1),1))</f>
        <v>1</v>
      </c>
      <c r="F332" cm="1">
        <f t="array" ref="F332">IF(T_Saldo[[#This Row],[Divisa]]="USD",INDEX(T_USD_EUR[EURUSD],MATCH(T_Saldo[[#This Row],[Fecha]],T_USD_EUR[Fecha],1),0),1)</f>
        <v>1</v>
      </c>
      <c r="G332" t="str" cm="1">
        <f t="array" ref="G332">INDEX(T_Elementos[Divisa],MATCH(T_Saldo[[#This Row],[Producto]],T_Elementos[Producto],0),0)</f>
        <v>EUR</v>
      </c>
      <c r="H3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21267.890000000003</v>
      </c>
      <c r="J332" t="str">
        <f>T_Saldo[[#This Row],[Producto]] &amp; "-" &amp; DATE(YEAR(T_Saldo[[#This Row],[Fecha]]),MONTH(T_Saldo[[#This Row],[Fecha]]),DAY(T_Saldo[[#This Row],[Fecha]]))</f>
        <v>CC 2-44592</v>
      </c>
    </row>
    <row r="333" spans="1:10" x14ac:dyDescent="0.45">
      <c r="A333" s="15">
        <v>44592</v>
      </c>
      <c r="B333" t="s">
        <v>41</v>
      </c>
      <c r="C333">
        <f>T_Saldo[[#This Row],[Valor liquidativo]]*T_Saldo[[#This Row],[Participaciones]]</f>
        <v>2767.41102</v>
      </c>
      <c r="D333" s="11">
        <f>T_Saldo[[#This Row],[Valor liquidativo (Moneda Extranjera)]]/T_Saldo[[#This Row],[Cambio]]</f>
        <v>276.74110200000001</v>
      </c>
      <c r="E333" s="13">
        <f>IF(ISERROR(MATCH(T_Saldo[[#This Row],[Producto]],T_Stocks[Ticker],0)),1,INDEX(T_Stocks[Close],MATCH(T_Saldo[[#This Row],[ID - Product - Fecha]],T_Stocks[ID],1),1))</f>
        <v>310.98</v>
      </c>
      <c r="F333" cm="1">
        <f t="array" ref="F333">IF(T_Saldo[[#This Row],[Divisa]]="USD",INDEX(T_USD_EUR[EURUSD],MATCH(T_Saldo[[#This Row],[Fecha]],T_USD_EUR[Fecha],1),0),1)</f>
        <v>1.1237217664906169</v>
      </c>
      <c r="G333" t="str" cm="1">
        <f t="array" ref="G333">INDEX(T_Elementos[Divisa],MATCH(T_Saldo[[#This Row],[Producto]],T_Elementos[Producto],0),0)</f>
        <v>USD</v>
      </c>
      <c r="H3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33" t="str">
        <f>T_Saldo[[#This Row],[Producto]] &amp; "-" &amp; DATE(YEAR(T_Saldo[[#This Row],[Fecha]]),MONTH(T_Saldo[[#This Row],[Fecha]]),DAY(T_Saldo[[#This Row],[Fecha]]))</f>
        <v>MSFT-44592</v>
      </c>
    </row>
    <row r="334" spans="1:10" x14ac:dyDescent="0.45">
      <c r="A334" s="15">
        <v>44592</v>
      </c>
      <c r="B334" t="s">
        <v>51</v>
      </c>
      <c r="C334">
        <f>T_Saldo[[#This Row],[Valor liquidativo]]*T_Saldo[[#This Row],[Participaciones]]</f>
        <v>0</v>
      </c>
      <c r="D334" s="11">
        <f>T_Saldo[[#This Row],[Valor liquidativo (Moneda Extranjera)]]/T_Saldo[[#This Row],[Cambio]]</f>
        <v>81.149980999999997</v>
      </c>
      <c r="E334" s="13">
        <f>IF(ISERROR(MATCH(T_Saldo[[#This Row],[Producto]],T_Stocks[Ticker],0)),1,INDEX(T_Stocks[Close],MATCH(T_Saldo[[#This Row],[ID - Product - Fecha]],T_Stocks[ID],1),1))</f>
        <v>91.19</v>
      </c>
      <c r="F334" cm="1">
        <f t="array" ref="F334">IF(T_Saldo[[#This Row],[Divisa]]="USD",INDEX(T_USD_EUR[EURUSD],MATCH(T_Saldo[[#This Row],[Fecha]],T_USD_EUR[Fecha],1),0),1)</f>
        <v>1.1237217664906169</v>
      </c>
      <c r="G334" t="str" cm="1">
        <f t="array" ref="G334">INDEX(T_Elementos[Divisa],MATCH(T_Saldo[[#This Row],[Producto]],T_Elementos[Producto],0),0)</f>
        <v>USD</v>
      </c>
      <c r="H3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34" t="str">
        <f>T_Saldo[[#This Row],[Producto]] &amp; "-" &amp; DATE(YEAR(T_Saldo[[#This Row],[Fecha]]),MONTH(T_Saldo[[#This Row],[Fecha]]),DAY(T_Saldo[[#This Row],[Fecha]]))</f>
        <v>PRHSX-44592</v>
      </c>
    </row>
    <row r="335" spans="1:10" x14ac:dyDescent="0.45">
      <c r="A335" s="15">
        <v>44592</v>
      </c>
      <c r="B335" t="s">
        <v>32</v>
      </c>
      <c r="C335">
        <f>T_Saldo[[#This Row],[Valor liquidativo]]*T_Saldo[[#This Row],[Participaciones]]</f>
        <v>0</v>
      </c>
      <c r="D335" s="11">
        <f>T_Saldo[[#This Row],[Valor liquidativo (Moneda Extranjera)]]/T_Saldo[[#This Row],[Cambio]]</f>
        <v>98.307253000000003</v>
      </c>
      <c r="E335" s="13">
        <f>IF(ISERROR(MATCH(T_Saldo[[#This Row],[Producto]],T_Stocks[Ticker],0)),1,INDEX(T_Stocks[Close],MATCH(T_Saldo[[#This Row],[ID - Product - Fecha]],T_Stocks[ID],1),1))</f>
        <v>110.47</v>
      </c>
      <c r="F335" cm="1">
        <f t="array" ref="F335">IF(T_Saldo[[#This Row],[Divisa]]="USD",INDEX(T_USD_EUR[EURUSD],MATCH(T_Saldo[[#This Row],[Fecha]],T_USD_EUR[Fecha],1),0),1)</f>
        <v>1.1237217664906169</v>
      </c>
      <c r="G335" t="str" cm="1">
        <f t="array" ref="G335">INDEX(T_Elementos[Divisa],MATCH(T_Saldo[[#This Row],[Producto]],T_Elementos[Producto],0),0)</f>
        <v>USD</v>
      </c>
      <c r="H3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35" t="str">
        <f>T_Saldo[[#This Row],[Producto]] &amp; "-" &amp; DATE(YEAR(T_Saldo[[#This Row],[Fecha]]),MONTH(T_Saldo[[#This Row],[Fecha]]),DAY(T_Saldo[[#This Row],[Fecha]]))</f>
        <v>VTSAX-44592</v>
      </c>
    </row>
    <row r="336" spans="1:10" x14ac:dyDescent="0.45">
      <c r="A336" s="15">
        <v>44620</v>
      </c>
      <c r="B336" t="s">
        <v>38</v>
      </c>
      <c r="C336">
        <f>T_Saldo[[#This Row],[Valor liquidativo]]*T_Saldo[[#This Row],[Participaciones]]</f>
        <v>0</v>
      </c>
      <c r="D336" s="11">
        <f>T_Saldo[[#This Row],[Valor liquidativo (Moneda Extranjera)]]/T_Saldo[[#This Row],[Cambio]]</f>
        <v>147.12192000000002</v>
      </c>
      <c r="E336" s="13">
        <f>IF(ISERROR(MATCH(T_Saldo[[#This Row],[Producto]],T_Stocks[Ticker],0)),1,INDEX(T_Stocks[Close],MATCH(T_Saldo[[#This Row],[ID - Product - Fecha]],T_Stocks[ID],1),1))</f>
        <v>165.12</v>
      </c>
      <c r="F336" cm="1">
        <f t="array" ref="F336">IF(T_Saldo[[#This Row],[Divisa]]="USD",INDEX(T_USD_EUR[EURUSD],MATCH(T_Saldo[[#This Row],[Fecha]],T_USD_EUR[Fecha],1),0),1)</f>
        <v>1.122334455667789</v>
      </c>
      <c r="G336" t="str" cm="1">
        <f t="array" ref="G336">INDEX(T_Elementos[Divisa],MATCH(T_Saldo[[#This Row],[Producto]],T_Elementos[Producto],0),0)</f>
        <v>USD</v>
      </c>
      <c r="H3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36" t="str">
        <f>T_Saldo[[#This Row],[Producto]] &amp; "-" &amp; DATE(YEAR(T_Saldo[[#This Row],[Fecha]]),MONTH(T_Saldo[[#This Row],[Fecha]]),DAY(T_Saldo[[#This Row],[Fecha]]))</f>
        <v>AAPL-44620</v>
      </c>
    </row>
    <row r="337" spans="1:10" x14ac:dyDescent="0.45">
      <c r="A337" s="15">
        <v>44620</v>
      </c>
      <c r="B337" t="s">
        <v>43</v>
      </c>
      <c r="C337">
        <f>T_Saldo[[#This Row],[Valor liquidativo]]*T_Saldo[[#This Row],[Participaciones]]</f>
        <v>0</v>
      </c>
      <c r="D337" s="11">
        <f>T_Saldo[[#This Row],[Valor liquidativo (Moneda Extranjera)]]/T_Saldo[[#This Row],[Cambio]]</f>
        <v>250.42</v>
      </c>
      <c r="E337" s="13">
        <f>IF(ISERROR(MATCH(T_Saldo[[#This Row],[Producto]],T_Stocks[Ticker],0)),1,INDEX(T_Stocks[Close],MATCH(T_Saldo[[#This Row],[ID - Product - Fecha]],T_Stocks[ID],1),1))</f>
        <v>250.42</v>
      </c>
      <c r="F337" cm="1">
        <f t="array" ref="F337">IF(T_Saldo[[#This Row],[Divisa]]="USD",INDEX(T_USD_EUR[EURUSD],MATCH(T_Saldo[[#This Row],[Fecha]],T_USD_EUR[Fecha],1),0),1)</f>
        <v>1</v>
      </c>
      <c r="G337" t="str" cm="1">
        <f t="array" ref="G337">INDEX(T_Elementos[Divisa],MATCH(T_Saldo[[#This Row],[Producto]],T_Elementos[Producto],0),0)</f>
        <v>EUR</v>
      </c>
      <c r="H3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37" t="str">
        <f>T_Saldo[[#This Row],[Producto]] &amp; "-" &amp; DATE(YEAR(T_Saldo[[#This Row],[Fecha]]),MONTH(T_Saldo[[#This Row],[Fecha]]),DAY(T_Saldo[[#This Row],[Fecha]]))</f>
        <v>Bonos-44620</v>
      </c>
    </row>
    <row r="338" spans="1:10" x14ac:dyDescent="0.45">
      <c r="A338" s="15">
        <v>44620</v>
      </c>
      <c r="B338" t="s">
        <v>155</v>
      </c>
      <c r="C338">
        <f>T_Saldo[[#This Row],[Valor liquidativo]]*T_Saldo[[#This Row],[Participaciones]]</f>
        <v>38511.16014</v>
      </c>
      <c r="D338" s="11">
        <f>T_Saldo[[#This Row],[Valor liquidativo (Moneda Extranjera)]]/T_Saldo[[#This Row],[Cambio]]</f>
        <v>38511.16014</v>
      </c>
      <c r="E338" s="13">
        <f>IF(ISERROR(MATCH(T_Saldo[[#This Row],[Producto]],T_Stocks[Ticker],0)),1,INDEX(T_Stocks[Close],MATCH(T_Saldo[[#This Row],[ID - Product - Fecha]],T_Stocks[ID],1),1))</f>
        <v>38511.16014</v>
      </c>
      <c r="F338" cm="1">
        <f t="array" ref="F338">IF(T_Saldo[[#This Row],[Divisa]]="USD",INDEX(T_USD_EUR[EURUSD],MATCH(T_Saldo[[#This Row],[Fecha]],T_USD_EUR[Fecha],1),0),1)</f>
        <v>1</v>
      </c>
      <c r="G338" t="str" cm="1">
        <f t="array" ref="G338">INDEX(T_Elementos[Divisa],MATCH(T_Saldo[[#This Row],[Producto]],T_Elementos[Producto],0),0)</f>
        <v>EUR</v>
      </c>
      <c r="H3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38" t="str">
        <f>T_Saldo[[#This Row],[Producto]] &amp; "-" &amp; DATE(YEAR(T_Saldo[[#This Row],[Fecha]]),MONTH(T_Saldo[[#This Row],[Fecha]]),DAY(T_Saldo[[#This Row],[Fecha]]))</f>
        <v>BTCEUR-44620</v>
      </c>
    </row>
    <row r="339" spans="1:10" x14ac:dyDescent="0.45">
      <c r="A339" s="15">
        <v>44620</v>
      </c>
      <c r="B339" t="s">
        <v>46</v>
      </c>
      <c r="C339">
        <f>T_Saldo[[#This Row],[Valor liquidativo]]*T_Saldo[[#This Row],[Participaciones]]</f>
        <v>29253.959999999992</v>
      </c>
      <c r="D339" s="11">
        <f>T_Saldo[[#This Row],[Valor liquidativo (Moneda Extranjera)]]/T_Saldo[[#This Row],[Cambio]]</f>
        <v>1</v>
      </c>
      <c r="E339" s="13">
        <f>IF(ISERROR(MATCH(T_Saldo[[#This Row],[Producto]],T_Stocks[Ticker],0)),1,INDEX(T_Stocks[Close],MATCH(T_Saldo[[#This Row],[ID - Product - Fecha]],T_Stocks[ID],1),1))</f>
        <v>1</v>
      </c>
      <c r="F339" cm="1">
        <f t="array" ref="F339">IF(T_Saldo[[#This Row],[Divisa]]="USD",INDEX(T_USD_EUR[EURUSD],MATCH(T_Saldo[[#This Row],[Fecha]],T_USD_EUR[Fecha],1),0),1)</f>
        <v>1</v>
      </c>
      <c r="G339" t="str" cm="1">
        <f t="array" ref="G339">INDEX(T_Elementos[Divisa],MATCH(T_Saldo[[#This Row],[Producto]],T_Elementos[Producto],0),0)</f>
        <v>EUR</v>
      </c>
      <c r="H3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29253.959999999992</v>
      </c>
      <c r="J339" t="str">
        <f>T_Saldo[[#This Row],[Producto]] &amp; "-" &amp; DATE(YEAR(T_Saldo[[#This Row],[Fecha]]),MONTH(T_Saldo[[#This Row],[Fecha]]),DAY(T_Saldo[[#This Row],[Fecha]]))</f>
        <v>CA 1-44620</v>
      </c>
    </row>
    <row r="340" spans="1:10" x14ac:dyDescent="0.45">
      <c r="A340" s="15">
        <v>44620</v>
      </c>
      <c r="B340" t="s">
        <v>10</v>
      </c>
      <c r="C340">
        <f>T_Saldo[[#This Row],[Valor liquidativo]]*T_Saldo[[#This Row],[Participaciones]]</f>
        <v>14759.789999999997</v>
      </c>
      <c r="D340" s="11">
        <f>T_Saldo[[#This Row],[Valor liquidativo (Moneda Extranjera)]]/T_Saldo[[#This Row],[Cambio]]</f>
        <v>1</v>
      </c>
      <c r="E340" s="13">
        <f>IF(ISERROR(MATCH(T_Saldo[[#This Row],[Producto]],T_Stocks[Ticker],0)),1,INDEX(T_Stocks[Close],MATCH(T_Saldo[[#This Row],[ID - Product - Fecha]],T_Stocks[ID],1),1))</f>
        <v>1</v>
      </c>
      <c r="F340" cm="1">
        <f t="array" ref="F340">IF(T_Saldo[[#This Row],[Divisa]]="USD",INDEX(T_USD_EUR[EURUSD],MATCH(T_Saldo[[#This Row],[Fecha]],T_USD_EUR[Fecha],1),0),1)</f>
        <v>1</v>
      </c>
      <c r="G340" t="str" cm="1">
        <f t="array" ref="G340">INDEX(T_Elementos[Divisa],MATCH(T_Saldo[[#This Row],[Producto]],T_Elementos[Producto],0),0)</f>
        <v>EUR</v>
      </c>
      <c r="H3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14759.789999999997</v>
      </c>
      <c r="J340" t="str">
        <f>T_Saldo[[#This Row],[Producto]] &amp; "-" &amp; DATE(YEAR(T_Saldo[[#This Row],[Fecha]]),MONTH(T_Saldo[[#This Row],[Fecha]]),DAY(T_Saldo[[#This Row],[Fecha]]))</f>
        <v>CC 1-44620</v>
      </c>
    </row>
    <row r="341" spans="1:10" x14ac:dyDescent="0.45">
      <c r="A341" s="15">
        <v>44620</v>
      </c>
      <c r="B341" t="s">
        <v>49</v>
      </c>
      <c r="C341">
        <f>T_Saldo[[#This Row],[Valor liquidativo]]*T_Saldo[[#This Row],[Participaciones]]</f>
        <v>20932.620000000003</v>
      </c>
      <c r="D341" s="11">
        <f>T_Saldo[[#This Row],[Valor liquidativo (Moneda Extranjera)]]/T_Saldo[[#This Row],[Cambio]]</f>
        <v>1</v>
      </c>
      <c r="E341" s="13">
        <f>IF(ISERROR(MATCH(T_Saldo[[#This Row],[Producto]],T_Stocks[Ticker],0)),1,INDEX(T_Stocks[Close],MATCH(T_Saldo[[#This Row],[ID - Product - Fecha]],T_Stocks[ID],1),1))</f>
        <v>1</v>
      </c>
      <c r="F341" cm="1">
        <f t="array" ref="F341">IF(T_Saldo[[#This Row],[Divisa]]="USD",INDEX(T_USD_EUR[EURUSD],MATCH(T_Saldo[[#This Row],[Fecha]],T_USD_EUR[Fecha],1),0),1)</f>
        <v>1</v>
      </c>
      <c r="G341" t="str" cm="1">
        <f t="array" ref="G341">INDEX(T_Elementos[Divisa],MATCH(T_Saldo[[#This Row],[Producto]],T_Elementos[Producto],0),0)</f>
        <v>EUR</v>
      </c>
      <c r="H3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20932.620000000003</v>
      </c>
      <c r="J341" t="str">
        <f>T_Saldo[[#This Row],[Producto]] &amp; "-" &amp; DATE(YEAR(T_Saldo[[#This Row],[Fecha]]),MONTH(T_Saldo[[#This Row],[Fecha]]),DAY(T_Saldo[[#This Row],[Fecha]]))</f>
        <v>CC 2-44620</v>
      </c>
    </row>
    <row r="342" spans="1:10" x14ac:dyDescent="0.45">
      <c r="A342" s="15">
        <v>44620</v>
      </c>
      <c r="B342" t="s">
        <v>41</v>
      </c>
      <c r="C342">
        <f>T_Saldo[[#This Row],[Valor liquidativo]]*T_Saldo[[#This Row],[Participaciones]]</f>
        <v>2662.2189000000003</v>
      </c>
      <c r="D342" s="11">
        <f>T_Saldo[[#This Row],[Valor liquidativo (Moneda Extranjera)]]/T_Saldo[[#This Row],[Cambio]]</f>
        <v>266.22189000000003</v>
      </c>
      <c r="E342" s="13">
        <f>IF(ISERROR(MATCH(T_Saldo[[#This Row],[Producto]],T_Stocks[Ticker],0)),1,INDEX(T_Stocks[Close],MATCH(T_Saldo[[#This Row],[ID - Product - Fecha]],T_Stocks[ID],1),1))</f>
        <v>298.79000000000002</v>
      </c>
      <c r="F342" cm="1">
        <f t="array" ref="F342">IF(T_Saldo[[#This Row],[Divisa]]="USD",INDEX(T_USD_EUR[EURUSD],MATCH(T_Saldo[[#This Row],[Fecha]],T_USD_EUR[Fecha],1),0),1)</f>
        <v>1.122334455667789</v>
      </c>
      <c r="G342" t="str" cm="1">
        <f t="array" ref="G342">INDEX(T_Elementos[Divisa],MATCH(T_Saldo[[#This Row],[Producto]],T_Elementos[Producto],0),0)</f>
        <v>USD</v>
      </c>
      <c r="H3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42" t="str">
        <f>T_Saldo[[#This Row],[Producto]] &amp; "-" &amp; DATE(YEAR(T_Saldo[[#This Row],[Fecha]]),MONTH(T_Saldo[[#This Row],[Fecha]]),DAY(T_Saldo[[#This Row],[Fecha]]))</f>
        <v>MSFT-44620</v>
      </c>
    </row>
    <row r="343" spans="1:10" x14ac:dyDescent="0.45">
      <c r="A343" s="15">
        <v>44620</v>
      </c>
      <c r="B343" t="s">
        <v>51</v>
      </c>
      <c r="C343">
        <f>T_Saldo[[#This Row],[Valor liquidativo]]*T_Saldo[[#This Row],[Participaciones]]</f>
        <v>0</v>
      </c>
      <c r="D343" s="11">
        <f>T_Saldo[[#This Row],[Valor liquidativo (Moneda Extranjera)]]/T_Saldo[[#This Row],[Cambio]]</f>
        <v>80.92953</v>
      </c>
      <c r="E343" s="13">
        <f>IF(ISERROR(MATCH(T_Saldo[[#This Row],[Producto]],T_Stocks[Ticker],0)),1,INDEX(T_Stocks[Close],MATCH(T_Saldo[[#This Row],[ID - Product - Fecha]],T_Stocks[ID],1),1))</f>
        <v>90.83</v>
      </c>
      <c r="F343" cm="1">
        <f t="array" ref="F343">IF(T_Saldo[[#This Row],[Divisa]]="USD",INDEX(T_USD_EUR[EURUSD],MATCH(T_Saldo[[#This Row],[Fecha]],T_USD_EUR[Fecha],1),0),1)</f>
        <v>1.122334455667789</v>
      </c>
      <c r="G343" t="str" cm="1">
        <f t="array" ref="G343">INDEX(T_Elementos[Divisa],MATCH(T_Saldo[[#This Row],[Producto]],T_Elementos[Producto],0),0)</f>
        <v>USD</v>
      </c>
      <c r="H3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43" t="str">
        <f>T_Saldo[[#This Row],[Producto]] &amp; "-" &amp; DATE(YEAR(T_Saldo[[#This Row],[Fecha]]),MONTH(T_Saldo[[#This Row],[Fecha]]),DAY(T_Saldo[[#This Row],[Fecha]]))</f>
        <v>PRHSX-44620</v>
      </c>
    </row>
    <row r="344" spans="1:10" x14ac:dyDescent="0.45">
      <c r="A344" s="15">
        <v>44620</v>
      </c>
      <c r="B344" t="s">
        <v>32</v>
      </c>
      <c r="C344">
        <f>T_Saldo[[#This Row],[Valor liquidativo]]*T_Saldo[[#This Row],[Participaciones]]</f>
        <v>0</v>
      </c>
      <c r="D344" s="11">
        <f>T_Saldo[[#This Row],[Valor liquidativo (Moneda Extranjera)]]/T_Saldo[[#This Row],[Cambio]]</f>
        <v>95.916150000000002</v>
      </c>
      <c r="E344" s="13">
        <f>IF(ISERROR(MATCH(T_Saldo[[#This Row],[Producto]],T_Stocks[Ticker],0)),1,INDEX(T_Stocks[Close],MATCH(T_Saldo[[#This Row],[ID - Product - Fecha]],T_Stocks[ID],1),1))</f>
        <v>107.65</v>
      </c>
      <c r="F344" cm="1">
        <f t="array" ref="F344">IF(T_Saldo[[#This Row],[Divisa]]="USD",INDEX(T_USD_EUR[EURUSD],MATCH(T_Saldo[[#This Row],[Fecha]],T_USD_EUR[Fecha],1),0),1)</f>
        <v>1.122334455667789</v>
      </c>
      <c r="G344" t="str" cm="1">
        <f t="array" ref="G344">INDEX(T_Elementos[Divisa],MATCH(T_Saldo[[#This Row],[Producto]],T_Elementos[Producto],0),0)</f>
        <v>USD</v>
      </c>
      <c r="H3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44" t="str">
        <f>T_Saldo[[#This Row],[Producto]] &amp; "-" &amp; DATE(YEAR(T_Saldo[[#This Row],[Fecha]]),MONTH(T_Saldo[[#This Row],[Fecha]]),DAY(T_Saldo[[#This Row],[Fecha]]))</f>
        <v>VTSAX-44620</v>
      </c>
    </row>
    <row r="345" spans="1:10" x14ac:dyDescent="0.45">
      <c r="A345" s="15">
        <v>44651</v>
      </c>
      <c r="B345" t="s">
        <v>38</v>
      </c>
      <c r="C345">
        <f>T_Saldo[[#This Row],[Valor liquidativo]]*T_Saldo[[#This Row],[Participaciones]]</f>
        <v>0</v>
      </c>
      <c r="D345" s="11">
        <f>T_Saldo[[#This Row],[Valor liquidativo (Moneda Extranjera)]]/T_Saldo[[#This Row],[Cambio]]</f>
        <v>157.74267399999999</v>
      </c>
      <c r="E345" s="13">
        <f>IF(ISERROR(MATCH(T_Saldo[[#This Row],[Producto]],T_Stocks[Ticker],0)),1,INDEX(T_Stocks[Close],MATCH(T_Saldo[[#This Row],[ID - Product - Fecha]],T_Stocks[ID],1),1))</f>
        <v>174.61</v>
      </c>
      <c r="F345" cm="1">
        <f t="array" ref="F345">IF(T_Saldo[[#This Row],[Divisa]]="USD",INDEX(T_USD_EUR[EURUSD],MATCH(T_Saldo[[#This Row],[Fecha]],T_USD_EUR[Fecha],1),0),1)</f>
        <v>1.1069293779056897</v>
      </c>
      <c r="G345" t="str" cm="1">
        <f t="array" ref="G345">INDEX(T_Elementos[Divisa],MATCH(T_Saldo[[#This Row],[Producto]],T_Elementos[Producto],0),0)</f>
        <v>USD</v>
      </c>
      <c r="H3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45" t="str">
        <f>T_Saldo[[#This Row],[Producto]] &amp; "-" &amp; DATE(YEAR(T_Saldo[[#This Row],[Fecha]]),MONTH(T_Saldo[[#This Row],[Fecha]]),DAY(T_Saldo[[#This Row],[Fecha]]))</f>
        <v>AAPL-44651</v>
      </c>
    </row>
    <row r="346" spans="1:10" x14ac:dyDescent="0.45">
      <c r="A346" s="15">
        <v>44651</v>
      </c>
      <c r="B346" t="s">
        <v>43</v>
      </c>
      <c r="C346">
        <f>T_Saldo[[#This Row],[Valor liquidativo]]*T_Saldo[[#This Row],[Participaciones]]</f>
        <v>0</v>
      </c>
      <c r="D346" s="11">
        <f>T_Saldo[[#This Row],[Valor liquidativo (Moneda Extranjera)]]/T_Saldo[[#This Row],[Cambio]]</f>
        <v>250.42</v>
      </c>
      <c r="E346" s="13">
        <f>IF(ISERROR(MATCH(T_Saldo[[#This Row],[Producto]],T_Stocks[Ticker],0)),1,INDEX(T_Stocks[Close],MATCH(T_Saldo[[#This Row],[ID - Product - Fecha]],T_Stocks[ID],1),1))</f>
        <v>250.42</v>
      </c>
      <c r="F346" cm="1">
        <f t="array" ref="F346">IF(T_Saldo[[#This Row],[Divisa]]="USD",INDEX(T_USD_EUR[EURUSD],MATCH(T_Saldo[[#This Row],[Fecha]],T_USD_EUR[Fecha],1),0),1)</f>
        <v>1</v>
      </c>
      <c r="G346" t="str" cm="1">
        <f t="array" ref="G346">INDEX(T_Elementos[Divisa],MATCH(T_Saldo[[#This Row],[Producto]],T_Elementos[Producto],0),0)</f>
        <v>EUR</v>
      </c>
      <c r="H3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46" t="str">
        <f>T_Saldo[[#This Row],[Producto]] &amp; "-" &amp; DATE(YEAR(T_Saldo[[#This Row],[Fecha]]),MONTH(T_Saldo[[#This Row],[Fecha]]),DAY(T_Saldo[[#This Row],[Fecha]]))</f>
        <v>Bonos-44651</v>
      </c>
    </row>
    <row r="347" spans="1:10" x14ac:dyDescent="0.45">
      <c r="A347" s="15">
        <v>44651</v>
      </c>
      <c r="B347" t="s">
        <v>155</v>
      </c>
      <c r="C347">
        <f>T_Saldo[[#This Row],[Valor liquidativo]]*T_Saldo[[#This Row],[Participaciones]]</f>
        <v>41112.742720000002</v>
      </c>
      <c r="D347" s="11">
        <f>T_Saldo[[#This Row],[Valor liquidativo (Moneda Extranjera)]]/T_Saldo[[#This Row],[Cambio]]</f>
        <v>41112.742720000002</v>
      </c>
      <c r="E347" s="13">
        <f>IF(ISERROR(MATCH(T_Saldo[[#This Row],[Producto]],T_Stocks[Ticker],0)),1,INDEX(T_Stocks[Close],MATCH(T_Saldo[[#This Row],[ID - Product - Fecha]],T_Stocks[ID],1),1))</f>
        <v>41112.742720000002</v>
      </c>
      <c r="F347" cm="1">
        <f t="array" ref="F347">IF(T_Saldo[[#This Row],[Divisa]]="USD",INDEX(T_USD_EUR[EURUSD],MATCH(T_Saldo[[#This Row],[Fecha]],T_USD_EUR[Fecha],1),0),1)</f>
        <v>1</v>
      </c>
      <c r="G347" t="str" cm="1">
        <f t="array" ref="G347">INDEX(T_Elementos[Divisa],MATCH(T_Saldo[[#This Row],[Producto]],T_Elementos[Producto],0),0)</f>
        <v>EUR</v>
      </c>
      <c r="H3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47" t="str">
        <f>T_Saldo[[#This Row],[Producto]] &amp; "-" &amp; DATE(YEAR(T_Saldo[[#This Row],[Fecha]]),MONTH(T_Saldo[[#This Row],[Fecha]]),DAY(T_Saldo[[#This Row],[Fecha]]))</f>
        <v>BTCEUR-44651</v>
      </c>
    </row>
    <row r="348" spans="1:10" x14ac:dyDescent="0.45">
      <c r="A348" s="15">
        <v>44651</v>
      </c>
      <c r="B348" t="s">
        <v>46</v>
      </c>
      <c r="C348">
        <f>T_Saldo[[#This Row],[Valor liquidativo]]*T_Saldo[[#This Row],[Participaciones]]</f>
        <v>28972.559999999994</v>
      </c>
      <c r="D348" s="11">
        <f>T_Saldo[[#This Row],[Valor liquidativo (Moneda Extranjera)]]/T_Saldo[[#This Row],[Cambio]]</f>
        <v>1</v>
      </c>
      <c r="E348" s="13">
        <f>IF(ISERROR(MATCH(T_Saldo[[#This Row],[Producto]],T_Stocks[Ticker],0)),1,INDEX(T_Stocks[Close],MATCH(T_Saldo[[#This Row],[ID - Product - Fecha]],T_Stocks[ID],1),1))</f>
        <v>1</v>
      </c>
      <c r="F348" cm="1">
        <f t="array" ref="F348">IF(T_Saldo[[#This Row],[Divisa]]="USD",INDEX(T_USD_EUR[EURUSD],MATCH(T_Saldo[[#This Row],[Fecha]],T_USD_EUR[Fecha],1),0),1)</f>
        <v>1</v>
      </c>
      <c r="G348" t="str" cm="1">
        <f t="array" ref="G348">INDEX(T_Elementos[Divisa],MATCH(T_Saldo[[#This Row],[Producto]],T_Elementos[Producto],0),0)</f>
        <v>EUR</v>
      </c>
      <c r="H3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28972.559999999994</v>
      </c>
      <c r="J348" t="str">
        <f>T_Saldo[[#This Row],[Producto]] &amp; "-" &amp; DATE(YEAR(T_Saldo[[#This Row],[Fecha]]),MONTH(T_Saldo[[#This Row],[Fecha]]),DAY(T_Saldo[[#This Row],[Fecha]]))</f>
        <v>CA 1-44651</v>
      </c>
    </row>
    <row r="349" spans="1:10" x14ac:dyDescent="0.45">
      <c r="A349" s="15">
        <v>44651</v>
      </c>
      <c r="B349" t="s">
        <v>10</v>
      </c>
      <c r="C349">
        <f>T_Saldo[[#This Row],[Valor liquidativo]]*T_Saldo[[#This Row],[Participaciones]]</f>
        <v>16484.489999999998</v>
      </c>
      <c r="D349" s="11">
        <f>T_Saldo[[#This Row],[Valor liquidativo (Moneda Extranjera)]]/T_Saldo[[#This Row],[Cambio]]</f>
        <v>1</v>
      </c>
      <c r="E349" s="13">
        <f>IF(ISERROR(MATCH(T_Saldo[[#This Row],[Producto]],T_Stocks[Ticker],0)),1,INDEX(T_Stocks[Close],MATCH(T_Saldo[[#This Row],[ID - Product - Fecha]],T_Stocks[ID],1),1))</f>
        <v>1</v>
      </c>
      <c r="F349" cm="1">
        <f t="array" ref="F349">IF(T_Saldo[[#This Row],[Divisa]]="USD",INDEX(T_USD_EUR[EURUSD],MATCH(T_Saldo[[#This Row],[Fecha]],T_USD_EUR[Fecha],1),0),1)</f>
        <v>1</v>
      </c>
      <c r="G349" t="str" cm="1">
        <f t="array" ref="G349">INDEX(T_Elementos[Divisa],MATCH(T_Saldo[[#This Row],[Producto]],T_Elementos[Producto],0),0)</f>
        <v>EUR</v>
      </c>
      <c r="H3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16484.489999999998</v>
      </c>
      <c r="J349" t="str">
        <f>T_Saldo[[#This Row],[Producto]] &amp; "-" &amp; DATE(YEAR(T_Saldo[[#This Row],[Fecha]]),MONTH(T_Saldo[[#This Row],[Fecha]]),DAY(T_Saldo[[#This Row],[Fecha]]))</f>
        <v>CC 1-44651</v>
      </c>
    </row>
    <row r="350" spans="1:10" x14ac:dyDescent="0.45">
      <c r="A350" s="15">
        <v>44651</v>
      </c>
      <c r="B350" t="s">
        <v>49</v>
      </c>
      <c r="C350">
        <f>T_Saldo[[#This Row],[Valor liquidativo]]*T_Saldo[[#This Row],[Participaciones]]</f>
        <v>20870.93</v>
      </c>
      <c r="D350" s="11">
        <f>T_Saldo[[#This Row],[Valor liquidativo (Moneda Extranjera)]]/T_Saldo[[#This Row],[Cambio]]</f>
        <v>1</v>
      </c>
      <c r="E350" s="13">
        <f>IF(ISERROR(MATCH(T_Saldo[[#This Row],[Producto]],T_Stocks[Ticker],0)),1,INDEX(T_Stocks[Close],MATCH(T_Saldo[[#This Row],[ID - Product - Fecha]],T_Stocks[ID],1),1))</f>
        <v>1</v>
      </c>
      <c r="F350" cm="1">
        <f t="array" ref="F350">IF(T_Saldo[[#This Row],[Divisa]]="USD",INDEX(T_USD_EUR[EURUSD],MATCH(T_Saldo[[#This Row],[Fecha]],T_USD_EUR[Fecha],1),0),1)</f>
        <v>1</v>
      </c>
      <c r="G350" t="str" cm="1">
        <f t="array" ref="G350">INDEX(T_Elementos[Divisa],MATCH(T_Saldo[[#This Row],[Producto]],T_Elementos[Producto],0),0)</f>
        <v>EUR</v>
      </c>
      <c r="H3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20870.93</v>
      </c>
      <c r="J350" t="str">
        <f>T_Saldo[[#This Row],[Producto]] &amp; "-" &amp; DATE(YEAR(T_Saldo[[#This Row],[Fecha]]),MONTH(T_Saldo[[#This Row],[Fecha]]),DAY(T_Saldo[[#This Row],[Fecha]]))</f>
        <v>CC 2-44651</v>
      </c>
    </row>
    <row r="351" spans="1:10" x14ac:dyDescent="0.45">
      <c r="A351" s="15">
        <v>44651</v>
      </c>
      <c r="B351" t="s">
        <v>41</v>
      </c>
      <c r="C351">
        <f>T_Saldo[[#This Row],[Valor liquidativo]]*T_Saldo[[#This Row],[Participaciones]]</f>
        <v>2785.2725399999999</v>
      </c>
      <c r="D351" s="11">
        <f>T_Saldo[[#This Row],[Valor liquidativo (Moneda Extranjera)]]/T_Saldo[[#This Row],[Cambio]]</f>
        <v>278.52725399999997</v>
      </c>
      <c r="E351" s="13">
        <f>IF(ISERROR(MATCH(T_Saldo[[#This Row],[Producto]],T_Stocks[Ticker],0)),1,INDEX(T_Stocks[Close],MATCH(T_Saldo[[#This Row],[ID - Product - Fecha]],T_Stocks[ID],1),1))</f>
        <v>308.31</v>
      </c>
      <c r="F351" cm="1">
        <f t="array" ref="F351">IF(T_Saldo[[#This Row],[Divisa]]="USD",INDEX(T_USD_EUR[EURUSD],MATCH(T_Saldo[[#This Row],[Fecha]],T_USD_EUR[Fecha],1),0),1)</f>
        <v>1.1069293779056897</v>
      </c>
      <c r="G351" t="str" cm="1">
        <f t="array" ref="G351">INDEX(T_Elementos[Divisa],MATCH(T_Saldo[[#This Row],[Producto]],T_Elementos[Producto],0),0)</f>
        <v>USD</v>
      </c>
      <c r="H3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51" t="str">
        <f>T_Saldo[[#This Row],[Producto]] &amp; "-" &amp; DATE(YEAR(T_Saldo[[#This Row],[Fecha]]),MONTH(T_Saldo[[#This Row],[Fecha]]),DAY(T_Saldo[[#This Row],[Fecha]]))</f>
        <v>MSFT-44651</v>
      </c>
    </row>
    <row r="352" spans="1:10" x14ac:dyDescent="0.45">
      <c r="A352" s="15">
        <v>44651</v>
      </c>
      <c r="B352" t="s">
        <v>51</v>
      </c>
      <c r="C352">
        <f>T_Saldo[[#This Row],[Valor liquidativo]]*T_Saldo[[#This Row],[Participaciones]]</f>
        <v>0</v>
      </c>
      <c r="D352" s="11">
        <f>T_Saldo[[#This Row],[Valor liquidativo (Moneda Extranjera)]]/T_Saldo[[#This Row],[Cambio]]</f>
        <v>85.94947599999999</v>
      </c>
      <c r="E352" s="13">
        <f>IF(ISERROR(MATCH(T_Saldo[[#This Row],[Producto]],T_Stocks[Ticker],0)),1,INDEX(T_Stocks[Close],MATCH(T_Saldo[[#This Row],[ID - Product - Fecha]],T_Stocks[ID],1),1))</f>
        <v>95.14</v>
      </c>
      <c r="F352" cm="1">
        <f t="array" ref="F352">IF(T_Saldo[[#This Row],[Divisa]]="USD",INDEX(T_USD_EUR[EURUSD],MATCH(T_Saldo[[#This Row],[Fecha]],T_USD_EUR[Fecha],1),0),1)</f>
        <v>1.1069293779056897</v>
      </c>
      <c r="G352" t="str" cm="1">
        <f t="array" ref="G352">INDEX(T_Elementos[Divisa],MATCH(T_Saldo[[#This Row],[Producto]],T_Elementos[Producto],0),0)</f>
        <v>USD</v>
      </c>
      <c r="H3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52" t="str">
        <f>T_Saldo[[#This Row],[Producto]] &amp; "-" &amp; DATE(YEAR(T_Saldo[[#This Row],[Fecha]]),MONTH(T_Saldo[[#This Row],[Fecha]]),DAY(T_Saldo[[#This Row],[Fecha]]))</f>
        <v>PRHSX-44651</v>
      </c>
    </row>
    <row r="353" spans="1:10" x14ac:dyDescent="0.45">
      <c r="A353" s="15">
        <v>44651</v>
      </c>
      <c r="B353" t="s">
        <v>32</v>
      </c>
      <c r="C353">
        <f>T_Saldo[[#This Row],[Valor liquidativo]]*T_Saldo[[#This Row],[Participaciones]]</f>
        <v>0</v>
      </c>
      <c r="D353" s="11">
        <f>T_Saldo[[#This Row],[Valor liquidativo (Moneda Extranjera)]]/T_Saldo[[#This Row],[Cambio]]</f>
        <v>100.09671999999999</v>
      </c>
      <c r="E353" s="13">
        <f>IF(ISERROR(MATCH(T_Saldo[[#This Row],[Producto]],T_Stocks[Ticker],0)),1,INDEX(T_Stocks[Close],MATCH(T_Saldo[[#This Row],[ID - Product - Fecha]],T_Stocks[ID],1),1))</f>
        <v>110.8</v>
      </c>
      <c r="F353" cm="1">
        <f t="array" ref="F353">IF(T_Saldo[[#This Row],[Divisa]]="USD",INDEX(T_USD_EUR[EURUSD],MATCH(T_Saldo[[#This Row],[Fecha]],T_USD_EUR[Fecha],1),0),1)</f>
        <v>1.1069293779056897</v>
      </c>
      <c r="G353" t="str" cm="1">
        <f t="array" ref="G353">INDEX(T_Elementos[Divisa],MATCH(T_Saldo[[#This Row],[Producto]],T_Elementos[Producto],0),0)</f>
        <v>USD</v>
      </c>
      <c r="H3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53" t="str">
        <f>T_Saldo[[#This Row],[Producto]] &amp; "-" &amp; DATE(YEAR(T_Saldo[[#This Row],[Fecha]]),MONTH(T_Saldo[[#This Row],[Fecha]]),DAY(T_Saldo[[#This Row],[Fecha]]))</f>
        <v>VTSAX-44651</v>
      </c>
    </row>
    <row r="354" spans="1:10" x14ac:dyDescent="0.45">
      <c r="A354" s="15">
        <v>44681</v>
      </c>
      <c r="B354" t="s">
        <v>38</v>
      </c>
      <c r="C354">
        <f>T_Saldo[[#This Row],[Valor liquidativo]]*T_Saldo[[#This Row],[Participaciones]]</f>
        <v>14949.949500000002</v>
      </c>
      <c r="D354" s="11">
        <f>T_Saldo[[#This Row],[Valor liquidativo (Moneda Extranjera)]]/T_Saldo[[#This Row],[Cambio]]</f>
        <v>149.49949500000002</v>
      </c>
      <c r="E354" s="13">
        <f>IF(ISERROR(MATCH(T_Saldo[[#This Row],[Producto]],T_Stocks[Ticker],0)),1,INDEX(T_Stocks[Close],MATCH(T_Saldo[[#This Row],[ID - Product - Fecha]],T_Stocks[ID],1),1))</f>
        <v>157.65</v>
      </c>
      <c r="F354" cm="1">
        <f t="array" ref="F354">IF(T_Saldo[[#This Row],[Divisa]]="USD",INDEX(T_USD_EUR[EURUSD],MATCH(T_Saldo[[#This Row],[Fecha]],T_USD_EUR[Fecha],1),0),1)</f>
        <v>1.0545186122535062</v>
      </c>
      <c r="G354" t="str" cm="1">
        <f t="array" ref="G354">INDEX(T_Elementos[Divisa],MATCH(T_Saldo[[#This Row],[Producto]],T_Elementos[Producto],0),0)</f>
        <v>USD</v>
      </c>
      <c r="H3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54" t="str">
        <f>T_Saldo[[#This Row],[Producto]] &amp; "-" &amp; DATE(YEAR(T_Saldo[[#This Row],[Fecha]]),MONTH(T_Saldo[[#This Row],[Fecha]]),DAY(T_Saldo[[#This Row],[Fecha]]))</f>
        <v>AAPL-44681</v>
      </c>
    </row>
    <row r="355" spans="1:10" x14ac:dyDescent="0.45">
      <c r="A355" s="15">
        <v>44681</v>
      </c>
      <c r="B355" t="s">
        <v>43</v>
      </c>
      <c r="C355">
        <f>T_Saldo[[#This Row],[Valor liquidativo]]*T_Saldo[[#This Row],[Participaciones]]</f>
        <v>0</v>
      </c>
      <c r="D355" s="11">
        <f>T_Saldo[[#This Row],[Valor liquidativo (Moneda Extranjera)]]/T_Saldo[[#This Row],[Cambio]]</f>
        <v>250.42</v>
      </c>
      <c r="E355" s="13">
        <f>IF(ISERROR(MATCH(T_Saldo[[#This Row],[Producto]],T_Stocks[Ticker],0)),1,INDEX(T_Stocks[Close],MATCH(T_Saldo[[#This Row],[ID - Product - Fecha]],T_Stocks[ID],1),1))</f>
        <v>250.42</v>
      </c>
      <c r="F355" cm="1">
        <f t="array" ref="F355">IF(T_Saldo[[#This Row],[Divisa]]="USD",INDEX(T_USD_EUR[EURUSD],MATCH(T_Saldo[[#This Row],[Fecha]],T_USD_EUR[Fecha],1),0),1)</f>
        <v>1</v>
      </c>
      <c r="G355" t="str" cm="1">
        <f t="array" ref="G355">INDEX(T_Elementos[Divisa],MATCH(T_Saldo[[#This Row],[Producto]],T_Elementos[Producto],0),0)</f>
        <v>EUR</v>
      </c>
      <c r="H3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55" t="str">
        <f>T_Saldo[[#This Row],[Producto]] &amp; "-" &amp; DATE(YEAR(T_Saldo[[#This Row],[Fecha]]),MONTH(T_Saldo[[#This Row],[Fecha]]),DAY(T_Saldo[[#This Row],[Fecha]]))</f>
        <v>Bonos-44681</v>
      </c>
    </row>
    <row r="356" spans="1:10" x14ac:dyDescent="0.45">
      <c r="A356" s="15">
        <v>44681</v>
      </c>
      <c r="B356" t="s">
        <v>155</v>
      </c>
      <c r="C356">
        <f>T_Saldo[[#This Row],[Valor liquidativo]]*T_Saldo[[#This Row],[Participaciones]]</f>
        <v>35698.686979999999</v>
      </c>
      <c r="D356" s="11">
        <f>T_Saldo[[#This Row],[Valor liquidativo (Moneda Extranjera)]]/T_Saldo[[#This Row],[Cambio]]</f>
        <v>35698.686979999999</v>
      </c>
      <c r="E356" s="13">
        <f>IF(ISERROR(MATCH(T_Saldo[[#This Row],[Producto]],T_Stocks[Ticker],0)),1,INDEX(T_Stocks[Close],MATCH(T_Saldo[[#This Row],[ID - Product - Fecha]],T_Stocks[ID],1),1))</f>
        <v>35698.686979999999</v>
      </c>
      <c r="F356" cm="1">
        <f t="array" ref="F356">IF(T_Saldo[[#This Row],[Divisa]]="USD",INDEX(T_USD_EUR[EURUSD],MATCH(T_Saldo[[#This Row],[Fecha]],T_USD_EUR[Fecha],1),0),1)</f>
        <v>1</v>
      </c>
      <c r="G356" t="str" cm="1">
        <f t="array" ref="G356">INDEX(T_Elementos[Divisa],MATCH(T_Saldo[[#This Row],[Producto]],T_Elementos[Producto],0),0)</f>
        <v>EUR</v>
      </c>
      <c r="H3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56" t="str">
        <f>T_Saldo[[#This Row],[Producto]] &amp; "-" &amp; DATE(YEAR(T_Saldo[[#This Row],[Fecha]]),MONTH(T_Saldo[[#This Row],[Fecha]]),DAY(T_Saldo[[#This Row],[Fecha]]))</f>
        <v>BTCEUR-44681</v>
      </c>
    </row>
    <row r="357" spans="1:10" x14ac:dyDescent="0.45">
      <c r="A357" s="15">
        <v>44681</v>
      </c>
      <c r="B357" t="s">
        <v>46</v>
      </c>
      <c r="C357">
        <f>T_Saldo[[#This Row],[Valor liquidativo]]*T_Saldo[[#This Row],[Participaciones]]</f>
        <v>28762.479999999996</v>
      </c>
      <c r="D357" s="11">
        <f>T_Saldo[[#This Row],[Valor liquidativo (Moneda Extranjera)]]/T_Saldo[[#This Row],[Cambio]]</f>
        <v>1</v>
      </c>
      <c r="E357" s="13">
        <f>IF(ISERROR(MATCH(T_Saldo[[#This Row],[Producto]],T_Stocks[Ticker],0)),1,INDEX(T_Stocks[Close],MATCH(T_Saldo[[#This Row],[ID - Product - Fecha]],T_Stocks[ID],1),1))</f>
        <v>1</v>
      </c>
      <c r="F357" cm="1">
        <f t="array" ref="F357">IF(T_Saldo[[#This Row],[Divisa]]="USD",INDEX(T_USD_EUR[EURUSD],MATCH(T_Saldo[[#This Row],[Fecha]],T_USD_EUR[Fecha],1),0),1)</f>
        <v>1</v>
      </c>
      <c r="G357" t="str" cm="1">
        <f t="array" ref="G357">INDEX(T_Elementos[Divisa],MATCH(T_Saldo[[#This Row],[Producto]],T_Elementos[Producto],0),0)</f>
        <v>EUR</v>
      </c>
      <c r="H3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28762.479999999996</v>
      </c>
      <c r="J357" t="str">
        <f>T_Saldo[[#This Row],[Producto]] &amp; "-" &amp; DATE(YEAR(T_Saldo[[#This Row],[Fecha]]),MONTH(T_Saldo[[#This Row],[Fecha]]),DAY(T_Saldo[[#This Row],[Fecha]]))</f>
        <v>CA 1-44681</v>
      </c>
    </row>
    <row r="358" spans="1:10" x14ac:dyDescent="0.45">
      <c r="A358" s="15">
        <v>44681</v>
      </c>
      <c r="B358" t="s">
        <v>10</v>
      </c>
      <c r="C358">
        <f>T_Saldo[[#This Row],[Valor liquidativo]]*T_Saldo[[#This Row],[Participaciones]]</f>
        <v>18523.43</v>
      </c>
      <c r="D358" s="11">
        <f>T_Saldo[[#This Row],[Valor liquidativo (Moneda Extranjera)]]/T_Saldo[[#This Row],[Cambio]]</f>
        <v>1</v>
      </c>
      <c r="E358" s="13">
        <f>IF(ISERROR(MATCH(T_Saldo[[#This Row],[Producto]],T_Stocks[Ticker],0)),1,INDEX(T_Stocks[Close],MATCH(T_Saldo[[#This Row],[ID - Product - Fecha]],T_Stocks[ID],1),1))</f>
        <v>1</v>
      </c>
      <c r="F358" cm="1">
        <f t="array" ref="F358">IF(T_Saldo[[#This Row],[Divisa]]="USD",INDEX(T_USD_EUR[EURUSD],MATCH(T_Saldo[[#This Row],[Fecha]],T_USD_EUR[Fecha],1),0),1)</f>
        <v>1</v>
      </c>
      <c r="G358" t="str" cm="1">
        <f t="array" ref="G358">INDEX(T_Elementos[Divisa],MATCH(T_Saldo[[#This Row],[Producto]],T_Elementos[Producto],0),0)</f>
        <v>EUR</v>
      </c>
      <c r="H3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18523.43</v>
      </c>
      <c r="J358" t="str">
        <f>T_Saldo[[#This Row],[Producto]] &amp; "-" &amp; DATE(YEAR(T_Saldo[[#This Row],[Fecha]]),MONTH(T_Saldo[[#This Row],[Fecha]]),DAY(T_Saldo[[#This Row],[Fecha]]))</f>
        <v>CC 1-44681</v>
      </c>
    </row>
    <row r="359" spans="1:10" x14ac:dyDescent="0.45">
      <c r="A359" s="15">
        <v>44681</v>
      </c>
      <c r="B359" t="s">
        <v>49</v>
      </c>
      <c r="C359">
        <f>T_Saldo[[#This Row],[Valor liquidativo]]*T_Saldo[[#This Row],[Participaciones]]</f>
        <v>20606.410000000003</v>
      </c>
      <c r="D359" s="11">
        <f>T_Saldo[[#This Row],[Valor liquidativo (Moneda Extranjera)]]/T_Saldo[[#This Row],[Cambio]]</f>
        <v>1</v>
      </c>
      <c r="E359" s="13">
        <f>IF(ISERROR(MATCH(T_Saldo[[#This Row],[Producto]],T_Stocks[Ticker],0)),1,INDEX(T_Stocks[Close],MATCH(T_Saldo[[#This Row],[ID - Product - Fecha]],T_Stocks[ID],1),1))</f>
        <v>1</v>
      </c>
      <c r="F359" cm="1">
        <f t="array" ref="F359">IF(T_Saldo[[#This Row],[Divisa]]="USD",INDEX(T_USD_EUR[EURUSD],MATCH(T_Saldo[[#This Row],[Fecha]],T_USD_EUR[Fecha],1),0),1)</f>
        <v>1</v>
      </c>
      <c r="G359" t="str" cm="1">
        <f t="array" ref="G359">INDEX(T_Elementos[Divisa],MATCH(T_Saldo[[#This Row],[Producto]],T_Elementos[Producto],0),0)</f>
        <v>EUR</v>
      </c>
      <c r="H3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20606.410000000003</v>
      </c>
      <c r="J359" t="str">
        <f>T_Saldo[[#This Row],[Producto]] &amp; "-" &amp; DATE(YEAR(T_Saldo[[#This Row],[Fecha]]),MONTH(T_Saldo[[#This Row],[Fecha]]),DAY(T_Saldo[[#This Row],[Fecha]]))</f>
        <v>CC 2-44681</v>
      </c>
    </row>
    <row r="360" spans="1:10" x14ac:dyDescent="0.45">
      <c r="A360" s="15">
        <v>44681</v>
      </c>
      <c r="B360" t="s">
        <v>41</v>
      </c>
      <c r="C360">
        <f>T_Saldo[[#This Row],[Valor liquidativo]]*T_Saldo[[#This Row],[Participaciones]]</f>
        <v>2631.7221599999998</v>
      </c>
      <c r="D360" s="11">
        <f>T_Saldo[[#This Row],[Valor liquidativo (Moneda Extranjera)]]/T_Saldo[[#This Row],[Cambio]]</f>
        <v>263.17221599999999</v>
      </c>
      <c r="E360" s="13">
        <f>IF(ISERROR(MATCH(T_Saldo[[#This Row],[Producto]],T_Stocks[Ticker],0)),1,INDEX(T_Stocks[Close],MATCH(T_Saldo[[#This Row],[ID - Product - Fecha]],T_Stocks[ID],1),1))</f>
        <v>277.52</v>
      </c>
      <c r="F360" cm="1">
        <f t="array" ref="F360">IF(T_Saldo[[#This Row],[Divisa]]="USD",INDEX(T_USD_EUR[EURUSD],MATCH(T_Saldo[[#This Row],[Fecha]],T_USD_EUR[Fecha],1),0),1)</f>
        <v>1.0545186122535062</v>
      </c>
      <c r="G360" t="str" cm="1">
        <f t="array" ref="G360">INDEX(T_Elementos[Divisa],MATCH(T_Saldo[[#This Row],[Producto]],T_Elementos[Producto],0),0)</f>
        <v>USD</v>
      </c>
      <c r="H3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60" t="str">
        <f>T_Saldo[[#This Row],[Producto]] &amp; "-" &amp; DATE(YEAR(T_Saldo[[#This Row],[Fecha]]),MONTH(T_Saldo[[#This Row],[Fecha]]),DAY(T_Saldo[[#This Row],[Fecha]]))</f>
        <v>MSFT-44681</v>
      </c>
    </row>
    <row r="361" spans="1:10" x14ac:dyDescent="0.45">
      <c r="A361" s="15">
        <v>44681</v>
      </c>
      <c r="B361" t="s">
        <v>51</v>
      </c>
      <c r="C361">
        <f>T_Saldo[[#This Row],[Valor liquidativo]]*T_Saldo[[#This Row],[Participaciones]]</f>
        <v>0</v>
      </c>
      <c r="D361" s="11">
        <f>T_Saldo[[#This Row],[Valor liquidativo (Moneda Extranjera)]]/T_Saldo[[#This Row],[Cambio]]</f>
        <v>82.492616999999996</v>
      </c>
      <c r="E361" s="13">
        <f>IF(ISERROR(MATCH(T_Saldo[[#This Row],[Producto]],T_Stocks[Ticker],0)),1,INDEX(T_Stocks[Close],MATCH(T_Saldo[[#This Row],[ID - Product - Fecha]],T_Stocks[ID],1),1))</f>
        <v>86.99</v>
      </c>
      <c r="F361" cm="1">
        <f t="array" ref="F361">IF(T_Saldo[[#This Row],[Divisa]]="USD",INDEX(T_USD_EUR[EURUSD],MATCH(T_Saldo[[#This Row],[Fecha]],T_USD_EUR[Fecha],1),0),1)</f>
        <v>1.0545186122535062</v>
      </c>
      <c r="G361" t="str" cm="1">
        <f t="array" ref="G361">INDEX(T_Elementos[Divisa],MATCH(T_Saldo[[#This Row],[Producto]],T_Elementos[Producto],0),0)</f>
        <v>USD</v>
      </c>
      <c r="H3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61" t="str">
        <f>T_Saldo[[#This Row],[Producto]] &amp; "-" &amp; DATE(YEAR(T_Saldo[[#This Row],[Fecha]]),MONTH(T_Saldo[[#This Row],[Fecha]]),DAY(T_Saldo[[#This Row],[Fecha]]))</f>
        <v>PRHSX-44681</v>
      </c>
    </row>
    <row r="362" spans="1:10" x14ac:dyDescent="0.45">
      <c r="A362" s="15">
        <v>44681</v>
      </c>
      <c r="B362" t="s">
        <v>32</v>
      </c>
      <c r="C362">
        <f>T_Saldo[[#This Row],[Valor liquidativo]]*T_Saldo[[#This Row],[Participaciones]]</f>
        <v>19119.624600000003</v>
      </c>
      <c r="D362" s="11">
        <f>T_Saldo[[#This Row],[Valor liquidativo (Moneda Extranjera)]]/T_Saldo[[#This Row],[Cambio]]</f>
        <v>95.598123000000015</v>
      </c>
      <c r="E362" s="13">
        <f>IF(ISERROR(MATCH(T_Saldo[[#This Row],[Producto]],T_Stocks[Ticker],0)),1,INDEX(T_Stocks[Close],MATCH(T_Saldo[[#This Row],[ID - Product - Fecha]],T_Stocks[ID],1),1))</f>
        <v>100.81</v>
      </c>
      <c r="F362" cm="1">
        <f t="array" ref="F362">IF(T_Saldo[[#This Row],[Divisa]]="USD",INDEX(T_USD_EUR[EURUSD],MATCH(T_Saldo[[#This Row],[Fecha]],T_USD_EUR[Fecha],1),0),1)</f>
        <v>1.0545186122535062</v>
      </c>
      <c r="G362" t="str" cm="1">
        <f t="array" ref="G362">INDEX(T_Elementos[Divisa],MATCH(T_Saldo[[#This Row],[Producto]],T_Elementos[Producto],0),0)</f>
        <v>USD</v>
      </c>
      <c r="H3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362" t="str">
        <f>T_Saldo[[#This Row],[Producto]] &amp; "-" &amp; DATE(YEAR(T_Saldo[[#This Row],[Fecha]]),MONTH(T_Saldo[[#This Row],[Fecha]]),DAY(T_Saldo[[#This Row],[Fecha]]))</f>
        <v>VTSAX-44681</v>
      </c>
    </row>
    <row r="363" spans="1:10" x14ac:dyDescent="0.45">
      <c r="A363" s="15">
        <v>44712</v>
      </c>
      <c r="B363" t="s">
        <v>38</v>
      </c>
      <c r="C363">
        <f>T_Saldo[[#This Row],[Valor liquidativo]]*T_Saldo[[#This Row],[Participaciones]]</f>
        <v>13862.957600000002</v>
      </c>
      <c r="D363" s="11">
        <f>T_Saldo[[#This Row],[Valor liquidativo (Moneda Extranjera)]]/T_Saldo[[#This Row],[Cambio]]</f>
        <v>138.62957600000001</v>
      </c>
      <c r="E363" s="13">
        <f>IF(ISERROR(MATCH(T_Saldo[[#This Row],[Producto]],T_Stocks[Ticker],0)),1,INDEX(T_Stocks[Close],MATCH(T_Saldo[[#This Row],[ID - Product - Fecha]],T_Stocks[ID],1),1))</f>
        <v>148.84</v>
      </c>
      <c r="F363" cm="1">
        <f t="array" ref="F363">IF(T_Saldo[[#This Row],[Divisa]]="USD",INDEX(T_USD_EUR[EURUSD],MATCH(T_Saldo[[#This Row],[Fecha]],T_USD_EUR[Fecha],1),0),1)</f>
        <v>1.0736525660296328</v>
      </c>
      <c r="G363" t="str" cm="1">
        <f t="array" ref="G363">INDEX(T_Elementos[Divisa],MATCH(T_Saldo[[#This Row],[Producto]],T_Elementos[Producto],0),0)</f>
        <v>USD</v>
      </c>
      <c r="H3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63" t="str">
        <f>T_Saldo[[#This Row],[Producto]] &amp; "-" &amp; DATE(YEAR(T_Saldo[[#This Row],[Fecha]]),MONTH(T_Saldo[[#This Row],[Fecha]]),DAY(T_Saldo[[#This Row],[Fecha]]))</f>
        <v>AAPL-44712</v>
      </c>
    </row>
    <row r="364" spans="1:10" x14ac:dyDescent="0.45">
      <c r="A364" s="15">
        <v>44712</v>
      </c>
      <c r="B364" t="s">
        <v>43</v>
      </c>
      <c r="C364">
        <f>T_Saldo[[#This Row],[Valor liquidativo]]*T_Saldo[[#This Row],[Participaciones]]</f>
        <v>0</v>
      </c>
      <c r="D364" s="11">
        <f>T_Saldo[[#This Row],[Valor liquidativo (Moneda Extranjera)]]/T_Saldo[[#This Row],[Cambio]]</f>
        <v>250.42</v>
      </c>
      <c r="E364" s="13">
        <f>IF(ISERROR(MATCH(T_Saldo[[#This Row],[Producto]],T_Stocks[Ticker],0)),1,INDEX(T_Stocks[Close],MATCH(T_Saldo[[#This Row],[ID - Product - Fecha]],T_Stocks[ID],1),1))</f>
        <v>250.42</v>
      </c>
      <c r="F364" cm="1">
        <f t="array" ref="F364">IF(T_Saldo[[#This Row],[Divisa]]="USD",INDEX(T_USD_EUR[EURUSD],MATCH(T_Saldo[[#This Row],[Fecha]],T_USD_EUR[Fecha],1),0),1)</f>
        <v>1</v>
      </c>
      <c r="G364" t="str" cm="1">
        <f t="array" ref="G364">INDEX(T_Elementos[Divisa],MATCH(T_Saldo[[#This Row],[Producto]],T_Elementos[Producto],0),0)</f>
        <v>EUR</v>
      </c>
      <c r="H3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64" t="str">
        <f>T_Saldo[[#This Row],[Producto]] &amp; "-" &amp; DATE(YEAR(T_Saldo[[#This Row],[Fecha]]),MONTH(T_Saldo[[#This Row],[Fecha]]),DAY(T_Saldo[[#This Row],[Fecha]]))</f>
        <v>Bonos-44712</v>
      </c>
    </row>
    <row r="365" spans="1:10" x14ac:dyDescent="0.45">
      <c r="A365" s="15">
        <v>44712</v>
      </c>
      <c r="B365" t="s">
        <v>155</v>
      </c>
      <c r="C365">
        <f>T_Saldo[[#This Row],[Valor liquidativo]]*T_Saldo[[#This Row],[Participaciones]]</f>
        <v>29599.904780000001</v>
      </c>
      <c r="D365" s="11">
        <f>T_Saldo[[#This Row],[Valor liquidativo (Moneda Extranjera)]]/T_Saldo[[#This Row],[Cambio]]</f>
        <v>29599.904780000001</v>
      </c>
      <c r="E365" s="13">
        <f>IF(ISERROR(MATCH(T_Saldo[[#This Row],[Producto]],T_Stocks[Ticker],0)),1,INDEX(T_Stocks[Close],MATCH(T_Saldo[[#This Row],[ID - Product - Fecha]],T_Stocks[ID],1),1))</f>
        <v>29599.904780000001</v>
      </c>
      <c r="F365" cm="1">
        <f t="array" ref="F365">IF(T_Saldo[[#This Row],[Divisa]]="USD",INDEX(T_USD_EUR[EURUSD],MATCH(T_Saldo[[#This Row],[Fecha]],T_USD_EUR[Fecha],1),0),1)</f>
        <v>1</v>
      </c>
      <c r="G365" t="str" cm="1">
        <f t="array" ref="G365">INDEX(T_Elementos[Divisa],MATCH(T_Saldo[[#This Row],[Producto]],T_Elementos[Producto],0),0)</f>
        <v>EUR</v>
      </c>
      <c r="H3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65" t="str">
        <f>T_Saldo[[#This Row],[Producto]] &amp; "-" &amp; DATE(YEAR(T_Saldo[[#This Row],[Fecha]]),MONTH(T_Saldo[[#This Row],[Fecha]]),DAY(T_Saldo[[#This Row],[Fecha]]))</f>
        <v>BTCEUR-44712</v>
      </c>
    </row>
    <row r="366" spans="1:10" x14ac:dyDescent="0.45">
      <c r="A366" s="15">
        <v>44712</v>
      </c>
      <c r="B366" t="s">
        <v>46</v>
      </c>
      <c r="C366">
        <f>T_Saldo[[#This Row],[Valor liquidativo]]*T_Saldo[[#This Row],[Participaciones]]</f>
        <v>28453.379999999994</v>
      </c>
      <c r="D366" s="11">
        <f>T_Saldo[[#This Row],[Valor liquidativo (Moneda Extranjera)]]/T_Saldo[[#This Row],[Cambio]]</f>
        <v>1</v>
      </c>
      <c r="E366" s="13">
        <f>IF(ISERROR(MATCH(T_Saldo[[#This Row],[Producto]],T_Stocks[Ticker],0)),1,INDEX(T_Stocks[Close],MATCH(T_Saldo[[#This Row],[ID - Product - Fecha]],T_Stocks[ID],1),1))</f>
        <v>1</v>
      </c>
      <c r="F366" cm="1">
        <f t="array" ref="F366">IF(T_Saldo[[#This Row],[Divisa]]="USD",INDEX(T_USD_EUR[EURUSD],MATCH(T_Saldo[[#This Row],[Fecha]],T_USD_EUR[Fecha],1),0),1)</f>
        <v>1</v>
      </c>
      <c r="G366" t="str" cm="1">
        <f t="array" ref="G366">INDEX(T_Elementos[Divisa],MATCH(T_Saldo[[#This Row],[Producto]],T_Elementos[Producto],0),0)</f>
        <v>EUR</v>
      </c>
      <c r="H3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28453.379999999994</v>
      </c>
      <c r="J366" t="str">
        <f>T_Saldo[[#This Row],[Producto]] &amp; "-" &amp; DATE(YEAR(T_Saldo[[#This Row],[Fecha]]),MONTH(T_Saldo[[#This Row],[Fecha]]),DAY(T_Saldo[[#This Row],[Fecha]]))</f>
        <v>CA 1-44712</v>
      </c>
    </row>
    <row r="367" spans="1:10" x14ac:dyDescent="0.45">
      <c r="A367" s="15">
        <v>44712</v>
      </c>
      <c r="B367" t="s">
        <v>10</v>
      </c>
      <c r="C367">
        <f>T_Saldo[[#This Row],[Valor liquidativo]]*T_Saldo[[#This Row],[Participaciones]]</f>
        <v>18397.329999999998</v>
      </c>
      <c r="D367" s="11">
        <f>T_Saldo[[#This Row],[Valor liquidativo (Moneda Extranjera)]]/T_Saldo[[#This Row],[Cambio]]</f>
        <v>1</v>
      </c>
      <c r="E367" s="13">
        <f>IF(ISERROR(MATCH(T_Saldo[[#This Row],[Producto]],T_Stocks[Ticker],0)),1,INDEX(T_Stocks[Close],MATCH(T_Saldo[[#This Row],[ID - Product - Fecha]],T_Stocks[ID],1),1))</f>
        <v>1</v>
      </c>
      <c r="F367" cm="1">
        <f t="array" ref="F367">IF(T_Saldo[[#This Row],[Divisa]]="USD",INDEX(T_USD_EUR[EURUSD],MATCH(T_Saldo[[#This Row],[Fecha]],T_USD_EUR[Fecha],1),0),1)</f>
        <v>1</v>
      </c>
      <c r="G367" t="str" cm="1">
        <f t="array" ref="G367">INDEX(T_Elementos[Divisa],MATCH(T_Saldo[[#This Row],[Producto]],T_Elementos[Producto],0),0)</f>
        <v>EUR</v>
      </c>
      <c r="H3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18397.329999999998</v>
      </c>
      <c r="J367" t="str">
        <f>T_Saldo[[#This Row],[Producto]] &amp; "-" &amp; DATE(YEAR(T_Saldo[[#This Row],[Fecha]]),MONTH(T_Saldo[[#This Row],[Fecha]]),DAY(T_Saldo[[#This Row],[Fecha]]))</f>
        <v>CC 1-44712</v>
      </c>
    </row>
    <row r="368" spans="1:10" x14ac:dyDescent="0.45">
      <c r="A368" s="15">
        <v>44712</v>
      </c>
      <c r="B368" t="s">
        <v>49</v>
      </c>
      <c r="C368">
        <f>T_Saldo[[#This Row],[Valor liquidativo]]*T_Saldo[[#This Row],[Participaciones]]</f>
        <v>20463.38</v>
      </c>
      <c r="D368" s="11">
        <f>T_Saldo[[#This Row],[Valor liquidativo (Moneda Extranjera)]]/T_Saldo[[#This Row],[Cambio]]</f>
        <v>1</v>
      </c>
      <c r="E368" s="13">
        <f>IF(ISERROR(MATCH(T_Saldo[[#This Row],[Producto]],T_Stocks[Ticker],0)),1,INDEX(T_Stocks[Close],MATCH(T_Saldo[[#This Row],[ID - Product - Fecha]],T_Stocks[ID],1),1))</f>
        <v>1</v>
      </c>
      <c r="F368" cm="1">
        <f t="array" ref="F368">IF(T_Saldo[[#This Row],[Divisa]]="USD",INDEX(T_USD_EUR[EURUSD],MATCH(T_Saldo[[#This Row],[Fecha]],T_USD_EUR[Fecha],1),0),1)</f>
        <v>1</v>
      </c>
      <c r="G368" t="str" cm="1">
        <f t="array" ref="G368">INDEX(T_Elementos[Divisa],MATCH(T_Saldo[[#This Row],[Producto]],T_Elementos[Producto],0),0)</f>
        <v>EUR</v>
      </c>
      <c r="H3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20463.38</v>
      </c>
      <c r="J368" t="str">
        <f>T_Saldo[[#This Row],[Producto]] &amp; "-" &amp; DATE(YEAR(T_Saldo[[#This Row],[Fecha]]),MONTH(T_Saldo[[#This Row],[Fecha]]),DAY(T_Saldo[[#This Row],[Fecha]]))</f>
        <v>CC 2-44712</v>
      </c>
    </row>
    <row r="369" spans="1:10" x14ac:dyDescent="0.45">
      <c r="A369" s="15">
        <v>44712</v>
      </c>
      <c r="B369" t="s">
        <v>41</v>
      </c>
      <c r="C369">
        <f>T_Saldo[[#This Row],[Valor liquidativo]]*T_Saldo[[#This Row],[Participaciones]]</f>
        <v>2532.1971800000001</v>
      </c>
      <c r="D369" s="11">
        <f>T_Saldo[[#This Row],[Valor liquidativo (Moneda Extranjera)]]/T_Saldo[[#This Row],[Cambio]]</f>
        <v>253.219718</v>
      </c>
      <c r="E369" s="13">
        <f>IF(ISERROR(MATCH(T_Saldo[[#This Row],[Producto]],T_Stocks[Ticker],0)),1,INDEX(T_Stocks[Close],MATCH(T_Saldo[[#This Row],[ID - Product - Fecha]],T_Stocks[ID],1),1))</f>
        <v>271.87</v>
      </c>
      <c r="F369" cm="1">
        <f t="array" ref="F369">IF(T_Saldo[[#This Row],[Divisa]]="USD",INDEX(T_USD_EUR[EURUSD],MATCH(T_Saldo[[#This Row],[Fecha]],T_USD_EUR[Fecha],1),0),1)</f>
        <v>1.0736525660296328</v>
      </c>
      <c r="G369" t="str" cm="1">
        <f t="array" ref="G369">INDEX(T_Elementos[Divisa],MATCH(T_Saldo[[#This Row],[Producto]],T_Elementos[Producto],0),0)</f>
        <v>USD</v>
      </c>
      <c r="H3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69" t="str">
        <f>T_Saldo[[#This Row],[Producto]] &amp; "-" &amp; DATE(YEAR(T_Saldo[[#This Row],[Fecha]]),MONTH(T_Saldo[[#This Row],[Fecha]]),DAY(T_Saldo[[#This Row],[Fecha]]))</f>
        <v>MSFT-44712</v>
      </c>
    </row>
    <row r="370" spans="1:10" x14ac:dyDescent="0.45">
      <c r="A370" s="15">
        <v>44712</v>
      </c>
      <c r="B370" t="s">
        <v>51</v>
      </c>
      <c r="C370">
        <f>T_Saldo[[#This Row],[Valor liquidativo]]*T_Saldo[[#This Row],[Participaciones]]</f>
        <v>0</v>
      </c>
      <c r="D370" s="11">
        <f>T_Saldo[[#This Row],[Valor liquidativo (Moneda Extranjera)]]/T_Saldo[[#This Row],[Cambio]]</f>
        <v>80.295993999999993</v>
      </c>
      <c r="E370" s="13">
        <f>IF(ISERROR(MATCH(T_Saldo[[#This Row],[Producto]],T_Stocks[Ticker],0)),1,INDEX(T_Stocks[Close],MATCH(T_Saldo[[#This Row],[ID - Product - Fecha]],T_Stocks[ID],1),1))</f>
        <v>86.21</v>
      </c>
      <c r="F370" cm="1">
        <f t="array" ref="F370">IF(T_Saldo[[#This Row],[Divisa]]="USD",INDEX(T_USD_EUR[EURUSD],MATCH(T_Saldo[[#This Row],[Fecha]],T_USD_EUR[Fecha],1),0),1)</f>
        <v>1.0736525660296328</v>
      </c>
      <c r="G370" t="str" cm="1">
        <f t="array" ref="G370">INDEX(T_Elementos[Divisa],MATCH(T_Saldo[[#This Row],[Producto]],T_Elementos[Producto],0),0)</f>
        <v>USD</v>
      </c>
      <c r="H3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70" t="str">
        <f>T_Saldo[[#This Row],[Producto]] &amp; "-" &amp; DATE(YEAR(T_Saldo[[#This Row],[Fecha]]),MONTH(T_Saldo[[#This Row],[Fecha]]),DAY(T_Saldo[[#This Row],[Fecha]]))</f>
        <v>PRHSX-44712</v>
      </c>
    </row>
    <row r="371" spans="1:10" x14ac:dyDescent="0.45">
      <c r="A371" s="15">
        <v>44712</v>
      </c>
      <c r="B371" t="s">
        <v>32</v>
      </c>
      <c r="C371">
        <f>T_Saldo[[#This Row],[Valor liquidativo]]*T_Saldo[[#This Row],[Participaciones]]</f>
        <v>18728.591200000003</v>
      </c>
      <c r="D371" s="11">
        <f>T_Saldo[[#This Row],[Valor liquidativo (Moneda Extranjera)]]/T_Saldo[[#This Row],[Cambio]]</f>
        <v>93.642956000000012</v>
      </c>
      <c r="E371" s="13">
        <f>IF(ISERROR(MATCH(T_Saldo[[#This Row],[Producto]],T_Stocks[Ticker],0)),1,INDEX(T_Stocks[Close],MATCH(T_Saldo[[#This Row],[ID - Product - Fecha]],T_Stocks[ID],1),1))</f>
        <v>100.54</v>
      </c>
      <c r="F371" cm="1">
        <f t="array" ref="F371">IF(T_Saldo[[#This Row],[Divisa]]="USD",INDEX(T_USD_EUR[EURUSD],MATCH(T_Saldo[[#This Row],[Fecha]],T_USD_EUR[Fecha],1),0),1)</f>
        <v>1.0736525660296328</v>
      </c>
      <c r="G371" t="str" cm="1">
        <f t="array" ref="G371">INDEX(T_Elementos[Divisa],MATCH(T_Saldo[[#This Row],[Producto]],T_Elementos[Producto],0),0)</f>
        <v>USD</v>
      </c>
      <c r="H3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371" t="str">
        <f>T_Saldo[[#This Row],[Producto]] &amp; "-" &amp; DATE(YEAR(T_Saldo[[#This Row],[Fecha]]),MONTH(T_Saldo[[#This Row],[Fecha]]),DAY(T_Saldo[[#This Row],[Fecha]]))</f>
        <v>VTSAX-44712</v>
      </c>
    </row>
    <row r="372" spans="1:10" x14ac:dyDescent="0.45">
      <c r="A372" s="15">
        <v>44742</v>
      </c>
      <c r="B372" t="s">
        <v>38</v>
      </c>
      <c r="C372">
        <f>T_Saldo[[#This Row],[Valor liquidativo]]*T_Saldo[[#This Row],[Participaciones]]</f>
        <v>13038.986399999998</v>
      </c>
      <c r="D372" s="11">
        <f>T_Saldo[[#This Row],[Valor liquidativo (Moneda Extranjera)]]/T_Saldo[[#This Row],[Cambio]]</f>
        <v>130.38986399999999</v>
      </c>
      <c r="E372" s="13">
        <f>IF(ISERROR(MATCH(T_Saldo[[#This Row],[Producto]],T_Stocks[Ticker],0)),1,INDEX(T_Stocks[Close],MATCH(T_Saldo[[#This Row],[ID - Product - Fecha]],T_Stocks[ID],1),1))</f>
        <v>136.72</v>
      </c>
      <c r="F372" cm="1">
        <f t="array" ref="F372">IF(T_Saldo[[#This Row],[Divisa]]="USD",INDEX(T_USD_EUR[EURUSD],MATCH(T_Saldo[[#This Row],[Fecha]],T_USD_EUR[Fecha],1),0),1)</f>
        <v>1.0485477613505296</v>
      </c>
      <c r="G372" t="str" cm="1">
        <f t="array" ref="G372">INDEX(T_Elementos[Divisa],MATCH(T_Saldo[[#This Row],[Producto]],T_Elementos[Producto],0),0)</f>
        <v>USD</v>
      </c>
      <c r="H3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72" t="str">
        <f>T_Saldo[[#This Row],[Producto]] &amp; "-" &amp; DATE(YEAR(T_Saldo[[#This Row],[Fecha]]),MONTH(T_Saldo[[#This Row],[Fecha]]),DAY(T_Saldo[[#This Row],[Fecha]]))</f>
        <v>AAPL-44742</v>
      </c>
    </row>
    <row r="373" spans="1:10" x14ac:dyDescent="0.45">
      <c r="A373" s="15">
        <v>44742</v>
      </c>
      <c r="B373" t="s">
        <v>43</v>
      </c>
      <c r="C373">
        <f>T_Saldo[[#This Row],[Valor liquidativo]]*T_Saldo[[#This Row],[Participaciones]]</f>
        <v>0</v>
      </c>
      <c r="D373" s="11">
        <f>T_Saldo[[#This Row],[Valor liquidativo (Moneda Extranjera)]]/T_Saldo[[#This Row],[Cambio]]</f>
        <v>250.42</v>
      </c>
      <c r="E373" s="13">
        <f>IF(ISERROR(MATCH(T_Saldo[[#This Row],[Producto]],T_Stocks[Ticker],0)),1,INDEX(T_Stocks[Close],MATCH(T_Saldo[[#This Row],[ID - Product - Fecha]],T_Stocks[ID],1),1))</f>
        <v>250.42</v>
      </c>
      <c r="F373" cm="1">
        <f t="array" ref="F373">IF(T_Saldo[[#This Row],[Divisa]]="USD",INDEX(T_USD_EUR[EURUSD],MATCH(T_Saldo[[#This Row],[Fecha]],T_USD_EUR[Fecha],1),0),1)</f>
        <v>1</v>
      </c>
      <c r="G373" t="str" cm="1">
        <f t="array" ref="G373">INDEX(T_Elementos[Divisa],MATCH(T_Saldo[[#This Row],[Producto]],T_Elementos[Producto],0),0)</f>
        <v>EUR</v>
      </c>
      <c r="H3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73" t="str">
        <f>T_Saldo[[#This Row],[Producto]] &amp; "-" &amp; DATE(YEAR(T_Saldo[[#This Row],[Fecha]]),MONTH(T_Saldo[[#This Row],[Fecha]]),DAY(T_Saldo[[#This Row],[Fecha]]))</f>
        <v>Bonos-44742</v>
      </c>
    </row>
    <row r="374" spans="1:10" x14ac:dyDescent="0.45">
      <c r="A374" s="15">
        <v>44742</v>
      </c>
      <c r="B374" t="s">
        <v>155</v>
      </c>
      <c r="C374">
        <f>T_Saldo[[#This Row],[Valor liquidativo]]*T_Saldo[[#This Row],[Participaciones]]</f>
        <v>19005.299940000001</v>
      </c>
      <c r="D374" s="11">
        <f>T_Saldo[[#This Row],[Valor liquidativo (Moneda Extranjera)]]/T_Saldo[[#This Row],[Cambio]]</f>
        <v>19005.299940000001</v>
      </c>
      <c r="E374" s="13">
        <f>IF(ISERROR(MATCH(T_Saldo[[#This Row],[Producto]],T_Stocks[Ticker],0)),1,INDEX(T_Stocks[Close],MATCH(T_Saldo[[#This Row],[ID - Product - Fecha]],T_Stocks[ID],1),1))</f>
        <v>19005.299940000001</v>
      </c>
      <c r="F374" cm="1">
        <f t="array" ref="F374">IF(T_Saldo[[#This Row],[Divisa]]="USD",INDEX(T_USD_EUR[EURUSD],MATCH(T_Saldo[[#This Row],[Fecha]],T_USD_EUR[Fecha],1),0),1)</f>
        <v>1</v>
      </c>
      <c r="G374" t="str" cm="1">
        <f t="array" ref="G374">INDEX(T_Elementos[Divisa],MATCH(T_Saldo[[#This Row],[Producto]],T_Elementos[Producto],0),0)</f>
        <v>EUR</v>
      </c>
      <c r="H3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74" t="str">
        <f>T_Saldo[[#This Row],[Producto]] &amp; "-" &amp; DATE(YEAR(T_Saldo[[#This Row],[Fecha]]),MONTH(T_Saldo[[#This Row],[Fecha]]),DAY(T_Saldo[[#This Row],[Fecha]]))</f>
        <v>BTCEUR-44742</v>
      </c>
    </row>
    <row r="375" spans="1:10" x14ac:dyDescent="0.45">
      <c r="A375" s="15">
        <v>44742</v>
      </c>
      <c r="B375" t="s">
        <v>46</v>
      </c>
      <c r="C375">
        <f>T_Saldo[[#This Row],[Valor liquidativo]]*T_Saldo[[#This Row],[Participaciones]]</f>
        <v>30303.319999999996</v>
      </c>
      <c r="D375" s="11">
        <f>T_Saldo[[#This Row],[Valor liquidativo (Moneda Extranjera)]]/T_Saldo[[#This Row],[Cambio]]</f>
        <v>1</v>
      </c>
      <c r="E375" s="13">
        <f>IF(ISERROR(MATCH(T_Saldo[[#This Row],[Producto]],T_Stocks[Ticker],0)),1,INDEX(T_Stocks[Close],MATCH(T_Saldo[[#This Row],[ID - Product - Fecha]],T_Stocks[ID],1),1))</f>
        <v>1</v>
      </c>
      <c r="F375" cm="1">
        <f t="array" ref="F375">IF(T_Saldo[[#This Row],[Divisa]]="USD",INDEX(T_USD_EUR[EURUSD],MATCH(T_Saldo[[#This Row],[Fecha]],T_USD_EUR[Fecha],1),0),1)</f>
        <v>1</v>
      </c>
      <c r="G375" t="str" cm="1">
        <f t="array" ref="G375">INDEX(T_Elementos[Divisa],MATCH(T_Saldo[[#This Row],[Producto]],T_Elementos[Producto],0),0)</f>
        <v>EUR</v>
      </c>
      <c r="H3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30303.319999999996</v>
      </c>
      <c r="J375" t="str">
        <f>T_Saldo[[#This Row],[Producto]] &amp; "-" &amp; DATE(YEAR(T_Saldo[[#This Row],[Fecha]]),MONTH(T_Saldo[[#This Row],[Fecha]]),DAY(T_Saldo[[#This Row],[Fecha]]))</f>
        <v>CA 1-44742</v>
      </c>
    </row>
    <row r="376" spans="1:10" x14ac:dyDescent="0.45">
      <c r="A376" s="15">
        <v>44742</v>
      </c>
      <c r="B376" t="s">
        <v>10</v>
      </c>
      <c r="C376">
        <f>T_Saldo[[#This Row],[Valor liquidativo]]*T_Saldo[[#This Row],[Participaciones]]</f>
        <v>18397.329999999998</v>
      </c>
      <c r="D376" s="11">
        <f>T_Saldo[[#This Row],[Valor liquidativo (Moneda Extranjera)]]/T_Saldo[[#This Row],[Cambio]]</f>
        <v>1</v>
      </c>
      <c r="E376" s="13">
        <f>IF(ISERROR(MATCH(T_Saldo[[#This Row],[Producto]],T_Stocks[Ticker],0)),1,INDEX(T_Stocks[Close],MATCH(T_Saldo[[#This Row],[ID - Product - Fecha]],T_Stocks[ID],1),1))</f>
        <v>1</v>
      </c>
      <c r="F376" cm="1">
        <f t="array" ref="F376">IF(T_Saldo[[#This Row],[Divisa]]="USD",INDEX(T_USD_EUR[EURUSD],MATCH(T_Saldo[[#This Row],[Fecha]],T_USD_EUR[Fecha],1),0),1)</f>
        <v>1</v>
      </c>
      <c r="G376" t="str" cm="1">
        <f t="array" ref="G376">INDEX(T_Elementos[Divisa],MATCH(T_Saldo[[#This Row],[Producto]],T_Elementos[Producto],0),0)</f>
        <v>EUR</v>
      </c>
      <c r="H3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18397.329999999998</v>
      </c>
      <c r="J376" t="str">
        <f>T_Saldo[[#This Row],[Producto]] &amp; "-" &amp; DATE(YEAR(T_Saldo[[#This Row],[Fecha]]),MONTH(T_Saldo[[#This Row],[Fecha]]),DAY(T_Saldo[[#This Row],[Fecha]]))</f>
        <v>CC 1-44742</v>
      </c>
    </row>
    <row r="377" spans="1:10" x14ac:dyDescent="0.45">
      <c r="A377" s="15">
        <v>44742</v>
      </c>
      <c r="B377" t="s">
        <v>49</v>
      </c>
      <c r="C377">
        <f>T_Saldo[[#This Row],[Valor liquidativo]]*T_Saldo[[#This Row],[Participaciones]]</f>
        <v>20372.310000000001</v>
      </c>
      <c r="D377" s="11">
        <f>T_Saldo[[#This Row],[Valor liquidativo (Moneda Extranjera)]]/T_Saldo[[#This Row],[Cambio]]</f>
        <v>1</v>
      </c>
      <c r="E377" s="13">
        <f>IF(ISERROR(MATCH(T_Saldo[[#This Row],[Producto]],T_Stocks[Ticker],0)),1,INDEX(T_Stocks[Close],MATCH(T_Saldo[[#This Row],[ID - Product - Fecha]],T_Stocks[ID],1),1))</f>
        <v>1</v>
      </c>
      <c r="F377" cm="1">
        <f t="array" ref="F377">IF(T_Saldo[[#This Row],[Divisa]]="USD",INDEX(T_USD_EUR[EURUSD],MATCH(T_Saldo[[#This Row],[Fecha]],T_USD_EUR[Fecha],1),0),1)</f>
        <v>1</v>
      </c>
      <c r="G377" t="str" cm="1">
        <f t="array" ref="G377">INDEX(T_Elementos[Divisa],MATCH(T_Saldo[[#This Row],[Producto]],T_Elementos[Producto],0),0)</f>
        <v>EUR</v>
      </c>
      <c r="H3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20372.310000000001</v>
      </c>
      <c r="J377" t="str">
        <f>T_Saldo[[#This Row],[Producto]] &amp; "-" &amp; DATE(YEAR(T_Saldo[[#This Row],[Fecha]]),MONTH(T_Saldo[[#This Row],[Fecha]]),DAY(T_Saldo[[#This Row],[Fecha]]))</f>
        <v>CC 2-44742</v>
      </c>
    </row>
    <row r="378" spans="1:10" x14ac:dyDescent="0.45">
      <c r="A378" s="15">
        <v>44742</v>
      </c>
      <c r="B378" t="s">
        <v>41</v>
      </c>
      <c r="C378">
        <f>T_Saldo[[#This Row],[Valor liquidativo]]*T_Saldo[[#This Row],[Participaciones]]</f>
        <v>2449.3877099999995</v>
      </c>
      <c r="D378" s="11">
        <f>T_Saldo[[#This Row],[Valor liquidativo (Moneda Extranjera)]]/T_Saldo[[#This Row],[Cambio]]</f>
        <v>244.93877099999995</v>
      </c>
      <c r="E378" s="13">
        <f>IF(ISERROR(MATCH(T_Saldo[[#This Row],[Producto]],T_Stocks[Ticker],0)),1,INDEX(T_Stocks[Close],MATCH(T_Saldo[[#This Row],[ID - Product - Fecha]],T_Stocks[ID],1),1))</f>
        <v>256.83</v>
      </c>
      <c r="F378" cm="1">
        <f t="array" ref="F378">IF(T_Saldo[[#This Row],[Divisa]]="USD",INDEX(T_USD_EUR[EURUSD],MATCH(T_Saldo[[#This Row],[Fecha]],T_USD_EUR[Fecha],1),0),1)</f>
        <v>1.0485477613505296</v>
      </c>
      <c r="G378" t="str" cm="1">
        <f t="array" ref="G378">INDEX(T_Elementos[Divisa],MATCH(T_Saldo[[#This Row],[Producto]],T_Elementos[Producto],0),0)</f>
        <v>USD</v>
      </c>
      <c r="H3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78" t="str">
        <f>T_Saldo[[#This Row],[Producto]] &amp; "-" &amp; DATE(YEAR(T_Saldo[[#This Row],[Fecha]]),MONTH(T_Saldo[[#This Row],[Fecha]]),DAY(T_Saldo[[#This Row],[Fecha]]))</f>
        <v>MSFT-44742</v>
      </c>
    </row>
    <row r="379" spans="1:10" x14ac:dyDescent="0.45">
      <c r="A379" s="15">
        <v>44742</v>
      </c>
      <c r="B379" t="s">
        <v>51</v>
      </c>
      <c r="C379">
        <f>T_Saldo[[#This Row],[Valor liquidativo]]*T_Saldo[[#This Row],[Participaciones]]</f>
        <v>0</v>
      </c>
      <c r="D379" s="11">
        <f>T_Saldo[[#This Row],[Valor liquidativo (Moneda Extranjera)]]/T_Saldo[[#This Row],[Cambio]]</f>
        <v>81.760700999999997</v>
      </c>
      <c r="E379" s="13">
        <f>IF(ISERROR(MATCH(T_Saldo[[#This Row],[Producto]],T_Stocks[Ticker],0)),1,INDEX(T_Stocks[Close],MATCH(T_Saldo[[#This Row],[ID - Product - Fecha]],T_Stocks[ID],1),1))</f>
        <v>85.73</v>
      </c>
      <c r="F379" cm="1">
        <f t="array" ref="F379">IF(T_Saldo[[#This Row],[Divisa]]="USD",INDEX(T_USD_EUR[EURUSD],MATCH(T_Saldo[[#This Row],[Fecha]],T_USD_EUR[Fecha],1),0),1)</f>
        <v>1.0485477613505296</v>
      </c>
      <c r="G379" t="str" cm="1">
        <f t="array" ref="G379">INDEX(T_Elementos[Divisa],MATCH(T_Saldo[[#This Row],[Producto]],T_Elementos[Producto],0),0)</f>
        <v>USD</v>
      </c>
      <c r="H3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79" t="str">
        <f>T_Saldo[[#This Row],[Producto]] &amp; "-" &amp; DATE(YEAR(T_Saldo[[#This Row],[Fecha]]),MONTH(T_Saldo[[#This Row],[Fecha]]),DAY(T_Saldo[[#This Row],[Fecha]]))</f>
        <v>PRHSX-44742</v>
      </c>
    </row>
    <row r="380" spans="1:10" x14ac:dyDescent="0.45">
      <c r="A380" s="15">
        <v>44742</v>
      </c>
      <c r="B380" t="s">
        <v>32</v>
      </c>
      <c r="C380">
        <f>T_Saldo[[#This Row],[Valor liquidativo]]*T_Saldo[[#This Row],[Participaciones]]</f>
        <v>17504.209799999997</v>
      </c>
      <c r="D380" s="11">
        <f>T_Saldo[[#This Row],[Valor liquidativo (Moneda Extranjera)]]/T_Saldo[[#This Row],[Cambio]]</f>
        <v>87.521048999999991</v>
      </c>
      <c r="E380" s="13">
        <f>IF(ISERROR(MATCH(T_Saldo[[#This Row],[Producto]],T_Stocks[Ticker],0)),1,INDEX(T_Stocks[Close],MATCH(T_Saldo[[#This Row],[ID - Product - Fecha]],T_Stocks[ID],1),1))</f>
        <v>91.77</v>
      </c>
      <c r="F380" cm="1">
        <f t="array" ref="F380">IF(T_Saldo[[#This Row],[Divisa]]="USD",INDEX(T_USD_EUR[EURUSD],MATCH(T_Saldo[[#This Row],[Fecha]],T_USD_EUR[Fecha],1),0),1)</f>
        <v>1.0485477613505296</v>
      </c>
      <c r="G380" t="str" cm="1">
        <f t="array" ref="G380">INDEX(T_Elementos[Divisa],MATCH(T_Saldo[[#This Row],[Producto]],T_Elementos[Producto],0),0)</f>
        <v>USD</v>
      </c>
      <c r="H3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380" t="str">
        <f>T_Saldo[[#This Row],[Producto]] &amp; "-" &amp; DATE(YEAR(T_Saldo[[#This Row],[Fecha]]),MONTH(T_Saldo[[#This Row],[Fecha]]),DAY(T_Saldo[[#This Row],[Fecha]]))</f>
        <v>VTSAX-44742</v>
      </c>
    </row>
    <row r="381" spans="1:10" x14ac:dyDescent="0.45">
      <c r="A381" s="15">
        <v>44773</v>
      </c>
      <c r="B381" t="s">
        <v>38</v>
      </c>
      <c r="C381">
        <f>T_Saldo[[#This Row],[Valor liquidativo]]*T_Saldo[[#This Row],[Participaciones]]</f>
        <v>15898.353299999997</v>
      </c>
      <c r="D381" s="11">
        <f>T_Saldo[[#This Row],[Valor liquidativo (Moneda Extranjera)]]/T_Saldo[[#This Row],[Cambio]]</f>
        <v>158.98353299999997</v>
      </c>
      <c r="E381" s="13">
        <f>IF(ISERROR(MATCH(T_Saldo[[#This Row],[Producto]],T_Stocks[Ticker],0)),1,INDEX(T_Stocks[Close],MATCH(T_Saldo[[#This Row],[ID - Product - Fecha]],T_Stocks[ID],1),1))</f>
        <v>162.51</v>
      </c>
      <c r="F381" cm="1">
        <f t="array" ref="F381">IF(T_Saldo[[#This Row],[Divisa]]="USD",INDEX(T_USD_EUR[EURUSD],MATCH(T_Saldo[[#This Row],[Fecha]],T_USD_EUR[Fecha],1),0),1)</f>
        <v>1.0221813349688236</v>
      </c>
      <c r="G381" t="str" cm="1">
        <f t="array" ref="G381">INDEX(T_Elementos[Divisa],MATCH(T_Saldo[[#This Row],[Producto]],T_Elementos[Producto],0),0)</f>
        <v>USD</v>
      </c>
      <c r="H3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81" t="str">
        <f>T_Saldo[[#This Row],[Producto]] &amp; "-" &amp; DATE(YEAR(T_Saldo[[#This Row],[Fecha]]),MONTH(T_Saldo[[#This Row],[Fecha]]),DAY(T_Saldo[[#This Row],[Fecha]]))</f>
        <v>AAPL-44773</v>
      </c>
    </row>
    <row r="382" spans="1:10" x14ac:dyDescent="0.45">
      <c r="A382" s="15">
        <v>44773</v>
      </c>
      <c r="B382" t="s">
        <v>43</v>
      </c>
      <c r="C382">
        <f>T_Saldo[[#This Row],[Valor liquidativo]]*T_Saldo[[#This Row],[Participaciones]]</f>
        <v>0</v>
      </c>
      <c r="D382" s="11">
        <f>T_Saldo[[#This Row],[Valor liquidativo (Moneda Extranjera)]]/T_Saldo[[#This Row],[Cambio]]</f>
        <v>250.42</v>
      </c>
      <c r="E382" s="13">
        <f>IF(ISERROR(MATCH(T_Saldo[[#This Row],[Producto]],T_Stocks[Ticker],0)),1,INDEX(T_Stocks[Close],MATCH(T_Saldo[[#This Row],[ID - Product - Fecha]],T_Stocks[ID],1),1))</f>
        <v>250.42</v>
      </c>
      <c r="F382" cm="1">
        <f t="array" ref="F382">IF(T_Saldo[[#This Row],[Divisa]]="USD",INDEX(T_USD_EUR[EURUSD],MATCH(T_Saldo[[#This Row],[Fecha]],T_USD_EUR[Fecha],1),0),1)</f>
        <v>1</v>
      </c>
      <c r="G382" t="str" cm="1">
        <f t="array" ref="G382">INDEX(T_Elementos[Divisa],MATCH(T_Saldo[[#This Row],[Producto]],T_Elementos[Producto],0),0)</f>
        <v>EUR</v>
      </c>
      <c r="H3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82" t="str">
        <f>T_Saldo[[#This Row],[Producto]] &amp; "-" &amp; DATE(YEAR(T_Saldo[[#This Row],[Fecha]]),MONTH(T_Saldo[[#This Row],[Fecha]]),DAY(T_Saldo[[#This Row],[Fecha]]))</f>
        <v>Bonos-44773</v>
      </c>
    </row>
    <row r="383" spans="1:10" x14ac:dyDescent="0.45">
      <c r="A383" s="15">
        <v>44773</v>
      </c>
      <c r="B383" t="s">
        <v>155</v>
      </c>
      <c r="C383">
        <f>T_Saldo[[#This Row],[Valor liquidativo]]*T_Saldo[[#This Row],[Participaciones]]</f>
        <v>22833.163329999999</v>
      </c>
      <c r="D383" s="11">
        <f>T_Saldo[[#This Row],[Valor liquidativo (Moneda Extranjera)]]/T_Saldo[[#This Row],[Cambio]]</f>
        <v>22833.163329999999</v>
      </c>
      <c r="E383" s="13">
        <f>IF(ISERROR(MATCH(T_Saldo[[#This Row],[Producto]],T_Stocks[Ticker],0)),1,INDEX(T_Stocks[Close],MATCH(T_Saldo[[#This Row],[ID - Product - Fecha]],T_Stocks[ID],1),1))</f>
        <v>22833.163329999999</v>
      </c>
      <c r="F383" cm="1">
        <f t="array" ref="F383">IF(T_Saldo[[#This Row],[Divisa]]="USD",INDEX(T_USD_EUR[EURUSD],MATCH(T_Saldo[[#This Row],[Fecha]],T_USD_EUR[Fecha],1),0),1)</f>
        <v>1</v>
      </c>
      <c r="G383" t="str" cm="1">
        <f t="array" ref="G383">INDEX(T_Elementos[Divisa],MATCH(T_Saldo[[#This Row],[Producto]],T_Elementos[Producto],0),0)</f>
        <v>EUR</v>
      </c>
      <c r="H3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83" t="str">
        <f>T_Saldo[[#This Row],[Producto]] &amp; "-" &amp; DATE(YEAR(T_Saldo[[#This Row],[Fecha]]),MONTH(T_Saldo[[#This Row],[Fecha]]),DAY(T_Saldo[[#This Row],[Fecha]]))</f>
        <v>BTCEUR-44773</v>
      </c>
    </row>
    <row r="384" spans="1:10" x14ac:dyDescent="0.45">
      <c r="A384" s="15">
        <v>44773</v>
      </c>
      <c r="B384" t="s">
        <v>46</v>
      </c>
      <c r="C384">
        <f>T_Saldo[[#This Row],[Valor liquidativo]]*T_Saldo[[#This Row],[Participaciones]]</f>
        <v>30019.769999999997</v>
      </c>
      <c r="D384" s="11">
        <f>T_Saldo[[#This Row],[Valor liquidativo (Moneda Extranjera)]]/T_Saldo[[#This Row],[Cambio]]</f>
        <v>1</v>
      </c>
      <c r="E384" s="13">
        <f>IF(ISERROR(MATCH(T_Saldo[[#This Row],[Producto]],T_Stocks[Ticker],0)),1,INDEX(T_Stocks[Close],MATCH(T_Saldo[[#This Row],[ID - Product - Fecha]],T_Stocks[ID],1),1))</f>
        <v>1</v>
      </c>
      <c r="F384" cm="1">
        <f t="array" ref="F384">IF(T_Saldo[[#This Row],[Divisa]]="USD",INDEX(T_USD_EUR[EURUSD],MATCH(T_Saldo[[#This Row],[Fecha]],T_USD_EUR[Fecha],1),0),1)</f>
        <v>1</v>
      </c>
      <c r="G384" t="str" cm="1">
        <f t="array" ref="G384">INDEX(T_Elementos[Divisa],MATCH(T_Saldo[[#This Row],[Producto]],T_Elementos[Producto],0),0)</f>
        <v>EUR</v>
      </c>
      <c r="H3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30019.769999999997</v>
      </c>
      <c r="J384" t="str">
        <f>T_Saldo[[#This Row],[Producto]] &amp; "-" &amp; DATE(YEAR(T_Saldo[[#This Row],[Fecha]]),MONTH(T_Saldo[[#This Row],[Fecha]]),DAY(T_Saldo[[#This Row],[Fecha]]))</f>
        <v>CA 1-44773</v>
      </c>
    </row>
    <row r="385" spans="1:10" x14ac:dyDescent="0.45">
      <c r="A385" s="15">
        <v>44773</v>
      </c>
      <c r="B385" t="s">
        <v>10</v>
      </c>
      <c r="C385">
        <f>T_Saldo[[#This Row],[Valor liquidativo]]*T_Saldo[[#This Row],[Participaciones]]</f>
        <v>18365.509999999998</v>
      </c>
      <c r="D385" s="11">
        <f>T_Saldo[[#This Row],[Valor liquidativo (Moneda Extranjera)]]/T_Saldo[[#This Row],[Cambio]]</f>
        <v>1</v>
      </c>
      <c r="E385" s="13">
        <f>IF(ISERROR(MATCH(T_Saldo[[#This Row],[Producto]],T_Stocks[Ticker],0)),1,INDEX(T_Stocks[Close],MATCH(T_Saldo[[#This Row],[ID - Product - Fecha]],T_Stocks[ID],1),1))</f>
        <v>1</v>
      </c>
      <c r="F385" cm="1">
        <f t="array" ref="F385">IF(T_Saldo[[#This Row],[Divisa]]="USD",INDEX(T_USD_EUR[EURUSD],MATCH(T_Saldo[[#This Row],[Fecha]],T_USD_EUR[Fecha],1),0),1)</f>
        <v>1</v>
      </c>
      <c r="G385" t="str" cm="1">
        <f t="array" ref="G385">INDEX(T_Elementos[Divisa],MATCH(T_Saldo[[#This Row],[Producto]],T_Elementos[Producto],0),0)</f>
        <v>EUR</v>
      </c>
      <c r="H3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18365.509999999998</v>
      </c>
      <c r="J385" t="str">
        <f>T_Saldo[[#This Row],[Producto]] &amp; "-" &amp; DATE(YEAR(T_Saldo[[#This Row],[Fecha]]),MONTH(T_Saldo[[#This Row],[Fecha]]),DAY(T_Saldo[[#This Row],[Fecha]]))</f>
        <v>CC 1-44773</v>
      </c>
    </row>
    <row r="386" spans="1:10" x14ac:dyDescent="0.45">
      <c r="A386" s="15">
        <v>44773</v>
      </c>
      <c r="B386" t="s">
        <v>49</v>
      </c>
      <c r="C386">
        <f>T_Saldo[[#This Row],[Valor liquidativo]]*T_Saldo[[#This Row],[Participaciones]]</f>
        <v>20310.310000000001</v>
      </c>
      <c r="D386" s="11">
        <f>T_Saldo[[#This Row],[Valor liquidativo (Moneda Extranjera)]]/T_Saldo[[#This Row],[Cambio]]</f>
        <v>1</v>
      </c>
      <c r="E386" s="13">
        <f>IF(ISERROR(MATCH(T_Saldo[[#This Row],[Producto]],T_Stocks[Ticker],0)),1,INDEX(T_Stocks[Close],MATCH(T_Saldo[[#This Row],[ID - Product - Fecha]],T_Stocks[ID],1),1))</f>
        <v>1</v>
      </c>
      <c r="F386" cm="1">
        <f t="array" ref="F386">IF(T_Saldo[[#This Row],[Divisa]]="USD",INDEX(T_USD_EUR[EURUSD],MATCH(T_Saldo[[#This Row],[Fecha]],T_USD_EUR[Fecha],1),0),1)</f>
        <v>1</v>
      </c>
      <c r="G386" t="str" cm="1">
        <f t="array" ref="G386">INDEX(T_Elementos[Divisa],MATCH(T_Saldo[[#This Row],[Producto]],T_Elementos[Producto],0),0)</f>
        <v>EUR</v>
      </c>
      <c r="H3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20310.310000000001</v>
      </c>
      <c r="J386" t="str">
        <f>T_Saldo[[#This Row],[Producto]] &amp; "-" &amp; DATE(YEAR(T_Saldo[[#This Row],[Fecha]]),MONTH(T_Saldo[[#This Row],[Fecha]]),DAY(T_Saldo[[#This Row],[Fecha]]))</f>
        <v>CC 2-44773</v>
      </c>
    </row>
    <row r="387" spans="1:10" x14ac:dyDescent="0.45">
      <c r="A387" s="15">
        <v>44773</v>
      </c>
      <c r="B387" t="s">
        <v>41</v>
      </c>
      <c r="C387">
        <f>T_Saldo[[#This Row],[Valor liquidativo]]*T_Saldo[[#This Row],[Participaciones]]</f>
        <v>2746.4794200000001</v>
      </c>
      <c r="D387" s="11">
        <f>T_Saldo[[#This Row],[Valor liquidativo (Moneda Extranjera)]]/T_Saldo[[#This Row],[Cambio]]</f>
        <v>274.647942</v>
      </c>
      <c r="E387" s="13">
        <f>IF(ISERROR(MATCH(T_Saldo[[#This Row],[Producto]],T_Stocks[Ticker],0)),1,INDEX(T_Stocks[Close],MATCH(T_Saldo[[#This Row],[ID - Product - Fecha]],T_Stocks[ID],1),1))</f>
        <v>280.74</v>
      </c>
      <c r="F387" cm="1">
        <f t="array" ref="F387">IF(T_Saldo[[#This Row],[Divisa]]="USD",INDEX(T_USD_EUR[EURUSD],MATCH(T_Saldo[[#This Row],[Fecha]],T_USD_EUR[Fecha],1),0),1)</f>
        <v>1.0221813349688236</v>
      </c>
      <c r="G387" t="str" cm="1">
        <f t="array" ref="G387">INDEX(T_Elementos[Divisa],MATCH(T_Saldo[[#This Row],[Producto]],T_Elementos[Producto],0),0)</f>
        <v>USD</v>
      </c>
      <c r="H3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87" t="str">
        <f>T_Saldo[[#This Row],[Producto]] &amp; "-" &amp; DATE(YEAR(T_Saldo[[#This Row],[Fecha]]),MONTH(T_Saldo[[#This Row],[Fecha]]),DAY(T_Saldo[[#This Row],[Fecha]]))</f>
        <v>MSFT-44773</v>
      </c>
    </row>
    <row r="388" spans="1:10" x14ac:dyDescent="0.45">
      <c r="A388" s="15">
        <v>44773</v>
      </c>
      <c r="B388" t="s">
        <v>51</v>
      </c>
      <c r="C388">
        <f>T_Saldo[[#This Row],[Valor liquidativo]]*T_Saldo[[#This Row],[Participaciones]]</f>
        <v>0</v>
      </c>
      <c r="D388" s="11">
        <f>T_Saldo[[#This Row],[Valor liquidativo (Moneda Extranjera)]]/T_Saldo[[#This Row],[Cambio]]</f>
        <v>88.545932999999991</v>
      </c>
      <c r="E388" s="13">
        <f>IF(ISERROR(MATCH(T_Saldo[[#This Row],[Producto]],T_Stocks[Ticker],0)),1,INDEX(T_Stocks[Close],MATCH(T_Saldo[[#This Row],[ID - Product - Fecha]],T_Stocks[ID],1),1))</f>
        <v>90.51</v>
      </c>
      <c r="F388" cm="1">
        <f t="array" ref="F388">IF(T_Saldo[[#This Row],[Divisa]]="USD",INDEX(T_USD_EUR[EURUSD],MATCH(T_Saldo[[#This Row],[Fecha]],T_USD_EUR[Fecha],1),0),1)</f>
        <v>1.0221813349688236</v>
      </c>
      <c r="G388" t="str" cm="1">
        <f t="array" ref="G388">INDEX(T_Elementos[Divisa],MATCH(T_Saldo[[#This Row],[Producto]],T_Elementos[Producto],0),0)</f>
        <v>USD</v>
      </c>
      <c r="H3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88" t="str">
        <f>T_Saldo[[#This Row],[Producto]] &amp; "-" &amp; DATE(YEAR(T_Saldo[[#This Row],[Fecha]]),MONTH(T_Saldo[[#This Row],[Fecha]]),DAY(T_Saldo[[#This Row],[Fecha]]))</f>
        <v>PRHSX-44773</v>
      </c>
    </row>
    <row r="389" spans="1:10" x14ac:dyDescent="0.45">
      <c r="A389" s="15">
        <v>44773</v>
      </c>
      <c r="B389" t="s">
        <v>32</v>
      </c>
      <c r="C389">
        <f>T_Saldo[[#This Row],[Valor liquidativo]]*T_Saldo[[#This Row],[Participaciones]]</f>
        <v>19642.307399999998</v>
      </c>
      <c r="D389" s="11">
        <f>T_Saldo[[#This Row],[Valor liquidativo (Moneda Extranjera)]]/T_Saldo[[#This Row],[Cambio]]</f>
        <v>98.211536999999993</v>
      </c>
      <c r="E389" s="13">
        <f>IF(ISERROR(MATCH(T_Saldo[[#This Row],[Producto]],T_Stocks[Ticker],0)),1,INDEX(T_Stocks[Close],MATCH(T_Saldo[[#This Row],[ID - Product - Fecha]],T_Stocks[ID],1),1))</f>
        <v>100.39</v>
      </c>
      <c r="F389" cm="1">
        <f t="array" ref="F389">IF(T_Saldo[[#This Row],[Divisa]]="USD",INDEX(T_USD_EUR[EURUSD],MATCH(T_Saldo[[#This Row],[Fecha]],T_USD_EUR[Fecha],1),0),1)</f>
        <v>1.0221813349688236</v>
      </c>
      <c r="G389" t="str" cm="1">
        <f t="array" ref="G389">INDEX(T_Elementos[Divisa],MATCH(T_Saldo[[#This Row],[Producto]],T_Elementos[Producto],0),0)</f>
        <v>USD</v>
      </c>
      <c r="H3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389" t="str">
        <f>T_Saldo[[#This Row],[Producto]] &amp; "-" &amp; DATE(YEAR(T_Saldo[[#This Row],[Fecha]]),MONTH(T_Saldo[[#This Row],[Fecha]]),DAY(T_Saldo[[#This Row],[Fecha]]))</f>
        <v>VTSAX-44773</v>
      </c>
    </row>
    <row r="390" spans="1:10" x14ac:dyDescent="0.45">
      <c r="A390" s="15">
        <v>44804</v>
      </c>
      <c r="B390" t="s">
        <v>38</v>
      </c>
      <c r="C390">
        <f>T_Saldo[[#This Row],[Valor liquidativo]]*T_Saldo[[#This Row],[Participaciones]]</f>
        <v>15626.095799999999</v>
      </c>
      <c r="D390" s="11">
        <f>T_Saldo[[#This Row],[Valor liquidativo (Moneda Extranjera)]]/T_Saldo[[#This Row],[Cambio]]</f>
        <v>156.26095799999999</v>
      </c>
      <c r="E390" s="13">
        <f>IF(ISERROR(MATCH(T_Saldo[[#This Row],[Producto]],T_Stocks[Ticker],0)),1,INDEX(T_Stocks[Close],MATCH(T_Saldo[[#This Row],[ID - Product - Fecha]],T_Stocks[ID],1),1))</f>
        <v>157.22</v>
      </c>
      <c r="F390" cm="1">
        <f t="array" ref="F390">IF(T_Saldo[[#This Row],[Divisa]]="USD",INDEX(T_USD_EUR[EURUSD],MATCH(T_Saldo[[#This Row],[Fecha]],T_USD_EUR[Fecha],1),0),1)</f>
        <v>1.006137438374082</v>
      </c>
      <c r="G390" t="str" cm="1">
        <f t="array" ref="G390">INDEX(T_Elementos[Divisa],MATCH(T_Saldo[[#This Row],[Producto]],T_Elementos[Producto],0),0)</f>
        <v>USD</v>
      </c>
      <c r="H3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90" t="str">
        <f>T_Saldo[[#This Row],[Producto]] &amp; "-" &amp; DATE(YEAR(T_Saldo[[#This Row],[Fecha]]),MONTH(T_Saldo[[#This Row],[Fecha]]),DAY(T_Saldo[[#This Row],[Fecha]]))</f>
        <v>AAPL-44804</v>
      </c>
    </row>
    <row r="391" spans="1:10" x14ac:dyDescent="0.45">
      <c r="A391" s="15">
        <v>44804</v>
      </c>
      <c r="B391" t="s">
        <v>43</v>
      </c>
      <c r="C391">
        <f>T_Saldo[[#This Row],[Valor liquidativo]]*T_Saldo[[#This Row],[Participaciones]]</f>
        <v>0</v>
      </c>
      <c r="D391" s="11">
        <f>T_Saldo[[#This Row],[Valor liquidativo (Moneda Extranjera)]]/T_Saldo[[#This Row],[Cambio]]</f>
        <v>250.42</v>
      </c>
      <c r="E391" s="13">
        <f>IF(ISERROR(MATCH(T_Saldo[[#This Row],[Producto]],T_Stocks[Ticker],0)),1,INDEX(T_Stocks[Close],MATCH(T_Saldo[[#This Row],[ID - Product - Fecha]],T_Stocks[ID],1),1))</f>
        <v>250.42</v>
      </c>
      <c r="F391" cm="1">
        <f t="array" ref="F391">IF(T_Saldo[[#This Row],[Divisa]]="USD",INDEX(T_USD_EUR[EURUSD],MATCH(T_Saldo[[#This Row],[Fecha]],T_USD_EUR[Fecha],1),0),1)</f>
        <v>1</v>
      </c>
      <c r="G391" t="str" cm="1">
        <f t="array" ref="G391">INDEX(T_Elementos[Divisa],MATCH(T_Saldo[[#This Row],[Producto]],T_Elementos[Producto],0),0)</f>
        <v>EUR</v>
      </c>
      <c r="H3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91" t="str">
        <f>T_Saldo[[#This Row],[Producto]] &amp; "-" &amp; DATE(YEAR(T_Saldo[[#This Row],[Fecha]]),MONTH(T_Saldo[[#This Row],[Fecha]]),DAY(T_Saldo[[#This Row],[Fecha]]))</f>
        <v>Bonos-44804</v>
      </c>
    </row>
    <row r="392" spans="1:10" x14ac:dyDescent="0.45">
      <c r="A392" s="15">
        <v>44804</v>
      </c>
      <c r="B392" t="s">
        <v>155</v>
      </c>
      <c r="C392">
        <f>T_Saldo[[#This Row],[Valor liquidativo]]*T_Saldo[[#This Row],[Participaciones]]</f>
        <v>19971.387910000001</v>
      </c>
      <c r="D392" s="11">
        <f>T_Saldo[[#This Row],[Valor liquidativo (Moneda Extranjera)]]/T_Saldo[[#This Row],[Cambio]]</f>
        <v>19971.387910000001</v>
      </c>
      <c r="E392" s="13">
        <f>IF(ISERROR(MATCH(T_Saldo[[#This Row],[Producto]],T_Stocks[Ticker],0)),1,INDEX(T_Stocks[Close],MATCH(T_Saldo[[#This Row],[ID - Product - Fecha]],T_Stocks[ID],1),1))</f>
        <v>19971.387910000001</v>
      </c>
      <c r="F392" cm="1">
        <f t="array" ref="F392">IF(T_Saldo[[#This Row],[Divisa]]="USD",INDEX(T_USD_EUR[EURUSD],MATCH(T_Saldo[[#This Row],[Fecha]],T_USD_EUR[Fecha],1),0),1)</f>
        <v>1</v>
      </c>
      <c r="G392" t="str" cm="1">
        <f t="array" ref="G392">INDEX(T_Elementos[Divisa],MATCH(T_Saldo[[#This Row],[Producto]],T_Elementos[Producto],0),0)</f>
        <v>EUR</v>
      </c>
      <c r="H3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392" t="str">
        <f>T_Saldo[[#This Row],[Producto]] &amp; "-" &amp; DATE(YEAR(T_Saldo[[#This Row],[Fecha]]),MONTH(T_Saldo[[#This Row],[Fecha]]),DAY(T_Saldo[[#This Row],[Fecha]]))</f>
        <v>BTCEUR-44804</v>
      </c>
    </row>
    <row r="393" spans="1:10" x14ac:dyDescent="0.45">
      <c r="A393" s="15">
        <v>44804</v>
      </c>
      <c r="B393" t="s">
        <v>46</v>
      </c>
      <c r="C393">
        <f>T_Saldo[[#This Row],[Valor liquidativo]]*T_Saldo[[#This Row],[Participaciones]]</f>
        <v>32438.439999999995</v>
      </c>
      <c r="D393" s="11">
        <f>T_Saldo[[#This Row],[Valor liquidativo (Moneda Extranjera)]]/T_Saldo[[#This Row],[Cambio]]</f>
        <v>1</v>
      </c>
      <c r="E393" s="13">
        <f>IF(ISERROR(MATCH(T_Saldo[[#This Row],[Producto]],T_Stocks[Ticker],0)),1,INDEX(T_Stocks[Close],MATCH(T_Saldo[[#This Row],[ID - Product - Fecha]],T_Stocks[ID],1),1))</f>
        <v>1</v>
      </c>
      <c r="F393" cm="1">
        <f t="array" ref="F393">IF(T_Saldo[[#This Row],[Divisa]]="USD",INDEX(T_USD_EUR[EURUSD],MATCH(T_Saldo[[#This Row],[Fecha]],T_USD_EUR[Fecha],1),0),1)</f>
        <v>1</v>
      </c>
      <c r="G393" t="str" cm="1">
        <f t="array" ref="G393">INDEX(T_Elementos[Divisa],MATCH(T_Saldo[[#This Row],[Producto]],T_Elementos[Producto],0),0)</f>
        <v>EUR</v>
      </c>
      <c r="H3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32438.439999999995</v>
      </c>
      <c r="J393" t="str">
        <f>T_Saldo[[#This Row],[Producto]] &amp; "-" &amp; DATE(YEAR(T_Saldo[[#This Row],[Fecha]]),MONTH(T_Saldo[[#This Row],[Fecha]]),DAY(T_Saldo[[#This Row],[Fecha]]))</f>
        <v>CA 1-44804</v>
      </c>
    </row>
    <row r="394" spans="1:10" x14ac:dyDescent="0.45">
      <c r="A394" s="15">
        <v>44804</v>
      </c>
      <c r="B394" t="s">
        <v>10</v>
      </c>
      <c r="C394">
        <f>T_Saldo[[#This Row],[Valor liquidativo]]*T_Saldo[[#This Row],[Participaciones]]</f>
        <v>18102.739999999998</v>
      </c>
      <c r="D394" s="11">
        <f>T_Saldo[[#This Row],[Valor liquidativo (Moneda Extranjera)]]/T_Saldo[[#This Row],[Cambio]]</f>
        <v>1</v>
      </c>
      <c r="E394" s="13">
        <f>IF(ISERROR(MATCH(T_Saldo[[#This Row],[Producto]],T_Stocks[Ticker],0)),1,INDEX(T_Stocks[Close],MATCH(T_Saldo[[#This Row],[ID - Product - Fecha]],T_Stocks[ID],1),1))</f>
        <v>1</v>
      </c>
      <c r="F394" cm="1">
        <f t="array" ref="F394">IF(T_Saldo[[#This Row],[Divisa]]="USD",INDEX(T_USD_EUR[EURUSD],MATCH(T_Saldo[[#This Row],[Fecha]],T_USD_EUR[Fecha],1),0),1)</f>
        <v>1</v>
      </c>
      <c r="G394" t="str" cm="1">
        <f t="array" ref="G394">INDEX(T_Elementos[Divisa],MATCH(T_Saldo[[#This Row],[Producto]],T_Elementos[Producto],0),0)</f>
        <v>EUR</v>
      </c>
      <c r="H3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18102.739999999998</v>
      </c>
      <c r="J394" t="str">
        <f>T_Saldo[[#This Row],[Producto]] &amp; "-" &amp; DATE(YEAR(T_Saldo[[#This Row],[Fecha]]),MONTH(T_Saldo[[#This Row],[Fecha]]),DAY(T_Saldo[[#This Row],[Fecha]]))</f>
        <v>CC 1-44804</v>
      </c>
    </row>
    <row r="395" spans="1:10" x14ac:dyDescent="0.45">
      <c r="A395" s="15">
        <v>44804</v>
      </c>
      <c r="B395" t="s">
        <v>49</v>
      </c>
      <c r="C395">
        <f>T_Saldo[[#This Row],[Valor liquidativo]]*T_Saldo[[#This Row],[Participaciones]]</f>
        <v>20217.840000000004</v>
      </c>
      <c r="D395" s="11">
        <f>T_Saldo[[#This Row],[Valor liquidativo (Moneda Extranjera)]]/T_Saldo[[#This Row],[Cambio]]</f>
        <v>1</v>
      </c>
      <c r="E395" s="13">
        <f>IF(ISERROR(MATCH(T_Saldo[[#This Row],[Producto]],T_Stocks[Ticker],0)),1,INDEX(T_Stocks[Close],MATCH(T_Saldo[[#This Row],[ID - Product - Fecha]],T_Stocks[ID],1),1))</f>
        <v>1</v>
      </c>
      <c r="F395" cm="1">
        <f t="array" ref="F395">IF(T_Saldo[[#This Row],[Divisa]]="USD",INDEX(T_USD_EUR[EURUSD],MATCH(T_Saldo[[#This Row],[Fecha]],T_USD_EUR[Fecha],1),0),1)</f>
        <v>1</v>
      </c>
      <c r="G395" t="str" cm="1">
        <f t="array" ref="G395">INDEX(T_Elementos[Divisa],MATCH(T_Saldo[[#This Row],[Producto]],T_Elementos[Producto],0),0)</f>
        <v>EUR</v>
      </c>
      <c r="H3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20217.840000000004</v>
      </c>
      <c r="J395" t="str">
        <f>T_Saldo[[#This Row],[Producto]] &amp; "-" &amp; DATE(YEAR(T_Saldo[[#This Row],[Fecha]]),MONTH(T_Saldo[[#This Row],[Fecha]]),DAY(T_Saldo[[#This Row],[Fecha]]))</f>
        <v>CC 2-44804</v>
      </c>
    </row>
    <row r="396" spans="1:10" x14ac:dyDescent="0.45">
      <c r="A396" s="15">
        <v>44804</v>
      </c>
      <c r="B396" t="s">
        <v>41</v>
      </c>
      <c r="C396">
        <f>T_Saldo[[#This Row],[Valor liquidativo]]*T_Saldo[[#This Row],[Participaciones]]</f>
        <v>2598.7503300000003</v>
      </c>
      <c r="D396" s="11">
        <f>T_Saldo[[#This Row],[Valor liquidativo (Moneda Extranjera)]]/T_Saldo[[#This Row],[Cambio]]</f>
        <v>259.87503300000003</v>
      </c>
      <c r="E396" s="13">
        <f>IF(ISERROR(MATCH(T_Saldo[[#This Row],[Producto]],T_Stocks[Ticker],0)),1,INDEX(T_Stocks[Close],MATCH(T_Saldo[[#This Row],[ID - Product - Fecha]],T_Stocks[ID],1),1))</f>
        <v>261.47000000000003</v>
      </c>
      <c r="F396" cm="1">
        <f t="array" ref="F396">IF(T_Saldo[[#This Row],[Divisa]]="USD",INDEX(T_USD_EUR[EURUSD],MATCH(T_Saldo[[#This Row],[Fecha]],T_USD_EUR[Fecha],1),0),1)</f>
        <v>1.006137438374082</v>
      </c>
      <c r="G396" t="str" cm="1">
        <f t="array" ref="G396">INDEX(T_Elementos[Divisa],MATCH(T_Saldo[[#This Row],[Producto]],T_Elementos[Producto],0),0)</f>
        <v>USD</v>
      </c>
      <c r="H3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396" t="str">
        <f>T_Saldo[[#This Row],[Producto]] &amp; "-" &amp; DATE(YEAR(T_Saldo[[#This Row],[Fecha]]),MONTH(T_Saldo[[#This Row],[Fecha]]),DAY(T_Saldo[[#This Row],[Fecha]]))</f>
        <v>MSFT-44804</v>
      </c>
    </row>
    <row r="397" spans="1:10" x14ac:dyDescent="0.45">
      <c r="A397" s="15">
        <v>44804</v>
      </c>
      <c r="B397" t="s">
        <v>51</v>
      </c>
      <c r="C397">
        <f>T_Saldo[[#This Row],[Valor liquidativo]]*T_Saldo[[#This Row],[Participaciones]]</f>
        <v>0</v>
      </c>
      <c r="D397" s="11">
        <f>T_Saldo[[#This Row],[Valor liquidativo (Moneda Extranjera)]]/T_Saldo[[#This Row],[Cambio]]</f>
        <v>87.17496899999999</v>
      </c>
      <c r="E397" s="13">
        <f>IF(ISERROR(MATCH(T_Saldo[[#This Row],[Producto]],T_Stocks[Ticker],0)),1,INDEX(T_Stocks[Close],MATCH(T_Saldo[[#This Row],[ID - Product - Fecha]],T_Stocks[ID],1),1))</f>
        <v>87.71</v>
      </c>
      <c r="F397" cm="1">
        <f t="array" ref="F397">IF(T_Saldo[[#This Row],[Divisa]]="USD",INDEX(T_USD_EUR[EURUSD],MATCH(T_Saldo[[#This Row],[Fecha]],T_USD_EUR[Fecha],1),0),1)</f>
        <v>1.006137438374082</v>
      </c>
      <c r="G397" t="str" cm="1">
        <f t="array" ref="G397">INDEX(T_Elementos[Divisa],MATCH(T_Saldo[[#This Row],[Producto]],T_Elementos[Producto],0),0)</f>
        <v>USD</v>
      </c>
      <c r="H3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397" t="str">
        <f>T_Saldo[[#This Row],[Producto]] &amp; "-" &amp; DATE(YEAR(T_Saldo[[#This Row],[Fecha]]),MONTH(T_Saldo[[#This Row],[Fecha]]),DAY(T_Saldo[[#This Row],[Fecha]]))</f>
        <v>PRHSX-44804</v>
      </c>
    </row>
    <row r="398" spans="1:10" x14ac:dyDescent="0.45">
      <c r="A398" s="15">
        <v>44804</v>
      </c>
      <c r="B398" t="s">
        <v>32</v>
      </c>
      <c r="C398">
        <f>T_Saldo[[#This Row],[Valor liquidativo]]*T_Saldo[[#This Row],[Participaciones]]</f>
        <v>19210.099200000001</v>
      </c>
      <c r="D398" s="11">
        <f>T_Saldo[[#This Row],[Valor liquidativo (Moneda Extranjera)]]/T_Saldo[[#This Row],[Cambio]]</f>
        <v>96.050495999999995</v>
      </c>
      <c r="E398" s="13">
        <f>IF(ISERROR(MATCH(T_Saldo[[#This Row],[Producto]],T_Stocks[Ticker],0)),1,INDEX(T_Stocks[Close],MATCH(T_Saldo[[#This Row],[ID - Product - Fecha]],T_Stocks[ID],1),1))</f>
        <v>96.64</v>
      </c>
      <c r="F398" cm="1">
        <f t="array" ref="F398">IF(T_Saldo[[#This Row],[Divisa]]="USD",INDEX(T_USD_EUR[EURUSD],MATCH(T_Saldo[[#This Row],[Fecha]],T_USD_EUR[Fecha],1),0),1)</f>
        <v>1.006137438374082</v>
      </c>
      <c r="G398" t="str" cm="1">
        <f t="array" ref="G398">INDEX(T_Elementos[Divisa],MATCH(T_Saldo[[#This Row],[Producto]],T_Elementos[Producto],0),0)</f>
        <v>USD</v>
      </c>
      <c r="H3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398" t="str">
        <f>T_Saldo[[#This Row],[Producto]] &amp; "-" &amp; DATE(YEAR(T_Saldo[[#This Row],[Fecha]]),MONTH(T_Saldo[[#This Row],[Fecha]]),DAY(T_Saldo[[#This Row],[Fecha]]))</f>
        <v>VTSAX-44804</v>
      </c>
    </row>
    <row r="399" spans="1:10" x14ac:dyDescent="0.45">
      <c r="A399" s="15">
        <v>44834</v>
      </c>
      <c r="B399" t="s">
        <v>38</v>
      </c>
      <c r="C399">
        <f>T_Saldo[[#This Row],[Valor liquidativo]]*T_Saldo[[#This Row],[Participaciones]]</f>
        <v>14097.782000000001</v>
      </c>
      <c r="D399" s="11">
        <f>T_Saldo[[#This Row],[Valor liquidativo (Moneda Extranjera)]]/T_Saldo[[#This Row],[Cambio]]</f>
        <v>140.97782000000001</v>
      </c>
      <c r="E399" s="13">
        <f>IF(ISERROR(MATCH(T_Saldo[[#This Row],[Producto]],T_Stocks[Ticker],0)),1,INDEX(T_Stocks[Close],MATCH(T_Saldo[[#This Row],[ID - Product - Fecha]],T_Stocks[ID],1),1))</f>
        <v>138.19999999999999</v>
      </c>
      <c r="F399" cm="1">
        <f t="array" ref="F399">IF(T_Saldo[[#This Row],[Divisa]]="USD",INDEX(T_USD_EUR[EURUSD],MATCH(T_Saldo[[#This Row],[Fecha]],T_USD_EUR[Fecha],1),0),1)</f>
        <v>0.98029604940692083</v>
      </c>
      <c r="G399" t="str" cm="1">
        <f t="array" ref="G399">INDEX(T_Elementos[Divisa],MATCH(T_Saldo[[#This Row],[Producto]],T_Elementos[Producto],0),0)</f>
        <v>USD</v>
      </c>
      <c r="H3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399" t="str">
        <f>T_Saldo[[#This Row],[Producto]] &amp; "-" &amp; DATE(YEAR(T_Saldo[[#This Row],[Fecha]]),MONTH(T_Saldo[[#This Row],[Fecha]]),DAY(T_Saldo[[#This Row],[Fecha]]))</f>
        <v>AAPL-44834</v>
      </c>
    </row>
    <row r="400" spans="1:10" x14ac:dyDescent="0.45">
      <c r="A400" s="15">
        <v>44834</v>
      </c>
      <c r="B400" t="s">
        <v>43</v>
      </c>
      <c r="C400">
        <f>T_Saldo[[#This Row],[Valor liquidativo]]*T_Saldo[[#This Row],[Participaciones]]</f>
        <v>0</v>
      </c>
      <c r="D400" s="11">
        <f>T_Saldo[[#This Row],[Valor liquidativo (Moneda Extranjera)]]/T_Saldo[[#This Row],[Cambio]]</f>
        <v>250.42</v>
      </c>
      <c r="E400" s="13">
        <f>IF(ISERROR(MATCH(T_Saldo[[#This Row],[Producto]],T_Stocks[Ticker],0)),1,INDEX(T_Stocks[Close],MATCH(T_Saldo[[#This Row],[ID - Product - Fecha]],T_Stocks[ID],1),1))</f>
        <v>250.42</v>
      </c>
      <c r="F400" cm="1">
        <f t="array" ref="F400">IF(T_Saldo[[#This Row],[Divisa]]="USD",INDEX(T_USD_EUR[EURUSD],MATCH(T_Saldo[[#This Row],[Fecha]],T_USD_EUR[Fecha],1),0),1)</f>
        <v>1</v>
      </c>
      <c r="G400" t="str" cm="1">
        <f t="array" ref="G400">INDEX(T_Elementos[Divisa],MATCH(T_Saldo[[#This Row],[Producto]],T_Elementos[Producto],0),0)</f>
        <v>EUR</v>
      </c>
      <c r="H4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00" t="str">
        <f>T_Saldo[[#This Row],[Producto]] &amp; "-" &amp; DATE(YEAR(T_Saldo[[#This Row],[Fecha]]),MONTH(T_Saldo[[#This Row],[Fecha]]),DAY(T_Saldo[[#This Row],[Fecha]]))</f>
        <v>Bonos-44834</v>
      </c>
    </row>
    <row r="401" spans="1:10" x14ac:dyDescent="0.45">
      <c r="A401" s="15">
        <v>44834</v>
      </c>
      <c r="B401" t="s">
        <v>155</v>
      </c>
      <c r="C401">
        <f>T_Saldo[[#This Row],[Valor liquidativo]]*T_Saldo[[#This Row],[Participaciones]]</f>
        <v>19811.129140000001</v>
      </c>
      <c r="D401" s="11">
        <f>T_Saldo[[#This Row],[Valor liquidativo (Moneda Extranjera)]]/T_Saldo[[#This Row],[Cambio]]</f>
        <v>19811.129140000001</v>
      </c>
      <c r="E401" s="13">
        <f>IF(ISERROR(MATCH(T_Saldo[[#This Row],[Producto]],T_Stocks[Ticker],0)),1,INDEX(T_Stocks[Close],MATCH(T_Saldo[[#This Row],[ID - Product - Fecha]],T_Stocks[ID],1),1))</f>
        <v>19811.129140000001</v>
      </c>
      <c r="F401" cm="1">
        <f t="array" ref="F401">IF(T_Saldo[[#This Row],[Divisa]]="USD",INDEX(T_USD_EUR[EURUSD],MATCH(T_Saldo[[#This Row],[Fecha]],T_USD_EUR[Fecha],1),0),1)</f>
        <v>1</v>
      </c>
      <c r="G401" t="str" cm="1">
        <f t="array" ref="G401">INDEX(T_Elementos[Divisa],MATCH(T_Saldo[[#This Row],[Producto]],T_Elementos[Producto],0),0)</f>
        <v>EUR</v>
      </c>
      <c r="H4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401" t="str">
        <f>T_Saldo[[#This Row],[Producto]] &amp; "-" &amp; DATE(YEAR(T_Saldo[[#This Row],[Fecha]]),MONTH(T_Saldo[[#This Row],[Fecha]]),DAY(T_Saldo[[#This Row],[Fecha]]))</f>
        <v>BTCEUR-44834</v>
      </c>
    </row>
    <row r="402" spans="1:10" x14ac:dyDescent="0.45">
      <c r="A402" s="15">
        <v>44834</v>
      </c>
      <c r="B402" t="s">
        <v>46</v>
      </c>
      <c r="C402">
        <f>T_Saldo[[#This Row],[Valor liquidativo]]*T_Saldo[[#This Row],[Participaciones]]</f>
        <v>32212.749999999993</v>
      </c>
      <c r="D402" s="11">
        <f>T_Saldo[[#This Row],[Valor liquidativo (Moneda Extranjera)]]/T_Saldo[[#This Row],[Cambio]]</f>
        <v>1</v>
      </c>
      <c r="E402" s="13">
        <f>IF(ISERROR(MATCH(T_Saldo[[#This Row],[Producto]],T_Stocks[Ticker],0)),1,INDEX(T_Stocks[Close],MATCH(T_Saldo[[#This Row],[ID - Product - Fecha]],T_Stocks[ID],1),1))</f>
        <v>1</v>
      </c>
      <c r="F402" cm="1">
        <f t="array" ref="F402">IF(T_Saldo[[#This Row],[Divisa]]="USD",INDEX(T_USD_EUR[EURUSD],MATCH(T_Saldo[[#This Row],[Fecha]],T_USD_EUR[Fecha],1),0),1)</f>
        <v>1</v>
      </c>
      <c r="G402" t="str" cm="1">
        <f t="array" ref="G402">INDEX(T_Elementos[Divisa],MATCH(T_Saldo[[#This Row],[Producto]],T_Elementos[Producto],0),0)</f>
        <v>EUR</v>
      </c>
      <c r="H4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32212.749999999993</v>
      </c>
      <c r="J402" t="str">
        <f>T_Saldo[[#This Row],[Producto]] &amp; "-" &amp; DATE(YEAR(T_Saldo[[#This Row],[Fecha]]),MONTH(T_Saldo[[#This Row],[Fecha]]),DAY(T_Saldo[[#This Row],[Fecha]]))</f>
        <v>CA 1-44834</v>
      </c>
    </row>
    <row r="403" spans="1:10" x14ac:dyDescent="0.45">
      <c r="A403" s="15">
        <v>44834</v>
      </c>
      <c r="B403" t="s">
        <v>10</v>
      </c>
      <c r="C403">
        <f>T_Saldo[[#This Row],[Valor liquidativo]]*T_Saldo[[#This Row],[Participaciones]]</f>
        <v>18077.16</v>
      </c>
      <c r="D403" s="11">
        <f>T_Saldo[[#This Row],[Valor liquidativo (Moneda Extranjera)]]/T_Saldo[[#This Row],[Cambio]]</f>
        <v>1</v>
      </c>
      <c r="E403" s="13">
        <f>IF(ISERROR(MATCH(T_Saldo[[#This Row],[Producto]],T_Stocks[Ticker],0)),1,INDEX(T_Stocks[Close],MATCH(T_Saldo[[#This Row],[ID - Product - Fecha]],T_Stocks[ID],1),1))</f>
        <v>1</v>
      </c>
      <c r="F403" cm="1">
        <f t="array" ref="F403">IF(T_Saldo[[#This Row],[Divisa]]="USD",INDEX(T_USD_EUR[EURUSD],MATCH(T_Saldo[[#This Row],[Fecha]],T_USD_EUR[Fecha],1),0),1)</f>
        <v>1</v>
      </c>
      <c r="G403" t="str" cm="1">
        <f t="array" ref="G403">INDEX(T_Elementos[Divisa],MATCH(T_Saldo[[#This Row],[Producto]],T_Elementos[Producto],0),0)</f>
        <v>EUR</v>
      </c>
      <c r="H4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18077.16</v>
      </c>
      <c r="J403" t="str">
        <f>T_Saldo[[#This Row],[Producto]] &amp; "-" &amp; DATE(YEAR(T_Saldo[[#This Row],[Fecha]]),MONTH(T_Saldo[[#This Row],[Fecha]]),DAY(T_Saldo[[#This Row],[Fecha]]))</f>
        <v>CC 1-44834</v>
      </c>
    </row>
    <row r="404" spans="1:10" x14ac:dyDescent="0.45">
      <c r="A404" s="15">
        <v>44834</v>
      </c>
      <c r="B404" t="s">
        <v>49</v>
      </c>
      <c r="C404">
        <f>T_Saldo[[#This Row],[Valor liquidativo]]*T_Saldo[[#This Row],[Participaciones]]</f>
        <v>22290.650000000005</v>
      </c>
      <c r="D404" s="11">
        <f>T_Saldo[[#This Row],[Valor liquidativo (Moneda Extranjera)]]/T_Saldo[[#This Row],[Cambio]]</f>
        <v>1</v>
      </c>
      <c r="E404" s="13">
        <f>IF(ISERROR(MATCH(T_Saldo[[#This Row],[Producto]],T_Stocks[Ticker],0)),1,INDEX(T_Stocks[Close],MATCH(T_Saldo[[#This Row],[ID - Product - Fecha]],T_Stocks[ID],1),1))</f>
        <v>1</v>
      </c>
      <c r="F404" cm="1">
        <f t="array" ref="F404">IF(T_Saldo[[#This Row],[Divisa]]="USD",INDEX(T_USD_EUR[EURUSD],MATCH(T_Saldo[[#This Row],[Fecha]],T_USD_EUR[Fecha],1),0),1)</f>
        <v>1</v>
      </c>
      <c r="G404" t="str" cm="1">
        <f t="array" ref="G404">INDEX(T_Elementos[Divisa],MATCH(T_Saldo[[#This Row],[Producto]],T_Elementos[Producto],0),0)</f>
        <v>EUR</v>
      </c>
      <c r="H4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22290.650000000005</v>
      </c>
      <c r="J404" t="str">
        <f>T_Saldo[[#This Row],[Producto]] &amp; "-" &amp; DATE(YEAR(T_Saldo[[#This Row],[Fecha]]),MONTH(T_Saldo[[#This Row],[Fecha]]),DAY(T_Saldo[[#This Row],[Fecha]]))</f>
        <v>CC 2-44834</v>
      </c>
    </row>
    <row r="405" spans="1:10" x14ac:dyDescent="0.45">
      <c r="A405" s="15">
        <v>44834</v>
      </c>
      <c r="B405" t="s">
        <v>41</v>
      </c>
      <c r="C405">
        <f>T_Saldo[[#This Row],[Valor liquidativo]]*T_Saldo[[#This Row],[Participaciones]]</f>
        <v>2375.8129000000004</v>
      </c>
      <c r="D405" s="11">
        <f>T_Saldo[[#This Row],[Valor liquidativo (Moneda Extranjera)]]/T_Saldo[[#This Row],[Cambio]]</f>
        <v>237.58129000000002</v>
      </c>
      <c r="E405" s="13">
        <f>IF(ISERROR(MATCH(T_Saldo[[#This Row],[Producto]],T_Stocks[Ticker],0)),1,INDEX(T_Stocks[Close],MATCH(T_Saldo[[#This Row],[ID - Product - Fecha]],T_Stocks[ID],1),1))</f>
        <v>232.9</v>
      </c>
      <c r="F405" cm="1">
        <f t="array" ref="F405">IF(T_Saldo[[#This Row],[Divisa]]="USD",INDEX(T_USD_EUR[EURUSD],MATCH(T_Saldo[[#This Row],[Fecha]],T_USD_EUR[Fecha],1),0),1)</f>
        <v>0.98029604940692083</v>
      </c>
      <c r="G405" t="str" cm="1">
        <f t="array" ref="G405">INDEX(T_Elementos[Divisa],MATCH(T_Saldo[[#This Row],[Producto]],T_Elementos[Producto],0),0)</f>
        <v>USD</v>
      </c>
      <c r="H4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05" t="str">
        <f>T_Saldo[[#This Row],[Producto]] &amp; "-" &amp; DATE(YEAR(T_Saldo[[#This Row],[Fecha]]),MONTH(T_Saldo[[#This Row],[Fecha]]),DAY(T_Saldo[[#This Row],[Fecha]]))</f>
        <v>MSFT-44834</v>
      </c>
    </row>
    <row r="406" spans="1:10" x14ac:dyDescent="0.45">
      <c r="A406" s="15">
        <v>44834</v>
      </c>
      <c r="B406" t="s">
        <v>51</v>
      </c>
      <c r="C406">
        <f>T_Saldo[[#This Row],[Valor liquidativo]]*T_Saldo[[#This Row],[Participaciones]]</f>
        <v>0</v>
      </c>
      <c r="D406" s="11">
        <f>T_Saldo[[#This Row],[Valor liquidativo (Moneda Extranjera)]]/T_Saldo[[#This Row],[Cambio]]</f>
        <v>85.667998000000011</v>
      </c>
      <c r="E406" s="13">
        <f>IF(ISERROR(MATCH(T_Saldo[[#This Row],[Producto]],T_Stocks[Ticker],0)),1,INDEX(T_Stocks[Close],MATCH(T_Saldo[[#This Row],[ID - Product - Fecha]],T_Stocks[ID],1),1))</f>
        <v>83.98</v>
      </c>
      <c r="F406" cm="1">
        <f t="array" ref="F406">IF(T_Saldo[[#This Row],[Divisa]]="USD",INDEX(T_USD_EUR[EURUSD],MATCH(T_Saldo[[#This Row],[Fecha]],T_USD_EUR[Fecha],1),0),1)</f>
        <v>0.98029604940692083</v>
      </c>
      <c r="G406" t="str" cm="1">
        <f t="array" ref="G406">INDEX(T_Elementos[Divisa],MATCH(T_Saldo[[#This Row],[Producto]],T_Elementos[Producto],0),0)</f>
        <v>USD</v>
      </c>
      <c r="H4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06" t="str">
        <f>T_Saldo[[#This Row],[Producto]] &amp; "-" &amp; DATE(YEAR(T_Saldo[[#This Row],[Fecha]]),MONTH(T_Saldo[[#This Row],[Fecha]]),DAY(T_Saldo[[#This Row],[Fecha]]))</f>
        <v>PRHSX-44834</v>
      </c>
    </row>
    <row r="407" spans="1:10" x14ac:dyDescent="0.45">
      <c r="A407" s="15">
        <v>44834</v>
      </c>
      <c r="B407" t="s">
        <v>32</v>
      </c>
      <c r="C407">
        <f>T_Saldo[[#This Row],[Valor liquidativo]]*T_Saldo[[#This Row],[Participaciones]]</f>
        <v>17812.986199999999</v>
      </c>
      <c r="D407" s="11">
        <f>T_Saldo[[#This Row],[Valor liquidativo (Moneda Extranjera)]]/T_Saldo[[#This Row],[Cambio]]</f>
        <v>89.064931000000001</v>
      </c>
      <c r="E407" s="13">
        <f>IF(ISERROR(MATCH(T_Saldo[[#This Row],[Producto]],T_Stocks[Ticker],0)),1,INDEX(T_Stocks[Close],MATCH(T_Saldo[[#This Row],[ID - Product - Fecha]],T_Stocks[ID],1),1))</f>
        <v>87.31</v>
      </c>
      <c r="F407" cm="1">
        <f t="array" ref="F407">IF(T_Saldo[[#This Row],[Divisa]]="USD",INDEX(T_USD_EUR[EURUSD],MATCH(T_Saldo[[#This Row],[Fecha]],T_USD_EUR[Fecha],1),0),1)</f>
        <v>0.98029604940692083</v>
      </c>
      <c r="G407" t="str" cm="1">
        <f t="array" ref="G407">INDEX(T_Elementos[Divisa],MATCH(T_Saldo[[#This Row],[Producto]],T_Elementos[Producto],0),0)</f>
        <v>USD</v>
      </c>
      <c r="H4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07" t="str">
        <f>T_Saldo[[#This Row],[Producto]] &amp; "-" &amp; DATE(YEAR(T_Saldo[[#This Row],[Fecha]]),MONTH(T_Saldo[[#This Row],[Fecha]]),DAY(T_Saldo[[#This Row],[Fecha]]))</f>
        <v>VTSAX-44834</v>
      </c>
    </row>
    <row r="408" spans="1:10" x14ac:dyDescent="0.45">
      <c r="A408" s="15">
        <v>44865</v>
      </c>
      <c r="B408" t="s">
        <v>38</v>
      </c>
      <c r="C408">
        <f>T_Saldo[[#This Row],[Valor liquidativo]]*T_Saldo[[#This Row],[Participaciones]]</f>
        <v>15508.8076</v>
      </c>
      <c r="D408" s="11">
        <f>T_Saldo[[#This Row],[Valor liquidativo (Moneda Extranjera)]]/T_Saldo[[#This Row],[Cambio]]</f>
        <v>155.088076</v>
      </c>
      <c r="E408" s="13">
        <f>IF(ISERROR(MATCH(T_Saldo[[#This Row],[Producto]],T_Stocks[Ticker],0)),1,INDEX(T_Stocks[Close],MATCH(T_Saldo[[#This Row],[ID - Product - Fecha]],T_Stocks[ID],1),1))</f>
        <v>153.34</v>
      </c>
      <c r="F408" cm="1">
        <f t="array" ref="F408">IF(T_Saldo[[#This Row],[Divisa]]="USD",INDEX(T_USD_EUR[EURUSD],MATCH(T_Saldo[[#This Row],[Fecha]],T_USD_EUR[Fecha],1),0),1)</f>
        <v>0.98872849515523031</v>
      </c>
      <c r="G408" t="str" cm="1">
        <f t="array" ref="G408">INDEX(T_Elementos[Divisa],MATCH(T_Saldo[[#This Row],[Producto]],T_Elementos[Producto],0),0)</f>
        <v>USD</v>
      </c>
      <c r="H4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408" t="str">
        <f>T_Saldo[[#This Row],[Producto]] &amp; "-" &amp; DATE(YEAR(T_Saldo[[#This Row],[Fecha]]),MONTH(T_Saldo[[#This Row],[Fecha]]),DAY(T_Saldo[[#This Row],[Fecha]]))</f>
        <v>AAPL-44865</v>
      </c>
    </row>
    <row r="409" spans="1:10" x14ac:dyDescent="0.45">
      <c r="A409" s="15">
        <v>44865</v>
      </c>
      <c r="B409" t="s">
        <v>43</v>
      </c>
      <c r="C409">
        <f>T_Saldo[[#This Row],[Valor liquidativo]]*T_Saldo[[#This Row],[Participaciones]]</f>
        <v>0</v>
      </c>
      <c r="D409" s="11">
        <f>T_Saldo[[#This Row],[Valor liquidativo (Moneda Extranjera)]]/T_Saldo[[#This Row],[Cambio]]</f>
        <v>250.42</v>
      </c>
      <c r="E409" s="13">
        <f>IF(ISERROR(MATCH(T_Saldo[[#This Row],[Producto]],T_Stocks[Ticker],0)),1,INDEX(T_Stocks[Close],MATCH(T_Saldo[[#This Row],[ID - Product - Fecha]],T_Stocks[ID],1),1))</f>
        <v>250.42</v>
      </c>
      <c r="F409" cm="1">
        <f t="array" ref="F409">IF(T_Saldo[[#This Row],[Divisa]]="USD",INDEX(T_USD_EUR[EURUSD],MATCH(T_Saldo[[#This Row],[Fecha]],T_USD_EUR[Fecha],1),0),1)</f>
        <v>1</v>
      </c>
      <c r="G409" t="str" cm="1">
        <f t="array" ref="G409">INDEX(T_Elementos[Divisa],MATCH(T_Saldo[[#This Row],[Producto]],T_Elementos[Producto],0),0)</f>
        <v>EUR</v>
      </c>
      <c r="H4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09" t="str">
        <f>T_Saldo[[#This Row],[Producto]] &amp; "-" &amp; DATE(YEAR(T_Saldo[[#This Row],[Fecha]]),MONTH(T_Saldo[[#This Row],[Fecha]]),DAY(T_Saldo[[#This Row],[Fecha]]))</f>
        <v>Bonos-44865</v>
      </c>
    </row>
    <row r="410" spans="1:10" x14ac:dyDescent="0.45">
      <c r="A410" s="15">
        <v>44865</v>
      </c>
      <c r="B410" t="s">
        <v>155</v>
      </c>
      <c r="C410">
        <f>T_Saldo[[#This Row],[Valor liquidativo]]*T_Saldo[[#This Row],[Participaciones]]</f>
        <v>20727.81984</v>
      </c>
      <c r="D410" s="11">
        <f>T_Saldo[[#This Row],[Valor liquidativo (Moneda Extranjera)]]/T_Saldo[[#This Row],[Cambio]]</f>
        <v>20727.81984</v>
      </c>
      <c r="E410" s="13">
        <f>IF(ISERROR(MATCH(T_Saldo[[#This Row],[Producto]],T_Stocks[Ticker],0)),1,INDEX(T_Stocks[Close],MATCH(T_Saldo[[#This Row],[ID - Product - Fecha]],T_Stocks[ID],1),1))</f>
        <v>20727.81984</v>
      </c>
      <c r="F410" cm="1">
        <f t="array" ref="F410">IF(T_Saldo[[#This Row],[Divisa]]="USD",INDEX(T_USD_EUR[EURUSD],MATCH(T_Saldo[[#This Row],[Fecha]],T_USD_EUR[Fecha],1),0),1)</f>
        <v>1</v>
      </c>
      <c r="G410" t="str" cm="1">
        <f t="array" ref="G410">INDEX(T_Elementos[Divisa],MATCH(T_Saldo[[#This Row],[Producto]],T_Elementos[Producto],0),0)</f>
        <v>EUR</v>
      </c>
      <c r="H4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</v>
      </c>
      <c r="J410" t="str">
        <f>T_Saldo[[#This Row],[Producto]] &amp; "-" &amp; DATE(YEAR(T_Saldo[[#This Row],[Fecha]]),MONTH(T_Saldo[[#This Row],[Fecha]]),DAY(T_Saldo[[#This Row],[Fecha]]))</f>
        <v>BTCEUR-44865</v>
      </c>
    </row>
    <row r="411" spans="1:10" x14ac:dyDescent="0.45">
      <c r="A411" s="15">
        <v>44865</v>
      </c>
      <c r="B411" t="s">
        <v>46</v>
      </c>
      <c r="C411">
        <f>T_Saldo[[#This Row],[Valor liquidativo]]*T_Saldo[[#This Row],[Participaciones]]</f>
        <v>34648.119999999995</v>
      </c>
      <c r="D411" s="11">
        <f>T_Saldo[[#This Row],[Valor liquidativo (Moneda Extranjera)]]/T_Saldo[[#This Row],[Cambio]]</f>
        <v>1</v>
      </c>
      <c r="E411" s="13">
        <f>IF(ISERROR(MATCH(T_Saldo[[#This Row],[Producto]],T_Stocks[Ticker],0)),1,INDEX(T_Stocks[Close],MATCH(T_Saldo[[#This Row],[ID - Product - Fecha]],T_Stocks[ID],1),1))</f>
        <v>1</v>
      </c>
      <c r="F411" cm="1">
        <f t="array" ref="F411">IF(T_Saldo[[#This Row],[Divisa]]="USD",INDEX(T_USD_EUR[EURUSD],MATCH(T_Saldo[[#This Row],[Fecha]],T_USD_EUR[Fecha],1),0),1)</f>
        <v>1</v>
      </c>
      <c r="G411" t="str" cm="1">
        <f t="array" ref="G411">INDEX(T_Elementos[Divisa],MATCH(T_Saldo[[#This Row],[Producto]],T_Elementos[Producto],0),0)</f>
        <v>EUR</v>
      </c>
      <c r="H4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34648.119999999995</v>
      </c>
      <c r="J411" t="str">
        <f>T_Saldo[[#This Row],[Producto]] &amp; "-" &amp; DATE(YEAR(T_Saldo[[#This Row],[Fecha]]),MONTH(T_Saldo[[#This Row],[Fecha]]),DAY(T_Saldo[[#This Row],[Fecha]]))</f>
        <v>CA 1-44865</v>
      </c>
    </row>
    <row r="412" spans="1:10" x14ac:dyDescent="0.45">
      <c r="A412" s="15">
        <v>44865</v>
      </c>
      <c r="B412" t="s">
        <v>10</v>
      </c>
      <c r="C412">
        <f>T_Saldo[[#This Row],[Valor liquidativo]]*T_Saldo[[#This Row],[Participaciones]]</f>
        <v>17975.21</v>
      </c>
      <c r="D412" s="11">
        <f>T_Saldo[[#This Row],[Valor liquidativo (Moneda Extranjera)]]/T_Saldo[[#This Row],[Cambio]]</f>
        <v>1</v>
      </c>
      <c r="E412" s="13">
        <f>IF(ISERROR(MATCH(T_Saldo[[#This Row],[Producto]],T_Stocks[Ticker],0)),1,INDEX(T_Stocks[Close],MATCH(T_Saldo[[#This Row],[ID - Product - Fecha]],T_Stocks[ID],1),1))</f>
        <v>1</v>
      </c>
      <c r="F412" cm="1">
        <f t="array" ref="F412">IF(T_Saldo[[#This Row],[Divisa]]="USD",INDEX(T_USD_EUR[EURUSD],MATCH(T_Saldo[[#This Row],[Fecha]],T_USD_EUR[Fecha],1),0),1)</f>
        <v>1</v>
      </c>
      <c r="G412" t="str" cm="1">
        <f t="array" ref="G412">INDEX(T_Elementos[Divisa],MATCH(T_Saldo[[#This Row],[Producto]],T_Elementos[Producto],0),0)</f>
        <v>EUR</v>
      </c>
      <c r="H4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17975.21</v>
      </c>
      <c r="J412" t="str">
        <f>T_Saldo[[#This Row],[Producto]] &amp; "-" &amp; DATE(YEAR(T_Saldo[[#This Row],[Fecha]]),MONTH(T_Saldo[[#This Row],[Fecha]]),DAY(T_Saldo[[#This Row],[Fecha]]))</f>
        <v>CC 1-44865</v>
      </c>
    </row>
    <row r="413" spans="1:10" x14ac:dyDescent="0.45">
      <c r="A413" s="15">
        <v>44865</v>
      </c>
      <c r="B413" t="s">
        <v>49</v>
      </c>
      <c r="C413">
        <f>T_Saldo[[#This Row],[Valor liquidativo]]*T_Saldo[[#This Row],[Participaciones]]</f>
        <v>22130.080000000005</v>
      </c>
      <c r="D413" s="11">
        <f>T_Saldo[[#This Row],[Valor liquidativo (Moneda Extranjera)]]/T_Saldo[[#This Row],[Cambio]]</f>
        <v>1</v>
      </c>
      <c r="E413" s="13">
        <f>IF(ISERROR(MATCH(T_Saldo[[#This Row],[Producto]],T_Stocks[Ticker],0)),1,INDEX(T_Stocks[Close],MATCH(T_Saldo[[#This Row],[ID - Product - Fecha]],T_Stocks[ID],1),1))</f>
        <v>1</v>
      </c>
      <c r="F413" cm="1">
        <f t="array" ref="F413">IF(T_Saldo[[#This Row],[Divisa]]="USD",INDEX(T_USD_EUR[EURUSD],MATCH(T_Saldo[[#This Row],[Fecha]],T_USD_EUR[Fecha],1),0),1)</f>
        <v>1</v>
      </c>
      <c r="G413" t="str" cm="1">
        <f t="array" ref="G413">INDEX(T_Elementos[Divisa],MATCH(T_Saldo[[#This Row],[Producto]],T_Elementos[Producto],0),0)</f>
        <v>EUR</v>
      </c>
      <c r="H4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22130.080000000005</v>
      </c>
      <c r="J413" t="str">
        <f>T_Saldo[[#This Row],[Producto]] &amp; "-" &amp; DATE(YEAR(T_Saldo[[#This Row],[Fecha]]),MONTH(T_Saldo[[#This Row],[Fecha]]),DAY(T_Saldo[[#This Row],[Fecha]]))</f>
        <v>CC 2-44865</v>
      </c>
    </row>
    <row r="414" spans="1:10" x14ac:dyDescent="0.45">
      <c r="A414" s="15">
        <v>44865</v>
      </c>
      <c r="B414" t="s">
        <v>41</v>
      </c>
      <c r="C414">
        <f>T_Saldo[[#This Row],[Valor liquidativo]]*T_Saldo[[#This Row],[Participaciones]]</f>
        <v>2347.7628199999999</v>
      </c>
      <c r="D414" s="11">
        <f>T_Saldo[[#This Row],[Valor liquidativo (Moneda Extranjera)]]/T_Saldo[[#This Row],[Cambio]]</f>
        <v>234.77628200000001</v>
      </c>
      <c r="E414" s="13">
        <f>IF(ISERROR(MATCH(T_Saldo[[#This Row],[Producto]],T_Stocks[Ticker],0)),1,INDEX(T_Stocks[Close],MATCH(T_Saldo[[#This Row],[ID - Product - Fecha]],T_Stocks[ID],1),1))</f>
        <v>232.13</v>
      </c>
      <c r="F414" cm="1">
        <f t="array" ref="F414">IF(T_Saldo[[#This Row],[Divisa]]="USD",INDEX(T_USD_EUR[EURUSD],MATCH(T_Saldo[[#This Row],[Fecha]],T_USD_EUR[Fecha],1),0),1)</f>
        <v>0.98872849515523031</v>
      </c>
      <c r="G414" t="str" cm="1">
        <f t="array" ref="G414">INDEX(T_Elementos[Divisa],MATCH(T_Saldo[[#This Row],[Producto]],T_Elementos[Producto],0),0)</f>
        <v>USD</v>
      </c>
      <c r="H4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14" t="str">
        <f>T_Saldo[[#This Row],[Producto]] &amp; "-" &amp; DATE(YEAR(T_Saldo[[#This Row],[Fecha]]),MONTH(T_Saldo[[#This Row],[Fecha]]),DAY(T_Saldo[[#This Row],[Fecha]]))</f>
        <v>MSFT-44865</v>
      </c>
    </row>
    <row r="415" spans="1:10" x14ac:dyDescent="0.45">
      <c r="A415" s="15">
        <v>44865</v>
      </c>
      <c r="B415" t="s">
        <v>51</v>
      </c>
      <c r="C415">
        <f>T_Saldo[[#This Row],[Valor liquidativo]]*T_Saldo[[#This Row],[Participaciones]]</f>
        <v>0</v>
      </c>
      <c r="D415" s="11">
        <f>T_Saldo[[#This Row],[Valor liquidativo (Moneda Extranjera)]]/T_Saldo[[#This Row],[Cambio]]</f>
        <v>91.460902000000019</v>
      </c>
      <c r="E415" s="13">
        <f>IF(ISERROR(MATCH(T_Saldo[[#This Row],[Producto]],T_Stocks[Ticker],0)),1,INDEX(T_Stocks[Close],MATCH(T_Saldo[[#This Row],[ID - Product - Fecha]],T_Stocks[ID],1),1))</f>
        <v>90.43</v>
      </c>
      <c r="F415" cm="1">
        <f t="array" ref="F415">IF(T_Saldo[[#This Row],[Divisa]]="USD",INDEX(T_USD_EUR[EURUSD],MATCH(T_Saldo[[#This Row],[Fecha]],T_USD_EUR[Fecha],1),0),1)</f>
        <v>0.98872849515523031</v>
      </c>
      <c r="G415" t="str" cm="1">
        <f t="array" ref="G415">INDEX(T_Elementos[Divisa],MATCH(T_Saldo[[#This Row],[Producto]],T_Elementos[Producto],0),0)</f>
        <v>USD</v>
      </c>
      <c r="H4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15" t="str">
        <f>T_Saldo[[#This Row],[Producto]] &amp; "-" &amp; DATE(YEAR(T_Saldo[[#This Row],[Fecha]]),MONTH(T_Saldo[[#This Row],[Fecha]]),DAY(T_Saldo[[#This Row],[Fecha]]))</f>
        <v>PRHSX-44865</v>
      </c>
    </row>
    <row r="416" spans="1:10" x14ac:dyDescent="0.45">
      <c r="A416" s="15">
        <v>44865</v>
      </c>
      <c r="B416" t="s">
        <v>32</v>
      </c>
      <c r="C416">
        <f>T_Saldo[[#This Row],[Valor liquidativo]]*T_Saldo[[#This Row],[Participaciones]]</f>
        <v>19103.323199999999</v>
      </c>
      <c r="D416" s="11">
        <f>T_Saldo[[#This Row],[Valor liquidativo (Moneda Extranjera)]]/T_Saldo[[#This Row],[Cambio]]</f>
        <v>95.516615999999999</v>
      </c>
      <c r="E416" s="13">
        <f>IF(ISERROR(MATCH(T_Saldo[[#This Row],[Producto]],T_Stocks[Ticker],0)),1,INDEX(T_Stocks[Close],MATCH(T_Saldo[[#This Row],[ID - Product - Fecha]],T_Stocks[ID],1),1))</f>
        <v>94.44</v>
      </c>
      <c r="F416" cm="1">
        <f t="array" ref="F416">IF(T_Saldo[[#This Row],[Divisa]]="USD",INDEX(T_USD_EUR[EURUSD],MATCH(T_Saldo[[#This Row],[Fecha]],T_USD_EUR[Fecha],1),0),1)</f>
        <v>0.98872849515523031</v>
      </c>
      <c r="G416" t="str" cm="1">
        <f t="array" ref="G416">INDEX(T_Elementos[Divisa],MATCH(T_Saldo[[#This Row],[Producto]],T_Elementos[Producto],0),0)</f>
        <v>USD</v>
      </c>
      <c r="H4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16" t="str">
        <f>T_Saldo[[#This Row],[Producto]] &amp; "-" &amp; DATE(YEAR(T_Saldo[[#This Row],[Fecha]]),MONTH(T_Saldo[[#This Row],[Fecha]]),DAY(T_Saldo[[#This Row],[Fecha]]))</f>
        <v>VTSAX-44865</v>
      </c>
    </row>
    <row r="417" spans="1:10" x14ac:dyDescent="0.45">
      <c r="A417" s="15">
        <v>44895</v>
      </c>
      <c r="B417" t="s">
        <v>38</v>
      </c>
      <c r="C417">
        <f>T_Saldo[[#This Row],[Valor liquidativo]]*T_Saldo[[#This Row],[Participaciones]]</f>
        <v>14221.242100000001</v>
      </c>
      <c r="D417" s="11">
        <f>T_Saldo[[#This Row],[Valor liquidativo (Moneda Extranjera)]]/T_Saldo[[#This Row],[Cambio]]</f>
        <v>142.21242100000001</v>
      </c>
      <c r="E417" s="13">
        <f>IF(ISERROR(MATCH(T_Saldo[[#This Row],[Producto]],T_Stocks[Ticker],0)),1,INDEX(T_Stocks[Close],MATCH(T_Saldo[[#This Row],[ID - Product - Fecha]],T_Stocks[ID],1),1))</f>
        <v>148.03</v>
      </c>
      <c r="F417" cm="1">
        <f t="array" ref="F417">IF(T_Saldo[[#This Row],[Divisa]]="USD",INDEX(T_USD_EUR[EURUSD],MATCH(T_Saldo[[#This Row],[Fecha]],T_USD_EUR[Fecha],1),0),1)</f>
        <v>1.0409076714895389</v>
      </c>
      <c r="G417" t="str" cm="1">
        <f t="array" ref="G417">INDEX(T_Elementos[Divisa],MATCH(T_Saldo[[#This Row],[Producto]],T_Elementos[Producto],0),0)</f>
        <v>USD</v>
      </c>
      <c r="H4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417" t="str">
        <f>T_Saldo[[#This Row],[Producto]] &amp; "-" &amp; DATE(YEAR(T_Saldo[[#This Row],[Fecha]]),MONTH(T_Saldo[[#This Row],[Fecha]]),DAY(T_Saldo[[#This Row],[Fecha]]))</f>
        <v>AAPL-44895</v>
      </c>
    </row>
    <row r="418" spans="1:10" x14ac:dyDescent="0.45">
      <c r="A418" s="15">
        <v>44895</v>
      </c>
      <c r="B418" t="s">
        <v>43</v>
      </c>
      <c r="C418">
        <f>T_Saldo[[#This Row],[Valor liquidativo]]*T_Saldo[[#This Row],[Participaciones]]</f>
        <v>0</v>
      </c>
      <c r="D418" s="11">
        <f>T_Saldo[[#This Row],[Valor liquidativo (Moneda Extranjera)]]/T_Saldo[[#This Row],[Cambio]]</f>
        <v>250.42</v>
      </c>
      <c r="E418" s="13">
        <f>IF(ISERROR(MATCH(T_Saldo[[#This Row],[Producto]],T_Stocks[Ticker],0)),1,INDEX(T_Stocks[Close],MATCH(T_Saldo[[#This Row],[ID - Product - Fecha]],T_Stocks[ID],1),1))</f>
        <v>250.42</v>
      </c>
      <c r="F418" cm="1">
        <f t="array" ref="F418">IF(T_Saldo[[#This Row],[Divisa]]="USD",INDEX(T_USD_EUR[EURUSD],MATCH(T_Saldo[[#This Row],[Fecha]],T_USD_EUR[Fecha],1),0),1)</f>
        <v>1</v>
      </c>
      <c r="G418" t="str" cm="1">
        <f t="array" ref="G418">INDEX(T_Elementos[Divisa],MATCH(T_Saldo[[#This Row],[Producto]],T_Elementos[Producto],0),0)</f>
        <v>EUR</v>
      </c>
      <c r="H4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18" t="str">
        <f>T_Saldo[[#This Row],[Producto]] &amp; "-" &amp; DATE(YEAR(T_Saldo[[#This Row],[Fecha]]),MONTH(T_Saldo[[#This Row],[Fecha]]),DAY(T_Saldo[[#This Row],[Fecha]]))</f>
        <v>Bonos-44895</v>
      </c>
    </row>
    <row r="419" spans="1:10" x14ac:dyDescent="0.45">
      <c r="A419" s="15">
        <v>44895</v>
      </c>
      <c r="B419" t="s">
        <v>155</v>
      </c>
      <c r="C419">
        <f>T_Saldo[[#This Row],[Valor liquidativo]]*T_Saldo[[#This Row],[Participaciones]]</f>
        <v>4115.6802049999997</v>
      </c>
      <c r="D419" s="11">
        <f>T_Saldo[[#This Row],[Valor liquidativo (Moneda Extranjera)]]/T_Saldo[[#This Row],[Cambio]]</f>
        <v>16462.720819999999</v>
      </c>
      <c r="E419" s="13">
        <f>IF(ISERROR(MATCH(T_Saldo[[#This Row],[Producto]],T_Stocks[Ticker],0)),1,INDEX(T_Stocks[Close],MATCH(T_Saldo[[#This Row],[ID - Product - Fecha]],T_Stocks[ID],1),1))</f>
        <v>16462.720819999999</v>
      </c>
      <c r="F419" cm="1">
        <f t="array" ref="F419">IF(T_Saldo[[#This Row],[Divisa]]="USD",INDEX(T_USD_EUR[EURUSD],MATCH(T_Saldo[[#This Row],[Fecha]],T_USD_EUR[Fecha],1),0),1)</f>
        <v>1</v>
      </c>
      <c r="G419" t="str" cm="1">
        <f t="array" ref="G419">INDEX(T_Elementos[Divisa],MATCH(T_Saldo[[#This Row],[Producto]],T_Elementos[Producto],0),0)</f>
        <v>EUR</v>
      </c>
      <c r="H4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19" t="str">
        <f>T_Saldo[[#This Row],[Producto]] &amp; "-" &amp; DATE(YEAR(T_Saldo[[#This Row],[Fecha]]),MONTH(T_Saldo[[#This Row],[Fecha]]),DAY(T_Saldo[[#This Row],[Fecha]]))</f>
        <v>BTCEUR-44895</v>
      </c>
    </row>
    <row r="420" spans="1:10" x14ac:dyDescent="0.45">
      <c r="A420" s="15">
        <v>44895</v>
      </c>
      <c r="B420" t="s">
        <v>46</v>
      </c>
      <c r="C420">
        <f>T_Saldo[[#This Row],[Valor liquidativo]]*T_Saldo[[#This Row],[Participaciones]]</f>
        <v>37530.799999999988</v>
      </c>
      <c r="D420" s="11">
        <f>T_Saldo[[#This Row],[Valor liquidativo (Moneda Extranjera)]]/T_Saldo[[#This Row],[Cambio]]</f>
        <v>1</v>
      </c>
      <c r="E420" s="13">
        <f>IF(ISERROR(MATCH(T_Saldo[[#This Row],[Producto]],T_Stocks[Ticker],0)),1,INDEX(T_Stocks[Close],MATCH(T_Saldo[[#This Row],[ID - Product - Fecha]],T_Stocks[ID],1),1))</f>
        <v>1</v>
      </c>
      <c r="F420" cm="1">
        <f t="array" ref="F420">IF(T_Saldo[[#This Row],[Divisa]]="USD",INDEX(T_USD_EUR[EURUSD],MATCH(T_Saldo[[#This Row],[Fecha]],T_USD_EUR[Fecha],1),0),1)</f>
        <v>1</v>
      </c>
      <c r="G420" t="str" cm="1">
        <f t="array" ref="G420">INDEX(T_Elementos[Divisa],MATCH(T_Saldo[[#This Row],[Producto]],T_Elementos[Producto],0),0)</f>
        <v>EUR</v>
      </c>
      <c r="H4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37530.799999999988</v>
      </c>
      <c r="J420" t="str">
        <f>T_Saldo[[#This Row],[Producto]] &amp; "-" &amp; DATE(YEAR(T_Saldo[[#This Row],[Fecha]]),MONTH(T_Saldo[[#This Row],[Fecha]]),DAY(T_Saldo[[#This Row],[Fecha]]))</f>
        <v>CA 1-44895</v>
      </c>
    </row>
    <row r="421" spans="1:10" x14ac:dyDescent="0.45">
      <c r="A421" s="15">
        <v>44895</v>
      </c>
      <c r="B421" t="s">
        <v>10</v>
      </c>
      <c r="C421">
        <f>T_Saldo[[#This Row],[Valor liquidativo]]*T_Saldo[[#This Row],[Participaciones]]</f>
        <v>17819.349999999999</v>
      </c>
      <c r="D421" s="11">
        <f>T_Saldo[[#This Row],[Valor liquidativo (Moneda Extranjera)]]/T_Saldo[[#This Row],[Cambio]]</f>
        <v>1</v>
      </c>
      <c r="E421" s="13">
        <f>IF(ISERROR(MATCH(T_Saldo[[#This Row],[Producto]],T_Stocks[Ticker],0)),1,INDEX(T_Stocks[Close],MATCH(T_Saldo[[#This Row],[ID - Product - Fecha]],T_Stocks[ID],1),1))</f>
        <v>1</v>
      </c>
      <c r="F421" cm="1">
        <f t="array" ref="F421">IF(T_Saldo[[#This Row],[Divisa]]="USD",INDEX(T_USD_EUR[EURUSD],MATCH(T_Saldo[[#This Row],[Fecha]],T_USD_EUR[Fecha],1),0),1)</f>
        <v>1</v>
      </c>
      <c r="G421" t="str" cm="1">
        <f t="array" ref="G421">INDEX(T_Elementos[Divisa],MATCH(T_Saldo[[#This Row],[Producto]],T_Elementos[Producto],0),0)</f>
        <v>EUR</v>
      </c>
      <c r="H4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17819.349999999999</v>
      </c>
      <c r="J421" t="str">
        <f>T_Saldo[[#This Row],[Producto]] &amp; "-" &amp; DATE(YEAR(T_Saldo[[#This Row],[Fecha]]),MONTH(T_Saldo[[#This Row],[Fecha]]),DAY(T_Saldo[[#This Row],[Fecha]]))</f>
        <v>CC 1-44895</v>
      </c>
    </row>
    <row r="422" spans="1:10" x14ac:dyDescent="0.45">
      <c r="A422" s="15">
        <v>44895</v>
      </c>
      <c r="B422" t="s">
        <v>49</v>
      </c>
      <c r="C422">
        <f>T_Saldo[[#This Row],[Valor liquidativo]]*T_Saldo[[#This Row],[Participaciones]]</f>
        <v>23859.140000000007</v>
      </c>
      <c r="D422" s="11">
        <f>T_Saldo[[#This Row],[Valor liquidativo (Moneda Extranjera)]]/T_Saldo[[#This Row],[Cambio]]</f>
        <v>1</v>
      </c>
      <c r="E422" s="13">
        <f>IF(ISERROR(MATCH(T_Saldo[[#This Row],[Producto]],T_Stocks[Ticker],0)),1,INDEX(T_Stocks[Close],MATCH(T_Saldo[[#This Row],[ID - Product - Fecha]],T_Stocks[ID],1),1))</f>
        <v>1</v>
      </c>
      <c r="F422" cm="1">
        <f t="array" ref="F422">IF(T_Saldo[[#This Row],[Divisa]]="USD",INDEX(T_USD_EUR[EURUSD],MATCH(T_Saldo[[#This Row],[Fecha]],T_USD_EUR[Fecha],1),0),1)</f>
        <v>1</v>
      </c>
      <c r="G422" t="str" cm="1">
        <f t="array" ref="G422">INDEX(T_Elementos[Divisa],MATCH(T_Saldo[[#This Row],[Producto]],T_Elementos[Producto],0),0)</f>
        <v>EUR</v>
      </c>
      <c r="H4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23859.140000000007</v>
      </c>
      <c r="J422" t="str">
        <f>T_Saldo[[#This Row],[Producto]] &amp; "-" &amp; DATE(YEAR(T_Saldo[[#This Row],[Fecha]]),MONTH(T_Saldo[[#This Row],[Fecha]]),DAY(T_Saldo[[#This Row],[Fecha]]))</f>
        <v>CC 2-44895</v>
      </c>
    </row>
    <row r="423" spans="1:10" x14ac:dyDescent="0.45">
      <c r="A423" s="15">
        <v>44895</v>
      </c>
      <c r="B423" t="s">
        <v>41</v>
      </c>
      <c r="C423">
        <f>T_Saldo[[#This Row],[Valor liquidativo]]*T_Saldo[[#This Row],[Participaciones]]</f>
        <v>2451.1299799999997</v>
      </c>
      <c r="D423" s="11">
        <f>T_Saldo[[#This Row],[Valor liquidativo (Moneda Extranjera)]]/T_Saldo[[#This Row],[Cambio]]</f>
        <v>245.11299799999998</v>
      </c>
      <c r="E423" s="13">
        <f>IF(ISERROR(MATCH(T_Saldo[[#This Row],[Producto]],T_Stocks[Ticker],0)),1,INDEX(T_Stocks[Close],MATCH(T_Saldo[[#This Row],[ID - Product - Fecha]],T_Stocks[ID],1),1))</f>
        <v>255.14</v>
      </c>
      <c r="F423" cm="1">
        <f t="array" ref="F423">IF(T_Saldo[[#This Row],[Divisa]]="USD",INDEX(T_USD_EUR[EURUSD],MATCH(T_Saldo[[#This Row],[Fecha]],T_USD_EUR[Fecha],1),0),1)</f>
        <v>1.0409076714895389</v>
      </c>
      <c r="G423" t="str" cm="1">
        <f t="array" ref="G423">INDEX(T_Elementos[Divisa],MATCH(T_Saldo[[#This Row],[Producto]],T_Elementos[Producto],0),0)</f>
        <v>USD</v>
      </c>
      <c r="H4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23" t="str">
        <f>T_Saldo[[#This Row],[Producto]] &amp; "-" &amp; DATE(YEAR(T_Saldo[[#This Row],[Fecha]]),MONTH(T_Saldo[[#This Row],[Fecha]]),DAY(T_Saldo[[#This Row],[Fecha]]))</f>
        <v>MSFT-44895</v>
      </c>
    </row>
    <row r="424" spans="1:10" x14ac:dyDescent="0.45">
      <c r="A424" s="15">
        <v>44895</v>
      </c>
      <c r="B424" t="s">
        <v>51</v>
      </c>
      <c r="C424">
        <f>T_Saldo[[#This Row],[Valor liquidativo]]*T_Saldo[[#This Row],[Participaciones]]</f>
        <v>0</v>
      </c>
      <c r="D424" s="11">
        <f>T_Saldo[[#This Row],[Valor liquidativo (Moneda Extranjera)]]/T_Saldo[[#This Row],[Cambio]]</f>
        <v>90.488332999999997</v>
      </c>
      <c r="E424" s="13">
        <f>IF(ISERROR(MATCH(T_Saldo[[#This Row],[Producto]],T_Stocks[Ticker],0)),1,INDEX(T_Stocks[Close],MATCH(T_Saldo[[#This Row],[ID - Product - Fecha]],T_Stocks[ID],1),1))</f>
        <v>94.19</v>
      </c>
      <c r="F424" cm="1">
        <f t="array" ref="F424">IF(T_Saldo[[#This Row],[Divisa]]="USD",INDEX(T_USD_EUR[EURUSD],MATCH(T_Saldo[[#This Row],[Fecha]],T_USD_EUR[Fecha],1),0),1)</f>
        <v>1.0409076714895389</v>
      </c>
      <c r="G424" t="str" cm="1">
        <f t="array" ref="G424">INDEX(T_Elementos[Divisa],MATCH(T_Saldo[[#This Row],[Producto]],T_Elementos[Producto],0),0)</f>
        <v>USD</v>
      </c>
      <c r="H4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24" t="str">
        <f>T_Saldo[[#This Row],[Producto]] &amp; "-" &amp; DATE(YEAR(T_Saldo[[#This Row],[Fecha]]),MONTH(T_Saldo[[#This Row],[Fecha]]),DAY(T_Saldo[[#This Row],[Fecha]]))</f>
        <v>PRHSX-44895</v>
      </c>
    </row>
    <row r="425" spans="1:10" x14ac:dyDescent="0.45">
      <c r="A425" s="15">
        <v>44895</v>
      </c>
      <c r="B425" t="s">
        <v>32</v>
      </c>
      <c r="C425">
        <f>T_Saldo[[#This Row],[Valor liquidativo]]*T_Saldo[[#This Row],[Participaciones]]</f>
        <v>19094.873199999998</v>
      </c>
      <c r="D425" s="11">
        <f>T_Saldo[[#This Row],[Valor liquidativo (Moneda Extranjera)]]/T_Saldo[[#This Row],[Cambio]]</f>
        <v>95.474365999999989</v>
      </c>
      <c r="E425" s="13">
        <f>IF(ISERROR(MATCH(T_Saldo[[#This Row],[Producto]],T_Stocks[Ticker],0)),1,INDEX(T_Stocks[Close],MATCH(T_Saldo[[#This Row],[ID - Product - Fecha]],T_Stocks[ID],1),1))</f>
        <v>99.38</v>
      </c>
      <c r="F425" cm="1">
        <f t="array" ref="F425">IF(T_Saldo[[#This Row],[Divisa]]="USD",INDEX(T_USD_EUR[EURUSD],MATCH(T_Saldo[[#This Row],[Fecha]],T_USD_EUR[Fecha],1),0),1)</f>
        <v>1.0409076714895389</v>
      </c>
      <c r="G425" t="str" cm="1">
        <f t="array" ref="G425">INDEX(T_Elementos[Divisa],MATCH(T_Saldo[[#This Row],[Producto]],T_Elementos[Producto],0),0)</f>
        <v>USD</v>
      </c>
      <c r="H4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25" t="str">
        <f>T_Saldo[[#This Row],[Producto]] &amp; "-" &amp; DATE(YEAR(T_Saldo[[#This Row],[Fecha]]),MONTH(T_Saldo[[#This Row],[Fecha]]),DAY(T_Saldo[[#This Row],[Fecha]]))</f>
        <v>VTSAX-44895</v>
      </c>
    </row>
    <row r="426" spans="1:10" x14ac:dyDescent="0.45">
      <c r="A426" s="15">
        <v>44926</v>
      </c>
      <c r="B426" t="s">
        <v>38</v>
      </c>
      <c r="C426">
        <f>T_Saldo[[#This Row],[Valor liquidativo]]*T_Saldo[[#This Row],[Participaciones]]</f>
        <v>12136.7613</v>
      </c>
      <c r="D426" s="11">
        <f>T_Saldo[[#This Row],[Valor liquidativo (Moneda Extranjera)]]/T_Saldo[[#This Row],[Cambio]]</f>
        <v>121.36761300000001</v>
      </c>
      <c r="E426" s="13">
        <f>IF(ISERROR(MATCH(T_Saldo[[#This Row],[Producto]],T_Stocks[Ticker],0)),1,INDEX(T_Stocks[Close],MATCH(T_Saldo[[#This Row],[ID - Product - Fecha]],T_Stocks[ID],1),1))</f>
        <v>129.93</v>
      </c>
      <c r="F426" cm="1">
        <f t="array" ref="F426">IF(T_Saldo[[#This Row],[Divisa]]="USD",INDEX(T_USD_EUR[EURUSD],MATCH(T_Saldo[[#This Row],[Fecha]],T_USD_EUR[Fecha],1),0),1)</f>
        <v>1.0705491917353602</v>
      </c>
      <c r="G426" t="str" cm="1">
        <f t="array" ref="G426">INDEX(T_Elementos[Divisa],MATCH(T_Saldo[[#This Row],[Producto]],T_Elementos[Producto],0),0)</f>
        <v>USD</v>
      </c>
      <c r="H4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426" t="str">
        <f>T_Saldo[[#This Row],[Producto]] &amp; "-" &amp; DATE(YEAR(T_Saldo[[#This Row],[Fecha]]),MONTH(T_Saldo[[#This Row],[Fecha]]),DAY(T_Saldo[[#This Row],[Fecha]]))</f>
        <v>AAPL-44926</v>
      </c>
    </row>
    <row r="427" spans="1:10" x14ac:dyDescent="0.45">
      <c r="A427" s="15">
        <v>44926</v>
      </c>
      <c r="B427" t="s">
        <v>43</v>
      </c>
      <c r="C427">
        <f>T_Saldo[[#This Row],[Valor liquidativo]]*T_Saldo[[#This Row],[Participaciones]]</f>
        <v>0</v>
      </c>
      <c r="D427" s="11">
        <f>T_Saldo[[#This Row],[Valor liquidativo (Moneda Extranjera)]]/T_Saldo[[#This Row],[Cambio]]</f>
        <v>250.42</v>
      </c>
      <c r="E427" s="13">
        <f>IF(ISERROR(MATCH(T_Saldo[[#This Row],[Producto]],T_Stocks[Ticker],0)),1,INDEX(T_Stocks[Close],MATCH(T_Saldo[[#This Row],[ID - Product - Fecha]],T_Stocks[ID],1),1))</f>
        <v>250.42</v>
      </c>
      <c r="F427" cm="1">
        <f t="array" ref="F427">IF(T_Saldo[[#This Row],[Divisa]]="USD",INDEX(T_USD_EUR[EURUSD],MATCH(T_Saldo[[#This Row],[Fecha]],T_USD_EUR[Fecha],1),0),1)</f>
        <v>1</v>
      </c>
      <c r="G427" t="str" cm="1">
        <f t="array" ref="G427">INDEX(T_Elementos[Divisa],MATCH(T_Saldo[[#This Row],[Producto]],T_Elementos[Producto],0),0)</f>
        <v>EUR</v>
      </c>
      <c r="H4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27" t="str">
        <f>T_Saldo[[#This Row],[Producto]] &amp; "-" &amp; DATE(YEAR(T_Saldo[[#This Row],[Fecha]]),MONTH(T_Saldo[[#This Row],[Fecha]]),DAY(T_Saldo[[#This Row],[Fecha]]))</f>
        <v>Bonos-44926</v>
      </c>
    </row>
    <row r="428" spans="1:10" x14ac:dyDescent="0.45">
      <c r="A428" s="15">
        <v>44926</v>
      </c>
      <c r="B428" t="s">
        <v>155</v>
      </c>
      <c r="C428">
        <f>T_Saldo[[#This Row],[Valor liquidativo]]*T_Saldo[[#This Row],[Participaciones]]</f>
        <v>3851.7168299999998</v>
      </c>
      <c r="D428" s="11">
        <f>T_Saldo[[#This Row],[Valor liquidativo (Moneda Extranjera)]]/T_Saldo[[#This Row],[Cambio]]</f>
        <v>15406.867319999999</v>
      </c>
      <c r="E428" s="13">
        <f>IF(ISERROR(MATCH(T_Saldo[[#This Row],[Producto]],T_Stocks[Ticker],0)),1,INDEX(T_Stocks[Close],MATCH(T_Saldo[[#This Row],[ID - Product - Fecha]],T_Stocks[ID],1),1))</f>
        <v>15406.867319999999</v>
      </c>
      <c r="F428" cm="1">
        <f t="array" ref="F428">IF(T_Saldo[[#This Row],[Divisa]]="USD",INDEX(T_USD_EUR[EURUSD],MATCH(T_Saldo[[#This Row],[Fecha]],T_USD_EUR[Fecha],1),0),1)</f>
        <v>1</v>
      </c>
      <c r="G428" t="str" cm="1">
        <f t="array" ref="G428">INDEX(T_Elementos[Divisa],MATCH(T_Saldo[[#This Row],[Producto]],T_Elementos[Producto],0),0)</f>
        <v>EUR</v>
      </c>
      <c r="H4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28" t="str">
        <f>T_Saldo[[#This Row],[Producto]] &amp; "-" &amp; DATE(YEAR(T_Saldo[[#This Row],[Fecha]]),MONTH(T_Saldo[[#This Row],[Fecha]]),DAY(T_Saldo[[#This Row],[Fecha]]))</f>
        <v>BTCEUR-44926</v>
      </c>
    </row>
    <row r="429" spans="1:10" x14ac:dyDescent="0.45">
      <c r="A429" s="15">
        <v>44926</v>
      </c>
      <c r="B429" t="s">
        <v>46</v>
      </c>
      <c r="C429">
        <f>T_Saldo[[#This Row],[Valor liquidativo]]*T_Saldo[[#This Row],[Participaciones]]</f>
        <v>37455.889999999992</v>
      </c>
      <c r="D429" s="11">
        <f>T_Saldo[[#This Row],[Valor liquidativo (Moneda Extranjera)]]/T_Saldo[[#This Row],[Cambio]]</f>
        <v>1</v>
      </c>
      <c r="E429" s="13">
        <f>IF(ISERROR(MATCH(T_Saldo[[#This Row],[Producto]],T_Stocks[Ticker],0)),1,INDEX(T_Stocks[Close],MATCH(T_Saldo[[#This Row],[ID - Product - Fecha]],T_Stocks[ID],1),1))</f>
        <v>1</v>
      </c>
      <c r="F429" cm="1">
        <f t="array" ref="F429">IF(T_Saldo[[#This Row],[Divisa]]="USD",INDEX(T_USD_EUR[EURUSD],MATCH(T_Saldo[[#This Row],[Fecha]],T_USD_EUR[Fecha],1),0),1)</f>
        <v>1</v>
      </c>
      <c r="G429" t="str" cm="1">
        <f t="array" ref="G429">INDEX(T_Elementos[Divisa],MATCH(T_Saldo[[#This Row],[Producto]],T_Elementos[Producto],0),0)</f>
        <v>EUR</v>
      </c>
      <c r="H4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37455.889999999992</v>
      </c>
      <c r="J429" t="str">
        <f>T_Saldo[[#This Row],[Producto]] &amp; "-" &amp; DATE(YEAR(T_Saldo[[#This Row],[Fecha]]),MONTH(T_Saldo[[#This Row],[Fecha]]),DAY(T_Saldo[[#This Row],[Fecha]]))</f>
        <v>CA 1-44926</v>
      </c>
    </row>
    <row r="430" spans="1:10" x14ac:dyDescent="0.45">
      <c r="A430" s="15">
        <v>44926</v>
      </c>
      <c r="B430" t="s">
        <v>10</v>
      </c>
      <c r="C430">
        <f>T_Saldo[[#This Row],[Valor liquidativo]]*T_Saldo[[#This Row],[Participaciones]]</f>
        <v>22427.550000000003</v>
      </c>
      <c r="D430" s="11">
        <f>T_Saldo[[#This Row],[Valor liquidativo (Moneda Extranjera)]]/T_Saldo[[#This Row],[Cambio]]</f>
        <v>1</v>
      </c>
      <c r="E430" s="13">
        <f>IF(ISERROR(MATCH(T_Saldo[[#This Row],[Producto]],T_Stocks[Ticker],0)),1,INDEX(T_Stocks[Close],MATCH(T_Saldo[[#This Row],[ID - Product - Fecha]],T_Stocks[ID],1),1))</f>
        <v>1</v>
      </c>
      <c r="F430" cm="1">
        <f t="array" ref="F430">IF(T_Saldo[[#This Row],[Divisa]]="USD",INDEX(T_USD_EUR[EURUSD],MATCH(T_Saldo[[#This Row],[Fecha]],T_USD_EUR[Fecha],1),0),1)</f>
        <v>1</v>
      </c>
      <c r="G430" t="str" cm="1">
        <f t="array" ref="G430">INDEX(T_Elementos[Divisa],MATCH(T_Saldo[[#This Row],[Producto]],T_Elementos[Producto],0),0)</f>
        <v>EUR</v>
      </c>
      <c r="H4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22427.550000000003</v>
      </c>
      <c r="J430" t="str">
        <f>T_Saldo[[#This Row],[Producto]] &amp; "-" &amp; DATE(YEAR(T_Saldo[[#This Row],[Fecha]]),MONTH(T_Saldo[[#This Row],[Fecha]]),DAY(T_Saldo[[#This Row],[Fecha]]))</f>
        <v>CC 1-44926</v>
      </c>
    </row>
    <row r="431" spans="1:10" x14ac:dyDescent="0.45">
      <c r="A431" s="15">
        <v>44926</v>
      </c>
      <c r="B431" t="s">
        <v>49</v>
      </c>
      <c r="C431">
        <f>T_Saldo[[#This Row],[Valor liquidativo]]*T_Saldo[[#This Row],[Participaciones]]</f>
        <v>23690.150000000009</v>
      </c>
      <c r="D431" s="11">
        <f>T_Saldo[[#This Row],[Valor liquidativo (Moneda Extranjera)]]/T_Saldo[[#This Row],[Cambio]]</f>
        <v>1</v>
      </c>
      <c r="E431" s="13">
        <f>IF(ISERROR(MATCH(T_Saldo[[#This Row],[Producto]],T_Stocks[Ticker],0)),1,INDEX(T_Stocks[Close],MATCH(T_Saldo[[#This Row],[ID - Product - Fecha]],T_Stocks[ID],1),1))</f>
        <v>1</v>
      </c>
      <c r="F431" cm="1">
        <f t="array" ref="F431">IF(T_Saldo[[#This Row],[Divisa]]="USD",INDEX(T_USD_EUR[EURUSD],MATCH(T_Saldo[[#This Row],[Fecha]],T_USD_EUR[Fecha],1),0),1)</f>
        <v>1</v>
      </c>
      <c r="G431" t="str" cm="1">
        <f t="array" ref="G431">INDEX(T_Elementos[Divisa],MATCH(T_Saldo[[#This Row],[Producto]],T_Elementos[Producto],0),0)</f>
        <v>EUR</v>
      </c>
      <c r="H4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23690.150000000009</v>
      </c>
      <c r="J431" t="str">
        <f>T_Saldo[[#This Row],[Producto]] &amp; "-" &amp; DATE(YEAR(T_Saldo[[#This Row],[Fecha]]),MONTH(T_Saldo[[#This Row],[Fecha]]),DAY(T_Saldo[[#This Row],[Fecha]]))</f>
        <v>CC 2-44926</v>
      </c>
    </row>
    <row r="432" spans="1:10" x14ac:dyDescent="0.45">
      <c r="A432" s="15">
        <v>44926</v>
      </c>
      <c r="B432" t="s">
        <v>41</v>
      </c>
      <c r="C432">
        <f>T_Saldo[[#This Row],[Valor liquidativo]]*T_Saldo[[#This Row],[Participaciones]]</f>
        <v>2240.1586200000002</v>
      </c>
      <c r="D432" s="11">
        <f>T_Saldo[[#This Row],[Valor liquidativo (Moneda Extranjera)]]/T_Saldo[[#This Row],[Cambio]]</f>
        <v>224.015862</v>
      </c>
      <c r="E432" s="13">
        <f>IF(ISERROR(MATCH(T_Saldo[[#This Row],[Producto]],T_Stocks[Ticker],0)),1,INDEX(T_Stocks[Close],MATCH(T_Saldo[[#This Row],[ID - Product - Fecha]],T_Stocks[ID],1),1))</f>
        <v>239.82</v>
      </c>
      <c r="F432" cm="1">
        <f t="array" ref="F432">IF(T_Saldo[[#This Row],[Divisa]]="USD",INDEX(T_USD_EUR[EURUSD],MATCH(T_Saldo[[#This Row],[Fecha]],T_USD_EUR[Fecha],1),0),1)</f>
        <v>1.0705491917353602</v>
      </c>
      <c r="G432" t="str" cm="1">
        <f t="array" ref="G432">INDEX(T_Elementos[Divisa],MATCH(T_Saldo[[#This Row],[Producto]],T_Elementos[Producto],0),0)</f>
        <v>USD</v>
      </c>
      <c r="H4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32" t="str">
        <f>T_Saldo[[#This Row],[Producto]] &amp; "-" &amp; DATE(YEAR(T_Saldo[[#This Row],[Fecha]]),MONTH(T_Saldo[[#This Row],[Fecha]]),DAY(T_Saldo[[#This Row],[Fecha]]))</f>
        <v>MSFT-44926</v>
      </c>
    </row>
    <row r="433" spans="1:10" x14ac:dyDescent="0.45">
      <c r="A433" s="15">
        <v>44926</v>
      </c>
      <c r="B433" t="s">
        <v>51</v>
      </c>
      <c r="C433">
        <f>T_Saldo[[#This Row],[Valor liquidativo]]*T_Saldo[[#This Row],[Participaciones]]</f>
        <v>0</v>
      </c>
      <c r="D433" s="11">
        <f>T_Saldo[[#This Row],[Valor liquidativo (Moneda Extranjera)]]/T_Saldo[[#This Row],[Cambio]]</f>
        <v>83.900861999999989</v>
      </c>
      <c r="E433" s="13">
        <f>IF(ISERROR(MATCH(T_Saldo[[#This Row],[Producto]],T_Stocks[Ticker],0)),1,INDEX(T_Stocks[Close],MATCH(T_Saldo[[#This Row],[ID - Product - Fecha]],T_Stocks[ID],1),1))</f>
        <v>89.82</v>
      </c>
      <c r="F433" cm="1">
        <f t="array" ref="F433">IF(T_Saldo[[#This Row],[Divisa]]="USD",INDEX(T_USD_EUR[EURUSD],MATCH(T_Saldo[[#This Row],[Fecha]],T_USD_EUR[Fecha],1),0),1)</f>
        <v>1.0705491917353602</v>
      </c>
      <c r="G433" t="str" cm="1">
        <f t="array" ref="G433">INDEX(T_Elementos[Divisa],MATCH(T_Saldo[[#This Row],[Producto]],T_Elementos[Producto],0),0)</f>
        <v>USD</v>
      </c>
      <c r="H4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33" t="str">
        <f>T_Saldo[[#This Row],[Producto]] &amp; "-" &amp; DATE(YEAR(T_Saldo[[#This Row],[Fecha]]),MONTH(T_Saldo[[#This Row],[Fecha]]),DAY(T_Saldo[[#This Row],[Fecha]]))</f>
        <v>PRHSX-44926</v>
      </c>
    </row>
    <row r="434" spans="1:10" x14ac:dyDescent="0.45">
      <c r="A434" s="15">
        <v>44926</v>
      </c>
      <c r="B434" t="s">
        <v>32</v>
      </c>
      <c r="C434">
        <f>T_Saldo[[#This Row],[Valor liquidativo]]*T_Saldo[[#This Row],[Participaciones]]</f>
        <v>17392.941999999999</v>
      </c>
      <c r="D434" s="11">
        <f>T_Saldo[[#This Row],[Valor liquidativo (Moneda Extranjera)]]/T_Saldo[[#This Row],[Cambio]]</f>
        <v>86.964709999999997</v>
      </c>
      <c r="E434" s="13">
        <f>IF(ISERROR(MATCH(T_Saldo[[#This Row],[Producto]],T_Stocks[Ticker],0)),1,INDEX(T_Stocks[Close],MATCH(T_Saldo[[#This Row],[ID - Product - Fecha]],T_Stocks[ID],1),1))</f>
        <v>93.1</v>
      </c>
      <c r="F434" cm="1">
        <f t="array" ref="F434">IF(T_Saldo[[#This Row],[Divisa]]="USD",INDEX(T_USD_EUR[EURUSD],MATCH(T_Saldo[[#This Row],[Fecha]],T_USD_EUR[Fecha],1),0),1)</f>
        <v>1.0705491917353602</v>
      </c>
      <c r="G434" t="str" cm="1">
        <f t="array" ref="G434">INDEX(T_Elementos[Divisa],MATCH(T_Saldo[[#This Row],[Producto]],T_Elementos[Producto],0),0)</f>
        <v>USD</v>
      </c>
      <c r="H4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34" t="str">
        <f>T_Saldo[[#This Row],[Producto]] &amp; "-" &amp; DATE(YEAR(T_Saldo[[#This Row],[Fecha]]),MONTH(T_Saldo[[#This Row],[Fecha]]),DAY(T_Saldo[[#This Row],[Fecha]]))</f>
        <v>VTSAX-44926</v>
      </c>
    </row>
    <row r="435" spans="1:10" x14ac:dyDescent="0.45">
      <c r="A435" s="15">
        <v>44957</v>
      </c>
      <c r="B435" t="s">
        <v>38</v>
      </c>
      <c r="C435">
        <f>T_Saldo[[#This Row],[Valor liquidativo]]*T_Saldo[[#This Row],[Participaciones]]</f>
        <v>13281.894499999999</v>
      </c>
      <c r="D435" s="11">
        <f>T_Saldo[[#This Row],[Valor liquidativo (Moneda Extranjera)]]/T_Saldo[[#This Row],[Cambio]]</f>
        <v>132.81894499999999</v>
      </c>
      <c r="E435" s="13">
        <f>IF(ISERROR(MATCH(T_Saldo[[#This Row],[Producto]],T_Stocks[Ticker],0)),1,INDEX(T_Stocks[Close],MATCH(T_Saldo[[#This Row],[ID - Product - Fecha]],T_Stocks[ID],1),1))</f>
        <v>144.29</v>
      </c>
      <c r="F435" cm="1">
        <f t="array" ref="F435">IF(T_Saldo[[#This Row],[Divisa]]="USD",INDEX(T_USD_EUR[EURUSD],MATCH(T_Saldo[[#This Row],[Fecha]],T_USD_EUR[Fecha],1),0),1)</f>
        <v>1.0863661053775122</v>
      </c>
      <c r="G435" t="str" cm="1">
        <f t="array" ref="G435">INDEX(T_Elementos[Divisa],MATCH(T_Saldo[[#This Row],[Producto]],T_Elementos[Producto],0),0)</f>
        <v>USD</v>
      </c>
      <c r="H4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435" t="str">
        <f>T_Saldo[[#This Row],[Producto]] &amp; "-" &amp; DATE(YEAR(T_Saldo[[#This Row],[Fecha]]),MONTH(T_Saldo[[#This Row],[Fecha]]),DAY(T_Saldo[[#This Row],[Fecha]]))</f>
        <v>AAPL-44957</v>
      </c>
    </row>
    <row r="436" spans="1:10" x14ac:dyDescent="0.45">
      <c r="A436" s="15">
        <v>44957</v>
      </c>
      <c r="B436" t="s">
        <v>43</v>
      </c>
      <c r="C436">
        <f>T_Saldo[[#This Row],[Valor liquidativo]]*T_Saldo[[#This Row],[Participaciones]]</f>
        <v>0</v>
      </c>
      <c r="D436" s="11">
        <f>T_Saldo[[#This Row],[Valor liquidativo (Moneda Extranjera)]]/T_Saldo[[#This Row],[Cambio]]</f>
        <v>250.42</v>
      </c>
      <c r="E436" s="13">
        <f>IF(ISERROR(MATCH(T_Saldo[[#This Row],[Producto]],T_Stocks[Ticker],0)),1,INDEX(T_Stocks[Close],MATCH(T_Saldo[[#This Row],[ID - Product - Fecha]],T_Stocks[ID],1),1))</f>
        <v>250.42</v>
      </c>
      <c r="F436" cm="1">
        <f t="array" ref="F436">IF(T_Saldo[[#This Row],[Divisa]]="USD",INDEX(T_USD_EUR[EURUSD],MATCH(T_Saldo[[#This Row],[Fecha]],T_USD_EUR[Fecha],1),0),1)</f>
        <v>1</v>
      </c>
      <c r="G436" t="str" cm="1">
        <f t="array" ref="G436">INDEX(T_Elementos[Divisa],MATCH(T_Saldo[[#This Row],[Producto]],T_Elementos[Producto],0),0)</f>
        <v>EUR</v>
      </c>
      <c r="H4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36" t="str">
        <f>T_Saldo[[#This Row],[Producto]] &amp; "-" &amp; DATE(YEAR(T_Saldo[[#This Row],[Fecha]]),MONTH(T_Saldo[[#This Row],[Fecha]]),DAY(T_Saldo[[#This Row],[Fecha]]))</f>
        <v>Bonos-44957</v>
      </c>
    </row>
    <row r="437" spans="1:10" x14ac:dyDescent="0.45">
      <c r="A437" s="15">
        <v>44957</v>
      </c>
      <c r="B437" t="s">
        <v>155</v>
      </c>
      <c r="C437">
        <f>T_Saldo[[#This Row],[Valor liquidativo]]*T_Saldo[[#This Row],[Participaciones]]</f>
        <v>5323.9071549999999</v>
      </c>
      <c r="D437" s="11">
        <f>T_Saldo[[#This Row],[Valor liquidativo (Moneda Extranjera)]]/T_Saldo[[#This Row],[Cambio]]</f>
        <v>21295.62862</v>
      </c>
      <c r="E437" s="13">
        <f>IF(ISERROR(MATCH(T_Saldo[[#This Row],[Producto]],T_Stocks[Ticker],0)),1,INDEX(T_Stocks[Close],MATCH(T_Saldo[[#This Row],[ID - Product - Fecha]],T_Stocks[ID],1),1))</f>
        <v>21295.62862</v>
      </c>
      <c r="F437" cm="1">
        <f t="array" ref="F437">IF(T_Saldo[[#This Row],[Divisa]]="USD",INDEX(T_USD_EUR[EURUSD],MATCH(T_Saldo[[#This Row],[Fecha]],T_USD_EUR[Fecha],1),0),1)</f>
        <v>1</v>
      </c>
      <c r="G437" t="str" cm="1">
        <f t="array" ref="G437">INDEX(T_Elementos[Divisa],MATCH(T_Saldo[[#This Row],[Producto]],T_Elementos[Producto],0),0)</f>
        <v>EUR</v>
      </c>
      <c r="H4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37" t="str">
        <f>T_Saldo[[#This Row],[Producto]] &amp; "-" &amp; DATE(YEAR(T_Saldo[[#This Row],[Fecha]]),MONTH(T_Saldo[[#This Row],[Fecha]]),DAY(T_Saldo[[#This Row],[Fecha]]))</f>
        <v>BTCEUR-44957</v>
      </c>
    </row>
    <row r="438" spans="1:10" x14ac:dyDescent="0.45">
      <c r="A438" s="15">
        <v>44957</v>
      </c>
      <c r="B438" t="s">
        <v>46</v>
      </c>
      <c r="C438">
        <f>T_Saldo[[#This Row],[Valor liquidativo]]*T_Saldo[[#This Row],[Participaciones]]</f>
        <v>37105.429999999993</v>
      </c>
      <c r="D438" s="11">
        <f>T_Saldo[[#This Row],[Valor liquidativo (Moneda Extranjera)]]/T_Saldo[[#This Row],[Cambio]]</f>
        <v>1</v>
      </c>
      <c r="E438" s="13">
        <f>IF(ISERROR(MATCH(T_Saldo[[#This Row],[Producto]],T_Stocks[Ticker],0)),1,INDEX(T_Stocks[Close],MATCH(T_Saldo[[#This Row],[ID - Product - Fecha]],T_Stocks[ID],1),1))</f>
        <v>1</v>
      </c>
      <c r="F438" cm="1">
        <f t="array" ref="F438">IF(T_Saldo[[#This Row],[Divisa]]="USD",INDEX(T_USD_EUR[EURUSD],MATCH(T_Saldo[[#This Row],[Fecha]],T_USD_EUR[Fecha],1),0),1)</f>
        <v>1</v>
      </c>
      <c r="G438" t="str" cm="1">
        <f t="array" ref="G438">INDEX(T_Elementos[Divisa],MATCH(T_Saldo[[#This Row],[Producto]],T_Elementos[Producto],0),0)</f>
        <v>EUR</v>
      </c>
      <c r="H4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37105.429999999993</v>
      </c>
      <c r="J438" t="str">
        <f>T_Saldo[[#This Row],[Producto]] &amp; "-" &amp; DATE(YEAR(T_Saldo[[#This Row],[Fecha]]),MONTH(T_Saldo[[#This Row],[Fecha]]),DAY(T_Saldo[[#This Row],[Fecha]]))</f>
        <v>CA 1-44957</v>
      </c>
    </row>
    <row r="439" spans="1:10" x14ac:dyDescent="0.45">
      <c r="A439" s="15">
        <v>44957</v>
      </c>
      <c r="B439" t="s">
        <v>10</v>
      </c>
      <c r="C439">
        <f>T_Saldo[[#This Row],[Valor liquidativo]]*T_Saldo[[#This Row],[Participaciones]]</f>
        <v>22381.74</v>
      </c>
      <c r="D439" s="11">
        <f>T_Saldo[[#This Row],[Valor liquidativo (Moneda Extranjera)]]/T_Saldo[[#This Row],[Cambio]]</f>
        <v>1</v>
      </c>
      <c r="E439" s="13">
        <f>IF(ISERROR(MATCH(T_Saldo[[#This Row],[Producto]],T_Stocks[Ticker],0)),1,INDEX(T_Stocks[Close],MATCH(T_Saldo[[#This Row],[ID - Product - Fecha]],T_Stocks[ID],1),1))</f>
        <v>1</v>
      </c>
      <c r="F439" cm="1">
        <f t="array" ref="F439">IF(T_Saldo[[#This Row],[Divisa]]="USD",INDEX(T_USD_EUR[EURUSD],MATCH(T_Saldo[[#This Row],[Fecha]],T_USD_EUR[Fecha],1),0),1)</f>
        <v>1</v>
      </c>
      <c r="G439" t="str" cm="1">
        <f t="array" ref="G439">INDEX(T_Elementos[Divisa],MATCH(T_Saldo[[#This Row],[Producto]],T_Elementos[Producto],0),0)</f>
        <v>EUR</v>
      </c>
      <c r="H4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22381.74</v>
      </c>
      <c r="J439" t="str">
        <f>T_Saldo[[#This Row],[Producto]] &amp; "-" &amp; DATE(YEAR(T_Saldo[[#This Row],[Fecha]]),MONTH(T_Saldo[[#This Row],[Fecha]]),DAY(T_Saldo[[#This Row],[Fecha]]))</f>
        <v>CC 1-44957</v>
      </c>
    </row>
    <row r="440" spans="1:10" x14ac:dyDescent="0.45">
      <c r="A440" s="15">
        <v>44957</v>
      </c>
      <c r="B440" t="s">
        <v>49</v>
      </c>
      <c r="C440">
        <f>T_Saldo[[#This Row],[Valor liquidativo]]*T_Saldo[[#This Row],[Participaciones]]</f>
        <v>23690.150000000009</v>
      </c>
      <c r="D440" s="11">
        <f>T_Saldo[[#This Row],[Valor liquidativo (Moneda Extranjera)]]/T_Saldo[[#This Row],[Cambio]]</f>
        <v>1</v>
      </c>
      <c r="E440" s="13">
        <f>IF(ISERROR(MATCH(T_Saldo[[#This Row],[Producto]],T_Stocks[Ticker],0)),1,INDEX(T_Stocks[Close],MATCH(T_Saldo[[#This Row],[ID - Product - Fecha]],T_Stocks[ID],1),1))</f>
        <v>1</v>
      </c>
      <c r="F440" cm="1">
        <f t="array" ref="F440">IF(T_Saldo[[#This Row],[Divisa]]="USD",INDEX(T_USD_EUR[EURUSD],MATCH(T_Saldo[[#This Row],[Fecha]],T_USD_EUR[Fecha],1),0),1)</f>
        <v>1</v>
      </c>
      <c r="G440" t="str" cm="1">
        <f t="array" ref="G440">INDEX(T_Elementos[Divisa],MATCH(T_Saldo[[#This Row],[Producto]],T_Elementos[Producto],0),0)</f>
        <v>EUR</v>
      </c>
      <c r="H4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23690.150000000009</v>
      </c>
      <c r="J440" t="str">
        <f>T_Saldo[[#This Row],[Producto]] &amp; "-" &amp; DATE(YEAR(T_Saldo[[#This Row],[Fecha]]),MONTH(T_Saldo[[#This Row],[Fecha]]),DAY(T_Saldo[[#This Row],[Fecha]]))</f>
        <v>CC 2-44957</v>
      </c>
    </row>
    <row r="441" spans="1:10" x14ac:dyDescent="0.45">
      <c r="A441" s="15">
        <v>44957</v>
      </c>
      <c r="B441" t="s">
        <v>41</v>
      </c>
      <c r="C441">
        <f>T_Saldo[[#This Row],[Valor liquidativo]]*T_Saldo[[#This Row],[Participaciones]]</f>
        <v>2281.09105</v>
      </c>
      <c r="D441" s="11">
        <f>T_Saldo[[#This Row],[Valor liquidativo (Moneda Extranjera)]]/T_Saldo[[#This Row],[Cambio]]</f>
        <v>228.109105</v>
      </c>
      <c r="E441" s="13">
        <f>IF(ISERROR(MATCH(T_Saldo[[#This Row],[Producto]],T_Stocks[Ticker],0)),1,INDEX(T_Stocks[Close],MATCH(T_Saldo[[#This Row],[ID - Product - Fecha]],T_Stocks[ID],1),1))</f>
        <v>247.81</v>
      </c>
      <c r="F441" cm="1">
        <f t="array" ref="F441">IF(T_Saldo[[#This Row],[Divisa]]="USD",INDEX(T_USD_EUR[EURUSD],MATCH(T_Saldo[[#This Row],[Fecha]],T_USD_EUR[Fecha],1),0),1)</f>
        <v>1.0863661053775122</v>
      </c>
      <c r="G441" t="str" cm="1">
        <f t="array" ref="G441">INDEX(T_Elementos[Divisa],MATCH(T_Saldo[[#This Row],[Producto]],T_Elementos[Producto],0),0)</f>
        <v>USD</v>
      </c>
      <c r="H4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41" t="str">
        <f>T_Saldo[[#This Row],[Producto]] &amp; "-" &amp; DATE(YEAR(T_Saldo[[#This Row],[Fecha]]),MONTH(T_Saldo[[#This Row],[Fecha]]),DAY(T_Saldo[[#This Row],[Fecha]]))</f>
        <v>MSFT-44957</v>
      </c>
    </row>
    <row r="442" spans="1:10" x14ac:dyDescent="0.45">
      <c r="A442" s="15">
        <v>44957</v>
      </c>
      <c r="B442" t="s">
        <v>51</v>
      </c>
      <c r="C442">
        <f>T_Saldo[[#This Row],[Valor liquidativo]]*T_Saldo[[#This Row],[Participaciones]]</f>
        <v>0</v>
      </c>
      <c r="D442" s="11">
        <f>T_Saldo[[#This Row],[Valor liquidativo (Moneda Extranjera)]]/T_Saldo[[#This Row],[Cambio]]</f>
        <v>83.157970000000006</v>
      </c>
      <c r="E442" s="13">
        <f>IF(ISERROR(MATCH(T_Saldo[[#This Row],[Producto]],T_Stocks[Ticker],0)),1,INDEX(T_Stocks[Close],MATCH(T_Saldo[[#This Row],[ID - Product - Fecha]],T_Stocks[ID],1),1))</f>
        <v>90.34</v>
      </c>
      <c r="F442" cm="1">
        <f t="array" ref="F442">IF(T_Saldo[[#This Row],[Divisa]]="USD",INDEX(T_USD_EUR[EURUSD],MATCH(T_Saldo[[#This Row],[Fecha]],T_USD_EUR[Fecha],1),0),1)</f>
        <v>1.0863661053775122</v>
      </c>
      <c r="G442" t="str" cm="1">
        <f t="array" ref="G442">INDEX(T_Elementos[Divisa],MATCH(T_Saldo[[#This Row],[Producto]],T_Elementos[Producto],0),0)</f>
        <v>USD</v>
      </c>
      <c r="H4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42" t="str">
        <f>T_Saldo[[#This Row],[Producto]] &amp; "-" &amp; DATE(YEAR(T_Saldo[[#This Row],[Fecha]]),MONTH(T_Saldo[[#This Row],[Fecha]]),DAY(T_Saldo[[#This Row],[Fecha]]))</f>
        <v>PRHSX-44957</v>
      </c>
    </row>
    <row r="443" spans="1:10" x14ac:dyDescent="0.45">
      <c r="A443" s="15">
        <v>44957</v>
      </c>
      <c r="B443" t="s">
        <v>32</v>
      </c>
      <c r="C443">
        <f>T_Saldo[[#This Row],[Valor liquidativo]]*T_Saldo[[#This Row],[Participaciones]]</f>
        <v>18321.631999999998</v>
      </c>
      <c r="D443" s="11">
        <f>T_Saldo[[#This Row],[Valor liquidativo (Moneda Extranjera)]]/T_Saldo[[#This Row],[Cambio]]</f>
        <v>91.608159999999998</v>
      </c>
      <c r="E443" s="13">
        <f>IF(ISERROR(MATCH(T_Saldo[[#This Row],[Producto]],T_Stocks[Ticker],0)),1,INDEX(T_Stocks[Close],MATCH(T_Saldo[[#This Row],[ID - Product - Fecha]],T_Stocks[ID],1),1))</f>
        <v>99.52</v>
      </c>
      <c r="F443" cm="1">
        <f t="array" ref="F443">IF(T_Saldo[[#This Row],[Divisa]]="USD",INDEX(T_USD_EUR[EURUSD],MATCH(T_Saldo[[#This Row],[Fecha]],T_USD_EUR[Fecha],1),0),1)</f>
        <v>1.0863661053775122</v>
      </c>
      <c r="G443" t="str" cm="1">
        <f t="array" ref="G443">INDEX(T_Elementos[Divisa],MATCH(T_Saldo[[#This Row],[Producto]],T_Elementos[Producto],0),0)</f>
        <v>USD</v>
      </c>
      <c r="H4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43" t="str">
        <f>T_Saldo[[#This Row],[Producto]] &amp; "-" &amp; DATE(YEAR(T_Saldo[[#This Row],[Fecha]]),MONTH(T_Saldo[[#This Row],[Fecha]]),DAY(T_Saldo[[#This Row],[Fecha]]))</f>
        <v>VTSAX-44957</v>
      </c>
    </row>
    <row r="444" spans="1:10" x14ac:dyDescent="0.45">
      <c r="A444" s="15">
        <v>44985</v>
      </c>
      <c r="B444" t="s">
        <v>38</v>
      </c>
      <c r="C444">
        <f>T_Saldo[[#This Row],[Valor liquidativo]]*T_Saldo[[#This Row],[Participaciones]]</f>
        <v>6966.5965999999999</v>
      </c>
      <c r="D444" s="11">
        <f>T_Saldo[[#This Row],[Valor liquidativo (Moneda Extranjera)]]/T_Saldo[[#This Row],[Cambio]]</f>
        <v>139.33193199999999</v>
      </c>
      <c r="E444" s="13">
        <f>IF(ISERROR(MATCH(T_Saldo[[#This Row],[Producto]],T_Stocks[Ticker],0)),1,INDEX(T_Stocks[Close],MATCH(T_Saldo[[#This Row],[ID - Product - Fecha]],T_Stocks[ID],1),1))</f>
        <v>147.41</v>
      </c>
      <c r="F444" cm="1">
        <f t="array" ref="F444">IF(T_Saldo[[#This Row],[Divisa]]="USD",INDEX(T_USD_EUR[EURUSD],MATCH(T_Saldo[[#This Row],[Fecha]],T_USD_EUR[Fecha],1),0),1)</f>
        <v>1.0579771476936097</v>
      </c>
      <c r="G444" t="str" cm="1">
        <f t="array" ref="G444">INDEX(T_Elementos[Divisa],MATCH(T_Saldo[[#This Row],[Producto]],T_Elementos[Producto],0),0)</f>
        <v>USD</v>
      </c>
      <c r="H4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44" t="str">
        <f>T_Saldo[[#This Row],[Producto]] &amp; "-" &amp; DATE(YEAR(T_Saldo[[#This Row],[Fecha]]),MONTH(T_Saldo[[#This Row],[Fecha]]),DAY(T_Saldo[[#This Row],[Fecha]]))</f>
        <v>AAPL-44985</v>
      </c>
    </row>
    <row r="445" spans="1:10" x14ac:dyDescent="0.45">
      <c r="A445" s="15">
        <v>44985</v>
      </c>
      <c r="B445" t="s">
        <v>43</v>
      </c>
      <c r="C445">
        <f>T_Saldo[[#This Row],[Valor liquidativo]]*T_Saldo[[#This Row],[Participaciones]]</f>
        <v>0</v>
      </c>
      <c r="D445" s="11">
        <f>T_Saldo[[#This Row],[Valor liquidativo (Moneda Extranjera)]]/T_Saldo[[#This Row],[Cambio]]</f>
        <v>250.42</v>
      </c>
      <c r="E445" s="13">
        <f>IF(ISERROR(MATCH(T_Saldo[[#This Row],[Producto]],T_Stocks[Ticker],0)),1,INDEX(T_Stocks[Close],MATCH(T_Saldo[[#This Row],[ID - Product - Fecha]],T_Stocks[ID],1),1))</f>
        <v>250.42</v>
      </c>
      <c r="F445" cm="1">
        <f t="array" ref="F445">IF(T_Saldo[[#This Row],[Divisa]]="USD",INDEX(T_USD_EUR[EURUSD],MATCH(T_Saldo[[#This Row],[Fecha]],T_USD_EUR[Fecha],1),0),1)</f>
        <v>1</v>
      </c>
      <c r="G445" t="str" cm="1">
        <f t="array" ref="G445">INDEX(T_Elementos[Divisa],MATCH(T_Saldo[[#This Row],[Producto]],T_Elementos[Producto],0),0)</f>
        <v>EUR</v>
      </c>
      <c r="H4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45" t="str">
        <f>T_Saldo[[#This Row],[Producto]] &amp; "-" &amp; DATE(YEAR(T_Saldo[[#This Row],[Fecha]]),MONTH(T_Saldo[[#This Row],[Fecha]]),DAY(T_Saldo[[#This Row],[Fecha]]))</f>
        <v>Bonos-44985</v>
      </c>
    </row>
    <row r="446" spans="1:10" x14ac:dyDescent="0.45">
      <c r="A446" s="15">
        <v>44985</v>
      </c>
      <c r="B446" t="s">
        <v>155</v>
      </c>
      <c r="C446">
        <f>T_Saldo[[#This Row],[Valor liquidativo]]*T_Saldo[[#This Row],[Participaciones]]</f>
        <v>5467.3284050000002</v>
      </c>
      <c r="D446" s="11">
        <f>T_Saldo[[#This Row],[Valor liquidativo (Moneda Extranjera)]]/T_Saldo[[#This Row],[Cambio]]</f>
        <v>21869.313620000001</v>
      </c>
      <c r="E446" s="13">
        <f>IF(ISERROR(MATCH(T_Saldo[[#This Row],[Producto]],T_Stocks[Ticker],0)),1,INDEX(T_Stocks[Close],MATCH(T_Saldo[[#This Row],[ID - Product - Fecha]],T_Stocks[ID],1),1))</f>
        <v>21869.313620000001</v>
      </c>
      <c r="F446" cm="1">
        <f t="array" ref="F446">IF(T_Saldo[[#This Row],[Divisa]]="USD",INDEX(T_USD_EUR[EURUSD],MATCH(T_Saldo[[#This Row],[Fecha]],T_USD_EUR[Fecha],1),0),1)</f>
        <v>1</v>
      </c>
      <c r="G446" t="str" cm="1">
        <f t="array" ref="G446">INDEX(T_Elementos[Divisa],MATCH(T_Saldo[[#This Row],[Producto]],T_Elementos[Producto],0),0)</f>
        <v>EUR</v>
      </c>
      <c r="H4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46" t="str">
        <f>T_Saldo[[#This Row],[Producto]] &amp; "-" &amp; DATE(YEAR(T_Saldo[[#This Row],[Fecha]]),MONTH(T_Saldo[[#This Row],[Fecha]]),DAY(T_Saldo[[#This Row],[Fecha]]))</f>
        <v>BTCEUR-44985</v>
      </c>
    </row>
    <row r="447" spans="1:10" x14ac:dyDescent="0.45">
      <c r="A447" s="15">
        <v>44985</v>
      </c>
      <c r="B447" t="s">
        <v>46</v>
      </c>
      <c r="C447">
        <f>T_Saldo[[#This Row],[Valor liquidativo]]*T_Saldo[[#This Row],[Participaciones]]</f>
        <v>37105.429999999993</v>
      </c>
      <c r="D447" s="11">
        <f>T_Saldo[[#This Row],[Valor liquidativo (Moneda Extranjera)]]/T_Saldo[[#This Row],[Cambio]]</f>
        <v>1</v>
      </c>
      <c r="E447" s="13">
        <f>IF(ISERROR(MATCH(T_Saldo[[#This Row],[Producto]],T_Stocks[Ticker],0)),1,INDEX(T_Stocks[Close],MATCH(T_Saldo[[#This Row],[ID - Product - Fecha]],T_Stocks[ID],1),1))</f>
        <v>1</v>
      </c>
      <c r="F447" cm="1">
        <f t="array" ref="F447">IF(T_Saldo[[#This Row],[Divisa]]="USD",INDEX(T_USD_EUR[EURUSD],MATCH(T_Saldo[[#This Row],[Fecha]],T_USD_EUR[Fecha],1),0),1)</f>
        <v>1</v>
      </c>
      <c r="G447" t="str" cm="1">
        <f t="array" ref="G447">INDEX(T_Elementos[Divisa],MATCH(T_Saldo[[#This Row],[Producto]],T_Elementos[Producto],0),0)</f>
        <v>EUR</v>
      </c>
      <c r="H4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37105.429999999993</v>
      </c>
      <c r="J447" t="str">
        <f>T_Saldo[[#This Row],[Producto]] &amp; "-" &amp; DATE(YEAR(T_Saldo[[#This Row],[Fecha]]),MONTH(T_Saldo[[#This Row],[Fecha]]),DAY(T_Saldo[[#This Row],[Fecha]]))</f>
        <v>CA 1-44985</v>
      </c>
    </row>
    <row r="448" spans="1:10" x14ac:dyDescent="0.45">
      <c r="A448" s="15">
        <v>44985</v>
      </c>
      <c r="B448" t="s">
        <v>10</v>
      </c>
      <c r="C448">
        <f>T_Saldo[[#This Row],[Valor liquidativo]]*T_Saldo[[#This Row],[Participaciones]]</f>
        <v>22283.11</v>
      </c>
      <c r="D448" s="11">
        <f>T_Saldo[[#This Row],[Valor liquidativo (Moneda Extranjera)]]/T_Saldo[[#This Row],[Cambio]]</f>
        <v>1</v>
      </c>
      <c r="E448" s="13">
        <f>IF(ISERROR(MATCH(T_Saldo[[#This Row],[Producto]],T_Stocks[Ticker],0)),1,INDEX(T_Stocks[Close],MATCH(T_Saldo[[#This Row],[ID - Product - Fecha]],T_Stocks[ID],1),1))</f>
        <v>1</v>
      </c>
      <c r="F448" cm="1">
        <f t="array" ref="F448">IF(T_Saldo[[#This Row],[Divisa]]="USD",INDEX(T_USD_EUR[EURUSD],MATCH(T_Saldo[[#This Row],[Fecha]],T_USD_EUR[Fecha],1),0),1)</f>
        <v>1</v>
      </c>
      <c r="G448" t="str" cm="1">
        <f t="array" ref="G448">INDEX(T_Elementos[Divisa],MATCH(T_Saldo[[#This Row],[Producto]],T_Elementos[Producto],0),0)</f>
        <v>EUR</v>
      </c>
      <c r="H4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22283.11</v>
      </c>
      <c r="J448" t="str">
        <f>T_Saldo[[#This Row],[Producto]] &amp; "-" &amp; DATE(YEAR(T_Saldo[[#This Row],[Fecha]]),MONTH(T_Saldo[[#This Row],[Fecha]]),DAY(T_Saldo[[#This Row],[Fecha]]))</f>
        <v>CC 1-44985</v>
      </c>
    </row>
    <row r="449" spans="1:10" x14ac:dyDescent="0.45">
      <c r="A449" s="15">
        <v>44985</v>
      </c>
      <c r="B449" t="s">
        <v>49</v>
      </c>
      <c r="C449">
        <f>T_Saldo[[#This Row],[Valor liquidativo]]*T_Saldo[[#This Row],[Participaciones]]</f>
        <v>26155.810000000009</v>
      </c>
      <c r="D449" s="11">
        <f>T_Saldo[[#This Row],[Valor liquidativo (Moneda Extranjera)]]/T_Saldo[[#This Row],[Cambio]]</f>
        <v>1</v>
      </c>
      <c r="E449" s="13">
        <f>IF(ISERROR(MATCH(T_Saldo[[#This Row],[Producto]],T_Stocks[Ticker],0)),1,INDEX(T_Stocks[Close],MATCH(T_Saldo[[#This Row],[ID - Product - Fecha]],T_Stocks[ID],1),1))</f>
        <v>1</v>
      </c>
      <c r="F449" cm="1">
        <f t="array" ref="F449">IF(T_Saldo[[#This Row],[Divisa]]="USD",INDEX(T_USD_EUR[EURUSD],MATCH(T_Saldo[[#This Row],[Fecha]],T_USD_EUR[Fecha],1),0),1)</f>
        <v>1</v>
      </c>
      <c r="G449" t="str" cm="1">
        <f t="array" ref="G449">INDEX(T_Elementos[Divisa],MATCH(T_Saldo[[#This Row],[Producto]],T_Elementos[Producto],0),0)</f>
        <v>EUR</v>
      </c>
      <c r="H4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26155.810000000009</v>
      </c>
      <c r="J449" t="str">
        <f>T_Saldo[[#This Row],[Producto]] &amp; "-" &amp; DATE(YEAR(T_Saldo[[#This Row],[Fecha]]),MONTH(T_Saldo[[#This Row],[Fecha]]),DAY(T_Saldo[[#This Row],[Fecha]]))</f>
        <v>CC 2-44985</v>
      </c>
    </row>
    <row r="450" spans="1:10" x14ac:dyDescent="0.45">
      <c r="A450" s="15">
        <v>44985</v>
      </c>
      <c r="B450" t="s">
        <v>41</v>
      </c>
      <c r="C450">
        <f>T_Saldo[[#This Row],[Valor liquidativo]]*T_Saldo[[#This Row],[Participaciones]]</f>
        <v>2357.51784</v>
      </c>
      <c r="D450" s="11">
        <f>T_Saldo[[#This Row],[Valor liquidativo (Moneda Extranjera)]]/T_Saldo[[#This Row],[Cambio]]</f>
        <v>235.75178400000001</v>
      </c>
      <c r="E450" s="13">
        <f>IF(ISERROR(MATCH(T_Saldo[[#This Row],[Producto]],T_Stocks[Ticker],0)),1,INDEX(T_Stocks[Close],MATCH(T_Saldo[[#This Row],[ID - Product - Fecha]],T_Stocks[ID],1),1))</f>
        <v>249.42</v>
      </c>
      <c r="F450" cm="1">
        <f t="array" ref="F450">IF(T_Saldo[[#This Row],[Divisa]]="USD",INDEX(T_USD_EUR[EURUSD],MATCH(T_Saldo[[#This Row],[Fecha]],T_USD_EUR[Fecha],1),0),1)</f>
        <v>1.0579771476936097</v>
      </c>
      <c r="G450" t="str" cm="1">
        <f t="array" ref="G450">INDEX(T_Elementos[Divisa],MATCH(T_Saldo[[#This Row],[Producto]],T_Elementos[Producto],0),0)</f>
        <v>USD</v>
      </c>
      <c r="H4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50" t="str">
        <f>T_Saldo[[#This Row],[Producto]] &amp; "-" &amp; DATE(YEAR(T_Saldo[[#This Row],[Fecha]]),MONTH(T_Saldo[[#This Row],[Fecha]]),DAY(T_Saldo[[#This Row],[Fecha]]))</f>
        <v>MSFT-44985</v>
      </c>
    </row>
    <row r="451" spans="1:10" x14ac:dyDescent="0.45">
      <c r="A451" s="15">
        <v>44985</v>
      </c>
      <c r="B451" t="s">
        <v>51</v>
      </c>
      <c r="C451">
        <f>T_Saldo[[#This Row],[Valor liquidativo]]*T_Saldo[[#This Row],[Participaciones]]</f>
        <v>0</v>
      </c>
      <c r="D451" s="11">
        <f>T_Saldo[[#This Row],[Valor liquidativo (Moneda Extranjera)]]/T_Saldo[[#This Row],[Cambio]]</f>
        <v>81.381720000000001</v>
      </c>
      <c r="E451" s="13">
        <f>IF(ISERROR(MATCH(T_Saldo[[#This Row],[Producto]],T_Stocks[Ticker],0)),1,INDEX(T_Stocks[Close],MATCH(T_Saldo[[#This Row],[ID - Product - Fecha]],T_Stocks[ID],1),1))</f>
        <v>86.1</v>
      </c>
      <c r="F451" cm="1">
        <f t="array" ref="F451">IF(T_Saldo[[#This Row],[Divisa]]="USD",INDEX(T_USD_EUR[EURUSD],MATCH(T_Saldo[[#This Row],[Fecha]],T_USD_EUR[Fecha],1),0),1)</f>
        <v>1.0579771476936097</v>
      </c>
      <c r="G451" t="str" cm="1">
        <f t="array" ref="G451">INDEX(T_Elementos[Divisa],MATCH(T_Saldo[[#This Row],[Producto]],T_Elementos[Producto],0),0)</f>
        <v>USD</v>
      </c>
      <c r="H4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51" t="str">
        <f>T_Saldo[[#This Row],[Producto]] &amp; "-" &amp; DATE(YEAR(T_Saldo[[#This Row],[Fecha]]),MONTH(T_Saldo[[#This Row],[Fecha]]),DAY(T_Saldo[[#This Row],[Fecha]]))</f>
        <v>PRHSX-44985</v>
      </c>
    </row>
    <row r="452" spans="1:10" x14ac:dyDescent="0.45">
      <c r="A452" s="15">
        <v>44985</v>
      </c>
      <c r="B452" t="s">
        <v>32</v>
      </c>
      <c r="C452">
        <f>T_Saldo[[#This Row],[Valor liquidativo]]*T_Saldo[[#This Row],[Participaciones]]</f>
        <v>18374.688000000002</v>
      </c>
      <c r="D452" s="11">
        <f>T_Saldo[[#This Row],[Valor liquidativo (Moneda Extranjera)]]/T_Saldo[[#This Row],[Cambio]]</f>
        <v>91.873440000000016</v>
      </c>
      <c r="E452" s="13">
        <f>IF(ISERROR(MATCH(T_Saldo[[#This Row],[Producto]],T_Stocks[Ticker],0)),1,INDEX(T_Stocks[Close],MATCH(T_Saldo[[#This Row],[ID - Product - Fecha]],T_Stocks[ID],1),1))</f>
        <v>97.2</v>
      </c>
      <c r="F452" cm="1">
        <f t="array" ref="F452">IF(T_Saldo[[#This Row],[Divisa]]="USD",INDEX(T_USD_EUR[EURUSD],MATCH(T_Saldo[[#This Row],[Fecha]],T_USD_EUR[Fecha],1),0),1)</f>
        <v>1.0579771476936097</v>
      </c>
      <c r="G452" t="str" cm="1">
        <f t="array" ref="G452">INDEX(T_Elementos[Divisa],MATCH(T_Saldo[[#This Row],[Producto]],T_Elementos[Producto],0),0)</f>
        <v>USD</v>
      </c>
      <c r="H4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52" t="str">
        <f>T_Saldo[[#This Row],[Producto]] &amp; "-" &amp; DATE(YEAR(T_Saldo[[#This Row],[Fecha]]),MONTH(T_Saldo[[#This Row],[Fecha]]),DAY(T_Saldo[[#This Row],[Fecha]]))</f>
        <v>VTSAX-44985</v>
      </c>
    </row>
    <row r="453" spans="1:10" x14ac:dyDescent="0.45">
      <c r="A453" s="15">
        <v>45016</v>
      </c>
      <c r="B453" t="s">
        <v>38</v>
      </c>
      <c r="C453">
        <f>T_Saldo[[#This Row],[Valor liquidativo]]*T_Saldo[[#This Row],[Participaciones]]</f>
        <v>7604.3634999999995</v>
      </c>
      <c r="D453" s="11">
        <f>T_Saldo[[#This Row],[Valor liquidativo (Moneda Extranjera)]]/T_Saldo[[#This Row],[Cambio]]</f>
        <v>152.08726999999999</v>
      </c>
      <c r="E453" s="13">
        <f>IF(ISERROR(MATCH(T_Saldo[[#This Row],[Producto]],T_Stocks[Ticker],0)),1,INDEX(T_Stocks[Close],MATCH(T_Saldo[[#This Row],[ID - Product - Fecha]],T_Stocks[ID],1),1))</f>
        <v>164.9</v>
      </c>
      <c r="F453" cm="1">
        <f t="array" ref="F453">IF(T_Saldo[[#This Row],[Divisa]]="USD",INDEX(T_USD_EUR[EURUSD],MATCH(T_Saldo[[#This Row],[Fecha]],T_USD_EUR[Fecha],1),0),1)</f>
        <v>1.0842459069717012</v>
      </c>
      <c r="G453" t="str" cm="1">
        <f t="array" ref="G453">INDEX(T_Elementos[Divisa],MATCH(T_Saldo[[#This Row],[Producto]],T_Elementos[Producto],0),0)</f>
        <v>USD</v>
      </c>
      <c r="H4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53" t="str">
        <f>T_Saldo[[#This Row],[Producto]] &amp; "-" &amp; DATE(YEAR(T_Saldo[[#This Row],[Fecha]]),MONTH(T_Saldo[[#This Row],[Fecha]]),DAY(T_Saldo[[#This Row],[Fecha]]))</f>
        <v>AAPL-45016</v>
      </c>
    </row>
    <row r="454" spans="1:10" x14ac:dyDescent="0.45">
      <c r="A454" s="15">
        <v>45016</v>
      </c>
      <c r="B454" t="s">
        <v>43</v>
      </c>
      <c r="C454">
        <f>T_Saldo[[#This Row],[Valor liquidativo]]*T_Saldo[[#This Row],[Participaciones]]</f>
        <v>0</v>
      </c>
      <c r="D454" s="11">
        <f>T_Saldo[[#This Row],[Valor liquidativo (Moneda Extranjera)]]/T_Saldo[[#This Row],[Cambio]]</f>
        <v>250.42</v>
      </c>
      <c r="E454" s="13">
        <f>IF(ISERROR(MATCH(T_Saldo[[#This Row],[Producto]],T_Stocks[Ticker],0)),1,INDEX(T_Stocks[Close],MATCH(T_Saldo[[#This Row],[ID - Product - Fecha]],T_Stocks[ID],1),1))</f>
        <v>250.42</v>
      </c>
      <c r="F454" cm="1">
        <f t="array" ref="F454">IF(T_Saldo[[#This Row],[Divisa]]="USD",INDEX(T_USD_EUR[EURUSD],MATCH(T_Saldo[[#This Row],[Fecha]],T_USD_EUR[Fecha],1),0),1)</f>
        <v>1</v>
      </c>
      <c r="G454" t="str" cm="1">
        <f t="array" ref="G454">INDEX(T_Elementos[Divisa],MATCH(T_Saldo[[#This Row],[Producto]],T_Elementos[Producto],0),0)</f>
        <v>EUR</v>
      </c>
      <c r="H4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54" t="str">
        <f>T_Saldo[[#This Row],[Producto]] &amp; "-" &amp; DATE(YEAR(T_Saldo[[#This Row],[Fecha]]),MONTH(T_Saldo[[#This Row],[Fecha]]),DAY(T_Saldo[[#This Row],[Fecha]]))</f>
        <v>Bonos-45016</v>
      </c>
    </row>
    <row r="455" spans="1:10" x14ac:dyDescent="0.45">
      <c r="A455" s="15">
        <v>45016</v>
      </c>
      <c r="B455" t="s">
        <v>155</v>
      </c>
      <c r="C455">
        <f>T_Saldo[[#This Row],[Valor liquidativo]]*T_Saldo[[#This Row],[Participaciones]]</f>
        <v>6547.6560849999996</v>
      </c>
      <c r="D455" s="11">
        <f>T_Saldo[[#This Row],[Valor liquidativo (Moneda Extranjera)]]/T_Saldo[[#This Row],[Cambio]]</f>
        <v>26190.624339999998</v>
      </c>
      <c r="E455" s="13">
        <f>IF(ISERROR(MATCH(T_Saldo[[#This Row],[Producto]],T_Stocks[Ticker],0)),1,INDEX(T_Stocks[Close],MATCH(T_Saldo[[#This Row],[ID - Product - Fecha]],T_Stocks[ID],1),1))</f>
        <v>26190.624339999998</v>
      </c>
      <c r="F455" cm="1">
        <f t="array" ref="F455">IF(T_Saldo[[#This Row],[Divisa]]="USD",INDEX(T_USD_EUR[EURUSD],MATCH(T_Saldo[[#This Row],[Fecha]],T_USD_EUR[Fecha],1),0),1)</f>
        <v>1</v>
      </c>
      <c r="G455" t="str" cm="1">
        <f t="array" ref="G455">INDEX(T_Elementos[Divisa],MATCH(T_Saldo[[#This Row],[Producto]],T_Elementos[Producto],0),0)</f>
        <v>EUR</v>
      </c>
      <c r="H4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55" t="str">
        <f>T_Saldo[[#This Row],[Producto]] &amp; "-" &amp; DATE(YEAR(T_Saldo[[#This Row],[Fecha]]),MONTH(T_Saldo[[#This Row],[Fecha]]),DAY(T_Saldo[[#This Row],[Fecha]]))</f>
        <v>BTCEUR-45016</v>
      </c>
    </row>
    <row r="456" spans="1:10" x14ac:dyDescent="0.45">
      <c r="A456" s="15">
        <v>45016</v>
      </c>
      <c r="B456" t="s">
        <v>46</v>
      </c>
      <c r="C456">
        <f>T_Saldo[[#This Row],[Valor liquidativo]]*T_Saldo[[#This Row],[Participaciones]]</f>
        <v>36806.69999999999</v>
      </c>
      <c r="D456" s="11">
        <f>T_Saldo[[#This Row],[Valor liquidativo (Moneda Extranjera)]]/T_Saldo[[#This Row],[Cambio]]</f>
        <v>1</v>
      </c>
      <c r="E456" s="13">
        <f>IF(ISERROR(MATCH(T_Saldo[[#This Row],[Producto]],T_Stocks[Ticker],0)),1,INDEX(T_Stocks[Close],MATCH(T_Saldo[[#This Row],[ID - Product - Fecha]],T_Stocks[ID],1),1))</f>
        <v>1</v>
      </c>
      <c r="F456" cm="1">
        <f t="array" ref="F456">IF(T_Saldo[[#This Row],[Divisa]]="USD",INDEX(T_USD_EUR[EURUSD],MATCH(T_Saldo[[#This Row],[Fecha]],T_USD_EUR[Fecha],1),0),1)</f>
        <v>1</v>
      </c>
      <c r="G456" t="str" cm="1">
        <f t="array" ref="G456">INDEX(T_Elementos[Divisa],MATCH(T_Saldo[[#This Row],[Producto]],T_Elementos[Producto],0),0)</f>
        <v>EUR</v>
      </c>
      <c r="H4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36806.69999999999</v>
      </c>
      <c r="J456" t="str">
        <f>T_Saldo[[#This Row],[Producto]] &amp; "-" &amp; DATE(YEAR(T_Saldo[[#This Row],[Fecha]]),MONTH(T_Saldo[[#This Row],[Fecha]]),DAY(T_Saldo[[#This Row],[Fecha]]))</f>
        <v>CA 1-45016</v>
      </c>
    </row>
    <row r="457" spans="1:10" x14ac:dyDescent="0.45">
      <c r="A457" s="15">
        <v>45016</v>
      </c>
      <c r="B457" t="s">
        <v>10</v>
      </c>
      <c r="C457">
        <f>T_Saldo[[#This Row],[Valor liquidativo]]*T_Saldo[[#This Row],[Participaciones]]</f>
        <v>21637.460000000006</v>
      </c>
      <c r="D457" s="11">
        <f>T_Saldo[[#This Row],[Valor liquidativo (Moneda Extranjera)]]/T_Saldo[[#This Row],[Cambio]]</f>
        <v>1</v>
      </c>
      <c r="E457" s="13">
        <f>IF(ISERROR(MATCH(T_Saldo[[#This Row],[Producto]],T_Stocks[Ticker],0)),1,INDEX(T_Stocks[Close],MATCH(T_Saldo[[#This Row],[ID - Product - Fecha]],T_Stocks[ID],1),1))</f>
        <v>1</v>
      </c>
      <c r="F457" cm="1">
        <f t="array" ref="F457">IF(T_Saldo[[#This Row],[Divisa]]="USD",INDEX(T_USD_EUR[EURUSD],MATCH(T_Saldo[[#This Row],[Fecha]],T_USD_EUR[Fecha],1),0),1)</f>
        <v>1</v>
      </c>
      <c r="G457" t="str" cm="1">
        <f t="array" ref="G457">INDEX(T_Elementos[Divisa],MATCH(T_Saldo[[#This Row],[Producto]],T_Elementos[Producto],0),0)</f>
        <v>EUR</v>
      </c>
      <c r="H4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21637.460000000006</v>
      </c>
      <c r="J457" t="str">
        <f>T_Saldo[[#This Row],[Producto]] &amp; "-" &amp; DATE(YEAR(T_Saldo[[#This Row],[Fecha]]),MONTH(T_Saldo[[#This Row],[Fecha]]),DAY(T_Saldo[[#This Row],[Fecha]]))</f>
        <v>CC 1-45016</v>
      </c>
    </row>
    <row r="458" spans="1:10" x14ac:dyDescent="0.45">
      <c r="A458" s="15">
        <v>45016</v>
      </c>
      <c r="B458" t="s">
        <v>49</v>
      </c>
      <c r="C458">
        <f>T_Saldo[[#This Row],[Valor liquidativo]]*T_Saldo[[#This Row],[Participaciones]]</f>
        <v>25998.290000000008</v>
      </c>
      <c r="D458" s="11">
        <f>T_Saldo[[#This Row],[Valor liquidativo (Moneda Extranjera)]]/T_Saldo[[#This Row],[Cambio]]</f>
        <v>1</v>
      </c>
      <c r="E458" s="13">
        <f>IF(ISERROR(MATCH(T_Saldo[[#This Row],[Producto]],T_Stocks[Ticker],0)),1,INDEX(T_Stocks[Close],MATCH(T_Saldo[[#This Row],[ID - Product - Fecha]],T_Stocks[ID],1),1))</f>
        <v>1</v>
      </c>
      <c r="F458" cm="1">
        <f t="array" ref="F458">IF(T_Saldo[[#This Row],[Divisa]]="USD",INDEX(T_USD_EUR[EURUSD],MATCH(T_Saldo[[#This Row],[Fecha]],T_USD_EUR[Fecha],1),0),1)</f>
        <v>1</v>
      </c>
      <c r="G458" t="str" cm="1">
        <f t="array" ref="G458">INDEX(T_Elementos[Divisa],MATCH(T_Saldo[[#This Row],[Producto]],T_Elementos[Producto],0),0)</f>
        <v>EUR</v>
      </c>
      <c r="H4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25998.290000000008</v>
      </c>
      <c r="J458" t="str">
        <f>T_Saldo[[#This Row],[Producto]] &amp; "-" &amp; DATE(YEAR(T_Saldo[[#This Row],[Fecha]]),MONTH(T_Saldo[[#This Row],[Fecha]]),DAY(T_Saldo[[#This Row],[Fecha]]))</f>
        <v>CC 2-45016</v>
      </c>
    </row>
    <row r="459" spans="1:10" x14ac:dyDescent="0.45">
      <c r="A459" s="15">
        <v>45016</v>
      </c>
      <c r="B459" t="s">
        <v>41</v>
      </c>
      <c r="C459">
        <f>T_Saldo[[#This Row],[Valor liquidativo]]*T_Saldo[[#This Row],[Participaciones]]</f>
        <v>2658.9908999999998</v>
      </c>
      <c r="D459" s="11">
        <f>T_Saldo[[#This Row],[Valor liquidativo (Moneda Extranjera)]]/T_Saldo[[#This Row],[Cambio]]</f>
        <v>265.89909</v>
      </c>
      <c r="E459" s="13">
        <f>IF(ISERROR(MATCH(T_Saldo[[#This Row],[Producto]],T_Stocks[Ticker],0)),1,INDEX(T_Stocks[Close],MATCH(T_Saldo[[#This Row],[ID - Product - Fecha]],T_Stocks[ID],1),1))</f>
        <v>288.3</v>
      </c>
      <c r="F459" cm="1">
        <f t="array" ref="F459">IF(T_Saldo[[#This Row],[Divisa]]="USD",INDEX(T_USD_EUR[EURUSD],MATCH(T_Saldo[[#This Row],[Fecha]],T_USD_EUR[Fecha],1),0),1)</f>
        <v>1.0842459069717012</v>
      </c>
      <c r="G459" t="str" cm="1">
        <f t="array" ref="G459">INDEX(T_Elementos[Divisa],MATCH(T_Saldo[[#This Row],[Producto]],T_Elementos[Producto],0),0)</f>
        <v>USD</v>
      </c>
      <c r="H4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59" t="str">
        <f>T_Saldo[[#This Row],[Producto]] &amp; "-" &amp; DATE(YEAR(T_Saldo[[#This Row],[Fecha]]),MONTH(T_Saldo[[#This Row],[Fecha]]),DAY(T_Saldo[[#This Row],[Fecha]]))</f>
        <v>MSFT-45016</v>
      </c>
    </row>
    <row r="460" spans="1:10" x14ac:dyDescent="0.45">
      <c r="A460" s="15">
        <v>45016</v>
      </c>
      <c r="B460" t="s">
        <v>51</v>
      </c>
      <c r="C460">
        <f>T_Saldo[[#This Row],[Valor liquidativo]]*T_Saldo[[#This Row],[Participaciones]]</f>
        <v>0</v>
      </c>
      <c r="D460" s="11">
        <f>T_Saldo[[#This Row],[Valor liquidativo (Moneda Extranjera)]]/T_Saldo[[#This Row],[Cambio]]</f>
        <v>80.931825000000003</v>
      </c>
      <c r="E460" s="13">
        <f>IF(ISERROR(MATCH(T_Saldo[[#This Row],[Producto]],T_Stocks[Ticker],0)),1,INDEX(T_Stocks[Close],MATCH(T_Saldo[[#This Row],[ID - Product - Fecha]],T_Stocks[ID],1),1))</f>
        <v>87.75</v>
      </c>
      <c r="F460" cm="1">
        <f t="array" ref="F460">IF(T_Saldo[[#This Row],[Divisa]]="USD",INDEX(T_USD_EUR[EURUSD],MATCH(T_Saldo[[#This Row],[Fecha]],T_USD_EUR[Fecha],1),0),1)</f>
        <v>1.0842459069717012</v>
      </c>
      <c r="G460" t="str" cm="1">
        <f t="array" ref="G460">INDEX(T_Elementos[Divisa],MATCH(T_Saldo[[#This Row],[Producto]],T_Elementos[Producto],0),0)</f>
        <v>USD</v>
      </c>
      <c r="H4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60" t="str">
        <f>T_Saldo[[#This Row],[Producto]] &amp; "-" &amp; DATE(YEAR(T_Saldo[[#This Row],[Fecha]]),MONTH(T_Saldo[[#This Row],[Fecha]]),DAY(T_Saldo[[#This Row],[Fecha]]))</f>
        <v>PRHSX-45016</v>
      </c>
    </row>
    <row r="461" spans="1:10" x14ac:dyDescent="0.45">
      <c r="A461" s="15">
        <v>45016</v>
      </c>
      <c r="B461" t="s">
        <v>32</v>
      </c>
      <c r="C461">
        <f>T_Saldo[[#This Row],[Valor liquidativo]]*T_Saldo[[#This Row],[Participaciones]]</f>
        <v>18329.790199999999</v>
      </c>
      <c r="D461" s="11">
        <f>T_Saldo[[#This Row],[Valor liquidativo (Moneda Extranjera)]]/T_Saldo[[#This Row],[Cambio]]</f>
        <v>91.648950999999997</v>
      </c>
      <c r="E461" s="13">
        <f>IF(ISERROR(MATCH(T_Saldo[[#This Row],[Producto]],T_Stocks[Ticker],0)),1,INDEX(T_Stocks[Close],MATCH(T_Saldo[[#This Row],[ID - Product - Fecha]],T_Stocks[ID],1),1))</f>
        <v>99.37</v>
      </c>
      <c r="F461" cm="1">
        <f t="array" ref="F461">IF(T_Saldo[[#This Row],[Divisa]]="USD",INDEX(T_USD_EUR[EURUSD],MATCH(T_Saldo[[#This Row],[Fecha]],T_USD_EUR[Fecha],1),0),1)</f>
        <v>1.0842459069717012</v>
      </c>
      <c r="G461" t="str" cm="1">
        <f t="array" ref="G461">INDEX(T_Elementos[Divisa],MATCH(T_Saldo[[#This Row],[Producto]],T_Elementos[Producto],0),0)</f>
        <v>USD</v>
      </c>
      <c r="H4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61" t="str">
        <f>T_Saldo[[#This Row],[Producto]] &amp; "-" &amp; DATE(YEAR(T_Saldo[[#This Row],[Fecha]]),MONTH(T_Saldo[[#This Row],[Fecha]]),DAY(T_Saldo[[#This Row],[Fecha]]))</f>
        <v>VTSAX-45016</v>
      </c>
    </row>
    <row r="462" spans="1:10" x14ac:dyDescent="0.45">
      <c r="A462" s="15">
        <v>45046</v>
      </c>
      <c r="B462" t="s">
        <v>38</v>
      </c>
      <c r="C462">
        <f>T_Saldo[[#This Row],[Valor liquidativo]]*T_Saldo[[#This Row],[Participaciones]]</f>
        <v>7695.8364000000001</v>
      </c>
      <c r="D462" s="11">
        <f>T_Saldo[[#This Row],[Valor liquidativo (Moneda Extranjera)]]/T_Saldo[[#This Row],[Cambio]]</f>
        <v>153.91672800000001</v>
      </c>
      <c r="E462" s="13">
        <f>IF(ISERROR(MATCH(T_Saldo[[#This Row],[Producto]],T_Stocks[Ticker],0)),1,INDEX(T_Stocks[Close],MATCH(T_Saldo[[#This Row],[ID - Product - Fecha]],T_Stocks[ID],1),1))</f>
        <v>169.68</v>
      </c>
      <c r="F462" cm="1">
        <f t="array" ref="F462">IF(T_Saldo[[#This Row],[Divisa]]="USD",INDEX(T_USD_EUR[EURUSD],MATCH(T_Saldo[[#This Row],[Fecha]],T_USD_EUR[Fecha],1),0),1)</f>
        <v>1.1024142872891634</v>
      </c>
      <c r="G462" t="str" cm="1">
        <f t="array" ref="G462">INDEX(T_Elementos[Divisa],MATCH(T_Saldo[[#This Row],[Producto]],T_Elementos[Producto],0),0)</f>
        <v>USD</v>
      </c>
      <c r="H4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62" t="str">
        <f>T_Saldo[[#This Row],[Producto]] &amp; "-" &amp; DATE(YEAR(T_Saldo[[#This Row],[Fecha]]),MONTH(T_Saldo[[#This Row],[Fecha]]),DAY(T_Saldo[[#This Row],[Fecha]]))</f>
        <v>AAPL-45046</v>
      </c>
    </row>
    <row r="463" spans="1:10" x14ac:dyDescent="0.45">
      <c r="A463" s="15">
        <v>45046</v>
      </c>
      <c r="B463" t="s">
        <v>43</v>
      </c>
      <c r="C463">
        <f>T_Saldo[[#This Row],[Valor liquidativo]]*T_Saldo[[#This Row],[Participaciones]]</f>
        <v>6000</v>
      </c>
      <c r="D463" s="11">
        <f>T_Saldo[[#This Row],[Valor liquidativo (Moneda Extranjera)]]/T_Saldo[[#This Row],[Cambio]]</f>
        <v>2000</v>
      </c>
      <c r="E463" s="13">
        <f>IF(ISERROR(MATCH(T_Saldo[[#This Row],[Producto]],T_Stocks[Ticker],0)),1,INDEX(T_Stocks[Close],MATCH(T_Saldo[[#This Row],[ID - Product - Fecha]],T_Stocks[ID],1),1))</f>
        <v>2000</v>
      </c>
      <c r="F463" cm="1">
        <f t="array" ref="F463">IF(T_Saldo[[#This Row],[Divisa]]="USD",INDEX(T_USD_EUR[EURUSD],MATCH(T_Saldo[[#This Row],[Fecha]],T_USD_EUR[Fecha],1),0),1)</f>
        <v>1</v>
      </c>
      <c r="G463" t="str" cm="1">
        <f t="array" ref="G463">INDEX(T_Elementos[Divisa],MATCH(T_Saldo[[#This Row],[Producto]],T_Elementos[Producto],0),0)</f>
        <v>EUR</v>
      </c>
      <c r="H4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463" t="str">
        <f>T_Saldo[[#This Row],[Producto]] &amp; "-" &amp; DATE(YEAR(T_Saldo[[#This Row],[Fecha]]),MONTH(T_Saldo[[#This Row],[Fecha]]),DAY(T_Saldo[[#This Row],[Fecha]]))</f>
        <v>Bonos-45046</v>
      </c>
    </row>
    <row r="464" spans="1:10" x14ac:dyDescent="0.45">
      <c r="A464" s="15">
        <v>45046</v>
      </c>
      <c r="B464" t="s">
        <v>155</v>
      </c>
      <c r="C464">
        <f>T_Saldo[[#This Row],[Valor liquidativo]]*T_Saldo[[#This Row],[Participaciones]]</f>
        <v>6641.8523025000004</v>
      </c>
      <c r="D464" s="11">
        <f>T_Saldo[[#This Row],[Valor liquidativo (Moneda Extranjera)]]/T_Saldo[[#This Row],[Cambio]]</f>
        <v>26567.409210000002</v>
      </c>
      <c r="E464" s="13">
        <f>IF(ISERROR(MATCH(T_Saldo[[#This Row],[Producto]],T_Stocks[Ticker],0)),1,INDEX(T_Stocks[Close],MATCH(T_Saldo[[#This Row],[ID - Product - Fecha]],T_Stocks[ID],1),1))</f>
        <v>26567.409210000002</v>
      </c>
      <c r="F464" cm="1">
        <f t="array" ref="F464">IF(T_Saldo[[#This Row],[Divisa]]="USD",INDEX(T_USD_EUR[EURUSD],MATCH(T_Saldo[[#This Row],[Fecha]],T_USD_EUR[Fecha],1),0),1)</f>
        <v>1</v>
      </c>
      <c r="G464" t="str" cm="1">
        <f t="array" ref="G464">INDEX(T_Elementos[Divisa],MATCH(T_Saldo[[#This Row],[Producto]],T_Elementos[Producto],0),0)</f>
        <v>EUR</v>
      </c>
      <c r="H4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64" t="str">
        <f>T_Saldo[[#This Row],[Producto]] &amp; "-" &amp; DATE(YEAR(T_Saldo[[#This Row],[Fecha]]),MONTH(T_Saldo[[#This Row],[Fecha]]),DAY(T_Saldo[[#This Row],[Fecha]]))</f>
        <v>BTCEUR-45046</v>
      </c>
    </row>
    <row r="465" spans="1:10" x14ac:dyDescent="0.45">
      <c r="A465" s="15">
        <v>45046</v>
      </c>
      <c r="B465" t="s">
        <v>46</v>
      </c>
      <c r="C465">
        <f>T_Saldo[[#This Row],[Valor liquidativo]]*T_Saldo[[#This Row],[Participaciones]]</f>
        <v>36712.62999999999</v>
      </c>
      <c r="D465" s="11">
        <f>T_Saldo[[#This Row],[Valor liquidativo (Moneda Extranjera)]]/T_Saldo[[#This Row],[Cambio]]</f>
        <v>1</v>
      </c>
      <c r="E465" s="13">
        <f>IF(ISERROR(MATCH(T_Saldo[[#This Row],[Producto]],T_Stocks[Ticker],0)),1,INDEX(T_Stocks[Close],MATCH(T_Saldo[[#This Row],[ID - Product - Fecha]],T_Stocks[ID],1),1))</f>
        <v>1</v>
      </c>
      <c r="F465" cm="1">
        <f t="array" ref="F465">IF(T_Saldo[[#This Row],[Divisa]]="USD",INDEX(T_USD_EUR[EURUSD],MATCH(T_Saldo[[#This Row],[Fecha]],T_USD_EUR[Fecha],1),0),1)</f>
        <v>1</v>
      </c>
      <c r="G465" t="str" cm="1">
        <f t="array" ref="G465">INDEX(T_Elementos[Divisa],MATCH(T_Saldo[[#This Row],[Producto]],T_Elementos[Producto],0),0)</f>
        <v>EUR</v>
      </c>
      <c r="H4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36712.62999999999</v>
      </c>
      <c r="J465" t="str">
        <f>T_Saldo[[#This Row],[Producto]] &amp; "-" &amp; DATE(YEAR(T_Saldo[[#This Row],[Fecha]]),MONTH(T_Saldo[[#This Row],[Fecha]]),DAY(T_Saldo[[#This Row],[Fecha]]))</f>
        <v>CA 1-45046</v>
      </c>
    </row>
    <row r="466" spans="1:10" x14ac:dyDescent="0.45">
      <c r="A466" s="15">
        <v>45046</v>
      </c>
      <c r="B466" t="s">
        <v>10</v>
      </c>
      <c r="C466">
        <f>T_Saldo[[#This Row],[Valor liquidativo]]*T_Saldo[[#This Row],[Participaciones]]</f>
        <v>21199.940000000002</v>
      </c>
      <c r="D466" s="11">
        <f>T_Saldo[[#This Row],[Valor liquidativo (Moneda Extranjera)]]/T_Saldo[[#This Row],[Cambio]]</f>
        <v>1</v>
      </c>
      <c r="E466" s="13">
        <f>IF(ISERROR(MATCH(T_Saldo[[#This Row],[Producto]],T_Stocks[Ticker],0)),1,INDEX(T_Stocks[Close],MATCH(T_Saldo[[#This Row],[ID - Product - Fecha]],T_Stocks[ID],1),1))</f>
        <v>1</v>
      </c>
      <c r="F466" cm="1">
        <f t="array" ref="F466">IF(T_Saldo[[#This Row],[Divisa]]="USD",INDEX(T_USD_EUR[EURUSD],MATCH(T_Saldo[[#This Row],[Fecha]],T_USD_EUR[Fecha],1),0),1)</f>
        <v>1</v>
      </c>
      <c r="G466" t="str" cm="1">
        <f t="array" ref="G466">INDEX(T_Elementos[Divisa],MATCH(T_Saldo[[#This Row],[Producto]],T_Elementos[Producto],0),0)</f>
        <v>EUR</v>
      </c>
      <c r="H4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21199.940000000002</v>
      </c>
      <c r="J466" t="str">
        <f>T_Saldo[[#This Row],[Producto]] &amp; "-" &amp; DATE(YEAR(T_Saldo[[#This Row],[Fecha]]),MONTH(T_Saldo[[#This Row],[Fecha]]),DAY(T_Saldo[[#This Row],[Fecha]]))</f>
        <v>CC 1-45046</v>
      </c>
    </row>
    <row r="467" spans="1:10" x14ac:dyDescent="0.45">
      <c r="A467" s="15">
        <v>45046</v>
      </c>
      <c r="B467" t="s">
        <v>49</v>
      </c>
      <c r="C467">
        <f>T_Saldo[[#This Row],[Valor liquidativo]]*T_Saldo[[#This Row],[Participaciones]]</f>
        <v>25532.270000000011</v>
      </c>
      <c r="D467" s="11">
        <f>T_Saldo[[#This Row],[Valor liquidativo (Moneda Extranjera)]]/T_Saldo[[#This Row],[Cambio]]</f>
        <v>1</v>
      </c>
      <c r="E467" s="13">
        <f>IF(ISERROR(MATCH(T_Saldo[[#This Row],[Producto]],T_Stocks[Ticker],0)),1,INDEX(T_Stocks[Close],MATCH(T_Saldo[[#This Row],[ID - Product - Fecha]],T_Stocks[ID],1),1))</f>
        <v>1</v>
      </c>
      <c r="F467" cm="1">
        <f t="array" ref="F467">IF(T_Saldo[[#This Row],[Divisa]]="USD",INDEX(T_USD_EUR[EURUSD],MATCH(T_Saldo[[#This Row],[Fecha]],T_USD_EUR[Fecha],1),0),1)</f>
        <v>1</v>
      </c>
      <c r="G467" t="str" cm="1">
        <f t="array" ref="G467">INDEX(T_Elementos[Divisa],MATCH(T_Saldo[[#This Row],[Producto]],T_Elementos[Producto],0),0)</f>
        <v>EUR</v>
      </c>
      <c r="H4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25532.270000000011</v>
      </c>
      <c r="J467" t="str">
        <f>T_Saldo[[#This Row],[Producto]] &amp; "-" &amp; DATE(YEAR(T_Saldo[[#This Row],[Fecha]]),MONTH(T_Saldo[[#This Row],[Fecha]]),DAY(T_Saldo[[#This Row],[Fecha]]))</f>
        <v>CC 2-45046</v>
      </c>
    </row>
    <row r="468" spans="1:10" x14ac:dyDescent="0.45">
      <c r="A468" s="15">
        <v>45046</v>
      </c>
      <c r="B468" t="s">
        <v>41</v>
      </c>
      <c r="C468">
        <f>T_Saldo[[#This Row],[Valor liquidativo]]*T_Saldo[[#This Row],[Participaciones]]</f>
        <v>2787.1554599999995</v>
      </c>
      <c r="D468" s="11">
        <f>T_Saldo[[#This Row],[Valor liquidativo (Moneda Extranjera)]]/T_Saldo[[#This Row],[Cambio]]</f>
        <v>278.71554599999996</v>
      </c>
      <c r="E468" s="13">
        <f>IF(ISERROR(MATCH(T_Saldo[[#This Row],[Producto]],T_Stocks[Ticker],0)),1,INDEX(T_Stocks[Close],MATCH(T_Saldo[[#This Row],[ID - Product - Fecha]],T_Stocks[ID],1),1))</f>
        <v>307.26</v>
      </c>
      <c r="F468" cm="1">
        <f t="array" ref="F468">IF(T_Saldo[[#This Row],[Divisa]]="USD",INDEX(T_USD_EUR[EURUSD],MATCH(T_Saldo[[#This Row],[Fecha]],T_USD_EUR[Fecha],1),0),1)</f>
        <v>1.1024142872891634</v>
      </c>
      <c r="G468" t="str" cm="1">
        <f t="array" ref="G468">INDEX(T_Elementos[Divisa],MATCH(T_Saldo[[#This Row],[Producto]],T_Elementos[Producto],0),0)</f>
        <v>USD</v>
      </c>
      <c r="H4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68" t="str">
        <f>T_Saldo[[#This Row],[Producto]] &amp; "-" &amp; DATE(YEAR(T_Saldo[[#This Row],[Fecha]]),MONTH(T_Saldo[[#This Row],[Fecha]]),DAY(T_Saldo[[#This Row],[Fecha]]))</f>
        <v>MSFT-45046</v>
      </c>
    </row>
    <row r="469" spans="1:10" x14ac:dyDescent="0.45">
      <c r="A469" s="15">
        <v>45046</v>
      </c>
      <c r="B469" t="s">
        <v>51</v>
      </c>
      <c r="C469">
        <f>T_Saldo[[#This Row],[Valor liquidativo]]*T_Saldo[[#This Row],[Participaciones]]</f>
        <v>0</v>
      </c>
      <c r="D469" s="11">
        <f>T_Saldo[[#This Row],[Valor liquidativo (Moneda Extranjera)]]/T_Saldo[[#This Row],[Cambio]]</f>
        <v>82.437247999999983</v>
      </c>
      <c r="E469" s="13">
        <f>IF(ISERROR(MATCH(T_Saldo[[#This Row],[Producto]],T_Stocks[Ticker],0)),1,INDEX(T_Stocks[Close],MATCH(T_Saldo[[#This Row],[ID - Product - Fecha]],T_Stocks[ID],1),1))</f>
        <v>90.88</v>
      </c>
      <c r="F469" cm="1">
        <f t="array" ref="F469">IF(T_Saldo[[#This Row],[Divisa]]="USD",INDEX(T_USD_EUR[EURUSD],MATCH(T_Saldo[[#This Row],[Fecha]],T_USD_EUR[Fecha],1),0),1)</f>
        <v>1.1024142872891634</v>
      </c>
      <c r="G469" t="str" cm="1">
        <f t="array" ref="G469">INDEX(T_Elementos[Divisa],MATCH(T_Saldo[[#This Row],[Producto]],T_Elementos[Producto],0),0)</f>
        <v>USD</v>
      </c>
      <c r="H4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69" t="str">
        <f>T_Saldo[[#This Row],[Producto]] &amp; "-" &amp; DATE(YEAR(T_Saldo[[#This Row],[Fecha]]),MONTH(T_Saldo[[#This Row],[Fecha]]),DAY(T_Saldo[[#This Row],[Fecha]]))</f>
        <v>PRHSX-45046</v>
      </c>
    </row>
    <row r="470" spans="1:10" x14ac:dyDescent="0.45">
      <c r="A470" s="15">
        <v>45046</v>
      </c>
      <c r="B470" t="s">
        <v>32</v>
      </c>
      <c r="C470">
        <f>T_Saldo[[#This Row],[Valor liquidativo]]*T_Saldo[[#This Row],[Participaciones]]</f>
        <v>18216.3822</v>
      </c>
      <c r="D470" s="11">
        <f>T_Saldo[[#This Row],[Valor liquidativo (Moneda Extranjera)]]/T_Saldo[[#This Row],[Cambio]]</f>
        <v>91.081910999999991</v>
      </c>
      <c r="E470" s="13">
        <f>IF(ISERROR(MATCH(T_Saldo[[#This Row],[Producto]],T_Stocks[Ticker],0)),1,INDEX(T_Stocks[Close],MATCH(T_Saldo[[#This Row],[ID - Product - Fecha]],T_Stocks[ID],1),1))</f>
        <v>100.41</v>
      </c>
      <c r="F470" cm="1">
        <f t="array" ref="F470">IF(T_Saldo[[#This Row],[Divisa]]="USD",INDEX(T_USD_EUR[EURUSD],MATCH(T_Saldo[[#This Row],[Fecha]],T_USD_EUR[Fecha],1),0),1)</f>
        <v>1.1024142872891634</v>
      </c>
      <c r="G470" t="str" cm="1">
        <f t="array" ref="G470">INDEX(T_Elementos[Divisa],MATCH(T_Saldo[[#This Row],[Producto]],T_Elementos[Producto],0),0)</f>
        <v>USD</v>
      </c>
      <c r="H4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70" t="str">
        <f>T_Saldo[[#This Row],[Producto]] &amp; "-" &amp; DATE(YEAR(T_Saldo[[#This Row],[Fecha]]),MONTH(T_Saldo[[#This Row],[Fecha]]),DAY(T_Saldo[[#This Row],[Fecha]]))</f>
        <v>VTSAX-45046</v>
      </c>
    </row>
    <row r="471" spans="1:10" x14ac:dyDescent="0.45">
      <c r="A471" s="15">
        <v>45077</v>
      </c>
      <c r="B471" t="s">
        <v>38</v>
      </c>
      <c r="C471">
        <f>T_Saldo[[#This Row],[Valor liquidativo]]*T_Saldo[[#This Row],[Participaciones]]</f>
        <v>8289.0962500000005</v>
      </c>
      <c r="D471" s="11">
        <f>T_Saldo[[#This Row],[Valor liquidativo (Moneda Extranjera)]]/T_Saldo[[#This Row],[Cambio]]</f>
        <v>165.781925</v>
      </c>
      <c r="E471" s="13">
        <f>IF(ISERROR(MATCH(T_Saldo[[#This Row],[Producto]],T_Stocks[Ticker],0)),1,INDEX(T_Stocks[Close],MATCH(T_Saldo[[#This Row],[ID - Product - Fecha]],T_Stocks[ID],1),1))</f>
        <v>177.25</v>
      </c>
      <c r="F471" cm="1">
        <f t="array" ref="F471">IF(T_Saldo[[#This Row],[Divisa]]="USD",INDEX(T_USD_EUR[EURUSD],MATCH(T_Saldo[[#This Row],[Fecha]],T_USD_EUR[Fecha],1),0),1)</f>
        <v>1.0691756655618518</v>
      </c>
      <c r="G471" t="str" cm="1">
        <f t="array" ref="G471">INDEX(T_Elementos[Divisa],MATCH(T_Saldo[[#This Row],[Producto]],T_Elementos[Producto],0),0)</f>
        <v>USD</v>
      </c>
      <c r="H4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71" t="str">
        <f>T_Saldo[[#This Row],[Producto]] &amp; "-" &amp; DATE(YEAR(T_Saldo[[#This Row],[Fecha]]),MONTH(T_Saldo[[#This Row],[Fecha]]),DAY(T_Saldo[[#This Row],[Fecha]]))</f>
        <v>AAPL-45077</v>
      </c>
    </row>
    <row r="472" spans="1:10" x14ac:dyDescent="0.45">
      <c r="A472" s="15">
        <v>45077</v>
      </c>
      <c r="B472" t="s">
        <v>43</v>
      </c>
      <c r="C472">
        <f>T_Saldo[[#This Row],[Valor liquidativo]]*T_Saldo[[#This Row],[Participaciones]]</f>
        <v>6000</v>
      </c>
      <c r="D472" s="11">
        <f>T_Saldo[[#This Row],[Valor liquidativo (Moneda Extranjera)]]/T_Saldo[[#This Row],[Cambio]]</f>
        <v>2000</v>
      </c>
      <c r="E472" s="13">
        <f>IF(ISERROR(MATCH(T_Saldo[[#This Row],[Producto]],T_Stocks[Ticker],0)),1,INDEX(T_Stocks[Close],MATCH(T_Saldo[[#This Row],[ID - Product - Fecha]],T_Stocks[ID],1),1))</f>
        <v>2000</v>
      </c>
      <c r="F472" cm="1">
        <f t="array" ref="F472">IF(T_Saldo[[#This Row],[Divisa]]="USD",INDEX(T_USD_EUR[EURUSD],MATCH(T_Saldo[[#This Row],[Fecha]],T_USD_EUR[Fecha],1),0),1)</f>
        <v>1</v>
      </c>
      <c r="G472" t="str" cm="1">
        <f t="array" ref="G472">INDEX(T_Elementos[Divisa],MATCH(T_Saldo[[#This Row],[Producto]],T_Elementos[Producto],0),0)</f>
        <v>EUR</v>
      </c>
      <c r="H4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472" t="str">
        <f>T_Saldo[[#This Row],[Producto]] &amp; "-" &amp; DATE(YEAR(T_Saldo[[#This Row],[Fecha]]),MONTH(T_Saldo[[#This Row],[Fecha]]),DAY(T_Saldo[[#This Row],[Fecha]]))</f>
        <v>Bonos-45077</v>
      </c>
    </row>
    <row r="473" spans="1:10" x14ac:dyDescent="0.45">
      <c r="A473" s="15">
        <v>45077</v>
      </c>
      <c r="B473" t="s">
        <v>155</v>
      </c>
      <c r="C473">
        <f>T_Saldo[[#This Row],[Valor liquidativo]]*T_Saldo[[#This Row],[Participaciones]]</f>
        <v>6362.2565875</v>
      </c>
      <c r="D473" s="11">
        <f>T_Saldo[[#This Row],[Valor liquidativo (Moneda Extranjera)]]/T_Saldo[[#This Row],[Cambio]]</f>
        <v>25449.02635</v>
      </c>
      <c r="E473" s="13">
        <f>IF(ISERROR(MATCH(T_Saldo[[#This Row],[Producto]],T_Stocks[Ticker],0)),1,INDEX(T_Stocks[Close],MATCH(T_Saldo[[#This Row],[ID - Product - Fecha]],T_Stocks[ID],1),1))</f>
        <v>25449.02635</v>
      </c>
      <c r="F473" cm="1">
        <f t="array" ref="F473">IF(T_Saldo[[#This Row],[Divisa]]="USD",INDEX(T_USD_EUR[EURUSD],MATCH(T_Saldo[[#This Row],[Fecha]],T_USD_EUR[Fecha],1),0),1)</f>
        <v>1</v>
      </c>
      <c r="G473" t="str" cm="1">
        <f t="array" ref="G473">INDEX(T_Elementos[Divisa],MATCH(T_Saldo[[#This Row],[Producto]],T_Elementos[Producto],0),0)</f>
        <v>EUR</v>
      </c>
      <c r="H4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73" t="str">
        <f>T_Saldo[[#This Row],[Producto]] &amp; "-" &amp; DATE(YEAR(T_Saldo[[#This Row],[Fecha]]),MONTH(T_Saldo[[#This Row],[Fecha]]),DAY(T_Saldo[[#This Row],[Fecha]]))</f>
        <v>BTCEUR-45077</v>
      </c>
    </row>
    <row r="474" spans="1:10" x14ac:dyDescent="0.45">
      <c r="A474" s="15">
        <v>45077</v>
      </c>
      <c r="B474" t="s">
        <v>46</v>
      </c>
      <c r="C474">
        <f>T_Saldo[[#This Row],[Valor liquidativo]]*T_Saldo[[#This Row],[Participaciones]]</f>
        <v>39151.69999999999</v>
      </c>
      <c r="D474" s="11">
        <f>T_Saldo[[#This Row],[Valor liquidativo (Moneda Extranjera)]]/T_Saldo[[#This Row],[Cambio]]</f>
        <v>1</v>
      </c>
      <c r="E474" s="13">
        <f>IF(ISERROR(MATCH(T_Saldo[[#This Row],[Producto]],T_Stocks[Ticker],0)),1,INDEX(T_Stocks[Close],MATCH(T_Saldo[[#This Row],[ID - Product - Fecha]],T_Stocks[ID],1),1))</f>
        <v>1</v>
      </c>
      <c r="F474" cm="1">
        <f t="array" ref="F474">IF(T_Saldo[[#This Row],[Divisa]]="USD",INDEX(T_USD_EUR[EURUSD],MATCH(T_Saldo[[#This Row],[Fecha]],T_USD_EUR[Fecha],1),0),1)</f>
        <v>1</v>
      </c>
      <c r="G474" t="str" cm="1">
        <f t="array" ref="G474">INDEX(T_Elementos[Divisa],MATCH(T_Saldo[[#This Row],[Producto]],T_Elementos[Producto],0),0)</f>
        <v>EUR</v>
      </c>
      <c r="H4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39151.69999999999</v>
      </c>
      <c r="J474" t="str">
        <f>T_Saldo[[#This Row],[Producto]] &amp; "-" &amp; DATE(YEAR(T_Saldo[[#This Row],[Fecha]]),MONTH(T_Saldo[[#This Row],[Fecha]]),DAY(T_Saldo[[#This Row],[Fecha]]))</f>
        <v>CA 1-45077</v>
      </c>
    </row>
    <row r="475" spans="1:10" x14ac:dyDescent="0.45">
      <c r="A475" s="15">
        <v>45077</v>
      </c>
      <c r="B475" t="s">
        <v>10</v>
      </c>
      <c r="C475">
        <f>T_Saldo[[#This Row],[Valor liquidativo]]*T_Saldo[[#This Row],[Participaciones]]</f>
        <v>21118.780000000002</v>
      </c>
      <c r="D475" s="11">
        <f>T_Saldo[[#This Row],[Valor liquidativo (Moneda Extranjera)]]/T_Saldo[[#This Row],[Cambio]]</f>
        <v>1</v>
      </c>
      <c r="E475" s="13">
        <f>IF(ISERROR(MATCH(T_Saldo[[#This Row],[Producto]],T_Stocks[Ticker],0)),1,INDEX(T_Stocks[Close],MATCH(T_Saldo[[#This Row],[ID - Product - Fecha]],T_Stocks[ID],1),1))</f>
        <v>1</v>
      </c>
      <c r="F475" cm="1">
        <f t="array" ref="F475">IF(T_Saldo[[#This Row],[Divisa]]="USD",INDEX(T_USD_EUR[EURUSD],MATCH(T_Saldo[[#This Row],[Fecha]],T_USD_EUR[Fecha],1),0),1)</f>
        <v>1</v>
      </c>
      <c r="G475" t="str" cm="1">
        <f t="array" ref="G475">INDEX(T_Elementos[Divisa],MATCH(T_Saldo[[#This Row],[Producto]],T_Elementos[Producto],0),0)</f>
        <v>EUR</v>
      </c>
      <c r="H4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21118.780000000002</v>
      </c>
      <c r="J475" t="str">
        <f>T_Saldo[[#This Row],[Producto]] &amp; "-" &amp; DATE(YEAR(T_Saldo[[#This Row],[Fecha]]),MONTH(T_Saldo[[#This Row],[Fecha]]),DAY(T_Saldo[[#This Row],[Fecha]]))</f>
        <v>CC 1-45077</v>
      </c>
    </row>
    <row r="476" spans="1:10" x14ac:dyDescent="0.45">
      <c r="A476" s="15">
        <v>45077</v>
      </c>
      <c r="B476" t="s">
        <v>49</v>
      </c>
      <c r="C476">
        <f>T_Saldo[[#This Row],[Valor liquidativo]]*T_Saldo[[#This Row],[Participaciones]]</f>
        <v>25532.270000000011</v>
      </c>
      <c r="D476" s="11">
        <f>T_Saldo[[#This Row],[Valor liquidativo (Moneda Extranjera)]]/T_Saldo[[#This Row],[Cambio]]</f>
        <v>1</v>
      </c>
      <c r="E476" s="13">
        <f>IF(ISERROR(MATCH(T_Saldo[[#This Row],[Producto]],T_Stocks[Ticker],0)),1,INDEX(T_Stocks[Close],MATCH(T_Saldo[[#This Row],[ID - Product - Fecha]],T_Stocks[ID],1),1))</f>
        <v>1</v>
      </c>
      <c r="F476" cm="1">
        <f t="array" ref="F476">IF(T_Saldo[[#This Row],[Divisa]]="USD",INDEX(T_USD_EUR[EURUSD],MATCH(T_Saldo[[#This Row],[Fecha]],T_USD_EUR[Fecha],1),0),1)</f>
        <v>1</v>
      </c>
      <c r="G476" t="str" cm="1">
        <f t="array" ref="G476">INDEX(T_Elementos[Divisa],MATCH(T_Saldo[[#This Row],[Producto]],T_Elementos[Producto],0),0)</f>
        <v>EUR</v>
      </c>
      <c r="H4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25532.270000000011</v>
      </c>
      <c r="J476" t="str">
        <f>T_Saldo[[#This Row],[Producto]] &amp; "-" &amp; DATE(YEAR(T_Saldo[[#This Row],[Fecha]]),MONTH(T_Saldo[[#This Row],[Fecha]]),DAY(T_Saldo[[#This Row],[Fecha]]))</f>
        <v>CC 2-45077</v>
      </c>
    </row>
    <row r="477" spans="1:10" x14ac:dyDescent="0.45">
      <c r="A477" s="15">
        <v>45077</v>
      </c>
      <c r="B477" t="s">
        <v>41</v>
      </c>
      <c r="C477">
        <f>T_Saldo[[#This Row],[Valor liquidativo]]*T_Saldo[[#This Row],[Participaciones]]</f>
        <v>3071.4316699999999</v>
      </c>
      <c r="D477" s="11">
        <f>T_Saldo[[#This Row],[Valor liquidativo (Moneda Extranjera)]]/T_Saldo[[#This Row],[Cambio]]</f>
        <v>307.14316700000001</v>
      </c>
      <c r="E477" s="13">
        <f>IF(ISERROR(MATCH(T_Saldo[[#This Row],[Producto]],T_Stocks[Ticker],0)),1,INDEX(T_Stocks[Close],MATCH(T_Saldo[[#This Row],[ID - Product - Fecha]],T_Stocks[ID],1),1))</f>
        <v>328.39</v>
      </c>
      <c r="F477" cm="1">
        <f t="array" ref="F477">IF(T_Saldo[[#This Row],[Divisa]]="USD",INDEX(T_USD_EUR[EURUSD],MATCH(T_Saldo[[#This Row],[Fecha]],T_USD_EUR[Fecha],1),0),1)</f>
        <v>1.0691756655618518</v>
      </c>
      <c r="G477" t="str" cm="1">
        <f t="array" ref="G477">INDEX(T_Elementos[Divisa],MATCH(T_Saldo[[#This Row],[Producto]],T_Elementos[Producto],0),0)</f>
        <v>USD</v>
      </c>
      <c r="H4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77" t="str">
        <f>T_Saldo[[#This Row],[Producto]] &amp; "-" &amp; DATE(YEAR(T_Saldo[[#This Row],[Fecha]]),MONTH(T_Saldo[[#This Row],[Fecha]]),DAY(T_Saldo[[#This Row],[Fecha]]))</f>
        <v>MSFT-45077</v>
      </c>
    </row>
    <row r="478" spans="1:10" x14ac:dyDescent="0.45">
      <c r="A478" s="15">
        <v>45077</v>
      </c>
      <c r="B478" t="s">
        <v>51</v>
      </c>
      <c r="C478">
        <f>T_Saldo[[#This Row],[Valor liquidativo]]*T_Saldo[[#This Row],[Participaciones]]</f>
        <v>0</v>
      </c>
      <c r="D478" s="11">
        <f>T_Saldo[[#This Row],[Valor liquidativo (Moneda Extranjera)]]/T_Saldo[[#This Row],[Cambio]]</f>
        <v>82.502812999999989</v>
      </c>
      <c r="E478" s="13">
        <f>IF(ISERROR(MATCH(T_Saldo[[#This Row],[Producto]],T_Stocks[Ticker],0)),1,INDEX(T_Stocks[Close],MATCH(T_Saldo[[#This Row],[ID - Product - Fecha]],T_Stocks[ID],1),1))</f>
        <v>88.21</v>
      </c>
      <c r="F478" cm="1">
        <f t="array" ref="F478">IF(T_Saldo[[#This Row],[Divisa]]="USD",INDEX(T_USD_EUR[EURUSD],MATCH(T_Saldo[[#This Row],[Fecha]],T_USD_EUR[Fecha],1),0),1)</f>
        <v>1.0691756655618518</v>
      </c>
      <c r="G478" t="str" cm="1">
        <f t="array" ref="G478">INDEX(T_Elementos[Divisa],MATCH(T_Saldo[[#This Row],[Producto]],T_Elementos[Producto],0),0)</f>
        <v>USD</v>
      </c>
      <c r="H4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478" t="str">
        <f>T_Saldo[[#This Row],[Producto]] &amp; "-" &amp; DATE(YEAR(T_Saldo[[#This Row],[Fecha]]),MONTH(T_Saldo[[#This Row],[Fecha]]),DAY(T_Saldo[[#This Row],[Fecha]]))</f>
        <v>PRHSX-45077</v>
      </c>
    </row>
    <row r="479" spans="1:10" x14ac:dyDescent="0.45">
      <c r="A479" s="15">
        <v>45077</v>
      </c>
      <c r="B479" t="s">
        <v>32</v>
      </c>
      <c r="C479">
        <f>T_Saldo[[#This Row],[Valor liquidativo]]*T_Saldo[[#This Row],[Participaciones]]</f>
        <v>18861.2598</v>
      </c>
      <c r="D479" s="11">
        <f>T_Saldo[[#This Row],[Valor liquidativo (Moneda Extranjera)]]/T_Saldo[[#This Row],[Cambio]]</f>
        <v>94.306298999999996</v>
      </c>
      <c r="E479" s="13">
        <f>IF(ISERROR(MATCH(T_Saldo[[#This Row],[Producto]],T_Stocks[Ticker],0)),1,INDEX(T_Stocks[Close],MATCH(T_Saldo[[#This Row],[ID - Product - Fecha]],T_Stocks[ID],1),1))</f>
        <v>100.83</v>
      </c>
      <c r="F479" cm="1">
        <f t="array" ref="F479">IF(T_Saldo[[#This Row],[Divisa]]="USD",INDEX(T_USD_EUR[EURUSD],MATCH(T_Saldo[[#This Row],[Fecha]],T_USD_EUR[Fecha],1),0),1)</f>
        <v>1.0691756655618518</v>
      </c>
      <c r="G479" t="str" cm="1">
        <f t="array" ref="G479">INDEX(T_Elementos[Divisa],MATCH(T_Saldo[[#This Row],[Producto]],T_Elementos[Producto],0),0)</f>
        <v>USD</v>
      </c>
      <c r="H4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79" t="str">
        <f>T_Saldo[[#This Row],[Producto]] &amp; "-" &amp; DATE(YEAR(T_Saldo[[#This Row],[Fecha]]),MONTH(T_Saldo[[#This Row],[Fecha]]),DAY(T_Saldo[[#This Row],[Fecha]]))</f>
        <v>VTSAX-45077</v>
      </c>
    </row>
    <row r="480" spans="1:10" x14ac:dyDescent="0.45">
      <c r="A480" s="15">
        <v>45107</v>
      </c>
      <c r="B480" t="s">
        <v>38</v>
      </c>
      <c r="C480">
        <f>T_Saldo[[#This Row],[Valor liquidativo]]*T_Saldo[[#This Row],[Participaciones]]</f>
        <v>8886.7355499999994</v>
      </c>
      <c r="D480" s="11">
        <f>T_Saldo[[#This Row],[Valor liquidativo (Moneda Extranjera)]]/T_Saldo[[#This Row],[Cambio]]</f>
        <v>177.73471099999998</v>
      </c>
      <c r="E480" s="13">
        <f>IF(ISERROR(MATCH(T_Saldo[[#This Row],[Producto]],T_Stocks[Ticker],0)),1,INDEX(T_Stocks[Close],MATCH(T_Saldo[[#This Row],[ID - Product - Fecha]],T_Stocks[ID],1),1))</f>
        <v>193.97</v>
      </c>
      <c r="F480" cm="1">
        <f t="array" ref="F480">IF(T_Saldo[[#This Row],[Divisa]]="USD",INDEX(T_USD_EUR[EURUSD],MATCH(T_Saldo[[#This Row],[Fecha]],T_USD_EUR[Fecha],1),0),1)</f>
        <v>1.0913456291607553</v>
      </c>
      <c r="G480" t="str" cm="1">
        <f t="array" ref="G480">INDEX(T_Elementos[Divisa],MATCH(T_Saldo[[#This Row],[Producto]],T_Elementos[Producto],0),0)</f>
        <v>USD</v>
      </c>
      <c r="H4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80" t="str">
        <f>T_Saldo[[#This Row],[Producto]] &amp; "-" &amp; DATE(YEAR(T_Saldo[[#This Row],[Fecha]]),MONTH(T_Saldo[[#This Row],[Fecha]]),DAY(T_Saldo[[#This Row],[Fecha]]))</f>
        <v>AAPL-45107</v>
      </c>
    </row>
    <row r="481" spans="1:10" x14ac:dyDescent="0.45">
      <c r="A481" s="15">
        <v>45107</v>
      </c>
      <c r="B481" t="s">
        <v>43</v>
      </c>
      <c r="C481">
        <f>T_Saldo[[#This Row],[Valor liquidativo]]*T_Saldo[[#This Row],[Participaciones]]</f>
        <v>6000</v>
      </c>
      <c r="D481" s="11">
        <f>T_Saldo[[#This Row],[Valor liquidativo (Moneda Extranjera)]]/T_Saldo[[#This Row],[Cambio]]</f>
        <v>2000</v>
      </c>
      <c r="E481" s="13">
        <f>IF(ISERROR(MATCH(T_Saldo[[#This Row],[Producto]],T_Stocks[Ticker],0)),1,INDEX(T_Stocks[Close],MATCH(T_Saldo[[#This Row],[ID - Product - Fecha]],T_Stocks[ID],1),1))</f>
        <v>2000</v>
      </c>
      <c r="F481" cm="1">
        <f t="array" ref="F481">IF(T_Saldo[[#This Row],[Divisa]]="USD",INDEX(T_USD_EUR[EURUSD],MATCH(T_Saldo[[#This Row],[Fecha]],T_USD_EUR[Fecha],1),0),1)</f>
        <v>1</v>
      </c>
      <c r="G481" t="str" cm="1">
        <f t="array" ref="G481">INDEX(T_Elementos[Divisa],MATCH(T_Saldo[[#This Row],[Producto]],T_Elementos[Producto],0),0)</f>
        <v>EUR</v>
      </c>
      <c r="H4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481" t="str">
        <f>T_Saldo[[#This Row],[Producto]] &amp; "-" &amp; DATE(YEAR(T_Saldo[[#This Row],[Fecha]]),MONTH(T_Saldo[[#This Row],[Fecha]]),DAY(T_Saldo[[#This Row],[Fecha]]))</f>
        <v>Bonos-45107</v>
      </c>
    </row>
    <row r="482" spans="1:10" x14ac:dyDescent="0.45">
      <c r="A482" s="15">
        <v>45107</v>
      </c>
      <c r="B482" t="s">
        <v>155</v>
      </c>
      <c r="C482">
        <f>T_Saldo[[#This Row],[Valor liquidativo]]*T_Saldo[[#This Row],[Participaciones]]</f>
        <v>6977.5139575000003</v>
      </c>
      <c r="D482" s="11">
        <f>T_Saldo[[#This Row],[Valor liquidativo (Moneda Extranjera)]]/T_Saldo[[#This Row],[Cambio]]</f>
        <v>27910.055830000001</v>
      </c>
      <c r="E482" s="13">
        <f>IF(ISERROR(MATCH(T_Saldo[[#This Row],[Producto]],T_Stocks[Ticker],0)),1,INDEX(T_Stocks[Close],MATCH(T_Saldo[[#This Row],[ID - Product - Fecha]],T_Stocks[ID],1),1))</f>
        <v>27910.055830000001</v>
      </c>
      <c r="F482" cm="1">
        <f t="array" ref="F482">IF(T_Saldo[[#This Row],[Divisa]]="USD",INDEX(T_USD_EUR[EURUSD],MATCH(T_Saldo[[#This Row],[Fecha]],T_USD_EUR[Fecha],1),0),1)</f>
        <v>1</v>
      </c>
      <c r="G482" t="str" cm="1">
        <f t="array" ref="G482">INDEX(T_Elementos[Divisa],MATCH(T_Saldo[[#This Row],[Producto]],T_Elementos[Producto],0),0)</f>
        <v>EUR</v>
      </c>
      <c r="H4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82" t="str">
        <f>T_Saldo[[#This Row],[Producto]] &amp; "-" &amp; DATE(YEAR(T_Saldo[[#This Row],[Fecha]]),MONTH(T_Saldo[[#This Row],[Fecha]]),DAY(T_Saldo[[#This Row],[Fecha]]))</f>
        <v>BTCEUR-45107</v>
      </c>
    </row>
    <row r="483" spans="1:10" x14ac:dyDescent="0.45">
      <c r="A483" s="15">
        <v>45107</v>
      </c>
      <c r="B483" t="s">
        <v>46</v>
      </c>
      <c r="C483">
        <f>T_Saldo[[#This Row],[Valor liquidativo]]*T_Saldo[[#This Row],[Participaciones]]</f>
        <v>38635.189999999988</v>
      </c>
      <c r="D483" s="11">
        <f>T_Saldo[[#This Row],[Valor liquidativo (Moneda Extranjera)]]/T_Saldo[[#This Row],[Cambio]]</f>
        <v>1</v>
      </c>
      <c r="E483" s="13">
        <f>IF(ISERROR(MATCH(T_Saldo[[#This Row],[Producto]],T_Stocks[Ticker],0)),1,INDEX(T_Stocks[Close],MATCH(T_Saldo[[#This Row],[ID - Product - Fecha]],T_Stocks[ID],1),1))</f>
        <v>1</v>
      </c>
      <c r="F483" cm="1">
        <f t="array" ref="F483">IF(T_Saldo[[#This Row],[Divisa]]="USD",INDEX(T_USD_EUR[EURUSD],MATCH(T_Saldo[[#This Row],[Fecha]],T_USD_EUR[Fecha],1),0),1)</f>
        <v>1</v>
      </c>
      <c r="G483" t="str" cm="1">
        <f t="array" ref="G483">INDEX(T_Elementos[Divisa],MATCH(T_Saldo[[#This Row],[Producto]],T_Elementos[Producto],0),0)</f>
        <v>EUR</v>
      </c>
      <c r="H4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38635.189999999988</v>
      </c>
      <c r="J483" t="str">
        <f>T_Saldo[[#This Row],[Producto]] &amp; "-" &amp; DATE(YEAR(T_Saldo[[#This Row],[Fecha]]),MONTH(T_Saldo[[#This Row],[Fecha]]),DAY(T_Saldo[[#This Row],[Fecha]]))</f>
        <v>CA 1-45107</v>
      </c>
    </row>
    <row r="484" spans="1:10" x14ac:dyDescent="0.45">
      <c r="A484" s="15">
        <v>45107</v>
      </c>
      <c r="B484" t="s">
        <v>10</v>
      </c>
      <c r="C484">
        <f>T_Saldo[[#This Row],[Valor liquidativo]]*T_Saldo[[#This Row],[Participaciones]]</f>
        <v>22791.4</v>
      </c>
      <c r="D484" s="11">
        <f>T_Saldo[[#This Row],[Valor liquidativo (Moneda Extranjera)]]/T_Saldo[[#This Row],[Cambio]]</f>
        <v>1</v>
      </c>
      <c r="E484" s="13">
        <f>IF(ISERROR(MATCH(T_Saldo[[#This Row],[Producto]],T_Stocks[Ticker],0)),1,INDEX(T_Stocks[Close],MATCH(T_Saldo[[#This Row],[ID - Product - Fecha]],T_Stocks[ID],1),1))</f>
        <v>1</v>
      </c>
      <c r="F484" cm="1">
        <f t="array" ref="F484">IF(T_Saldo[[#This Row],[Divisa]]="USD",INDEX(T_USD_EUR[EURUSD],MATCH(T_Saldo[[#This Row],[Fecha]],T_USD_EUR[Fecha],1),0),1)</f>
        <v>1</v>
      </c>
      <c r="G484" t="str" cm="1">
        <f t="array" ref="G484">INDEX(T_Elementos[Divisa],MATCH(T_Saldo[[#This Row],[Producto]],T_Elementos[Producto],0),0)</f>
        <v>EUR</v>
      </c>
      <c r="H4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22791.4</v>
      </c>
      <c r="J484" t="str">
        <f>T_Saldo[[#This Row],[Producto]] &amp; "-" &amp; DATE(YEAR(T_Saldo[[#This Row],[Fecha]]),MONTH(T_Saldo[[#This Row],[Fecha]]),DAY(T_Saldo[[#This Row],[Fecha]]))</f>
        <v>CC 1-45107</v>
      </c>
    </row>
    <row r="485" spans="1:10" x14ac:dyDescent="0.45">
      <c r="A485" s="15">
        <v>45107</v>
      </c>
      <c r="B485" t="s">
        <v>49</v>
      </c>
      <c r="C485">
        <f>T_Saldo[[#This Row],[Valor liquidativo]]*T_Saldo[[#This Row],[Participaciones]]</f>
        <v>25374.420000000013</v>
      </c>
      <c r="D485" s="11">
        <f>T_Saldo[[#This Row],[Valor liquidativo (Moneda Extranjera)]]/T_Saldo[[#This Row],[Cambio]]</f>
        <v>1</v>
      </c>
      <c r="E485" s="13">
        <f>IF(ISERROR(MATCH(T_Saldo[[#This Row],[Producto]],T_Stocks[Ticker],0)),1,INDEX(T_Stocks[Close],MATCH(T_Saldo[[#This Row],[ID - Product - Fecha]],T_Stocks[ID],1),1))</f>
        <v>1</v>
      </c>
      <c r="F485" cm="1">
        <f t="array" ref="F485">IF(T_Saldo[[#This Row],[Divisa]]="USD",INDEX(T_USD_EUR[EURUSD],MATCH(T_Saldo[[#This Row],[Fecha]],T_USD_EUR[Fecha],1),0),1)</f>
        <v>1</v>
      </c>
      <c r="G485" t="str" cm="1">
        <f t="array" ref="G485">INDEX(T_Elementos[Divisa],MATCH(T_Saldo[[#This Row],[Producto]],T_Elementos[Producto],0),0)</f>
        <v>EUR</v>
      </c>
      <c r="H4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25374.420000000013</v>
      </c>
      <c r="J485" t="str">
        <f>T_Saldo[[#This Row],[Producto]] &amp; "-" &amp; DATE(YEAR(T_Saldo[[#This Row],[Fecha]]),MONTH(T_Saldo[[#This Row],[Fecha]]),DAY(T_Saldo[[#This Row],[Fecha]]))</f>
        <v>CC 2-45107</v>
      </c>
    </row>
    <row r="486" spans="1:10" x14ac:dyDescent="0.45">
      <c r="A486" s="15">
        <v>45107</v>
      </c>
      <c r="B486" t="s">
        <v>41</v>
      </c>
      <c r="C486">
        <f>T_Saldo[[#This Row],[Valor liquidativo]]*T_Saldo[[#This Row],[Participaciones]]</f>
        <v>3120.3680200000003</v>
      </c>
      <c r="D486" s="11">
        <f>T_Saldo[[#This Row],[Valor liquidativo (Moneda Extranjera)]]/T_Saldo[[#This Row],[Cambio]]</f>
        <v>312.03680200000002</v>
      </c>
      <c r="E486" s="13">
        <f>IF(ISERROR(MATCH(T_Saldo[[#This Row],[Producto]],T_Stocks[Ticker],0)),1,INDEX(T_Stocks[Close],MATCH(T_Saldo[[#This Row],[ID - Product - Fecha]],T_Stocks[ID],1),1))</f>
        <v>340.54</v>
      </c>
      <c r="F486" cm="1">
        <f t="array" ref="F486">IF(T_Saldo[[#This Row],[Divisa]]="USD",INDEX(T_USD_EUR[EURUSD],MATCH(T_Saldo[[#This Row],[Fecha]],T_USD_EUR[Fecha],1),0),1)</f>
        <v>1.0913456291607553</v>
      </c>
      <c r="G486" t="str" cm="1">
        <f t="array" ref="G486">INDEX(T_Elementos[Divisa],MATCH(T_Saldo[[#This Row],[Producto]],T_Elementos[Producto],0),0)</f>
        <v>USD</v>
      </c>
      <c r="H4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86" t="str">
        <f>T_Saldo[[#This Row],[Producto]] &amp; "-" &amp; DATE(YEAR(T_Saldo[[#This Row],[Fecha]]),MONTH(T_Saldo[[#This Row],[Fecha]]),DAY(T_Saldo[[#This Row],[Fecha]]))</f>
        <v>MSFT-45107</v>
      </c>
    </row>
    <row r="487" spans="1:10" x14ac:dyDescent="0.45">
      <c r="A487" s="15">
        <v>45107</v>
      </c>
      <c r="B487" t="s">
        <v>51</v>
      </c>
      <c r="C487">
        <f>T_Saldo[[#This Row],[Valor liquidativo]]*T_Saldo[[#This Row],[Participaciones]]</f>
        <v>16634.510199999997</v>
      </c>
      <c r="D487" s="11">
        <f>T_Saldo[[#This Row],[Valor liquidativo (Moneda Extranjera)]]/T_Saldo[[#This Row],[Cambio]]</f>
        <v>83.172550999999984</v>
      </c>
      <c r="E487" s="13">
        <f>IF(ISERROR(MATCH(T_Saldo[[#This Row],[Producto]],T_Stocks[Ticker],0)),1,INDEX(T_Stocks[Close],MATCH(T_Saldo[[#This Row],[ID - Product - Fecha]],T_Stocks[ID],1),1))</f>
        <v>90.77</v>
      </c>
      <c r="F487" cm="1">
        <f t="array" ref="F487">IF(T_Saldo[[#This Row],[Divisa]]="USD",INDEX(T_USD_EUR[EURUSD],MATCH(T_Saldo[[#This Row],[Fecha]],T_USD_EUR[Fecha],1),0),1)</f>
        <v>1.0913456291607553</v>
      </c>
      <c r="G487" t="str" cm="1">
        <f t="array" ref="G487">INDEX(T_Elementos[Divisa],MATCH(T_Saldo[[#This Row],[Producto]],T_Elementos[Producto],0),0)</f>
        <v>USD</v>
      </c>
      <c r="H4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87" t="str">
        <f>T_Saldo[[#This Row],[Producto]] &amp; "-" &amp; DATE(YEAR(T_Saldo[[#This Row],[Fecha]]),MONTH(T_Saldo[[#This Row],[Fecha]]),DAY(T_Saldo[[#This Row],[Fecha]]))</f>
        <v>PRHSX-45107</v>
      </c>
    </row>
    <row r="488" spans="1:10" x14ac:dyDescent="0.45">
      <c r="A488" s="15">
        <v>45107</v>
      </c>
      <c r="B488" t="s">
        <v>32</v>
      </c>
      <c r="C488">
        <f>T_Saldo[[#This Row],[Valor liquidativo]]*T_Saldo[[#This Row],[Participaciones]]</f>
        <v>19667.463199999998</v>
      </c>
      <c r="D488" s="11">
        <f>T_Saldo[[#This Row],[Valor liquidativo (Moneda Extranjera)]]/T_Saldo[[#This Row],[Cambio]]</f>
        <v>98.337315999999987</v>
      </c>
      <c r="E488" s="13">
        <f>IF(ISERROR(MATCH(T_Saldo[[#This Row],[Producto]],T_Stocks[Ticker],0)),1,INDEX(T_Stocks[Close],MATCH(T_Saldo[[#This Row],[ID - Product - Fecha]],T_Stocks[ID],1),1))</f>
        <v>107.32</v>
      </c>
      <c r="F488" cm="1">
        <f t="array" ref="F488">IF(T_Saldo[[#This Row],[Divisa]]="USD",INDEX(T_USD_EUR[EURUSD],MATCH(T_Saldo[[#This Row],[Fecha]],T_USD_EUR[Fecha],1),0),1)</f>
        <v>1.0913456291607553</v>
      </c>
      <c r="G488" t="str" cm="1">
        <f t="array" ref="G488">INDEX(T_Elementos[Divisa],MATCH(T_Saldo[[#This Row],[Producto]],T_Elementos[Producto],0),0)</f>
        <v>USD</v>
      </c>
      <c r="H4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88" t="str">
        <f>T_Saldo[[#This Row],[Producto]] &amp; "-" &amp; DATE(YEAR(T_Saldo[[#This Row],[Fecha]]),MONTH(T_Saldo[[#This Row],[Fecha]]),DAY(T_Saldo[[#This Row],[Fecha]]))</f>
        <v>VTSAX-45107</v>
      </c>
    </row>
    <row r="489" spans="1:10" x14ac:dyDescent="0.45">
      <c r="A489" s="15">
        <v>45138</v>
      </c>
      <c r="B489" t="s">
        <v>38</v>
      </c>
      <c r="C489">
        <f>T_Saldo[[#This Row],[Valor liquidativo]]*T_Saldo[[#This Row],[Participaciones]]</f>
        <v>8931.5992499999993</v>
      </c>
      <c r="D489" s="11">
        <f>T_Saldo[[#This Row],[Valor liquidativo (Moneda Extranjera)]]/T_Saldo[[#This Row],[Cambio]]</f>
        <v>178.63198499999999</v>
      </c>
      <c r="E489" s="13">
        <f>IF(ISERROR(MATCH(T_Saldo[[#This Row],[Producto]],T_Stocks[Ticker],0)),1,INDEX(T_Stocks[Close],MATCH(T_Saldo[[#This Row],[ID - Product - Fecha]],T_Stocks[ID],1),1))</f>
        <v>196.45</v>
      </c>
      <c r="F489" cm="1">
        <f t="array" ref="F489">IF(T_Saldo[[#This Row],[Divisa]]="USD",INDEX(T_USD_EUR[EURUSD],MATCH(T_Saldo[[#This Row],[Fecha]],T_USD_EUR[Fecha],1),0),1)</f>
        <v>1.0997470581766193</v>
      </c>
      <c r="G489" t="str" cm="1">
        <f t="array" ref="G489">INDEX(T_Elementos[Divisa],MATCH(T_Saldo[[#This Row],[Producto]],T_Elementos[Producto],0),0)</f>
        <v>USD</v>
      </c>
      <c r="H4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89" t="str">
        <f>T_Saldo[[#This Row],[Producto]] &amp; "-" &amp; DATE(YEAR(T_Saldo[[#This Row],[Fecha]]),MONTH(T_Saldo[[#This Row],[Fecha]]),DAY(T_Saldo[[#This Row],[Fecha]]))</f>
        <v>AAPL-45138</v>
      </c>
    </row>
    <row r="490" spans="1:10" x14ac:dyDescent="0.45">
      <c r="A490" s="15">
        <v>45138</v>
      </c>
      <c r="B490" t="s">
        <v>43</v>
      </c>
      <c r="C490">
        <f>T_Saldo[[#This Row],[Valor liquidativo]]*T_Saldo[[#This Row],[Participaciones]]</f>
        <v>6000</v>
      </c>
      <c r="D490" s="11">
        <f>T_Saldo[[#This Row],[Valor liquidativo (Moneda Extranjera)]]/T_Saldo[[#This Row],[Cambio]]</f>
        <v>2000</v>
      </c>
      <c r="E490" s="13">
        <f>IF(ISERROR(MATCH(T_Saldo[[#This Row],[Producto]],T_Stocks[Ticker],0)),1,INDEX(T_Stocks[Close],MATCH(T_Saldo[[#This Row],[ID - Product - Fecha]],T_Stocks[ID],1),1))</f>
        <v>2000</v>
      </c>
      <c r="F490" cm="1">
        <f t="array" ref="F490">IF(T_Saldo[[#This Row],[Divisa]]="USD",INDEX(T_USD_EUR[EURUSD],MATCH(T_Saldo[[#This Row],[Fecha]],T_USD_EUR[Fecha],1),0),1)</f>
        <v>1</v>
      </c>
      <c r="G490" t="str" cm="1">
        <f t="array" ref="G490">INDEX(T_Elementos[Divisa],MATCH(T_Saldo[[#This Row],[Producto]],T_Elementos[Producto],0),0)</f>
        <v>EUR</v>
      </c>
      <c r="H4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490" t="str">
        <f>T_Saldo[[#This Row],[Producto]] &amp; "-" &amp; DATE(YEAR(T_Saldo[[#This Row],[Fecha]]),MONTH(T_Saldo[[#This Row],[Fecha]]),DAY(T_Saldo[[#This Row],[Fecha]]))</f>
        <v>Bonos-45138</v>
      </c>
    </row>
    <row r="491" spans="1:10" x14ac:dyDescent="0.45">
      <c r="A491" s="15">
        <v>45138</v>
      </c>
      <c r="B491" t="s">
        <v>155</v>
      </c>
      <c r="C491">
        <f>T_Saldo[[#This Row],[Valor liquidativo]]*T_Saldo[[#This Row],[Participaciones]]</f>
        <v>6647.8396475</v>
      </c>
      <c r="D491" s="11">
        <f>T_Saldo[[#This Row],[Valor liquidativo (Moneda Extranjera)]]/T_Saldo[[#This Row],[Cambio]]</f>
        <v>26591.35859</v>
      </c>
      <c r="E491" s="13">
        <f>IF(ISERROR(MATCH(T_Saldo[[#This Row],[Producto]],T_Stocks[Ticker],0)),1,INDEX(T_Stocks[Close],MATCH(T_Saldo[[#This Row],[ID - Product - Fecha]],T_Stocks[ID],1),1))</f>
        <v>26591.35859</v>
      </c>
      <c r="F491" cm="1">
        <f t="array" ref="F491">IF(T_Saldo[[#This Row],[Divisa]]="USD",INDEX(T_USD_EUR[EURUSD],MATCH(T_Saldo[[#This Row],[Fecha]],T_USD_EUR[Fecha],1),0),1)</f>
        <v>1</v>
      </c>
      <c r="G491" t="str" cm="1">
        <f t="array" ref="G491">INDEX(T_Elementos[Divisa],MATCH(T_Saldo[[#This Row],[Producto]],T_Elementos[Producto],0),0)</f>
        <v>EUR</v>
      </c>
      <c r="H4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491" t="str">
        <f>T_Saldo[[#This Row],[Producto]] &amp; "-" &amp; DATE(YEAR(T_Saldo[[#This Row],[Fecha]]),MONTH(T_Saldo[[#This Row],[Fecha]]),DAY(T_Saldo[[#This Row],[Fecha]]))</f>
        <v>BTCEUR-45138</v>
      </c>
    </row>
    <row r="492" spans="1:10" x14ac:dyDescent="0.45">
      <c r="A492" s="15">
        <v>45138</v>
      </c>
      <c r="B492" t="s">
        <v>46</v>
      </c>
      <c r="C492">
        <f>T_Saldo[[#This Row],[Valor liquidativo]]*T_Saldo[[#This Row],[Participaciones]]</f>
        <v>38312.06</v>
      </c>
      <c r="D492" s="11">
        <f>T_Saldo[[#This Row],[Valor liquidativo (Moneda Extranjera)]]/T_Saldo[[#This Row],[Cambio]]</f>
        <v>1</v>
      </c>
      <c r="E492" s="13">
        <f>IF(ISERROR(MATCH(T_Saldo[[#This Row],[Producto]],T_Stocks[Ticker],0)),1,INDEX(T_Stocks[Close],MATCH(T_Saldo[[#This Row],[ID - Product - Fecha]],T_Stocks[ID],1),1))</f>
        <v>1</v>
      </c>
      <c r="F492" cm="1">
        <f t="array" ref="F492">IF(T_Saldo[[#This Row],[Divisa]]="USD",INDEX(T_USD_EUR[EURUSD],MATCH(T_Saldo[[#This Row],[Fecha]],T_USD_EUR[Fecha],1),0),1)</f>
        <v>1</v>
      </c>
      <c r="G492" t="str" cm="1">
        <f t="array" ref="G492">INDEX(T_Elementos[Divisa],MATCH(T_Saldo[[#This Row],[Producto]],T_Elementos[Producto],0),0)</f>
        <v>EUR</v>
      </c>
      <c r="H4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38312.06</v>
      </c>
      <c r="J492" t="str">
        <f>T_Saldo[[#This Row],[Producto]] &amp; "-" &amp; DATE(YEAR(T_Saldo[[#This Row],[Fecha]]),MONTH(T_Saldo[[#This Row],[Fecha]]),DAY(T_Saldo[[#This Row],[Fecha]]))</f>
        <v>CA 1-45138</v>
      </c>
    </row>
    <row r="493" spans="1:10" x14ac:dyDescent="0.45">
      <c r="A493" s="15">
        <v>45138</v>
      </c>
      <c r="B493" t="s">
        <v>10</v>
      </c>
      <c r="C493">
        <f>T_Saldo[[#This Row],[Valor liquidativo]]*T_Saldo[[#This Row],[Participaciones]]</f>
        <v>22749.63</v>
      </c>
      <c r="D493" s="11">
        <f>T_Saldo[[#This Row],[Valor liquidativo (Moneda Extranjera)]]/T_Saldo[[#This Row],[Cambio]]</f>
        <v>1</v>
      </c>
      <c r="E493" s="13">
        <f>IF(ISERROR(MATCH(T_Saldo[[#This Row],[Producto]],T_Stocks[Ticker],0)),1,INDEX(T_Stocks[Close],MATCH(T_Saldo[[#This Row],[ID - Product - Fecha]],T_Stocks[ID],1),1))</f>
        <v>1</v>
      </c>
      <c r="F493" cm="1">
        <f t="array" ref="F493">IF(T_Saldo[[#This Row],[Divisa]]="USD",INDEX(T_USD_EUR[EURUSD],MATCH(T_Saldo[[#This Row],[Fecha]],T_USD_EUR[Fecha],1),0),1)</f>
        <v>1</v>
      </c>
      <c r="G493" t="str" cm="1">
        <f t="array" ref="G493">INDEX(T_Elementos[Divisa],MATCH(T_Saldo[[#This Row],[Producto]],T_Elementos[Producto],0),0)</f>
        <v>EUR</v>
      </c>
      <c r="H4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22749.63</v>
      </c>
      <c r="J493" t="str">
        <f>T_Saldo[[#This Row],[Producto]] &amp; "-" &amp; DATE(YEAR(T_Saldo[[#This Row],[Fecha]]),MONTH(T_Saldo[[#This Row],[Fecha]]),DAY(T_Saldo[[#This Row],[Fecha]]))</f>
        <v>CC 1-45138</v>
      </c>
    </row>
    <row r="494" spans="1:10" x14ac:dyDescent="0.45">
      <c r="A494" s="15">
        <v>45138</v>
      </c>
      <c r="B494" t="s">
        <v>49</v>
      </c>
      <c r="C494">
        <f>T_Saldo[[#This Row],[Valor liquidativo]]*T_Saldo[[#This Row],[Participaciones]]</f>
        <v>25244.990000000013</v>
      </c>
      <c r="D494" s="11">
        <f>T_Saldo[[#This Row],[Valor liquidativo (Moneda Extranjera)]]/T_Saldo[[#This Row],[Cambio]]</f>
        <v>1</v>
      </c>
      <c r="E494" s="13">
        <f>IF(ISERROR(MATCH(T_Saldo[[#This Row],[Producto]],T_Stocks[Ticker],0)),1,INDEX(T_Stocks[Close],MATCH(T_Saldo[[#This Row],[ID - Product - Fecha]],T_Stocks[ID],1),1))</f>
        <v>1</v>
      </c>
      <c r="F494" cm="1">
        <f t="array" ref="F494">IF(T_Saldo[[#This Row],[Divisa]]="USD",INDEX(T_USD_EUR[EURUSD],MATCH(T_Saldo[[#This Row],[Fecha]],T_USD_EUR[Fecha],1),0),1)</f>
        <v>1</v>
      </c>
      <c r="G494" t="str" cm="1">
        <f t="array" ref="G494">INDEX(T_Elementos[Divisa],MATCH(T_Saldo[[#This Row],[Producto]],T_Elementos[Producto],0),0)</f>
        <v>EUR</v>
      </c>
      <c r="H4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25244.990000000013</v>
      </c>
      <c r="J494" t="str">
        <f>T_Saldo[[#This Row],[Producto]] &amp; "-" &amp; DATE(YEAR(T_Saldo[[#This Row],[Fecha]]),MONTH(T_Saldo[[#This Row],[Fecha]]),DAY(T_Saldo[[#This Row],[Fecha]]))</f>
        <v>CC 2-45138</v>
      </c>
    </row>
    <row r="495" spans="1:10" x14ac:dyDescent="0.45">
      <c r="A495" s="15">
        <v>45138</v>
      </c>
      <c r="B495" t="s">
        <v>41</v>
      </c>
      <c r="C495">
        <f>T_Saldo[[#This Row],[Valor liquidativo]]*T_Saldo[[#This Row],[Participaciones]]</f>
        <v>3054.5205600000004</v>
      </c>
      <c r="D495" s="11">
        <f>T_Saldo[[#This Row],[Valor liquidativo (Moneda Extranjera)]]/T_Saldo[[#This Row],[Cambio]]</f>
        <v>305.45205600000003</v>
      </c>
      <c r="E495" s="13">
        <f>IF(ISERROR(MATCH(T_Saldo[[#This Row],[Producto]],T_Stocks[Ticker],0)),1,INDEX(T_Stocks[Close],MATCH(T_Saldo[[#This Row],[ID - Product - Fecha]],T_Stocks[ID],1),1))</f>
        <v>335.92</v>
      </c>
      <c r="F495" cm="1">
        <f t="array" ref="F495">IF(T_Saldo[[#This Row],[Divisa]]="USD",INDEX(T_USD_EUR[EURUSD],MATCH(T_Saldo[[#This Row],[Fecha]],T_USD_EUR[Fecha],1),0),1)</f>
        <v>1.0997470581766193</v>
      </c>
      <c r="G495" t="str" cm="1">
        <f t="array" ref="G495">INDEX(T_Elementos[Divisa],MATCH(T_Saldo[[#This Row],[Producto]],T_Elementos[Producto],0),0)</f>
        <v>USD</v>
      </c>
      <c r="H4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495" t="str">
        <f>T_Saldo[[#This Row],[Producto]] &amp; "-" &amp; DATE(YEAR(T_Saldo[[#This Row],[Fecha]]),MONTH(T_Saldo[[#This Row],[Fecha]]),DAY(T_Saldo[[#This Row],[Fecha]]))</f>
        <v>MSFT-45138</v>
      </c>
    </row>
    <row r="496" spans="1:10" x14ac:dyDescent="0.45">
      <c r="A496" s="15">
        <v>45138</v>
      </c>
      <c r="B496" t="s">
        <v>51</v>
      </c>
      <c r="C496">
        <f>T_Saldo[[#This Row],[Valor liquidativo]]*T_Saldo[[#This Row],[Participaciones]]</f>
        <v>16483.790400000002</v>
      </c>
      <c r="D496" s="11">
        <f>T_Saldo[[#This Row],[Valor liquidativo (Moneda Extranjera)]]/T_Saldo[[#This Row],[Cambio]]</f>
        <v>82.418952000000004</v>
      </c>
      <c r="E496" s="13">
        <f>IF(ISERROR(MATCH(T_Saldo[[#This Row],[Producto]],T_Stocks[Ticker],0)),1,INDEX(T_Stocks[Close],MATCH(T_Saldo[[#This Row],[ID - Product - Fecha]],T_Stocks[ID],1),1))</f>
        <v>90.64</v>
      </c>
      <c r="F496" cm="1">
        <f t="array" ref="F496">IF(T_Saldo[[#This Row],[Divisa]]="USD",INDEX(T_USD_EUR[EURUSD],MATCH(T_Saldo[[#This Row],[Fecha]],T_USD_EUR[Fecha],1),0),1)</f>
        <v>1.0997470581766193</v>
      </c>
      <c r="G496" t="str" cm="1">
        <f t="array" ref="G496">INDEX(T_Elementos[Divisa],MATCH(T_Saldo[[#This Row],[Producto]],T_Elementos[Producto],0),0)</f>
        <v>USD</v>
      </c>
      <c r="H4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96" t="str">
        <f>T_Saldo[[#This Row],[Producto]] &amp; "-" &amp; DATE(YEAR(T_Saldo[[#This Row],[Fecha]]),MONTH(T_Saldo[[#This Row],[Fecha]]),DAY(T_Saldo[[#This Row],[Fecha]]))</f>
        <v>PRHSX-45138</v>
      </c>
    </row>
    <row r="497" spans="1:10" x14ac:dyDescent="0.45">
      <c r="A497" s="15">
        <v>45138</v>
      </c>
      <c r="B497" t="s">
        <v>32</v>
      </c>
      <c r="C497">
        <f>T_Saldo[[#This Row],[Valor liquidativo]]*T_Saldo[[#This Row],[Participaciones]]</f>
        <v>20213.739000000001</v>
      </c>
      <c r="D497" s="11">
        <f>T_Saldo[[#This Row],[Valor liquidativo (Moneda Extranjera)]]/T_Saldo[[#This Row],[Cambio]]</f>
        <v>101.06869500000001</v>
      </c>
      <c r="E497" s="13">
        <f>IF(ISERROR(MATCH(T_Saldo[[#This Row],[Producto]],T_Stocks[Ticker],0)),1,INDEX(T_Stocks[Close],MATCH(T_Saldo[[#This Row],[ID - Product - Fecha]],T_Stocks[ID],1),1))</f>
        <v>111.15</v>
      </c>
      <c r="F497" cm="1">
        <f t="array" ref="F497">IF(T_Saldo[[#This Row],[Divisa]]="USD",INDEX(T_USD_EUR[EURUSD],MATCH(T_Saldo[[#This Row],[Fecha]],T_USD_EUR[Fecha],1),0),1)</f>
        <v>1.0997470581766193</v>
      </c>
      <c r="G497" t="str" cm="1">
        <f t="array" ref="G497">INDEX(T_Elementos[Divisa],MATCH(T_Saldo[[#This Row],[Producto]],T_Elementos[Producto],0),0)</f>
        <v>USD</v>
      </c>
      <c r="H4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497" t="str">
        <f>T_Saldo[[#This Row],[Producto]] &amp; "-" &amp; DATE(YEAR(T_Saldo[[#This Row],[Fecha]]),MONTH(T_Saldo[[#This Row],[Fecha]]),DAY(T_Saldo[[#This Row],[Fecha]]))</f>
        <v>VTSAX-45138</v>
      </c>
    </row>
    <row r="498" spans="1:10" x14ac:dyDescent="0.45">
      <c r="A498" s="15">
        <v>45169</v>
      </c>
      <c r="B498" t="s">
        <v>38</v>
      </c>
      <c r="C498">
        <f>T_Saldo[[#This Row],[Valor liquidativo]]*T_Saldo[[#This Row],[Participaciones]]</f>
        <v>8661.7463499999994</v>
      </c>
      <c r="D498" s="11">
        <f>T_Saldo[[#This Row],[Valor liquidativo (Moneda Extranjera)]]/T_Saldo[[#This Row],[Cambio]]</f>
        <v>173.234927</v>
      </c>
      <c r="E498" s="13">
        <f>IF(ISERROR(MATCH(T_Saldo[[#This Row],[Producto]],T_Stocks[Ticker],0)),1,INDEX(T_Stocks[Close],MATCH(T_Saldo[[#This Row],[ID - Product - Fecha]],T_Stocks[ID],1),1))</f>
        <v>187.87</v>
      </c>
      <c r="F498" cm="1">
        <f t="array" ref="F498">IF(T_Saldo[[#This Row],[Divisa]]="USD",INDEX(T_USD_EUR[EURUSD],MATCH(T_Saldo[[#This Row],[Fecha]],T_USD_EUR[Fecha],1),0),1)</f>
        <v>1.0844810758052272</v>
      </c>
      <c r="G498" t="str" cm="1">
        <f t="array" ref="G498">INDEX(T_Elementos[Divisa],MATCH(T_Saldo[[#This Row],[Producto]],T_Elementos[Producto],0),0)</f>
        <v>USD</v>
      </c>
      <c r="H4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498" t="str">
        <f>T_Saldo[[#This Row],[Producto]] &amp; "-" &amp; DATE(YEAR(T_Saldo[[#This Row],[Fecha]]),MONTH(T_Saldo[[#This Row],[Fecha]]),DAY(T_Saldo[[#This Row],[Fecha]]))</f>
        <v>AAPL-45169</v>
      </c>
    </row>
    <row r="499" spans="1:10" x14ac:dyDescent="0.45">
      <c r="A499" s="15">
        <v>45169</v>
      </c>
      <c r="B499" t="s">
        <v>43</v>
      </c>
      <c r="C499">
        <f>T_Saldo[[#This Row],[Valor liquidativo]]*T_Saldo[[#This Row],[Participaciones]]</f>
        <v>6000</v>
      </c>
      <c r="D499" s="11">
        <f>T_Saldo[[#This Row],[Valor liquidativo (Moneda Extranjera)]]/T_Saldo[[#This Row],[Cambio]]</f>
        <v>2000</v>
      </c>
      <c r="E499" s="13">
        <f>IF(ISERROR(MATCH(T_Saldo[[#This Row],[Producto]],T_Stocks[Ticker],0)),1,INDEX(T_Stocks[Close],MATCH(T_Saldo[[#This Row],[ID - Product - Fecha]],T_Stocks[ID],1),1))</f>
        <v>2000</v>
      </c>
      <c r="F499" cm="1">
        <f t="array" ref="F499">IF(T_Saldo[[#This Row],[Divisa]]="USD",INDEX(T_USD_EUR[EURUSD],MATCH(T_Saldo[[#This Row],[Fecha]],T_USD_EUR[Fecha],1),0),1)</f>
        <v>1</v>
      </c>
      <c r="G499" t="str" cm="1">
        <f t="array" ref="G499">INDEX(T_Elementos[Divisa],MATCH(T_Saldo[[#This Row],[Producto]],T_Elementos[Producto],0),0)</f>
        <v>EUR</v>
      </c>
      <c r="H4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499" t="str">
        <f>T_Saldo[[#This Row],[Producto]] &amp; "-" &amp; DATE(YEAR(T_Saldo[[#This Row],[Fecha]]),MONTH(T_Saldo[[#This Row],[Fecha]]),DAY(T_Saldo[[#This Row],[Fecha]]))</f>
        <v>Bonos-45169</v>
      </c>
    </row>
    <row r="500" spans="1:10" x14ac:dyDescent="0.45">
      <c r="A500" s="15">
        <v>45169</v>
      </c>
      <c r="B500" t="s">
        <v>155</v>
      </c>
      <c r="C500">
        <f>T_Saldo[[#This Row],[Valor liquidativo]]*T_Saldo[[#This Row],[Participaciones]]</f>
        <v>5979.3038825000003</v>
      </c>
      <c r="D500" s="11">
        <f>T_Saldo[[#This Row],[Valor liquidativo (Moneda Extranjera)]]/T_Saldo[[#This Row],[Cambio]]</f>
        <v>23917.215530000001</v>
      </c>
      <c r="E500" s="13">
        <f>IF(ISERROR(MATCH(T_Saldo[[#This Row],[Producto]],T_Stocks[Ticker],0)),1,INDEX(T_Stocks[Close],MATCH(T_Saldo[[#This Row],[ID - Product - Fecha]],T_Stocks[ID],1),1))</f>
        <v>23917.215530000001</v>
      </c>
      <c r="F500" cm="1">
        <f t="array" ref="F500">IF(T_Saldo[[#This Row],[Divisa]]="USD",INDEX(T_USD_EUR[EURUSD],MATCH(T_Saldo[[#This Row],[Fecha]],T_USD_EUR[Fecha],1),0),1)</f>
        <v>1</v>
      </c>
      <c r="G500" t="str" cm="1">
        <f t="array" ref="G500">INDEX(T_Elementos[Divisa],MATCH(T_Saldo[[#This Row],[Producto]],T_Elementos[Producto],0),0)</f>
        <v>EUR</v>
      </c>
      <c r="H5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00" t="str">
        <f>T_Saldo[[#This Row],[Producto]] &amp; "-" &amp; DATE(YEAR(T_Saldo[[#This Row],[Fecha]]),MONTH(T_Saldo[[#This Row],[Fecha]]),DAY(T_Saldo[[#This Row],[Fecha]]))</f>
        <v>BTCEUR-45169</v>
      </c>
    </row>
    <row r="501" spans="1:10" x14ac:dyDescent="0.45">
      <c r="A501" s="15">
        <v>45169</v>
      </c>
      <c r="B501" t="s">
        <v>46</v>
      </c>
      <c r="C501">
        <f>T_Saldo[[#This Row],[Valor liquidativo]]*T_Saldo[[#This Row],[Participaciones]]</f>
        <v>40224.74</v>
      </c>
      <c r="D501" s="11">
        <f>T_Saldo[[#This Row],[Valor liquidativo (Moneda Extranjera)]]/T_Saldo[[#This Row],[Cambio]]</f>
        <v>1</v>
      </c>
      <c r="E501" s="13">
        <f>IF(ISERROR(MATCH(T_Saldo[[#This Row],[Producto]],T_Stocks[Ticker],0)),1,INDEX(T_Stocks[Close],MATCH(T_Saldo[[#This Row],[ID - Product - Fecha]],T_Stocks[ID],1),1))</f>
        <v>1</v>
      </c>
      <c r="F501" cm="1">
        <f t="array" ref="F501">IF(T_Saldo[[#This Row],[Divisa]]="USD",INDEX(T_USD_EUR[EURUSD],MATCH(T_Saldo[[#This Row],[Fecha]],T_USD_EUR[Fecha],1),0),1)</f>
        <v>1</v>
      </c>
      <c r="G501" t="str" cm="1">
        <f t="array" ref="G501">INDEX(T_Elementos[Divisa],MATCH(T_Saldo[[#This Row],[Producto]],T_Elementos[Producto],0),0)</f>
        <v>EUR</v>
      </c>
      <c r="H5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40224.74</v>
      </c>
      <c r="J501" t="str">
        <f>T_Saldo[[#This Row],[Producto]] &amp; "-" &amp; DATE(YEAR(T_Saldo[[#This Row],[Fecha]]),MONTH(T_Saldo[[#This Row],[Fecha]]),DAY(T_Saldo[[#This Row],[Fecha]]))</f>
        <v>CA 1-45169</v>
      </c>
    </row>
    <row r="502" spans="1:10" x14ac:dyDescent="0.45">
      <c r="A502" s="15">
        <v>45169</v>
      </c>
      <c r="B502" t="s">
        <v>10</v>
      </c>
      <c r="C502">
        <f>T_Saldo[[#This Row],[Valor liquidativo]]*T_Saldo[[#This Row],[Participaciones]]</f>
        <v>22475.300000000003</v>
      </c>
      <c r="D502" s="11">
        <f>T_Saldo[[#This Row],[Valor liquidativo (Moneda Extranjera)]]/T_Saldo[[#This Row],[Cambio]]</f>
        <v>1</v>
      </c>
      <c r="E502" s="13">
        <f>IF(ISERROR(MATCH(T_Saldo[[#This Row],[Producto]],T_Stocks[Ticker],0)),1,INDEX(T_Stocks[Close],MATCH(T_Saldo[[#This Row],[ID - Product - Fecha]],T_Stocks[ID],1),1))</f>
        <v>1</v>
      </c>
      <c r="F502" cm="1">
        <f t="array" ref="F502">IF(T_Saldo[[#This Row],[Divisa]]="USD",INDEX(T_USD_EUR[EURUSD],MATCH(T_Saldo[[#This Row],[Fecha]],T_USD_EUR[Fecha],1),0),1)</f>
        <v>1</v>
      </c>
      <c r="G502" t="str" cm="1">
        <f t="array" ref="G502">INDEX(T_Elementos[Divisa],MATCH(T_Saldo[[#This Row],[Producto]],T_Elementos[Producto],0),0)</f>
        <v>EUR</v>
      </c>
      <c r="H5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22475.300000000003</v>
      </c>
      <c r="J502" t="str">
        <f>T_Saldo[[#This Row],[Producto]] &amp; "-" &amp; DATE(YEAR(T_Saldo[[#This Row],[Fecha]]),MONTH(T_Saldo[[#This Row],[Fecha]]),DAY(T_Saldo[[#This Row],[Fecha]]))</f>
        <v>CC 1-45169</v>
      </c>
    </row>
    <row r="503" spans="1:10" x14ac:dyDescent="0.45">
      <c r="A503" s="15">
        <v>45169</v>
      </c>
      <c r="B503" t="s">
        <v>49</v>
      </c>
      <c r="C503">
        <f>T_Saldo[[#This Row],[Valor liquidativo]]*T_Saldo[[#This Row],[Participaciones]]</f>
        <v>24851.71000000001</v>
      </c>
      <c r="D503" s="11">
        <f>T_Saldo[[#This Row],[Valor liquidativo (Moneda Extranjera)]]/T_Saldo[[#This Row],[Cambio]]</f>
        <v>1</v>
      </c>
      <c r="E503" s="13">
        <f>IF(ISERROR(MATCH(T_Saldo[[#This Row],[Producto]],T_Stocks[Ticker],0)),1,INDEX(T_Stocks[Close],MATCH(T_Saldo[[#This Row],[ID - Product - Fecha]],T_Stocks[ID],1),1))</f>
        <v>1</v>
      </c>
      <c r="F503" cm="1">
        <f t="array" ref="F503">IF(T_Saldo[[#This Row],[Divisa]]="USD",INDEX(T_USD_EUR[EURUSD],MATCH(T_Saldo[[#This Row],[Fecha]],T_USD_EUR[Fecha],1),0),1)</f>
        <v>1</v>
      </c>
      <c r="G503" t="str" cm="1">
        <f t="array" ref="G503">INDEX(T_Elementos[Divisa],MATCH(T_Saldo[[#This Row],[Producto]],T_Elementos[Producto],0),0)</f>
        <v>EUR</v>
      </c>
      <c r="H5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24851.71000000001</v>
      </c>
      <c r="J503" t="str">
        <f>T_Saldo[[#This Row],[Producto]] &amp; "-" &amp; DATE(YEAR(T_Saldo[[#This Row],[Fecha]]),MONTH(T_Saldo[[#This Row],[Fecha]]),DAY(T_Saldo[[#This Row],[Fecha]]))</f>
        <v>CC 2-45169</v>
      </c>
    </row>
    <row r="504" spans="1:10" x14ac:dyDescent="0.45">
      <c r="A504" s="15">
        <v>45169</v>
      </c>
      <c r="B504" t="s">
        <v>41</v>
      </c>
      <c r="C504">
        <f>T_Saldo[[#This Row],[Valor liquidativo]]*T_Saldo[[#This Row],[Participaciones]]</f>
        <v>3022.2749599999997</v>
      </c>
      <c r="D504" s="11">
        <f>T_Saldo[[#This Row],[Valor liquidativo (Moneda Extranjera)]]/T_Saldo[[#This Row],[Cambio]]</f>
        <v>302.22749599999997</v>
      </c>
      <c r="E504" s="13">
        <f>IF(ISERROR(MATCH(T_Saldo[[#This Row],[Producto]],T_Stocks[Ticker],0)),1,INDEX(T_Stocks[Close],MATCH(T_Saldo[[#This Row],[ID - Product - Fecha]],T_Stocks[ID],1),1))</f>
        <v>327.76</v>
      </c>
      <c r="F504" cm="1">
        <f t="array" ref="F504">IF(T_Saldo[[#This Row],[Divisa]]="USD",INDEX(T_USD_EUR[EURUSD],MATCH(T_Saldo[[#This Row],[Fecha]],T_USD_EUR[Fecha],1),0),1)</f>
        <v>1.0844810758052272</v>
      </c>
      <c r="G504" t="str" cm="1">
        <f t="array" ref="G504">INDEX(T_Elementos[Divisa],MATCH(T_Saldo[[#This Row],[Producto]],T_Elementos[Producto],0),0)</f>
        <v>USD</v>
      </c>
      <c r="H5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04" t="str">
        <f>T_Saldo[[#This Row],[Producto]] &amp; "-" &amp; DATE(YEAR(T_Saldo[[#This Row],[Fecha]]),MONTH(T_Saldo[[#This Row],[Fecha]]),DAY(T_Saldo[[#This Row],[Fecha]]))</f>
        <v>MSFT-45169</v>
      </c>
    </row>
    <row r="505" spans="1:10" x14ac:dyDescent="0.45">
      <c r="A505" s="15">
        <v>45169</v>
      </c>
      <c r="B505" t="s">
        <v>51</v>
      </c>
      <c r="C505">
        <f>T_Saldo[[#This Row],[Valor liquidativo]]*T_Saldo[[#This Row],[Participaciones]]</f>
        <v>16463.1734</v>
      </c>
      <c r="D505" s="11">
        <f>T_Saldo[[#This Row],[Valor liquidativo (Moneda Extranjera)]]/T_Saldo[[#This Row],[Cambio]]</f>
        <v>82.315866999999997</v>
      </c>
      <c r="E505" s="13">
        <f>IF(ISERROR(MATCH(T_Saldo[[#This Row],[Producto]],T_Stocks[Ticker],0)),1,INDEX(T_Stocks[Close],MATCH(T_Saldo[[#This Row],[ID - Product - Fecha]],T_Stocks[ID],1),1))</f>
        <v>89.27</v>
      </c>
      <c r="F505" cm="1">
        <f t="array" ref="F505">IF(T_Saldo[[#This Row],[Divisa]]="USD",INDEX(T_USD_EUR[EURUSD],MATCH(T_Saldo[[#This Row],[Fecha]],T_USD_EUR[Fecha],1),0),1)</f>
        <v>1.0844810758052272</v>
      </c>
      <c r="G505" t="str" cm="1">
        <f t="array" ref="G505">INDEX(T_Elementos[Divisa],MATCH(T_Saldo[[#This Row],[Producto]],T_Elementos[Producto],0),0)</f>
        <v>USD</v>
      </c>
      <c r="H5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05" t="str">
        <f>T_Saldo[[#This Row],[Producto]] &amp; "-" &amp; DATE(YEAR(T_Saldo[[#This Row],[Fecha]]),MONTH(T_Saldo[[#This Row],[Fecha]]),DAY(T_Saldo[[#This Row],[Fecha]]))</f>
        <v>PRHSX-45169</v>
      </c>
    </row>
    <row r="506" spans="1:10" x14ac:dyDescent="0.45">
      <c r="A506" s="15">
        <v>45169</v>
      </c>
      <c r="B506" t="s">
        <v>32</v>
      </c>
      <c r="C506">
        <f>T_Saldo[[#This Row],[Valor liquidativo]]*T_Saldo[[#This Row],[Participaciones]]</f>
        <v>20101.78</v>
      </c>
      <c r="D506" s="11">
        <f>T_Saldo[[#This Row],[Valor liquidativo (Moneda Extranjera)]]/T_Saldo[[#This Row],[Cambio]]</f>
        <v>100.5089</v>
      </c>
      <c r="E506" s="13">
        <f>IF(ISERROR(MATCH(T_Saldo[[#This Row],[Producto]],T_Stocks[Ticker],0)),1,INDEX(T_Stocks[Close],MATCH(T_Saldo[[#This Row],[ID - Product - Fecha]],T_Stocks[ID],1),1))</f>
        <v>109</v>
      </c>
      <c r="F506" cm="1">
        <f t="array" ref="F506">IF(T_Saldo[[#This Row],[Divisa]]="USD",INDEX(T_USD_EUR[EURUSD],MATCH(T_Saldo[[#This Row],[Fecha]],T_USD_EUR[Fecha],1),0),1)</f>
        <v>1.0844810758052272</v>
      </c>
      <c r="G506" t="str" cm="1">
        <f t="array" ref="G506">INDEX(T_Elementos[Divisa],MATCH(T_Saldo[[#This Row],[Producto]],T_Elementos[Producto],0),0)</f>
        <v>USD</v>
      </c>
      <c r="H5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06" t="str">
        <f>T_Saldo[[#This Row],[Producto]] &amp; "-" &amp; DATE(YEAR(T_Saldo[[#This Row],[Fecha]]),MONTH(T_Saldo[[#This Row],[Fecha]]),DAY(T_Saldo[[#This Row],[Fecha]]))</f>
        <v>VTSAX-45169</v>
      </c>
    </row>
    <row r="507" spans="1:10" x14ac:dyDescent="0.45">
      <c r="A507" s="15">
        <v>45199</v>
      </c>
      <c r="B507" t="s">
        <v>38</v>
      </c>
      <c r="C507">
        <f>T_Saldo[[#This Row],[Valor liquidativo]]*T_Saldo[[#This Row],[Participaciones]]</f>
        <v>6476.5318800000005</v>
      </c>
      <c r="D507" s="11">
        <f>T_Saldo[[#This Row],[Valor liquidativo (Moneda Extranjera)]]/T_Saldo[[#This Row],[Cambio]]</f>
        <v>161.913297</v>
      </c>
      <c r="E507" s="13">
        <f>IF(ISERROR(MATCH(T_Saldo[[#This Row],[Producto]],T_Stocks[Ticker],0)),1,INDEX(T_Stocks[Close],MATCH(T_Saldo[[#This Row],[ID - Product - Fecha]],T_Stocks[ID],1),1))</f>
        <v>171.21</v>
      </c>
      <c r="F507" cm="1">
        <f t="array" ref="F507">IF(T_Saldo[[#This Row],[Divisa]]="USD",INDEX(T_USD_EUR[EURUSD],MATCH(T_Saldo[[#This Row],[Fecha]],T_USD_EUR[Fecha],1),0),1)</f>
        <v>1.0574177857671567</v>
      </c>
      <c r="G507" t="str" cm="1">
        <f t="array" ref="G507">INDEX(T_Elementos[Divisa],MATCH(T_Saldo[[#This Row],[Producto]],T_Elementos[Producto],0),0)</f>
        <v>USD</v>
      </c>
      <c r="H5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07" t="str">
        <f>T_Saldo[[#This Row],[Producto]] &amp; "-" &amp; DATE(YEAR(T_Saldo[[#This Row],[Fecha]]),MONTH(T_Saldo[[#This Row],[Fecha]]),DAY(T_Saldo[[#This Row],[Fecha]]))</f>
        <v>AAPL-45199</v>
      </c>
    </row>
    <row r="508" spans="1:10" x14ac:dyDescent="0.45">
      <c r="A508" s="15">
        <v>45199</v>
      </c>
      <c r="B508" t="s">
        <v>43</v>
      </c>
      <c r="C508">
        <f>T_Saldo[[#This Row],[Valor liquidativo]]*T_Saldo[[#This Row],[Participaciones]]</f>
        <v>6000</v>
      </c>
      <c r="D508" s="11">
        <f>T_Saldo[[#This Row],[Valor liquidativo (Moneda Extranjera)]]/T_Saldo[[#This Row],[Cambio]]</f>
        <v>2000</v>
      </c>
      <c r="E508" s="13">
        <f>IF(ISERROR(MATCH(T_Saldo[[#This Row],[Producto]],T_Stocks[Ticker],0)),1,INDEX(T_Stocks[Close],MATCH(T_Saldo[[#This Row],[ID - Product - Fecha]],T_Stocks[ID],1),1))</f>
        <v>2000</v>
      </c>
      <c r="F508" cm="1">
        <f t="array" ref="F508">IF(T_Saldo[[#This Row],[Divisa]]="USD",INDEX(T_USD_EUR[EURUSD],MATCH(T_Saldo[[#This Row],[Fecha]],T_USD_EUR[Fecha],1),0),1)</f>
        <v>1</v>
      </c>
      <c r="G508" t="str" cm="1">
        <f t="array" ref="G508">INDEX(T_Elementos[Divisa],MATCH(T_Saldo[[#This Row],[Producto]],T_Elementos[Producto],0),0)</f>
        <v>EUR</v>
      </c>
      <c r="H5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08" t="str">
        <f>T_Saldo[[#This Row],[Producto]] &amp; "-" &amp; DATE(YEAR(T_Saldo[[#This Row],[Fecha]]),MONTH(T_Saldo[[#This Row],[Fecha]]),DAY(T_Saldo[[#This Row],[Fecha]]))</f>
        <v>Bonos-45199</v>
      </c>
    </row>
    <row r="509" spans="1:10" x14ac:dyDescent="0.45">
      <c r="A509" s="15">
        <v>45199</v>
      </c>
      <c r="B509" t="s">
        <v>155</v>
      </c>
      <c r="C509">
        <f>T_Saldo[[#This Row],[Valor liquidativo]]*T_Saldo[[#This Row],[Participaciones]]</f>
        <v>6368.0456800000002</v>
      </c>
      <c r="D509" s="11">
        <f>T_Saldo[[#This Row],[Valor liquidativo (Moneda Extranjera)]]/T_Saldo[[#This Row],[Cambio]]</f>
        <v>25472.182720000001</v>
      </c>
      <c r="E509" s="13">
        <f>IF(ISERROR(MATCH(T_Saldo[[#This Row],[Producto]],T_Stocks[Ticker],0)),1,INDEX(T_Stocks[Close],MATCH(T_Saldo[[#This Row],[ID - Product - Fecha]],T_Stocks[ID],1),1))</f>
        <v>25472.182720000001</v>
      </c>
      <c r="F509" cm="1">
        <f t="array" ref="F509">IF(T_Saldo[[#This Row],[Divisa]]="USD",INDEX(T_USD_EUR[EURUSD],MATCH(T_Saldo[[#This Row],[Fecha]],T_USD_EUR[Fecha],1),0),1)</f>
        <v>1</v>
      </c>
      <c r="G509" t="str" cm="1">
        <f t="array" ref="G509">INDEX(T_Elementos[Divisa],MATCH(T_Saldo[[#This Row],[Producto]],T_Elementos[Producto],0),0)</f>
        <v>EUR</v>
      </c>
      <c r="H5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09" t="str">
        <f>T_Saldo[[#This Row],[Producto]] &amp; "-" &amp; DATE(YEAR(T_Saldo[[#This Row],[Fecha]]),MONTH(T_Saldo[[#This Row],[Fecha]]),DAY(T_Saldo[[#This Row],[Fecha]]))</f>
        <v>BTCEUR-45199</v>
      </c>
    </row>
    <row r="510" spans="1:10" x14ac:dyDescent="0.45">
      <c r="A510" s="15">
        <v>45199</v>
      </c>
      <c r="B510" t="s">
        <v>46</v>
      </c>
      <c r="C510">
        <f>T_Saldo[[#This Row],[Valor liquidativo]]*T_Saldo[[#This Row],[Participaciones]]</f>
        <v>40089.1</v>
      </c>
      <c r="D510" s="11">
        <f>T_Saldo[[#This Row],[Valor liquidativo (Moneda Extranjera)]]/T_Saldo[[#This Row],[Cambio]]</f>
        <v>1</v>
      </c>
      <c r="E510" s="13">
        <f>IF(ISERROR(MATCH(T_Saldo[[#This Row],[Producto]],T_Stocks[Ticker],0)),1,INDEX(T_Stocks[Close],MATCH(T_Saldo[[#This Row],[ID - Product - Fecha]],T_Stocks[ID],1),1))</f>
        <v>1</v>
      </c>
      <c r="F510" cm="1">
        <f t="array" ref="F510">IF(T_Saldo[[#This Row],[Divisa]]="USD",INDEX(T_USD_EUR[EURUSD],MATCH(T_Saldo[[#This Row],[Fecha]],T_USD_EUR[Fecha],1),0),1)</f>
        <v>1</v>
      </c>
      <c r="G510" t="str" cm="1">
        <f t="array" ref="G510">INDEX(T_Elementos[Divisa],MATCH(T_Saldo[[#This Row],[Producto]],T_Elementos[Producto],0),0)</f>
        <v>EUR</v>
      </c>
      <c r="H5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40089.1</v>
      </c>
      <c r="J510" t="str">
        <f>T_Saldo[[#This Row],[Producto]] &amp; "-" &amp; DATE(YEAR(T_Saldo[[#This Row],[Fecha]]),MONTH(T_Saldo[[#This Row],[Fecha]]),DAY(T_Saldo[[#This Row],[Fecha]]))</f>
        <v>CA 1-45199</v>
      </c>
    </row>
    <row r="511" spans="1:10" x14ac:dyDescent="0.45">
      <c r="A511" s="15">
        <v>45199</v>
      </c>
      <c r="B511" t="s">
        <v>10</v>
      </c>
      <c r="C511">
        <f>T_Saldo[[#This Row],[Valor liquidativo]]*T_Saldo[[#This Row],[Participaciones]]</f>
        <v>22060.489999999998</v>
      </c>
      <c r="D511" s="11">
        <f>T_Saldo[[#This Row],[Valor liquidativo (Moneda Extranjera)]]/T_Saldo[[#This Row],[Cambio]]</f>
        <v>1</v>
      </c>
      <c r="E511" s="13">
        <f>IF(ISERROR(MATCH(T_Saldo[[#This Row],[Producto]],T_Stocks[Ticker],0)),1,INDEX(T_Stocks[Close],MATCH(T_Saldo[[#This Row],[ID - Product - Fecha]],T_Stocks[ID],1),1))</f>
        <v>1</v>
      </c>
      <c r="F511" cm="1">
        <f t="array" ref="F511">IF(T_Saldo[[#This Row],[Divisa]]="USD",INDEX(T_USD_EUR[EURUSD],MATCH(T_Saldo[[#This Row],[Fecha]],T_USD_EUR[Fecha],1),0),1)</f>
        <v>1</v>
      </c>
      <c r="G511" t="str" cm="1">
        <f t="array" ref="G511">INDEX(T_Elementos[Divisa],MATCH(T_Saldo[[#This Row],[Producto]],T_Elementos[Producto],0),0)</f>
        <v>EUR</v>
      </c>
      <c r="H5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22060.489999999998</v>
      </c>
      <c r="J511" t="str">
        <f>T_Saldo[[#This Row],[Producto]] &amp; "-" &amp; DATE(YEAR(T_Saldo[[#This Row],[Fecha]]),MONTH(T_Saldo[[#This Row],[Fecha]]),DAY(T_Saldo[[#This Row],[Fecha]]))</f>
        <v>CC 1-45199</v>
      </c>
    </row>
    <row r="512" spans="1:10" x14ac:dyDescent="0.45">
      <c r="A512" s="15">
        <v>45199</v>
      </c>
      <c r="B512" t="s">
        <v>49</v>
      </c>
      <c r="C512">
        <f>T_Saldo[[#This Row],[Valor liquidativo]]*T_Saldo[[#This Row],[Participaciones]]</f>
        <v>24620.420000000013</v>
      </c>
      <c r="D512" s="11">
        <f>T_Saldo[[#This Row],[Valor liquidativo (Moneda Extranjera)]]/T_Saldo[[#This Row],[Cambio]]</f>
        <v>1</v>
      </c>
      <c r="E512" s="13">
        <f>IF(ISERROR(MATCH(T_Saldo[[#This Row],[Producto]],T_Stocks[Ticker],0)),1,INDEX(T_Stocks[Close],MATCH(T_Saldo[[#This Row],[ID - Product - Fecha]],T_Stocks[ID],1),1))</f>
        <v>1</v>
      </c>
      <c r="F512" cm="1">
        <f t="array" ref="F512">IF(T_Saldo[[#This Row],[Divisa]]="USD",INDEX(T_USD_EUR[EURUSD],MATCH(T_Saldo[[#This Row],[Fecha]],T_USD_EUR[Fecha],1),0),1)</f>
        <v>1</v>
      </c>
      <c r="G512" t="str" cm="1">
        <f t="array" ref="G512">INDEX(T_Elementos[Divisa],MATCH(T_Saldo[[#This Row],[Producto]],T_Elementos[Producto],0),0)</f>
        <v>EUR</v>
      </c>
      <c r="H5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24620.420000000013</v>
      </c>
      <c r="J512" t="str">
        <f>T_Saldo[[#This Row],[Producto]] &amp; "-" &amp; DATE(YEAR(T_Saldo[[#This Row],[Fecha]]),MONTH(T_Saldo[[#This Row],[Fecha]]),DAY(T_Saldo[[#This Row],[Fecha]]))</f>
        <v>CC 2-45199</v>
      </c>
    </row>
    <row r="513" spans="1:10" x14ac:dyDescent="0.45">
      <c r="A513" s="15">
        <v>45199</v>
      </c>
      <c r="B513" t="s">
        <v>41</v>
      </c>
      <c r="C513">
        <f>T_Saldo[[#This Row],[Valor liquidativo]]*T_Saldo[[#This Row],[Participaciones]]</f>
        <v>2986.0477499999997</v>
      </c>
      <c r="D513" s="11">
        <f>T_Saldo[[#This Row],[Valor liquidativo (Moneda Extranjera)]]/T_Saldo[[#This Row],[Cambio]]</f>
        <v>298.60477499999996</v>
      </c>
      <c r="E513" s="13">
        <f>IF(ISERROR(MATCH(T_Saldo[[#This Row],[Producto]],T_Stocks[Ticker],0)),1,INDEX(T_Stocks[Close],MATCH(T_Saldo[[#This Row],[ID - Product - Fecha]],T_Stocks[ID],1),1))</f>
        <v>315.75</v>
      </c>
      <c r="F513" cm="1">
        <f t="array" ref="F513">IF(T_Saldo[[#This Row],[Divisa]]="USD",INDEX(T_USD_EUR[EURUSD],MATCH(T_Saldo[[#This Row],[Fecha]],T_USD_EUR[Fecha],1),0),1)</f>
        <v>1.0574177857671567</v>
      </c>
      <c r="G513" t="str" cm="1">
        <f t="array" ref="G513">INDEX(T_Elementos[Divisa],MATCH(T_Saldo[[#This Row],[Producto]],T_Elementos[Producto],0),0)</f>
        <v>USD</v>
      </c>
      <c r="H5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13" t="str">
        <f>T_Saldo[[#This Row],[Producto]] &amp; "-" &amp; DATE(YEAR(T_Saldo[[#This Row],[Fecha]]),MONTH(T_Saldo[[#This Row],[Fecha]]),DAY(T_Saldo[[#This Row],[Fecha]]))</f>
        <v>MSFT-45199</v>
      </c>
    </row>
    <row r="514" spans="1:10" x14ac:dyDescent="0.45">
      <c r="A514" s="15">
        <v>45199</v>
      </c>
      <c r="B514" t="s">
        <v>51</v>
      </c>
      <c r="C514">
        <f>T_Saldo[[#This Row],[Valor liquidativo]]*T_Saldo[[#This Row],[Participaciones]]</f>
        <v>16233.886199999997</v>
      </c>
      <c r="D514" s="11">
        <f>T_Saldo[[#This Row],[Valor liquidativo (Moneda Extranjera)]]/T_Saldo[[#This Row],[Cambio]]</f>
        <v>81.169430999999989</v>
      </c>
      <c r="E514" s="13">
        <f>IF(ISERROR(MATCH(T_Saldo[[#This Row],[Producto]],T_Stocks[Ticker],0)),1,INDEX(T_Stocks[Close],MATCH(T_Saldo[[#This Row],[ID - Product - Fecha]],T_Stocks[ID],1),1))</f>
        <v>85.83</v>
      </c>
      <c r="F514" cm="1">
        <f t="array" ref="F514">IF(T_Saldo[[#This Row],[Divisa]]="USD",INDEX(T_USD_EUR[EURUSD],MATCH(T_Saldo[[#This Row],[Fecha]],T_USD_EUR[Fecha],1),0),1)</f>
        <v>1.0574177857671567</v>
      </c>
      <c r="G514" t="str" cm="1">
        <f t="array" ref="G514">INDEX(T_Elementos[Divisa],MATCH(T_Saldo[[#This Row],[Producto]],T_Elementos[Producto],0),0)</f>
        <v>USD</v>
      </c>
      <c r="H5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14" t="str">
        <f>T_Saldo[[#This Row],[Producto]] &amp; "-" &amp; DATE(YEAR(T_Saldo[[#This Row],[Fecha]]),MONTH(T_Saldo[[#This Row],[Fecha]]),DAY(T_Saldo[[#This Row],[Fecha]]))</f>
        <v>PRHSX-45199</v>
      </c>
    </row>
    <row r="515" spans="1:10" x14ac:dyDescent="0.45">
      <c r="A515" s="15">
        <v>45199</v>
      </c>
      <c r="B515" t="s">
        <v>32</v>
      </c>
      <c r="C515">
        <f>T_Saldo[[#This Row],[Valor liquidativo]]*T_Saldo[[#This Row],[Participaciones]]</f>
        <v>19558.967399999998</v>
      </c>
      <c r="D515" s="11">
        <f>T_Saldo[[#This Row],[Valor liquidativo (Moneda Extranjera)]]/T_Saldo[[#This Row],[Cambio]]</f>
        <v>97.794836999999987</v>
      </c>
      <c r="E515" s="13">
        <f>IF(ISERROR(MATCH(T_Saldo[[#This Row],[Producto]],T_Stocks[Ticker],0)),1,INDEX(T_Stocks[Close],MATCH(T_Saldo[[#This Row],[ID - Product - Fecha]],T_Stocks[ID],1),1))</f>
        <v>103.41</v>
      </c>
      <c r="F515" cm="1">
        <f t="array" ref="F515">IF(T_Saldo[[#This Row],[Divisa]]="USD",INDEX(T_USD_EUR[EURUSD],MATCH(T_Saldo[[#This Row],[Fecha]],T_USD_EUR[Fecha],1),0),1)</f>
        <v>1.0574177857671567</v>
      </c>
      <c r="G515" t="str" cm="1">
        <f t="array" ref="G515">INDEX(T_Elementos[Divisa],MATCH(T_Saldo[[#This Row],[Producto]],T_Elementos[Producto],0),0)</f>
        <v>USD</v>
      </c>
      <c r="H5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15" t="str">
        <f>T_Saldo[[#This Row],[Producto]] &amp; "-" &amp; DATE(YEAR(T_Saldo[[#This Row],[Fecha]]),MONTH(T_Saldo[[#This Row],[Fecha]]),DAY(T_Saldo[[#This Row],[Fecha]]))</f>
        <v>VTSAX-45199</v>
      </c>
    </row>
    <row r="516" spans="1:10" x14ac:dyDescent="0.45">
      <c r="A516" s="15">
        <v>45230</v>
      </c>
      <c r="B516" t="s">
        <v>38</v>
      </c>
      <c r="C516">
        <f>T_Saldo[[#This Row],[Valor liquidativo]]*T_Saldo[[#This Row],[Participaciones]]</f>
        <v>6456.4721600000012</v>
      </c>
      <c r="D516" s="11">
        <f>T_Saldo[[#This Row],[Valor liquidativo (Moneda Extranjera)]]/T_Saldo[[#This Row],[Cambio]]</f>
        <v>161.41180400000002</v>
      </c>
      <c r="E516" s="13">
        <f>IF(ISERROR(MATCH(T_Saldo[[#This Row],[Producto]],T_Stocks[Ticker],0)),1,INDEX(T_Stocks[Close],MATCH(T_Saldo[[#This Row],[ID - Product - Fecha]],T_Stocks[ID],1),1))</f>
        <v>170.77</v>
      </c>
      <c r="F516" cm="1">
        <f t="array" ref="F516">IF(T_Saldo[[#This Row],[Divisa]]="USD",INDEX(T_USD_EUR[EURUSD],MATCH(T_Saldo[[#This Row],[Fecha]],T_USD_EUR[Fecha],1),0),1)</f>
        <v>1.0579771476936097</v>
      </c>
      <c r="G516" t="str" cm="1">
        <f t="array" ref="G516">INDEX(T_Elementos[Divisa],MATCH(T_Saldo[[#This Row],[Producto]],T_Elementos[Producto],0),0)</f>
        <v>USD</v>
      </c>
      <c r="H5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16" t="str">
        <f>T_Saldo[[#This Row],[Producto]] &amp; "-" &amp; DATE(YEAR(T_Saldo[[#This Row],[Fecha]]),MONTH(T_Saldo[[#This Row],[Fecha]]),DAY(T_Saldo[[#This Row],[Fecha]]))</f>
        <v>AAPL-45230</v>
      </c>
    </row>
    <row r="517" spans="1:10" x14ac:dyDescent="0.45">
      <c r="A517" s="15">
        <v>45230</v>
      </c>
      <c r="B517" t="s">
        <v>43</v>
      </c>
      <c r="C517">
        <f>T_Saldo[[#This Row],[Valor liquidativo]]*T_Saldo[[#This Row],[Participaciones]]</f>
        <v>6000</v>
      </c>
      <c r="D517" s="11">
        <f>T_Saldo[[#This Row],[Valor liquidativo (Moneda Extranjera)]]/T_Saldo[[#This Row],[Cambio]]</f>
        <v>2000</v>
      </c>
      <c r="E517" s="13">
        <f>IF(ISERROR(MATCH(T_Saldo[[#This Row],[Producto]],T_Stocks[Ticker],0)),1,INDEX(T_Stocks[Close],MATCH(T_Saldo[[#This Row],[ID - Product - Fecha]],T_Stocks[ID],1),1))</f>
        <v>2000</v>
      </c>
      <c r="F517" cm="1">
        <f t="array" ref="F517">IF(T_Saldo[[#This Row],[Divisa]]="USD",INDEX(T_USD_EUR[EURUSD],MATCH(T_Saldo[[#This Row],[Fecha]],T_USD_EUR[Fecha],1),0),1)</f>
        <v>1</v>
      </c>
      <c r="G517" t="str" cm="1">
        <f t="array" ref="G517">INDEX(T_Elementos[Divisa],MATCH(T_Saldo[[#This Row],[Producto]],T_Elementos[Producto],0),0)</f>
        <v>EUR</v>
      </c>
      <c r="H5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17" t="str">
        <f>T_Saldo[[#This Row],[Producto]] &amp; "-" &amp; DATE(YEAR(T_Saldo[[#This Row],[Fecha]]),MONTH(T_Saldo[[#This Row],[Fecha]]),DAY(T_Saldo[[#This Row],[Fecha]]))</f>
        <v>Bonos-45230</v>
      </c>
    </row>
    <row r="518" spans="1:10" x14ac:dyDescent="0.45">
      <c r="A518" s="15">
        <v>45230</v>
      </c>
      <c r="B518" t="s">
        <v>155</v>
      </c>
      <c r="C518">
        <f>T_Saldo[[#This Row],[Valor liquidativo]]*T_Saldo[[#This Row],[Participaciones]]</f>
        <v>8191.0323724999998</v>
      </c>
      <c r="D518" s="11">
        <f>T_Saldo[[#This Row],[Valor liquidativo (Moneda Extranjera)]]/T_Saldo[[#This Row],[Cambio]]</f>
        <v>32764.129489999999</v>
      </c>
      <c r="E518" s="13">
        <f>IF(ISERROR(MATCH(T_Saldo[[#This Row],[Producto]],T_Stocks[Ticker],0)),1,INDEX(T_Stocks[Close],MATCH(T_Saldo[[#This Row],[ID - Product - Fecha]],T_Stocks[ID],1),1))</f>
        <v>32764.129489999999</v>
      </c>
      <c r="F518" cm="1">
        <f t="array" ref="F518">IF(T_Saldo[[#This Row],[Divisa]]="USD",INDEX(T_USD_EUR[EURUSD],MATCH(T_Saldo[[#This Row],[Fecha]],T_USD_EUR[Fecha],1),0),1)</f>
        <v>1</v>
      </c>
      <c r="G518" t="str" cm="1">
        <f t="array" ref="G518">INDEX(T_Elementos[Divisa],MATCH(T_Saldo[[#This Row],[Producto]],T_Elementos[Producto],0),0)</f>
        <v>EUR</v>
      </c>
      <c r="H5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18" t="str">
        <f>T_Saldo[[#This Row],[Producto]] &amp; "-" &amp; DATE(YEAR(T_Saldo[[#This Row],[Fecha]]),MONTH(T_Saldo[[#This Row],[Fecha]]),DAY(T_Saldo[[#This Row],[Fecha]]))</f>
        <v>BTCEUR-45230</v>
      </c>
    </row>
    <row r="519" spans="1:10" x14ac:dyDescent="0.45">
      <c r="A519" s="15">
        <v>45230</v>
      </c>
      <c r="B519" t="s">
        <v>46</v>
      </c>
      <c r="C519">
        <f>T_Saldo[[#This Row],[Valor liquidativo]]*T_Saldo[[#This Row],[Participaciones]]</f>
        <v>39871.49</v>
      </c>
      <c r="D519" s="11">
        <f>T_Saldo[[#This Row],[Valor liquidativo (Moneda Extranjera)]]/T_Saldo[[#This Row],[Cambio]]</f>
        <v>1</v>
      </c>
      <c r="E519" s="13">
        <f>IF(ISERROR(MATCH(T_Saldo[[#This Row],[Producto]],T_Stocks[Ticker],0)),1,INDEX(T_Stocks[Close],MATCH(T_Saldo[[#This Row],[ID - Product - Fecha]],T_Stocks[ID],1),1))</f>
        <v>1</v>
      </c>
      <c r="F519" cm="1">
        <f t="array" ref="F519">IF(T_Saldo[[#This Row],[Divisa]]="USD",INDEX(T_USD_EUR[EURUSD],MATCH(T_Saldo[[#This Row],[Fecha]],T_USD_EUR[Fecha],1),0),1)</f>
        <v>1</v>
      </c>
      <c r="G519" t="str" cm="1">
        <f t="array" ref="G519">INDEX(T_Elementos[Divisa],MATCH(T_Saldo[[#This Row],[Producto]],T_Elementos[Producto],0),0)</f>
        <v>EUR</v>
      </c>
      <c r="H5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39871.49</v>
      </c>
      <c r="J519" t="str">
        <f>T_Saldo[[#This Row],[Producto]] &amp; "-" &amp; DATE(YEAR(T_Saldo[[#This Row],[Fecha]]),MONTH(T_Saldo[[#This Row],[Fecha]]),DAY(T_Saldo[[#This Row],[Fecha]]))</f>
        <v>CA 1-45230</v>
      </c>
    </row>
    <row r="520" spans="1:10" x14ac:dyDescent="0.45">
      <c r="A520" s="15">
        <v>45230</v>
      </c>
      <c r="B520" t="s">
        <v>10</v>
      </c>
      <c r="C520">
        <f>T_Saldo[[#This Row],[Valor liquidativo]]*T_Saldo[[#This Row],[Participaciones]]</f>
        <v>22026.89</v>
      </c>
      <c r="D520" s="11">
        <f>T_Saldo[[#This Row],[Valor liquidativo (Moneda Extranjera)]]/T_Saldo[[#This Row],[Cambio]]</f>
        <v>1</v>
      </c>
      <c r="E520" s="13">
        <f>IF(ISERROR(MATCH(T_Saldo[[#This Row],[Producto]],T_Stocks[Ticker],0)),1,INDEX(T_Stocks[Close],MATCH(T_Saldo[[#This Row],[ID - Product - Fecha]],T_Stocks[ID],1),1))</f>
        <v>1</v>
      </c>
      <c r="F520" cm="1">
        <f t="array" ref="F520">IF(T_Saldo[[#This Row],[Divisa]]="USD",INDEX(T_USD_EUR[EURUSD],MATCH(T_Saldo[[#This Row],[Fecha]],T_USD_EUR[Fecha],1),0),1)</f>
        <v>1</v>
      </c>
      <c r="G520" t="str" cm="1">
        <f t="array" ref="G520">INDEX(T_Elementos[Divisa],MATCH(T_Saldo[[#This Row],[Producto]],T_Elementos[Producto],0),0)</f>
        <v>EUR</v>
      </c>
      <c r="H5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22026.89</v>
      </c>
      <c r="J520" t="str">
        <f>T_Saldo[[#This Row],[Producto]] &amp; "-" &amp; DATE(YEAR(T_Saldo[[#This Row],[Fecha]]),MONTH(T_Saldo[[#This Row],[Fecha]]),DAY(T_Saldo[[#This Row],[Fecha]]))</f>
        <v>CC 1-45230</v>
      </c>
    </row>
    <row r="521" spans="1:10" x14ac:dyDescent="0.45">
      <c r="A521" s="15">
        <v>45230</v>
      </c>
      <c r="B521" t="s">
        <v>49</v>
      </c>
      <c r="C521">
        <f>T_Saldo[[#This Row],[Valor liquidativo]]*T_Saldo[[#This Row],[Participaciones]]</f>
        <v>24586.390000000014</v>
      </c>
      <c r="D521" s="11">
        <f>T_Saldo[[#This Row],[Valor liquidativo (Moneda Extranjera)]]/T_Saldo[[#This Row],[Cambio]]</f>
        <v>1</v>
      </c>
      <c r="E521" s="13">
        <f>IF(ISERROR(MATCH(T_Saldo[[#This Row],[Producto]],T_Stocks[Ticker],0)),1,INDEX(T_Stocks[Close],MATCH(T_Saldo[[#This Row],[ID - Product - Fecha]],T_Stocks[ID],1),1))</f>
        <v>1</v>
      </c>
      <c r="F521" cm="1">
        <f t="array" ref="F521">IF(T_Saldo[[#This Row],[Divisa]]="USD",INDEX(T_USD_EUR[EURUSD],MATCH(T_Saldo[[#This Row],[Fecha]],T_USD_EUR[Fecha],1),0),1)</f>
        <v>1</v>
      </c>
      <c r="G521" t="str" cm="1">
        <f t="array" ref="G521">INDEX(T_Elementos[Divisa],MATCH(T_Saldo[[#This Row],[Producto]],T_Elementos[Producto],0),0)</f>
        <v>EUR</v>
      </c>
      <c r="H5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24586.390000000014</v>
      </c>
      <c r="J521" t="str">
        <f>T_Saldo[[#This Row],[Producto]] &amp; "-" &amp; DATE(YEAR(T_Saldo[[#This Row],[Fecha]]),MONTH(T_Saldo[[#This Row],[Fecha]]),DAY(T_Saldo[[#This Row],[Fecha]]))</f>
        <v>CC 2-45230</v>
      </c>
    </row>
    <row r="522" spans="1:10" x14ac:dyDescent="0.45">
      <c r="A522" s="15">
        <v>45230</v>
      </c>
      <c r="B522" t="s">
        <v>41</v>
      </c>
      <c r="C522">
        <f>T_Saldo[[#This Row],[Valor liquidativo]]*T_Saldo[[#This Row],[Participaciones]]</f>
        <v>3195.8157200000005</v>
      </c>
      <c r="D522" s="11">
        <f>T_Saldo[[#This Row],[Valor liquidativo (Moneda Extranjera)]]/T_Saldo[[#This Row],[Cambio]]</f>
        <v>319.58157200000005</v>
      </c>
      <c r="E522" s="13">
        <f>IF(ISERROR(MATCH(T_Saldo[[#This Row],[Producto]],T_Stocks[Ticker],0)),1,INDEX(T_Stocks[Close],MATCH(T_Saldo[[#This Row],[ID - Product - Fecha]],T_Stocks[ID],1),1))</f>
        <v>338.11</v>
      </c>
      <c r="F522" cm="1">
        <f t="array" ref="F522">IF(T_Saldo[[#This Row],[Divisa]]="USD",INDEX(T_USD_EUR[EURUSD],MATCH(T_Saldo[[#This Row],[Fecha]],T_USD_EUR[Fecha],1),0),1)</f>
        <v>1.0579771476936097</v>
      </c>
      <c r="G522" t="str" cm="1">
        <f t="array" ref="G522">INDEX(T_Elementos[Divisa],MATCH(T_Saldo[[#This Row],[Producto]],T_Elementos[Producto],0),0)</f>
        <v>USD</v>
      </c>
      <c r="H5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22" t="str">
        <f>T_Saldo[[#This Row],[Producto]] &amp; "-" &amp; DATE(YEAR(T_Saldo[[#This Row],[Fecha]]),MONTH(T_Saldo[[#This Row],[Fecha]]),DAY(T_Saldo[[#This Row],[Fecha]]))</f>
        <v>MSFT-45230</v>
      </c>
    </row>
    <row r="523" spans="1:10" x14ac:dyDescent="0.45">
      <c r="A523" s="15">
        <v>45230</v>
      </c>
      <c r="B523" t="s">
        <v>51</v>
      </c>
      <c r="C523">
        <f>T_Saldo[[#This Row],[Valor liquidativo]]*T_Saldo[[#This Row],[Participaciones]]</f>
        <v>15593.909600000001</v>
      </c>
      <c r="D523" s="11">
        <f>T_Saldo[[#This Row],[Valor liquidativo (Moneda Extranjera)]]/T_Saldo[[#This Row],[Cambio]]</f>
        <v>77.969548000000003</v>
      </c>
      <c r="E523" s="13">
        <f>IF(ISERROR(MATCH(T_Saldo[[#This Row],[Producto]],T_Stocks[Ticker],0)),1,INDEX(T_Stocks[Close],MATCH(T_Saldo[[#This Row],[ID - Product - Fecha]],T_Stocks[ID],1),1))</f>
        <v>82.49</v>
      </c>
      <c r="F523" cm="1">
        <f t="array" ref="F523">IF(T_Saldo[[#This Row],[Divisa]]="USD",INDEX(T_USD_EUR[EURUSD],MATCH(T_Saldo[[#This Row],[Fecha]],T_USD_EUR[Fecha],1),0),1)</f>
        <v>1.0579771476936097</v>
      </c>
      <c r="G523" t="str" cm="1">
        <f t="array" ref="G523">INDEX(T_Elementos[Divisa],MATCH(T_Saldo[[#This Row],[Producto]],T_Elementos[Producto],0),0)</f>
        <v>USD</v>
      </c>
      <c r="H5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23" t="str">
        <f>T_Saldo[[#This Row],[Producto]] &amp; "-" &amp; DATE(YEAR(T_Saldo[[#This Row],[Fecha]]),MONTH(T_Saldo[[#This Row],[Fecha]]),DAY(T_Saldo[[#This Row],[Fecha]]))</f>
        <v>PRHSX-45230</v>
      </c>
    </row>
    <row r="524" spans="1:10" x14ac:dyDescent="0.45">
      <c r="A524" s="15">
        <v>45230</v>
      </c>
      <c r="B524" t="s">
        <v>32</v>
      </c>
      <c r="C524">
        <f>T_Saldo[[#This Row],[Valor liquidativo]]*T_Saldo[[#This Row],[Participaciones]]</f>
        <v>19034.437600000001</v>
      </c>
      <c r="D524" s="11">
        <f>T_Saldo[[#This Row],[Valor liquidativo (Moneda Extranjera)]]/T_Saldo[[#This Row],[Cambio]]</f>
        <v>95.172188000000006</v>
      </c>
      <c r="E524" s="13">
        <f>IF(ISERROR(MATCH(T_Saldo[[#This Row],[Producto]],T_Stocks[Ticker],0)),1,INDEX(T_Stocks[Close],MATCH(T_Saldo[[#This Row],[ID - Product - Fecha]],T_Stocks[ID],1),1))</f>
        <v>100.69</v>
      </c>
      <c r="F524" cm="1">
        <f t="array" ref="F524">IF(T_Saldo[[#This Row],[Divisa]]="USD",INDEX(T_USD_EUR[EURUSD],MATCH(T_Saldo[[#This Row],[Fecha]],T_USD_EUR[Fecha],1),0),1)</f>
        <v>1.0579771476936097</v>
      </c>
      <c r="G524" t="str" cm="1">
        <f t="array" ref="G524">INDEX(T_Elementos[Divisa],MATCH(T_Saldo[[#This Row],[Producto]],T_Elementos[Producto],0),0)</f>
        <v>USD</v>
      </c>
      <c r="H5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24" t="str">
        <f>T_Saldo[[#This Row],[Producto]] &amp; "-" &amp; DATE(YEAR(T_Saldo[[#This Row],[Fecha]]),MONTH(T_Saldo[[#This Row],[Fecha]]),DAY(T_Saldo[[#This Row],[Fecha]]))</f>
        <v>VTSAX-45230</v>
      </c>
    </row>
    <row r="525" spans="1:10" x14ac:dyDescent="0.45">
      <c r="A525" s="15">
        <v>45260</v>
      </c>
      <c r="B525" t="s">
        <v>38</v>
      </c>
      <c r="C525">
        <f>T_Saldo[[#This Row],[Valor liquidativo]]*T_Saldo[[#This Row],[Participaciones]]</f>
        <v>6978.0031999999992</v>
      </c>
      <c r="D525" s="11">
        <f>T_Saldo[[#This Row],[Valor liquidativo (Moneda Extranjera)]]/T_Saldo[[#This Row],[Cambio]]</f>
        <v>174.45007999999999</v>
      </c>
      <c r="E525" s="13">
        <f>IF(ISERROR(MATCH(T_Saldo[[#This Row],[Producto]],T_Stocks[Ticker],0)),1,INDEX(T_Stocks[Close],MATCH(T_Saldo[[#This Row],[ID - Product - Fecha]],T_Stocks[ID],1),1))</f>
        <v>189.95</v>
      </c>
      <c r="F525" cm="1">
        <f t="array" ref="F525">IF(T_Saldo[[#This Row],[Divisa]]="USD",INDEX(T_USD_EUR[EURUSD],MATCH(T_Saldo[[#This Row],[Fecha]],T_USD_EUR[Fecha],1),0),1)</f>
        <v>1.0888501742160279</v>
      </c>
      <c r="G525" t="str" cm="1">
        <f t="array" ref="G525">INDEX(T_Elementos[Divisa],MATCH(T_Saldo[[#This Row],[Producto]],T_Elementos[Producto],0),0)</f>
        <v>USD</v>
      </c>
      <c r="H5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25" t="str">
        <f>T_Saldo[[#This Row],[Producto]] &amp; "-" &amp; DATE(YEAR(T_Saldo[[#This Row],[Fecha]]),MONTH(T_Saldo[[#This Row],[Fecha]]),DAY(T_Saldo[[#This Row],[Fecha]]))</f>
        <v>AAPL-45260</v>
      </c>
    </row>
    <row r="526" spans="1:10" x14ac:dyDescent="0.45">
      <c r="A526" s="15">
        <v>45260</v>
      </c>
      <c r="B526" t="s">
        <v>43</v>
      </c>
      <c r="C526">
        <f>T_Saldo[[#This Row],[Valor liquidativo]]*T_Saldo[[#This Row],[Participaciones]]</f>
        <v>6000</v>
      </c>
      <c r="D526" s="11">
        <f>T_Saldo[[#This Row],[Valor liquidativo (Moneda Extranjera)]]/T_Saldo[[#This Row],[Cambio]]</f>
        <v>2000</v>
      </c>
      <c r="E526" s="13">
        <f>IF(ISERROR(MATCH(T_Saldo[[#This Row],[Producto]],T_Stocks[Ticker],0)),1,INDEX(T_Stocks[Close],MATCH(T_Saldo[[#This Row],[ID - Product - Fecha]],T_Stocks[ID],1),1))</f>
        <v>2000</v>
      </c>
      <c r="F526" cm="1">
        <f t="array" ref="F526">IF(T_Saldo[[#This Row],[Divisa]]="USD",INDEX(T_USD_EUR[EURUSD],MATCH(T_Saldo[[#This Row],[Fecha]],T_USD_EUR[Fecha],1),0),1)</f>
        <v>1</v>
      </c>
      <c r="G526" t="str" cm="1">
        <f t="array" ref="G526">INDEX(T_Elementos[Divisa],MATCH(T_Saldo[[#This Row],[Producto]],T_Elementos[Producto],0),0)</f>
        <v>EUR</v>
      </c>
      <c r="H5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26" t="str">
        <f>T_Saldo[[#This Row],[Producto]] &amp; "-" &amp; DATE(YEAR(T_Saldo[[#This Row],[Fecha]]),MONTH(T_Saldo[[#This Row],[Fecha]]),DAY(T_Saldo[[#This Row],[Fecha]]))</f>
        <v>Bonos-45260</v>
      </c>
    </row>
    <row r="527" spans="1:10" x14ac:dyDescent="0.45">
      <c r="A527" s="15">
        <v>45260</v>
      </c>
      <c r="B527" t="s">
        <v>155</v>
      </c>
      <c r="C527">
        <f>T_Saldo[[#This Row],[Valor liquidativo]]*T_Saldo[[#This Row],[Participaciones]]</f>
        <v>8658.5528974999997</v>
      </c>
      <c r="D527" s="11">
        <f>T_Saldo[[#This Row],[Valor liquidativo (Moneda Extranjera)]]/T_Saldo[[#This Row],[Cambio]]</f>
        <v>34634.211589999999</v>
      </c>
      <c r="E527" s="13">
        <f>IF(ISERROR(MATCH(T_Saldo[[#This Row],[Producto]],T_Stocks[Ticker],0)),1,INDEX(T_Stocks[Close],MATCH(T_Saldo[[#This Row],[ID - Product - Fecha]],T_Stocks[ID],1),1))</f>
        <v>34634.211589999999</v>
      </c>
      <c r="F527" cm="1">
        <f t="array" ref="F527">IF(T_Saldo[[#This Row],[Divisa]]="USD",INDEX(T_USD_EUR[EURUSD],MATCH(T_Saldo[[#This Row],[Fecha]],T_USD_EUR[Fecha],1),0),1)</f>
        <v>1</v>
      </c>
      <c r="G527" t="str" cm="1">
        <f t="array" ref="G527">INDEX(T_Elementos[Divisa],MATCH(T_Saldo[[#This Row],[Producto]],T_Elementos[Producto],0),0)</f>
        <v>EUR</v>
      </c>
      <c r="H5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27" t="str">
        <f>T_Saldo[[#This Row],[Producto]] &amp; "-" &amp; DATE(YEAR(T_Saldo[[#This Row],[Fecha]]),MONTH(T_Saldo[[#This Row],[Fecha]]),DAY(T_Saldo[[#This Row],[Fecha]]))</f>
        <v>BTCEUR-45260</v>
      </c>
    </row>
    <row r="528" spans="1:10" x14ac:dyDescent="0.45">
      <c r="A528" s="15">
        <v>45260</v>
      </c>
      <c r="B528" t="s">
        <v>46</v>
      </c>
      <c r="C528">
        <f>T_Saldo[[#This Row],[Valor liquidativo]]*T_Saldo[[#This Row],[Participaciones]]</f>
        <v>39626.909999999996</v>
      </c>
      <c r="D528" s="11">
        <f>T_Saldo[[#This Row],[Valor liquidativo (Moneda Extranjera)]]/T_Saldo[[#This Row],[Cambio]]</f>
        <v>1</v>
      </c>
      <c r="E528" s="13">
        <f>IF(ISERROR(MATCH(T_Saldo[[#This Row],[Producto]],T_Stocks[Ticker],0)),1,INDEX(T_Stocks[Close],MATCH(T_Saldo[[#This Row],[ID - Product - Fecha]],T_Stocks[ID],1),1))</f>
        <v>1</v>
      </c>
      <c r="F528" cm="1">
        <f t="array" ref="F528">IF(T_Saldo[[#This Row],[Divisa]]="USD",INDEX(T_USD_EUR[EURUSD],MATCH(T_Saldo[[#This Row],[Fecha]],T_USD_EUR[Fecha],1),0),1)</f>
        <v>1</v>
      </c>
      <c r="G528" t="str" cm="1">
        <f t="array" ref="G528">INDEX(T_Elementos[Divisa],MATCH(T_Saldo[[#This Row],[Producto]],T_Elementos[Producto],0),0)</f>
        <v>EUR</v>
      </c>
      <c r="H5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39626.909999999996</v>
      </c>
      <c r="J528" t="str">
        <f>T_Saldo[[#This Row],[Producto]] &amp; "-" &amp; DATE(YEAR(T_Saldo[[#This Row],[Fecha]]),MONTH(T_Saldo[[#This Row],[Fecha]]),DAY(T_Saldo[[#This Row],[Fecha]]))</f>
        <v>CA 1-45260</v>
      </c>
    </row>
    <row r="529" spans="1:10" x14ac:dyDescent="0.45">
      <c r="A529" s="15">
        <v>45260</v>
      </c>
      <c r="B529" t="s">
        <v>10</v>
      </c>
      <c r="C529">
        <f>T_Saldo[[#This Row],[Valor liquidativo]]*T_Saldo[[#This Row],[Participaciones]]</f>
        <v>21813.86</v>
      </c>
      <c r="D529" s="11">
        <f>T_Saldo[[#This Row],[Valor liquidativo (Moneda Extranjera)]]/T_Saldo[[#This Row],[Cambio]]</f>
        <v>1</v>
      </c>
      <c r="E529" s="13">
        <f>IF(ISERROR(MATCH(T_Saldo[[#This Row],[Producto]],T_Stocks[Ticker],0)),1,INDEX(T_Stocks[Close],MATCH(T_Saldo[[#This Row],[ID - Product - Fecha]],T_Stocks[ID],1),1))</f>
        <v>1</v>
      </c>
      <c r="F529" cm="1">
        <f t="array" ref="F529">IF(T_Saldo[[#This Row],[Divisa]]="USD",INDEX(T_USD_EUR[EURUSD],MATCH(T_Saldo[[#This Row],[Fecha]],T_USD_EUR[Fecha],1),0),1)</f>
        <v>1</v>
      </c>
      <c r="G529" t="str" cm="1">
        <f t="array" ref="G529">INDEX(T_Elementos[Divisa],MATCH(T_Saldo[[#This Row],[Producto]],T_Elementos[Producto],0),0)</f>
        <v>EUR</v>
      </c>
      <c r="H5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21813.86</v>
      </c>
      <c r="J529" t="str">
        <f>T_Saldo[[#This Row],[Producto]] &amp; "-" &amp; DATE(YEAR(T_Saldo[[#This Row],[Fecha]]),MONTH(T_Saldo[[#This Row],[Fecha]]),DAY(T_Saldo[[#This Row],[Fecha]]))</f>
        <v>CC 1-45260</v>
      </c>
    </row>
    <row r="530" spans="1:10" x14ac:dyDescent="0.45">
      <c r="A530" s="15">
        <v>45260</v>
      </c>
      <c r="B530" t="s">
        <v>49</v>
      </c>
      <c r="C530">
        <f>T_Saldo[[#This Row],[Valor liquidativo]]*T_Saldo[[#This Row],[Participaciones]]</f>
        <v>24586.390000000014</v>
      </c>
      <c r="D530" s="11">
        <f>T_Saldo[[#This Row],[Valor liquidativo (Moneda Extranjera)]]/T_Saldo[[#This Row],[Cambio]]</f>
        <v>1</v>
      </c>
      <c r="E530" s="13">
        <f>IF(ISERROR(MATCH(T_Saldo[[#This Row],[Producto]],T_Stocks[Ticker],0)),1,INDEX(T_Stocks[Close],MATCH(T_Saldo[[#This Row],[ID - Product - Fecha]],T_Stocks[ID],1),1))</f>
        <v>1</v>
      </c>
      <c r="F530" cm="1">
        <f t="array" ref="F530">IF(T_Saldo[[#This Row],[Divisa]]="USD",INDEX(T_USD_EUR[EURUSD],MATCH(T_Saldo[[#This Row],[Fecha]],T_USD_EUR[Fecha],1),0),1)</f>
        <v>1</v>
      </c>
      <c r="G530" t="str" cm="1">
        <f t="array" ref="G530">INDEX(T_Elementos[Divisa],MATCH(T_Saldo[[#This Row],[Producto]],T_Elementos[Producto],0),0)</f>
        <v>EUR</v>
      </c>
      <c r="H5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24586.390000000014</v>
      </c>
      <c r="J530" t="str">
        <f>T_Saldo[[#This Row],[Producto]] &amp; "-" &amp; DATE(YEAR(T_Saldo[[#This Row],[Fecha]]),MONTH(T_Saldo[[#This Row],[Fecha]]),DAY(T_Saldo[[#This Row],[Fecha]]))</f>
        <v>CC 2-45260</v>
      </c>
    </row>
    <row r="531" spans="1:10" x14ac:dyDescent="0.45">
      <c r="A531" s="15">
        <v>45260</v>
      </c>
      <c r="B531" t="s">
        <v>41</v>
      </c>
      <c r="C531">
        <f>T_Saldo[[#This Row],[Valor liquidativo]]*T_Saldo[[#This Row],[Participaciones]]</f>
        <v>3479.9094400000004</v>
      </c>
      <c r="D531" s="11">
        <f>T_Saldo[[#This Row],[Valor liquidativo (Moneda Extranjera)]]/T_Saldo[[#This Row],[Cambio]]</f>
        <v>347.99094400000001</v>
      </c>
      <c r="E531" s="13">
        <f>IF(ISERROR(MATCH(T_Saldo[[#This Row],[Producto]],T_Stocks[Ticker],0)),1,INDEX(T_Stocks[Close],MATCH(T_Saldo[[#This Row],[ID - Product - Fecha]],T_Stocks[ID],1),1))</f>
        <v>378.91</v>
      </c>
      <c r="F531" cm="1">
        <f t="array" ref="F531">IF(T_Saldo[[#This Row],[Divisa]]="USD",INDEX(T_USD_EUR[EURUSD],MATCH(T_Saldo[[#This Row],[Fecha]],T_USD_EUR[Fecha],1),0),1)</f>
        <v>1.0888501742160279</v>
      </c>
      <c r="G531" t="str" cm="1">
        <f t="array" ref="G531">INDEX(T_Elementos[Divisa],MATCH(T_Saldo[[#This Row],[Producto]],T_Elementos[Producto],0),0)</f>
        <v>USD</v>
      </c>
      <c r="H5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31" t="str">
        <f>T_Saldo[[#This Row],[Producto]] &amp; "-" &amp; DATE(YEAR(T_Saldo[[#This Row],[Fecha]]),MONTH(T_Saldo[[#This Row],[Fecha]]),DAY(T_Saldo[[#This Row],[Fecha]]))</f>
        <v>MSFT-45260</v>
      </c>
    </row>
    <row r="532" spans="1:10" x14ac:dyDescent="0.45">
      <c r="A532" s="15">
        <v>45260</v>
      </c>
      <c r="B532" t="s">
        <v>51</v>
      </c>
      <c r="C532">
        <f>T_Saldo[[#This Row],[Valor liquidativo]]*T_Saldo[[#This Row],[Participaciones]]</f>
        <v>15994.8544</v>
      </c>
      <c r="D532" s="11">
        <f>T_Saldo[[#This Row],[Valor liquidativo (Moneda Extranjera)]]/T_Saldo[[#This Row],[Cambio]]</f>
        <v>79.974271999999999</v>
      </c>
      <c r="E532" s="13">
        <f>IF(ISERROR(MATCH(T_Saldo[[#This Row],[Producto]],T_Stocks[Ticker],0)),1,INDEX(T_Stocks[Close],MATCH(T_Saldo[[#This Row],[ID - Product - Fecha]],T_Stocks[ID],1),1))</f>
        <v>87.08</v>
      </c>
      <c r="F532" cm="1">
        <f t="array" ref="F532">IF(T_Saldo[[#This Row],[Divisa]]="USD",INDEX(T_USD_EUR[EURUSD],MATCH(T_Saldo[[#This Row],[Fecha]],T_USD_EUR[Fecha],1),0),1)</f>
        <v>1.0888501742160279</v>
      </c>
      <c r="G532" t="str" cm="1">
        <f t="array" ref="G532">INDEX(T_Elementos[Divisa],MATCH(T_Saldo[[#This Row],[Producto]],T_Elementos[Producto],0),0)</f>
        <v>USD</v>
      </c>
      <c r="H5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32" t="str">
        <f>T_Saldo[[#This Row],[Producto]] &amp; "-" &amp; DATE(YEAR(T_Saldo[[#This Row],[Fecha]]),MONTH(T_Saldo[[#This Row],[Fecha]]),DAY(T_Saldo[[#This Row],[Fecha]]))</f>
        <v>PRHSX-45260</v>
      </c>
    </row>
    <row r="533" spans="1:10" x14ac:dyDescent="0.45">
      <c r="A533" s="15">
        <v>45260</v>
      </c>
      <c r="B533" t="s">
        <v>32</v>
      </c>
      <c r="C533">
        <f>T_Saldo[[#This Row],[Valor liquidativo]]*T_Saldo[[#This Row],[Participaciones]]</f>
        <v>0</v>
      </c>
      <c r="D533" s="11">
        <f>T_Saldo[[#This Row],[Valor liquidativo (Moneda Extranjera)]]/T_Saldo[[#This Row],[Cambio]]</f>
        <v>101.14339199999999</v>
      </c>
      <c r="E533" s="13">
        <f>IF(ISERROR(MATCH(T_Saldo[[#This Row],[Producto]],T_Stocks[Ticker],0)),1,INDEX(T_Stocks[Close],MATCH(T_Saldo[[#This Row],[ID - Product - Fecha]],T_Stocks[ID],1),1))</f>
        <v>110.13</v>
      </c>
      <c r="F533" cm="1">
        <f t="array" ref="F533">IF(T_Saldo[[#This Row],[Divisa]]="USD",INDEX(T_USD_EUR[EURUSD],MATCH(T_Saldo[[#This Row],[Fecha]],T_USD_EUR[Fecha],1),0),1)</f>
        <v>1.0888501742160279</v>
      </c>
      <c r="G533" t="str" cm="1">
        <f t="array" ref="G533">INDEX(T_Elementos[Divisa],MATCH(T_Saldo[[#This Row],[Producto]],T_Elementos[Producto],0),0)</f>
        <v>USD</v>
      </c>
      <c r="H5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33" t="str">
        <f>T_Saldo[[#This Row],[Producto]] &amp; "-" &amp; DATE(YEAR(T_Saldo[[#This Row],[Fecha]]),MONTH(T_Saldo[[#This Row],[Fecha]]),DAY(T_Saldo[[#This Row],[Fecha]]))</f>
        <v>VTSAX-45260</v>
      </c>
    </row>
    <row r="534" spans="1:10" x14ac:dyDescent="0.45">
      <c r="A534" s="15">
        <v>45291</v>
      </c>
      <c r="B534" t="s">
        <v>38</v>
      </c>
      <c r="C534">
        <f>T_Saldo[[#This Row],[Valor liquidativo]]*T_Saldo[[#This Row],[Participaciones]]</f>
        <v>6977.2872000000007</v>
      </c>
      <c r="D534" s="11">
        <f>T_Saldo[[#This Row],[Valor liquidativo (Moneda Extranjera)]]/T_Saldo[[#This Row],[Cambio]]</f>
        <v>174.43218000000002</v>
      </c>
      <c r="E534" s="13">
        <f>IF(ISERROR(MATCH(T_Saldo[[#This Row],[Producto]],T_Stocks[Ticker],0)),1,INDEX(T_Stocks[Close],MATCH(T_Saldo[[#This Row],[ID - Product - Fecha]],T_Stocks[ID],1),1))</f>
        <v>192.53</v>
      </c>
      <c r="F534" cm="1">
        <f t="array" ref="F534">IF(T_Saldo[[#This Row],[Divisa]]="USD",INDEX(T_USD_EUR[EURUSD],MATCH(T_Saldo[[#This Row],[Fecha]],T_USD_EUR[Fecha],1),0),1)</f>
        <v>1.1037527593818983</v>
      </c>
      <c r="G534" t="str" cm="1">
        <f t="array" ref="G534">INDEX(T_Elementos[Divisa],MATCH(T_Saldo[[#This Row],[Producto]],T_Elementos[Producto],0),0)</f>
        <v>USD</v>
      </c>
      <c r="H5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34" t="str">
        <f>T_Saldo[[#This Row],[Producto]] &amp; "-" &amp; DATE(YEAR(T_Saldo[[#This Row],[Fecha]]),MONTH(T_Saldo[[#This Row],[Fecha]]),DAY(T_Saldo[[#This Row],[Fecha]]))</f>
        <v>AAPL-45291</v>
      </c>
    </row>
    <row r="535" spans="1:10" x14ac:dyDescent="0.45">
      <c r="A535" s="15">
        <v>45291</v>
      </c>
      <c r="B535" t="s">
        <v>43</v>
      </c>
      <c r="C535">
        <f>T_Saldo[[#This Row],[Valor liquidativo]]*T_Saldo[[#This Row],[Participaciones]]</f>
        <v>6000</v>
      </c>
      <c r="D535" s="11">
        <f>T_Saldo[[#This Row],[Valor liquidativo (Moneda Extranjera)]]/T_Saldo[[#This Row],[Cambio]]</f>
        <v>2000</v>
      </c>
      <c r="E535" s="13">
        <f>IF(ISERROR(MATCH(T_Saldo[[#This Row],[Producto]],T_Stocks[Ticker],0)),1,INDEX(T_Stocks[Close],MATCH(T_Saldo[[#This Row],[ID - Product - Fecha]],T_Stocks[ID],1),1))</f>
        <v>2000</v>
      </c>
      <c r="F535" cm="1">
        <f t="array" ref="F535">IF(T_Saldo[[#This Row],[Divisa]]="USD",INDEX(T_USD_EUR[EURUSD],MATCH(T_Saldo[[#This Row],[Fecha]],T_USD_EUR[Fecha],1),0),1)</f>
        <v>1</v>
      </c>
      <c r="G535" t="str" cm="1">
        <f t="array" ref="G535">INDEX(T_Elementos[Divisa],MATCH(T_Saldo[[#This Row],[Producto]],T_Elementos[Producto],0),0)</f>
        <v>EUR</v>
      </c>
      <c r="H5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35" t="str">
        <f>T_Saldo[[#This Row],[Producto]] &amp; "-" &amp; DATE(YEAR(T_Saldo[[#This Row],[Fecha]]),MONTH(T_Saldo[[#This Row],[Fecha]]),DAY(T_Saldo[[#This Row],[Fecha]]))</f>
        <v>Bonos-45291</v>
      </c>
    </row>
    <row r="536" spans="1:10" x14ac:dyDescent="0.45">
      <c r="A536" s="15">
        <v>45291</v>
      </c>
      <c r="B536" t="s">
        <v>155</v>
      </c>
      <c r="C536">
        <f>T_Saldo[[#This Row],[Valor liquidativo]]*T_Saldo[[#This Row],[Participaciones]]</f>
        <v>9563.1360399999994</v>
      </c>
      <c r="D536" s="11">
        <f>T_Saldo[[#This Row],[Valor liquidativo (Moneda Extranjera)]]/T_Saldo[[#This Row],[Cambio]]</f>
        <v>38252.544159999998</v>
      </c>
      <c r="E536" s="13">
        <f>IF(ISERROR(MATCH(T_Saldo[[#This Row],[Producto]],T_Stocks[Ticker],0)),1,INDEX(T_Stocks[Close],MATCH(T_Saldo[[#This Row],[ID - Product - Fecha]],T_Stocks[ID],1),1))</f>
        <v>38252.544159999998</v>
      </c>
      <c r="F536" cm="1">
        <f t="array" ref="F536">IF(T_Saldo[[#This Row],[Divisa]]="USD",INDEX(T_USD_EUR[EURUSD],MATCH(T_Saldo[[#This Row],[Fecha]],T_USD_EUR[Fecha],1),0),1)</f>
        <v>1</v>
      </c>
      <c r="G536" t="str" cm="1">
        <f t="array" ref="G536">INDEX(T_Elementos[Divisa],MATCH(T_Saldo[[#This Row],[Producto]],T_Elementos[Producto],0),0)</f>
        <v>EUR</v>
      </c>
      <c r="H5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36" t="str">
        <f>T_Saldo[[#This Row],[Producto]] &amp; "-" &amp; DATE(YEAR(T_Saldo[[#This Row],[Fecha]]),MONTH(T_Saldo[[#This Row],[Fecha]]),DAY(T_Saldo[[#This Row],[Fecha]]))</f>
        <v>BTCEUR-45291</v>
      </c>
    </row>
    <row r="537" spans="1:10" x14ac:dyDescent="0.45">
      <c r="A537" s="15">
        <v>45291</v>
      </c>
      <c r="B537" t="s">
        <v>46</v>
      </c>
      <c r="C537">
        <f>T_Saldo[[#This Row],[Valor liquidativo]]*T_Saldo[[#This Row],[Participaciones]]</f>
        <v>39245.399999999994</v>
      </c>
      <c r="D537" s="11">
        <f>T_Saldo[[#This Row],[Valor liquidativo (Moneda Extranjera)]]/T_Saldo[[#This Row],[Cambio]]</f>
        <v>1</v>
      </c>
      <c r="E537" s="13">
        <f>IF(ISERROR(MATCH(T_Saldo[[#This Row],[Producto]],T_Stocks[Ticker],0)),1,INDEX(T_Stocks[Close],MATCH(T_Saldo[[#This Row],[ID - Product - Fecha]],T_Stocks[ID],1),1))</f>
        <v>1</v>
      </c>
      <c r="F537" cm="1">
        <f t="array" ref="F537">IF(T_Saldo[[#This Row],[Divisa]]="USD",INDEX(T_USD_EUR[EURUSD],MATCH(T_Saldo[[#This Row],[Fecha]],T_USD_EUR[Fecha],1),0),1)</f>
        <v>1</v>
      </c>
      <c r="G537" t="str" cm="1">
        <f t="array" ref="G537">INDEX(T_Elementos[Divisa],MATCH(T_Saldo[[#This Row],[Producto]],T_Elementos[Producto],0),0)</f>
        <v>EUR</v>
      </c>
      <c r="H5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39245.399999999994</v>
      </c>
      <c r="J537" t="str">
        <f>T_Saldo[[#This Row],[Producto]] &amp; "-" &amp; DATE(YEAR(T_Saldo[[#This Row],[Fecha]]),MONTH(T_Saldo[[#This Row],[Fecha]]),DAY(T_Saldo[[#This Row],[Fecha]]))</f>
        <v>CA 1-45291</v>
      </c>
    </row>
    <row r="538" spans="1:10" x14ac:dyDescent="0.45">
      <c r="A538" s="15">
        <v>45291</v>
      </c>
      <c r="B538" t="s">
        <v>10</v>
      </c>
      <c r="C538">
        <f>T_Saldo[[#This Row],[Valor liquidativo]]*T_Saldo[[#This Row],[Participaciones]]</f>
        <v>21479.4</v>
      </c>
      <c r="D538" s="11">
        <f>T_Saldo[[#This Row],[Valor liquidativo (Moneda Extranjera)]]/T_Saldo[[#This Row],[Cambio]]</f>
        <v>1</v>
      </c>
      <c r="E538" s="13">
        <f>IF(ISERROR(MATCH(T_Saldo[[#This Row],[Producto]],T_Stocks[Ticker],0)),1,INDEX(T_Stocks[Close],MATCH(T_Saldo[[#This Row],[ID - Product - Fecha]],T_Stocks[ID],1),1))</f>
        <v>1</v>
      </c>
      <c r="F538" cm="1">
        <f t="array" ref="F538">IF(T_Saldo[[#This Row],[Divisa]]="USD",INDEX(T_USD_EUR[EURUSD],MATCH(T_Saldo[[#This Row],[Fecha]],T_USD_EUR[Fecha],1),0),1)</f>
        <v>1</v>
      </c>
      <c r="G538" t="str" cm="1">
        <f t="array" ref="G538">INDEX(T_Elementos[Divisa],MATCH(T_Saldo[[#This Row],[Producto]],T_Elementos[Producto],0),0)</f>
        <v>EUR</v>
      </c>
      <c r="H5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21479.4</v>
      </c>
      <c r="J538" t="str">
        <f>T_Saldo[[#This Row],[Producto]] &amp; "-" &amp; DATE(YEAR(T_Saldo[[#This Row],[Fecha]]),MONTH(T_Saldo[[#This Row],[Fecha]]),DAY(T_Saldo[[#This Row],[Fecha]]))</f>
        <v>CC 1-45291</v>
      </c>
    </row>
    <row r="539" spans="1:10" x14ac:dyDescent="0.45">
      <c r="A539" s="15">
        <v>45291</v>
      </c>
      <c r="B539" t="s">
        <v>49</v>
      </c>
      <c r="C539">
        <f>T_Saldo[[#This Row],[Valor liquidativo]]*T_Saldo[[#This Row],[Participaciones]]</f>
        <v>24432.970000000016</v>
      </c>
      <c r="D539" s="11">
        <f>T_Saldo[[#This Row],[Valor liquidativo (Moneda Extranjera)]]/T_Saldo[[#This Row],[Cambio]]</f>
        <v>1</v>
      </c>
      <c r="E539" s="13">
        <f>IF(ISERROR(MATCH(T_Saldo[[#This Row],[Producto]],T_Stocks[Ticker],0)),1,INDEX(T_Stocks[Close],MATCH(T_Saldo[[#This Row],[ID - Product - Fecha]],T_Stocks[ID],1),1))</f>
        <v>1</v>
      </c>
      <c r="F539" cm="1">
        <f t="array" ref="F539">IF(T_Saldo[[#This Row],[Divisa]]="USD",INDEX(T_USD_EUR[EURUSD],MATCH(T_Saldo[[#This Row],[Fecha]],T_USD_EUR[Fecha],1),0),1)</f>
        <v>1</v>
      </c>
      <c r="G539" t="str" cm="1">
        <f t="array" ref="G539">INDEX(T_Elementos[Divisa],MATCH(T_Saldo[[#This Row],[Producto]],T_Elementos[Producto],0),0)</f>
        <v>EUR</v>
      </c>
      <c r="H5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24432.970000000016</v>
      </c>
      <c r="J539" t="str">
        <f>T_Saldo[[#This Row],[Producto]] &amp; "-" &amp; DATE(YEAR(T_Saldo[[#This Row],[Fecha]]),MONTH(T_Saldo[[#This Row],[Fecha]]),DAY(T_Saldo[[#This Row],[Fecha]]))</f>
        <v>CC 2-45291</v>
      </c>
    </row>
    <row r="540" spans="1:10" x14ac:dyDescent="0.45">
      <c r="A540" s="15">
        <v>45291</v>
      </c>
      <c r="B540" t="s">
        <v>41</v>
      </c>
      <c r="C540">
        <f>T_Saldo[[#This Row],[Valor liquidativo]]*T_Saldo[[#This Row],[Participaciones]]</f>
        <v>3406.9224000000008</v>
      </c>
      <c r="D540" s="11">
        <f>T_Saldo[[#This Row],[Valor liquidativo (Moneda Extranjera)]]/T_Saldo[[#This Row],[Cambio]]</f>
        <v>340.69224000000008</v>
      </c>
      <c r="E540" s="13">
        <f>IF(ISERROR(MATCH(T_Saldo[[#This Row],[Producto]],T_Stocks[Ticker],0)),1,INDEX(T_Stocks[Close],MATCH(T_Saldo[[#This Row],[ID - Product - Fecha]],T_Stocks[ID],1),1))</f>
        <v>376.04</v>
      </c>
      <c r="F540" cm="1">
        <f t="array" ref="F540">IF(T_Saldo[[#This Row],[Divisa]]="USD",INDEX(T_USD_EUR[EURUSD],MATCH(T_Saldo[[#This Row],[Fecha]],T_USD_EUR[Fecha],1),0),1)</f>
        <v>1.1037527593818983</v>
      </c>
      <c r="G540" t="str" cm="1">
        <f t="array" ref="G540">INDEX(T_Elementos[Divisa],MATCH(T_Saldo[[#This Row],[Producto]],T_Elementos[Producto],0),0)</f>
        <v>USD</v>
      </c>
      <c r="H5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40" t="str">
        <f>T_Saldo[[#This Row],[Producto]] &amp; "-" &amp; DATE(YEAR(T_Saldo[[#This Row],[Fecha]]),MONTH(T_Saldo[[#This Row],[Fecha]]),DAY(T_Saldo[[#This Row],[Fecha]]))</f>
        <v>MSFT-45291</v>
      </c>
    </row>
    <row r="541" spans="1:10" x14ac:dyDescent="0.45">
      <c r="A541" s="15">
        <v>45291</v>
      </c>
      <c r="B541" t="s">
        <v>51</v>
      </c>
      <c r="C541">
        <f>T_Saldo[[#This Row],[Valor liquidativo]]*T_Saldo[[#This Row],[Participaciones]]</f>
        <v>15927.480000000003</v>
      </c>
      <c r="D541" s="11">
        <f>T_Saldo[[#This Row],[Valor liquidativo (Moneda Extranjera)]]/T_Saldo[[#This Row],[Cambio]]</f>
        <v>79.637400000000014</v>
      </c>
      <c r="E541" s="13">
        <f>IF(ISERROR(MATCH(T_Saldo[[#This Row],[Producto]],T_Stocks[Ticker],0)),1,INDEX(T_Stocks[Close],MATCH(T_Saldo[[#This Row],[ID - Product - Fecha]],T_Stocks[ID],1),1))</f>
        <v>87.9</v>
      </c>
      <c r="F541" cm="1">
        <f t="array" ref="F541">IF(T_Saldo[[#This Row],[Divisa]]="USD",INDEX(T_USD_EUR[EURUSD],MATCH(T_Saldo[[#This Row],[Fecha]],T_USD_EUR[Fecha],1),0),1)</f>
        <v>1.1037527593818983</v>
      </c>
      <c r="G541" t="str" cm="1">
        <f t="array" ref="G541">INDEX(T_Elementos[Divisa],MATCH(T_Saldo[[#This Row],[Producto]],T_Elementos[Producto],0),0)</f>
        <v>USD</v>
      </c>
      <c r="H5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41" t="str">
        <f>T_Saldo[[#This Row],[Producto]] &amp; "-" &amp; DATE(YEAR(T_Saldo[[#This Row],[Fecha]]),MONTH(T_Saldo[[#This Row],[Fecha]]),DAY(T_Saldo[[#This Row],[Fecha]]))</f>
        <v>PRHSX-45291</v>
      </c>
    </row>
    <row r="542" spans="1:10" x14ac:dyDescent="0.45">
      <c r="A542" s="15">
        <v>45291</v>
      </c>
      <c r="B542" t="s">
        <v>32</v>
      </c>
      <c r="C542">
        <f>T_Saldo[[#This Row],[Valor liquidativo]]*T_Saldo[[#This Row],[Participaciones]]</f>
        <v>0</v>
      </c>
      <c r="D542" s="11">
        <f>T_Saldo[[#This Row],[Valor liquidativo (Moneda Extranjera)]]/T_Saldo[[#This Row],[Cambio]]</f>
        <v>104.63394000000001</v>
      </c>
      <c r="E542" s="13">
        <f>IF(ISERROR(MATCH(T_Saldo[[#This Row],[Producto]],T_Stocks[Ticker],0)),1,INDEX(T_Stocks[Close],MATCH(T_Saldo[[#This Row],[ID - Product - Fecha]],T_Stocks[ID],1),1))</f>
        <v>115.49</v>
      </c>
      <c r="F542" cm="1">
        <f t="array" ref="F542">IF(T_Saldo[[#This Row],[Divisa]]="USD",INDEX(T_USD_EUR[EURUSD],MATCH(T_Saldo[[#This Row],[Fecha]],T_USD_EUR[Fecha],1),0),1)</f>
        <v>1.1037527593818983</v>
      </c>
      <c r="G542" t="str" cm="1">
        <f t="array" ref="G542">INDEX(T_Elementos[Divisa],MATCH(T_Saldo[[#This Row],[Producto]],T_Elementos[Producto],0),0)</f>
        <v>USD</v>
      </c>
      <c r="H5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</v>
      </c>
      <c r="J542" t="str">
        <f>T_Saldo[[#This Row],[Producto]] &amp; "-" &amp; DATE(YEAR(T_Saldo[[#This Row],[Fecha]]),MONTH(T_Saldo[[#This Row],[Fecha]]),DAY(T_Saldo[[#This Row],[Fecha]]))</f>
        <v>VTSAX-45291</v>
      </c>
    </row>
    <row r="543" spans="1:10" x14ac:dyDescent="0.45">
      <c r="A543" s="15">
        <v>45322</v>
      </c>
      <c r="B543" t="s">
        <v>38</v>
      </c>
      <c r="C543">
        <f>T_Saldo[[#This Row],[Valor liquidativo]]*T_Saldo[[#This Row],[Participaciones]]</f>
        <v>6816.8991999999998</v>
      </c>
      <c r="D543" s="11">
        <f>T_Saldo[[#This Row],[Valor liquidativo (Moneda Extranjera)]]/T_Saldo[[#This Row],[Cambio]]</f>
        <v>170.42248000000001</v>
      </c>
      <c r="E543" s="13">
        <f>IF(ISERROR(MATCH(T_Saldo[[#This Row],[Producto]],T_Stocks[Ticker],0)),1,INDEX(T_Stocks[Close],MATCH(T_Saldo[[#This Row],[ID - Product - Fecha]],T_Stocks[ID],1),1))</f>
        <v>184.4</v>
      </c>
      <c r="F543" cm="1">
        <f t="array" ref="F543">IF(T_Saldo[[#This Row],[Divisa]]="USD",INDEX(T_USD_EUR[EURUSD],MATCH(T_Saldo[[#This Row],[Fecha]],T_USD_EUR[Fecha],1),0),1)</f>
        <v>1.0820168794633196</v>
      </c>
      <c r="G543" t="str" cm="1">
        <f t="array" ref="G543">INDEX(T_Elementos[Divisa],MATCH(T_Saldo[[#This Row],[Producto]],T_Elementos[Producto],0),0)</f>
        <v>USD</v>
      </c>
      <c r="H5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43" t="str">
        <f>T_Saldo[[#This Row],[Producto]] &amp; "-" &amp; DATE(YEAR(T_Saldo[[#This Row],[Fecha]]),MONTH(T_Saldo[[#This Row],[Fecha]]),DAY(T_Saldo[[#This Row],[Fecha]]))</f>
        <v>AAPL-45322</v>
      </c>
    </row>
    <row r="544" spans="1:10" x14ac:dyDescent="0.45">
      <c r="A544" s="15">
        <v>45322</v>
      </c>
      <c r="B544" t="s">
        <v>43</v>
      </c>
      <c r="C544">
        <f>T_Saldo[[#This Row],[Valor liquidativo]]*T_Saldo[[#This Row],[Participaciones]]</f>
        <v>6000</v>
      </c>
      <c r="D544" s="11">
        <f>T_Saldo[[#This Row],[Valor liquidativo (Moneda Extranjera)]]/T_Saldo[[#This Row],[Cambio]]</f>
        <v>2000</v>
      </c>
      <c r="E544" s="13">
        <f>IF(ISERROR(MATCH(T_Saldo[[#This Row],[Producto]],T_Stocks[Ticker],0)),1,INDEX(T_Stocks[Close],MATCH(T_Saldo[[#This Row],[ID - Product - Fecha]],T_Stocks[ID],1),1))</f>
        <v>2000</v>
      </c>
      <c r="F544" cm="1">
        <f t="array" ref="F544">IF(T_Saldo[[#This Row],[Divisa]]="USD",INDEX(T_USD_EUR[EURUSD],MATCH(T_Saldo[[#This Row],[Fecha]],T_USD_EUR[Fecha],1),0),1)</f>
        <v>1</v>
      </c>
      <c r="G544" t="str" cm="1">
        <f t="array" ref="G544">INDEX(T_Elementos[Divisa],MATCH(T_Saldo[[#This Row],[Producto]],T_Elementos[Producto],0),0)</f>
        <v>EUR</v>
      </c>
      <c r="H5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44" t="str">
        <f>T_Saldo[[#This Row],[Producto]] &amp; "-" &amp; DATE(YEAR(T_Saldo[[#This Row],[Fecha]]),MONTH(T_Saldo[[#This Row],[Fecha]]),DAY(T_Saldo[[#This Row],[Fecha]]))</f>
        <v>Bonos-45322</v>
      </c>
    </row>
    <row r="545" spans="1:10" x14ac:dyDescent="0.45">
      <c r="A545" s="15">
        <v>45322</v>
      </c>
      <c r="B545" t="s">
        <v>155</v>
      </c>
      <c r="C545">
        <f>T_Saldo[[#This Row],[Valor liquidativo]]*T_Saldo[[#This Row],[Participaciones]]</f>
        <v>9853.4169375000001</v>
      </c>
      <c r="D545" s="11">
        <f>T_Saldo[[#This Row],[Valor liquidativo (Moneda Extranjera)]]/T_Saldo[[#This Row],[Cambio]]</f>
        <v>39413.667750000001</v>
      </c>
      <c r="E545" s="13">
        <f>IF(ISERROR(MATCH(T_Saldo[[#This Row],[Producto]],T_Stocks[Ticker],0)),1,INDEX(T_Stocks[Close],MATCH(T_Saldo[[#This Row],[ID - Product - Fecha]],T_Stocks[ID],1),1))</f>
        <v>39413.667750000001</v>
      </c>
      <c r="F545" cm="1">
        <f t="array" ref="F545">IF(T_Saldo[[#This Row],[Divisa]]="USD",INDEX(T_USD_EUR[EURUSD],MATCH(T_Saldo[[#This Row],[Fecha]],T_USD_EUR[Fecha],1),0),1)</f>
        <v>1</v>
      </c>
      <c r="G545" t="str" cm="1">
        <f t="array" ref="G545">INDEX(T_Elementos[Divisa],MATCH(T_Saldo[[#This Row],[Producto]],T_Elementos[Producto],0),0)</f>
        <v>EUR</v>
      </c>
      <c r="H5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45" t="str">
        <f>T_Saldo[[#This Row],[Producto]] &amp; "-" &amp; DATE(YEAR(T_Saldo[[#This Row],[Fecha]]),MONTH(T_Saldo[[#This Row],[Fecha]]),DAY(T_Saldo[[#This Row],[Fecha]]))</f>
        <v>BTCEUR-45322</v>
      </c>
    </row>
    <row r="546" spans="1:10" x14ac:dyDescent="0.45">
      <c r="A546" s="15">
        <v>45322</v>
      </c>
      <c r="B546" t="s">
        <v>46</v>
      </c>
      <c r="C546">
        <f>T_Saldo[[#This Row],[Valor liquidativo]]*T_Saldo[[#This Row],[Participaciones]]</f>
        <v>39079.149999999994</v>
      </c>
      <c r="D546" s="11">
        <f>T_Saldo[[#This Row],[Valor liquidativo (Moneda Extranjera)]]/T_Saldo[[#This Row],[Cambio]]</f>
        <v>1</v>
      </c>
      <c r="E546" s="13">
        <f>IF(ISERROR(MATCH(T_Saldo[[#This Row],[Producto]],T_Stocks[Ticker],0)),1,INDEX(T_Stocks[Close],MATCH(T_Saldo[[#This Row],[ID - Product - Fecha]],T_Stocks[ID],1),1))</f>
        <v>1</v>
      </c>
      <c r="F546" cm="1">
        <f t="array" ref="F546">IF(T_Saldo[[#This Row],[Divisa]]="USD",INDEX(T_USD_EUR[EURUSD],MATCH(T_Saldo[[#This Row],[Fecha]],T_USD_EUR[Fecha],1),0),1)</f>
        <v>1</v>
      </c>
      <c r="G546" t="str" cm="1">
        <f t="array" ref="G546">INDEX(T_Elementos[Divisa],MATCH(T_Saldo[[#This Row],[Producto]],T_Elementos[Producto],0),0)</f>
        <v>EUR</v>
      </c>
      <c r="H5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39079.149999999994</v>
      </c>
      <c r="J546" t="str">
        <f>T_Saldo[[#This Row],[Producto]] &amp; "-" &amp; DATE(YEAR(T_Saldo[[#This Row],[Fecha]]),MONTH(T_Saldo[[#This Row],[Fecha]]),DAY(T_Saldo[[#This Row],[Fecha]]))</f>
        <v>CA 1-45322</v>
      </c>
    </row>
    <row r="547" spans="1:10" x14ac:dyDescent="0.45">
      <c r="A547" s="15">
        <v>45322</v>
      </c>
      <c r="B547" t="s">
        <v>10</v>
      </c>
      <c r="C547">
        <f>T_Saldo[[#This Row],[Valor liquidativo]]*T_Saldo[[#This Row],[Participaciones]]</f>
        <v>23643.119999999999</v>
      </c>
      <c r="D547" s="11">
        <f>T_Saldo[[#This Row],[Valor liquidativo (Moneda Extranjera)]]/T_Saldo[[#This Row],[Cambio]]</f>
        <v>1</v>
      </c>
      <c r="E547" s="13">
        <f>IF(ISERROR(MATCH(T_Saldo[[#This Row],[Producto]],T_Stocks[Ticker],0)),1,INDEX(T_Stocks[Close],MATCH(T_Saldo[[#This Row],[ID - Product - Fecha]],T_Stocks[ID],1),1))</f>
        <v>1</v>
      </c>
      <c r="F547" cm="1">
        <f t="array" ref="F547">IF(T_Saldo[[#This Row],[Divisa]]="USD",INDEX(T_USD_EUR[EURUSD],MATCH(T_Saldo[[#This Row],[Fecha]],T_USD_EUR[Fecha],1),0),1)</f>
        <v>1</v>
      </c>
      <c r="G547" t="str" cm="1">
        <f t="array" ref="G547">INDEX(T_Elementos[Divisa],MATCH(T_Saldo[[#This Row],[Producto]],T_Elementos[Producto],0),0)</f>
        <v>EUR</v>
      </c>
      <c r="H5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23643.119999999999</v>
      </c>
      <c r="J547" t="str">
        <f>T_Saldo[[#This Row],[Producto]] &amp; "-" &amp; DATE(YEAR(T_Saldo[[#This Row],[Fecha]]),MONTH(T_Saldo[[#This Row],[Fecha]]),DAY(T_Saldo[[#This Row],[Fecha]]))</f>
        <v>CC 1-45322</v>
      </c>
    </row>
    <row r="548" spans="1:10" x14ac:dyDescent="0.45">
      <c r="A548" s="15">
        <v>45322</v>
      </c>
      <c r="B548" t="s">
        <v>49</v>
      </c>
      <c r="C548">
        <f>T_Saldo[[#This Row],[Valor liquidativo]]*T_Saldo[[#This Row],[Participaciones]]</f>
        <v>24432.970000000016</v>
      </c>
      <c r="D548" s="11">
        <f>T_Saldo[[#This Row],[Valor liquidativo (Moneda Extranjera)]]/T_Saldo[[#This Row],[Cambio]]</f>
        <v>1</v>
      </c>
      <c r="E548" s="13">
        <f>IF(ISERROR(MATCH(T_Saldo[[#This Row],[Producto]],T_Stocks[Ticker],0)),1,INDEX(T_Stocks[Close],MATCH(T_Saldo[[#This Row],[ID - Product - Fecha]],T_Stocks[ID],1),1))</f>
        <v>1</v>
      </c>
      <c r="F548" cm="1">
        <f t="array" ref="F548">IF(T_Saldo[[#This Row],[Divisa]]="USD",INDEX(T_USD_EUR[EURUSD],MATCH(T_Saldo[[#This Row],[Fecha]],T_USD_EUR[Fecha],1),0),1)</f>
        <v>1</v>
      </c>
      <c r="G548" t="str" cm="1">
        <f t="array" ref="G548">INDEX(T_Elementos[Divisa],MATCH(T_Saldo[[#This Row],[Producto]],T_Elementos[Producto],0),0)</f>
        <v>EUR</v>
      </c>
      <c r="H5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24432.970000000016</v>
      </c>
      <c r="J548" t="str">
        <f>T_Saldo[[#This Row],[Producto]] &amp; "-" &amp; DATE(YEAR(T_Saldo[[#This Row],[Fecha]]),MONTH(T_Saldo[[#This Row],[Fecha]]),DAY(T_Saldo[[#This Row],[Fecha]]))</f>
        <v>CC 2-45322</v>
      </c>
    </row>
    <row r="549" spans="1:10" x14ac:dyDescent="0.45">
      <c r="A549" s="15">
        <v>45322</v>
      </c>
      <c r="B549" t="s">
        <v>41</v>
      </c>
      <c r="C549">
        <f>T_Saldo[[#This Row],[Valor liquidativo]]*T_Saldo[[#This Row],[Participaciones]]</f>
        <v>3674.4343600000002</v>
      </c>
      <c r="D549" s="11">
        <f>T_Saldo[[#This Row],[Valor liquidativo (Moneda Extranjera)]]/T_Saldo[[#This Row],[Cambio]]</f>
        <v>367.44343600000002</v>
      </c>
      <c r="E549" s="13">
        <f>IF(ISERROR(MATCH(T_Saldo[[#This Row],[Producto]],T_Stocks[Ticker],0)),1,INDEX(T_Stocks[Close],MATCH(T_Saldo[[#This Row],[ID - Product - Fecha]],T_Stocks[ID],1),1))</f>
        <v>397.58</v>
      </c>
      <c r="F549" cm="1">
        <f t="array" ref="F549">IF(T_Saldo[[#This Row],[Divisa]]="USD",INDEX(T_USD_EUR[EURUSD],MATCH(T_Saldo[[#This Row],[Fecha]],T_USD_EUR[Fecha],1),0),1)</f>
        <v>1.0820168794633196</v>
      </c>
      <c r="G549" t="str" cm="1">
        <f t="array" ref="G549">INDEX(T_Elementos[Divisa],MATCH(T_Saldo[[#This Row],[Producto]],T_Elementos[Producto],0),0)</f>
        <v>USD</v>
      </c>
      <c r="H5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49" t="str">
        <f>T_Saldo[[#This Row],[Producto]] &amp; "-" &amp; DATE(YEAR(T_Saldo[[#This Row],[Fecha]]),MONTH(T_Saldo[[#This Row],[Fecha]]),DAY(T_Saldo[[#This Row],[Fecha]]))</f>
        <v>MSFT-45322</v>
      </c>
    </row>
    <row r="550" spans="1:10" x14ac:dyDescent="0.45">
      <c r="A550" s="15">
        <v>45322</v>
      </c>
      <c r="B550" t="s">
        <v>51</v>
      </c>
      <c r="C550">
        <f>T_Saldo[[#This Row],[Valor liquidativo]]*T_Saldo[[#This Row],[Participaciones]]</f>
        <v>16580.148000000001</v>
      </c>
      <c r="D550" s="11">
        <f>T_Saldo[[#This Row],[Valor liquidativo (Moneda Extranjera)]]/T_Saldo[[#This Row],[Cambio]]</f>
        <v>82.900739999999999</v>
      </c>
      <c r="E550" s="13">
        <f>IF(ISERROR(MATCH(T_Saldo[[#This Row],[Producto]],T_Stocks[Ticker],0)),1,INDEX(T_Stocks[Close],MATCH(T_Saldo[[#This Row],[ID - Product - Fecha]],T_Stocks[ID],1),1))</f>
        <v>89.7</v>
      </c>
      <c r="F550" cm="1">
        <f t="array" ref="F550">IF(T_Saldo[[#This Row],[Divisa]]="USD",INDEX(T_USD_EUR[EURUSD],MATCH(T_Saldo[[#This Row],[Fecha]],T_USD_EUR[Fecha],1),0),1)</f>
        <v>1.0820168794633196</v>
      </c>
      <c r="G550" t="str" cm="1">
        <f t="array" ref="G550">INDEX(T_Elementos[Divisa],MATCH(T_Saldo[[#This Row],[Producto]],T_Elementos[Producto],0),0)</f>
        <v>USD</v>
      </c>
      <c r="H5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50" t="str">
        <f>T_Saldo[[#This Row],[Producto]] &amp; "-" &amp; DATE(YEAR(T_Saldo[[#This Row],[Fecha]]),MONTH(T_Saldo[[#This Row],[Fecha]]),DAY(T_Saldo[[#This Row],[Fecha]]))</f>
        <v>PRHSX-45322</v>
      </c>
    </row>
    <row r="551" spans="1:10" x14ac:dyDescent="0.45">
      <c r="A551" s="15">
        <v>45322</v>
      </c>
      <c r="B551" t="s">
        <v>32</v>
      </c>
      <c r="C551">
        <f>T_Saldo[[#This Row],[Valor liquidativo]]*T_Saldo[[#This Row],[Participaciones]]</f>
        <v>10792.8076</v>
      </c>
      <c r="D551" s="11">
        <f>T_Saldo[[#This Row],[Valor liquidativo (Moneda Extranjera)]]/T_Saldo[[#This Row],[Cambio]]</f>
        <v>107.928076</v>
      </c>
      <c r="E551" s="13">
        <f>IF(ISERROR(MATCH(T_Saldo[[#This Row],[Producto]],T_Stocks[Ticker],0)),1,INDEX(T_Stocks[Close],MATCH(T_Saldo[[#This Row],[ID - Product - Fecha]],T_Stocks[ID],1),1))</f>
        <v>116.78</v>
      </c>
      <c r="F551" cm="1">
        <f t="array" ref="F551">IF(T_Saldo[[#This Row],[Divisa]]="USD",INDEX(T_USD_EUR[EURUSD],MATCH(T_Saldo[[#This Row],[Fecha]],T_USD_EUR[Fecha],1),0),1)</f>
        <v>1.0820168794633196</v>
      </c>
      <c r="G551" t="str" cm="1">
        <f t="array" ref="G551">INDEX(T_Elementos[Divisa],MATCH(T_Saldo[[#This Row],[Producto]],T_Elementos[Producto],0),0)</f>
        <v>USD</v>
      </c>
      <c r="H55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51" t="str">
        <f>T_Saldo[[#This Row],[Producto]] &amp; "-" &amp; DATE(YEAR(T_Saldo[[#This Row],[Fecha]]),MONTH(T_Saldo[[#This Row],[Fecha]]),DAY(T_Saldo[[#This Row],[Fecha]]))</f>
        <v>VTSAX-45322</v>
      </c>
    </row>
    <row r="552" spans="1:10" x14ac:dyDescent="0.45">
      <c r="A552" s="15">
        <v>45351</v>
      </c>
      <c r="B552" t="s">
        <v>38</v>
      </c>
      <c r="C552">
        <f>T_Saldo[[#This Row],[Valor liquidativo]]*T_Saldo[[#This Row],[Participaciones]]</f>
        <v>6689.9189999999999</v>
      </c>
      <c r="D552" s="11">
        <f>T_Saldo[[#This Row],[Valor liquidativo (Moneda Extranjera)]]/T_Saldo[[#This Row],[Cambio]]</f>
        <v>167.247975</v>
      </c>
      <c r="E552" s="13">
        <f>IF(ISERROR(MATCH(T_Saldo[[#This Row],[Producto]],T_Stocks[Ticker],0)),1,INDEX(T_Stocks[Close],MATCH(T_Saldo[[#This Row],[ID - Product - Fecha]],T_Stocks[ID],1),1))</f>
        <v>180.75</v>
      </c>
      <c r="F552" cm="1">
        <f t="array" ref="F552">IF(T_Saldo[[#This Row],[Divisa]]="USD",INDEX(T_USD_EUR[EURUSD],MATCH(T_Saldo[[#This Row],[Fecha]],T_USD_EUR[Fecha],1),0),1)</f>
        <v>1.0807305738679347</v>
      </c>
      <c r="G552" t="str" cm="1">
        <f t="array" ref="G552">INDEX(T_Elementos[Divisa],MATCH(T_Saldo[[#This Row],[Producto]],T_Elementos[Producto],0),0)</f>
        <v>USD</v>
      </c>
      <c r="H55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52" t="str">
        <f>T_Saldo[[#This Row],[Producto]] &amp; "-" &amp; DATE(YEAR(T_Saldo[[#This Row],[Fecha]]),MONTH(T_Saldo[[#This Row],[Fecha]]),DAY(T_Saldo[[#This Row],[Fecha]]))</f>
        <v>AAPL-45351</v>
      </c>
    </row>
    <row r="553" spans="1:10" x14ac:dyDescent="0.45">
      <c r="A553" s="15">
        <v>45351</v>
      </c>
      <c r="B553" t="s">
        <v>43</v>
      </c>
      <c r="C553">
        <f>T_Saldo[[#This Row],[Valor liquidativo]]*T_Saldo[[#This Row],[Participaciones]]</f>
        <v>6000</v>
      </c>
      <c r="D553" s="11">
        <f>T_Saldo[[#This Row],[Valor liquidativo (Moneda Extranjera)]]/T_Saldo[[#This Row],[Cambio]]</f>
        <v>2000</v>
      </c>
      <c r="E553" s="13">
        <f>IF(ISERROR(MATCH(T_Saldo[[#This Row],[Producto]],T_Stocks[Ticker],0)),1,INDEX(T_Stocks[Close],MATCH(T_Saldo[[#This Row],[ID - Product - Fecha]],T_Stocks[ID],1),1))</f>
        <v>2000</v>
      </c>
      <c r="F553" cm="1">
        <f t="array" ref="F553">IF(T_Saldo[[#This Row],[Divisa]]="USD",INDEX(T_USD_EUR[EURUSD],MATCH(T_Saldo[[#This Row],[Fecha]],T_USD_EUR[Fecha],1),0),1)</f>
        <v>1</v>
      </c>
      <c r="G553" t="str" cm="1">
        <f t="array" ref="G553">INDEX(T_Elementos[Divisa],MATCH(T_Saldo[[#This Row],[Producto]],T_Elementos[Producto],0),0)</f>
        <v>EUR</v>
      </c>
      <c r="H55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53" t="str">
        <f>T_Saldo[[#This Row],[Producto]] &amp; "-" &amp; DATE(YEAR(T_Saldo[[#This Row],[Fecha]]),MONTH(T_Saldo[[#This Row],[Fecha]]),DAY(T_Saldo[[#This Row],[Fecha]]))</f>
        <v>Bonos-45351</v>
      </c>
    </row>
    <row r="554" spans="1:10" x14ac:dyDescent="0.45">
      <c r="A554" s="15">
        <v>45351</v>
      </c>
      <c r="B554" t="s">
        <v>155</v>
      </c>
      <c r="C554">
        <f>T_Saldo[[#This Row],[Valor liquidativo]]*T_Saldo[[#This Row],[Participaciones]]</f>
        <v>14172.621112500001</v>
      </c>
      <c r="D554" s="11">
        <f>T_Saldo[[#This Row],[Valor liquidativo (Moneda Extranjera)]]/T_Saldo[[#This Row],[Cambio]]</f>
        <v>56690.484450000004</v>
      </c>
      <c r="E554" s="13">
        <f>IF(ISERROR(MATCH(T_Saldo[[#This Row],[Producto]],T_Stocks[Ticker],0)),1,INDEX(T_Stocks[Close],MATCH(T_Saldo[[#This Row],[ID - Product - Fecha]],T_Stocks[ID],1),1))</f>
        <v>56690.484450000004</v>
      </c>
      <c r="F554" cm="1">
        <f t="array" ref="F554">IF(T_Saldo[[#This Row],[Divisa]]="USD",INDEX(T_USD_EUR[EURUSD],MATCH(T_Saldo[[#This Row],[Fecha]],T_USD_EUR[Fecha],1),0),1)</f>
        <v>1</v>
      </c>
      <c r="G554" t="str" cm="1">
        <f t="array" ref="G554">INDEX(T_Elementos[Divisa],MATCH(T_Saldo[[#This Row],[Producto]],T_Elementos[Producto],0),0)</f>
        <v>EUR</v>
      </c>
      <c r="H55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54" t="str">
        <f>T_Saldo[[#This Row],[Producto]] &amp; "-" &amp; DATE(YEAR(T_Saldo[[#This Row],[Fecha]]),MONTH(T_Saldo[[#This Row],[Fecha]]),DAY(T_Saldo[[#This Row],[Fecha]]))</f>
        <v>BTCEUR-45351</v>
      </c>
    </row>
    <row r="555" spans="1:10" x14ac:dyDescent="0.45">
      <c r="A555" s="15">
        <v>45351</v>
      </c>
      <c r="B555" t="s">
        <v>46</v>
      </c>
      <c r="C555">
        <f>T_Saldo[[#This Row],[Valor liquidativo]]*T_Saldo[[#This Row],[Participaciones]]</f>
        <v>40878.209999999992</v>
      </c>
      <c r="D555" s="11">
        <f>T_Saldo[[#This Row],[Valor liquidativo (Moneda Extranjera)]]/T_Saldo[[#This Row],[Cambio]]</f>
        <v>1</v>
      </c>
      <c r="E555" s="13">
        <f>IF(ISERROR(MATCH(T_Saldo[[#This Row],[Producto]],T_Stocks[Ticker],0)),1,INDEX(T_Stocks[Close],MATCH(T_Saldo[[#This Row],[ID - Product - Fecha]],T_Stocks[ID],1),1))</f>
        <v>1</v>
      </c>
      <c r="F555" cm="1">
        <f t="array" ref="F555">IF(T_Saldo[[#This Row],[Divisa]]="USD",INDEX(T_USD_EUR[EURUSD],MATCH(T_Saldo[[#This Row],[Fecha]],T_USD_EUR[Fecha],1),0),1)</f>
        <v>1</v>
      </c>
      <c r="G555" t="str" cm="1">
        <f t="array" ref="G555">INDEX(T_Elementos[Divisa],MATCH(T_Saldo[[#This Row],[Producto]],T_Elementos[Producto],0),0)</f>
        <v>EUR</v>
      </c>
      <c r="H55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40878.209999999992</v>
      </c>
      <c r="J555" t="str">
        <f>T_Saldo[[#This Row],[Producto]] &amp; "-" &amp; DATE(YEAR(T_Saldo[[#This Row],[Fecha]]),MONTH(T_Saldo[[#This Row],[Fecha]]),DAY(T_Saldo[[#This Row],[Fecha]]))</f>
        <v>CA 1-45351</v>
      </c>
    </row>
    <row r="556" spans="1:10" x14ac:dyDescent="0.45">
      <c r="A556" s="15">
        <v>45351</v>
      </c>
      <c r="B556" t="s">
        <v>10</v>
      </c>
      <c r="C556">
        <f>T_Saldo[[#This Row],[Valor liquidativo]]*T_Saldo[[#This Row],[Participaciones]]</f>
        <v>23498.51</v>
      </c>
      <c r="D556" s="11">
        <f>T_Saldo[[#This Row],[Valor liquidativo (Moneda Extranjera)]]/T_Saldo[[#This Row],[Cambio]]</f>
        <v>1</v>
      </c>
      <c r="E556" s="13">
        <f>IF(ISERROR(MATCH(T_Saldo[[#This Row],[Producto]],T_Stocks[Ticker],0)),1,INDEX(T_Stocks[Close],MATCH(T_Saldo[[#This Row],[ID - Product - Fecha]],T_Stocks[ID],1),1))</f>
        <v>1</v>
      </c>
      <c r="F556" cm="1">
        <f t="array" ref="F556">IF(T_Saldo[[#This Row],[Divisa]]="USD",INDEX(T_USD_EUR[EURUSD],MATCH(T_Saldo[[#This Row],[Fecha]],T_USD_EUR[Fecha],1),0),1)</f>
        <v>1</v>
      </c>
      <c r="G556" t="str" cm="1">
        <f t="array" ref="G556">INDEX(T_Elementos[Divisa],MATCH(T_Saldo[[#This Row],[Producto]],T_Elementos[Producto],0),0)</f>
        <v>EUR</v>
      </c>
      <c r="H55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23498.51</v>
      </c>
      <c r="J556" t="str">
        <f>T_Saldo[[#This Row],[Producto]] &amp; "-" &amp; DATE(YEAR(T_Saldo[[#This Row],[Fecha]]),MONTH(T_Saldo[[#This Row],[Fecha]]),DAY(T_Saldo[[#This Row],[Fecha]]))</f>
        <v>CC 1-45351</v>
      </c>
    </row>
    <row r="557" spans="1:10" x14ac:dyDescent="0.45">
      <c r="A557" s="15">
        <v>45351</v>
      </c>
      <c r="B557" t="s">
        <v>49</v>
      </c>
      <c r="C557">
        <f>T_Saldo[[#This Row],[Valor liquidativo]]*T_Saldo[[#This Row],[Participaciones]]</f>
        <v>26195.850000000013</v>
      </c>
      <c r="D557" s="11">
        <f>T_Saldo[[#This Row],[Valor liquidativo (Moneda Extranjera)]]/T_Saldo[[#This Row],[Cambio]]</f>
        <v>1</v>
      </c>
      <c r="E557" s="13">
        <f>IF(ISERROR(MATCH(T_Saldo[[#This Row],[Producto]],T_Stocks[Ticker],0)),1,INDEX(T_Stocks[Close],MATCH(T_Saldo[[#This Row],[ID - Product - Fecha]],T_Stocks[ID],1),1))</f>
        <v>1</v>
      </c>
      <c r="F557" cm="1">
        <f t="array" ref="F557">IF(T_Saldo[[#This Row],[Divisa]]="USD",INDEX(T_USD_EUR[EURUSD],MATCH(T_Saldo[[#This Row],[Fecha]],T_USD_EUR[Fecha],1),0),1)</f>
        <v>1</v>
      </c>
      <c r="G557" t="str" cm="1">
        <f t="array" ref="G557">INDEX(T_Elementos[Divisa],MATCH(T_Saldo[[#This Row],[Producto]],T_Elementos[Producto],0),0)</f>
        <v>EUR</v>
      </c>
      <c r="H55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26195.850000000013</v>
      </c>
      <c r="J557" t="str">
        <f>T_Saldo[[#This Row],[Producto]] &amp; "-" &amp; DATE(YEAR(T_Saldo[[#This Row],[Fecha]]),MONTH(T_Saldo[[#This Row],[Fecha]]),DAY(T_Saldo[[#This Row],[Fecha]]))</f>
        <v>CC 2-45351</v>
      </c>
    </row>
    <row r="558" spans="1:10" x14ac:dyDescent="0.45">
      <c r="A558" s="15">
        <v>45351</v>
      </c>
      <c r="B558" t="s">
        <v>41</v>
      </c>
      <c r="C558">
        <f>T_Saldo[[#This Row],[Valor liquidativo]]*T_Saldo[[#This Row],[Participaciones]]</f>
        <v>3827.4109199999998</v>
      </c>
      <c r="D558" s="11">
        <f>T_Saldo[[#This Row],[Valor liquidativo (Moneda Extranjera)]]/T_Saldo[[#This Row],[Cambio]]</f>
        <v>382.74109199999998</v>
      </c>
      <c r="E558" s="13">
        <f>IF(ISERROR(MATCH(T_Saldo[[#This Row],[Producto]],T_Stocks[Ticker],0)),1,INDEX(T_Stocks[Close],MATCH(T_Saldo[[#This Row],[ID - Product - Fecha]],T_Stocks[ID],1),1))</f>
        <v>413.64</v>
      </c>
      <c r="F558" cm="1">
        <f t="array" ref="F558">IF(T_Saldo[[#This Row],[Divisa]]="USD",INDEX(T_USD_EUR[EURUSD],MATCH(T_Saldo[[#This Row],[Fecha]],T_USD_EUR[Fecha],1),0),1)</f>
        <v>1.0807305738679347</v>
      </c>
      <c r="G558" t="str" cm="1">
        <f t="array" ref="G558">INDEX(T_Elementos[Divisa],MATCH(T_Saldo[[#This Row],[Producto]],T_Elementos[Producto],0),0)</f>
        <v>USD</v>
      </c>
      <c r="H55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58" t="str">
        <f>T_Saldo[[#This Row],[Producto]] &amp; "-" &amp; DATE(YEAR(T_Saldo[[#This Row],[Fecha]]),MONTH(T_Saldo[[#This Row],[Fecha]]),DAY(T_Saldo[[#This Row],[Fecha]]))</f>
        <v>MSFT-45351</v>
      </c>
    </row>
    <row r="559" spans="1:10" x14ac:dyDescent="0.45">
      <c r="A559" s="15">
        <v>45351</v>
      </c>
      <c r="B559" t="s">
        <v>51</v>
      </c>
      <c r="C559">
        <f>T_Saldo[[#This Row],[Valor liquidativo]]*T_Saldo[[#This Row],[Participaciones]]</f>
        <v>17273.500400000001</v>
      </c>
      <c r="D559" s="11">
        <f>T_Saldo[[#This Row],[Valor liquidativo (Moneda Extranjera)]]/T_Saldo[[#This Row],[Cambio]]</f>
        <v>86.367502000000002</v>
      </c>
      <c r="E559" s="13">
        <f>IF(ISERROR(MATCH(T_Saldo[[#This Row],[Producto]],T_Stocks[Ticker],0)),1,INDEX(T_Stocks[Close],MATCH(T_Saldo[[#This Row],[ID - Product - Fecha]],T_Stocks[ID],1),1))</f>
        <v>93.34</v>
      </c>
      <c r="F559" cm="1">
        <f t="array" ref="F559">IF(T_Saldo[[#This Row],[Divisa]]="USD",INDEX(T_USD_EUR[EURUSD],MATCH(T_Saldo[[#This Row],[Fecha]],T_USD_EUR[Fecha],1),0),1)</f>
        <v>1.0807305738679347</v>
      </c>
      <c r="G559" t="str" cm="1">
        <f t="array" ref="G559">INDEX(T_Elementos[Divisa],MATCH(T_Saldo[[#This Row],[Producto]],T_Elementos[Producto],0),0)</f>
        <v>USD</v>
      </c>
      <c r="H55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59" t="str">
        <f>T_Saldo[[#This Row],[Producto]] &amp; "-" &amp; DATE(YEAR(T_Saldo[[#This Row],[Fecha]]),MONTH(T_Saldo[[#This Row],[Fecha]]),DAY(T_Saldo[[#This Row],[Fecha]]))</f>
        <v>PRHSX-45351</v>
      </c>
    </row>
    <row r="560" spans="1:10" x14ac:dyDescent="0.45">
      <c r="A560" s="15">
        <v>45351</v>
      </c>
      <c r="B560" t="s">
        <v>32</v>
      </c>
      <c r="C560">
        <f>T_Saldo[[#This Row],[Valor liquidativo]]*T_Saldo[[#This Row],[Participaciones]]</f>
        <v>11389.5177</v>
      </c>
      <c r="D560" s="11">
        <f>T_Saldo[[#This Row],[Valor liquidativo (Moneda Extranjera)]]/T_Saldo[[#This Row],[Cambio]]</f>
        <v>113.895177</v>
      </c>
      <c r="E560" s="13">
        <f>IF(ISERROR(MATCH(T_Saldo[[#This Row],[Producto]],T_Stocks[Ticker],0)),1,INDEX(T_Stocks[Close],MATCH(T_Saldo[[#This Row],[ID - Product - Fecha]],T_Stocks[ID],1),1))</f>
        <v>123.09</v>
      </c>
      <c r="F560" cm="1">
        <f t="array" ref="F560">IF(T_Saldo[[#This Row],[Divisa]]="USD",INDEX(T_USD_EUR[EURUSD],MATCH(T_Saldo[[#This Row],[Fecha]],T_USD_EUR[Fecha],1),0),1)</f>
        <v>1.0807305738679347</v>
      </c>
      <c r="G560" t="str" cm="1">
        <f t="array" ref="G560">INDEX(T_Elementos[Divisa],MATCH(T_Saldo[[#This Row],[Producto]],T_Elementos[Producto],0),0)</f>
        <v>USD</v>
      </c>
      <c r="H56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60" t="str">
        <f>T_Saldo[[#This Row],[Producto]] &amp; "-" &amp; DATE(YEAR(T_Saldo[[#This Row],[Fecha]]),MONTH(T_Saldo[[#This Row],[Fecha]]),DAY(T_Saldo[[#This Row],[Fecha]]))</f>
        <v>VTSAX-45351</v>
      </c>
    </row>
    <row r="561" spans="1:10" x14ac:dyDescent="0.45">
      <c r="A561" s="15">
        <v>45382</v>
      </c>
      <c r="B561" t="s">
        <v>38</v>
      </c>
      <c r="C561">
        <f>T_Saldo[[#This Row],[Valor liquidativo]]*T_Saldo[[#This Row],[Participaciones]]</f>
        <v>6354.3628799999997</v>
      </c>
      <c r="D561" s="11">
        <f>T_Saldo[[#This Row],[Valor liquidativo (Moneda Extranjera)]]/T_Saldo[[#This Row],[Cambio]]</f>
        <v>158.859072</v>
      </c>
      <c r="E561" s="13">
        <f>IF(ISERROR(MATCH(T_Saldo[[#This Row],[Producto]],T_Stocks[Ticker],0)),1,INDEX(T_Stocks[Close],MATCH(T_Saldo[[#This Row],[ID - Product - Fecha]],T_Stocks[ID],1),1))</f>
        <v>171.48</v>
      </c>
      <c r="F561" cm="1">
        <f t="array" ref="F561">IF(T_Saldo[[#This Row],[Divisa]]="USD",INDEX(T_USD_EUR[EURUSD],MATCH(T_Saldo[[#This Row],[Fecha]],T_USD_EUR[Fecha],1),0),1)</f>
        <v>1.0794473229706389</v>
      </c>
      <c r="G561" t="str" cm="1">
        <f t="array" ref="G561">INDEX(T_Elementos[Divisa],MATCH(T_Saldo[[#This Row],[Producto]],T_Elementos[Producto],0),0)</f>
        <v>USD</v>
      </c>
      <c r="H56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61" t="str">
        <f>T_Saldo[[#This Row],[Producto]] &amp; "-" &amp; DATE(YEAR(T_Saldo[[#This Row],[Fecha]]),MONTH(T_Saldo[[#This Row],[Fecha]]),DAY(T_Saldo[[#This Row],[Fecha]]))</f>
        <v>AAPL-45382</v>
      </c>
    </row>
    <row r="562" spans="1:10" x14ac:dyDescent="0.45">
      <c r="A562" s="15">
        <v>45382</v>
      </c>
      <c r="B562" t="s">
        <v>43</v>
      </c>
      <c r="C562">
        <f>T_Saldo[[#This Row],[Valor liquidativo]]*T_Saldo[[#This Row],[Participaciones]]</f>
        <v>6000</v>
      </c>
      <c r="D562" s="11">
        <f>T_Saldo[[#This Row],[Valor liquidativo (Moneda Extranjera)]]/T_Saldo[[#This Row],[Cambio]]</f>
        <v>2000</v>
      </c>
      <c r="E562" s="13">
        <f>IF(ISERROR(MATCH(T_Saldo[[#This Row],[Producto]],T_Stocks[Ticker],0)),1,INDEX(T_Stocks[Close],MATCH(T_Saldo[[#This Row],[ID - Product - Fecha]],T_Stocks[ID],1),1))</f>
        <v>2000</v>
      </c>
      <c r="F562" cm="1">
        <f t="array" ref="F562">IF(T_Saldo[[#This Row],[Divisa]]="USD",INDEX(T_USD_EUR[EURUSD],MATCH(T_Saldo[[#This Row],[Fecha]],T_USD_EUR[Fecha],1),0),1)</f>
        <v>1</v>
      </c>
      <c r="G562" t="str" cm="1">
        <f t="array" ref="G562">INDEX(T_Elementos[Divisa],MATCH(T_Saldo[[#This Row],[Producto]],T_Elementos[Producto],0),0)</f>
        <v>EUR</v>
      </c>
      <c r="H56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62" t="str">
        <f>T_Saldo[[#This Row],[Producto]] &amp; "-" &amp; DATE(YEAR(T_Saldo[[#This Row],[Fecha]]),MONTH(T_Saldo[[#This Row],[Fecha]]),DAY(T_Saldo[[#This Row],[Fecha]]))</f>
        <v>Bonos-45382</v>
      </c>
    </row>
    <row r="563" spans="1:10" x14ac:dyDescent="0.45">
      <c r="A563" s="15">
        <v>45382</v>
      </c>
      <c r="B563" t="s">
        <v>155</v>
      </c>
      <c r="C563">
        <f>T_Saldo[[#This Row],[Valor liquidativo]]*T_Saldo[[#This Row],[Participaciones]]</f>
        <v>16525.415349999999</v>
      </c>
      <c r="D563" s="11">
        <f>T_Saldo[[#This Row],[Valor liquidativo (Moneda Extranjera)]]/T_Saldo[[#This Row],[Cambio]]</f>
        <v>66101.661399999997</v>
      </c>
      <c r="E563" s="13">
        <f>IF(ISERROR(MATCH(T_Saldo[[#This Row],[Producto]],T_Stocks[Ticker],0)),1,INDEX(T_Stocks[Close],MATCH(T_Saldo[[#This Row],[ID - Product - Fecha]],T_Stocks[ID],1),1))</f>
        <v>66101.661399999997</v>
      </c>
      <c r="F563" cm="1">
        <f t="array" ref="F563">IF(T_Saldo[[#This Row],[Divisa]]="USD",INDEX(T_USD_EUR[EURUSD],MATCH(T_Saldo[[#This Row],[Fecha]],T_USD_EUR[Fecha],1),0),1)</f>
        <v>1</v>
      </c>
      <c r="G563" t="str" cm="1">
        <f t="array" ref="G563">INDEX(T_Elementos[Divisa],MATCH(T_Saldo[[#This Row],[Producto]],T_Elementos[Producto],0),0)</f>
        <v>EUR</v>
      </c>
      <c r="H56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63" t="str">
        <f>T_Saldo[[#This Row],[Producto]] &amp; "-" &amp; DATE(YEAR(T_Saldo[[#This Row],[Fecha]]),MONTH(T_Saldo[[#This Row],[Fecha]]),DAY(T_Saldo[[#This Row],[Fecha]]))</f>
        <v>BTCEUR-45382</v>
      </c>
    </row>
    <row r="564" spans="1:10" x14ac:dyDescent="0.45">
      <c r="A564" s="15">
        <v>45382</v>
      </c>
      <c r="B564" t="s">
        <v>46</v>
      </c>
      <c r="C564">
        <f>T_Saldo[[#This Row],[Valor liquidativo]]*T_Saldo[[#This Row],[Participaciones]]</f>
        <v>42817.27</v>
      </c>
      <c r="D564" s="11">
        <f>T_Saldo[[#This Row],[Valor liquidativo (Moneda Extranjera)]]/T_Saldo[[#This Row],[Cambio]]</f>
        <v>1</v>
      </c>
      <c r="E564" s="13">
        <f>IF(ISERROR(MATCH(T_Saldo[[#This Row],[Producto]],T_Stocks[Ticker],0)),1,INDEX(T_Stocks[Close],MATCH(T_Saldo[[#This Row],[ID - Product - Fecha]],T_Stocks[ID],1),1))</f>
        <v>1</v>
      </c>
      <c r="F564" cm="1">
        <f t="array" ref="F564">IF(T_Saldo[[#This Row],[Divisa]]="USD",INDEX(T_USD_EUR[EURUSD],MATCH(T_Saldo[[#This Row],[Fecha]],T_USD_EUR[Fecha],1),0),1)</f>
        <v>1</v>
      </c>
      <c r="G564" t="str" cm="1">
        <f t="array" ref="G564">INDEX(T_Elementos[Divisa],MATCH(T_Saldo[[#This Row],[Producto]],T_Elementos[Producto],0),0)</f>
        <v>EUR</v>
      </c>
      <c r="H56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42817.27</v>
      </c>
      <c r="J564" t="str">
        <f>T_Saldo[[#This Row],[Producto]] &amp; "-" &amp; DATE(YEAR(T_Saldo[[#This Row],[Fecha]]),MONTH(T_Saldo[[#This Row],[Fecha]]),DAY(T_Saldo[[#This Row],[Fecha]]))</f>
        <v>CA 1-45382</v>
      </c>
    </row>
    <row r="565" spans="1:10" x14ac:dyDescent="0.45">
      <c r="A565" s="15">
        <v>45382</v>
      </c>
      <c r="B565" t="s">
        <v>10</v>
      </c>
      <c r="C565">
        <f>T_Saldo[[#This Row],[Valor liquidativo]]*T_Saldo[[#This Row],[Participaciones]]</f>
        <v>23498.51</v>
      </c>
      <c r="D565" s="11">
        <f>T_Saldo[[#This Row],[Valor liquidativo (Moneda Extranjera)]]/T_Saldo[[#This Row],[Cambio]]</f>
        <v>1</v>
      </c>
      <c r="E565" s="13">
        <f>IF(ISERROR(MATCH(T_Saldo[[#This Row],[Producto]],T_Stocks[Ticker],0)),1,INDEX(T_Stocks[Close],MATCH(T_Saldo[[#This Row],[ID - Product - Fecha]],T_Stocks[ID],1),1))</f>
        <v>1</v>
      </c>
      <c r="F565" cm="1">
        <f t="array" ref="F565">IF(T_Saldo[[#This Row],[Divisa]]="USD",INDEX(T_USD_EUR[EURUSD],MATCH(T_Saldo[[#This Row],[Fecha]],T_USD_EUR[Fecha],1),0),1)</f>
        <v>1</v>
      </c>
      <c r="G565" t="str" cm="1">
        <f t="array" ref="G565">INDEX(T_Elementos[Divisa],MATCH(T_Saldo[[#This Row],[Producto]],T_Elementos[Producto],0),0)</f>
        <v>EUR</v>
      </c>
      <c r="H56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23498.51</v>
      </c>
      <c r="J565" t="str">
        <f>T_Saldo[[#This Row],[Producto]] &amp; "-" &amp; DATE(YEAR(T_Saldo[[#This Row],[Fecha]]),MONTH(T_Saldo[[#This Row],[Fecha]]),DAY(T_Saldo[[#This Row],[Fecha]]))</f>
        <v>CC 1-45382</v>
      </c>
    </row>
    <row r="566" spans="1:10" x14ac:dyDescent="0.45">
      <c r="A566" s="15">
        <v>45382</v>
      </c>
      <c r="B566" t="s">
        <v>49</v>
      </c>
      <c r="C566">
        <f>T_Saldo[[#This Row],[Valor liquidativo]]*T_Saldo[[#This Row],[Participaciones]]</f>
        <v>25720.900000000012</v>
      </c>
      <c r="D566" s="11">
        <f>T_Saldo[[#This Row],[Valor liquidativo (Moneda Extranjera)]]/T_Saldo[[#This Row],[Cambio]]</f>
        <v>1</v>
      </c>
      <c r="E566" s="13">
        <f>IF(ISERROR(MATCH(T_Saldo[[#This Row],[Producto]],T_Stocks[Ticker],0)),1,INDEX(T_Stocks[Close],MATCH(T_Saldo[[#This Row],[ID - Product - Fecha]],T_Stocks[ID],1),1))</f>
        <v>1</v>
      </c>
      <c r="F566" cm="1">
        <f t="array" ref="F566">IF(T_Saldo[[#This Row],[Divisa]]="USD",INDEX(T_USD_EUR[EURUSD],MATCH(T_Saldo[[#This Row],[Fecha]],T_USD_EUR[Fecha],1),0),1)</f>
        <v>1</v>
      </c>
      <c r="G566" t="str" cm="1">
        <f t="array" ref="G566">INDEX(T_Elementos[Divisa],MATCH(T_Saldo[[#This Row],[Producto]],T_Elementos[Producto],0),0)</f>
        <v>EUR</v>
      </c>
      <c r="H56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25720.900000000012</v>
      </c>
      <c r="J566" t="str">
        <f>T_Saldo[[#This Row],[Producto]] &amp; "-" &amp; DATE(YEAR(T_Saldo[[#This Row],[Fecha]]),MONTH(T_Saldo[[#This Row],[Fecha]]),DAY(T_Saldo[[#This Row],[Fecha]]))</f>
        <v>CC 2-45382</v>
      </c>
    </row>
    <row r="567" spans="1:10" x14ac:dyDescent="0.45">
      <c r="A567" s="15">
        <v>45382</v>
      </c>
      <c r="B567" t="s">
        <v>41</v>
      </c>
      <c r="C567">
        <f>T_Saldo[[#This Row],[Valor liquidativo]]*T_Saldo[[#This Row],[Participaciones]]</f>
        <v>3897.5500800000004</v>
      </c>
      <c r="D567" s="11">
        <f>T_Saldo[[#This Row],[Valor liquidativo (Moneda Extranjera)]]/T_Saldo[[#This Row],[Cambio]]</f>
        <v>389.75500800000003</v>
      </c>
      <c r="E567" s="13">
        <f>IF(ISERROR(MATCH(T_Saldo[[#This Row],[Producto]],T_Stocks[Ticker],0)),1,INDEX(T_Stocks[Close],MATCH(T_Saldo[[#This Row],[ID - Product - Fecha]],T_Stocks[ID],1),1))</f>
        <v>420.72</v>
      </c>
      <c r="F567" cm="1">
        <f t="array" ref="F567">IF(T_Saldo[[#This Row],[Divisa]]="USD",INDEX(T_USD_EUR[EURUSD],MATCH(T_Saldo[[#This Row],[Fecha]],T_USD_EUR[Fecha],1),0),1)</f>
        <v>1.0794473229706389</v>
      </c>
      <c r="G567" t="str" cm="1">
        <f t="array" ref="G567">INDEX(T_Elementos[Divisa],MATCH(T_Saldo[[#This Row],[Producto]],T_Elementos[Producto],0),0)</f>
        <v>USD</v>
      </c>
      <c r="H56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67" t="str">
        <f>T_Saldo[[#This Row],[Producto]] &amp; "-" &amp; DATE(YEAR(T_Saldo[[#This Row],[Fecha]]),MONTH(T_Saldo[[#This Row],[Fecha]]),DAY(T_Saldo[[#This Row],[Fecha]]))</f>
        <v>MSFT-45382</v>
      </c>
    </row>
    <row r="568" spans="1:10" x14ac:dyDescent="0.45">
      <c r="A568" s="15">
        <v>45382</v>
      </c>
      <c r="B568" t="s">
        <v>51</v>
      </c>
      <c r="C568">
        <f>T_Saldo[[#This Row],[Valor liquidativo]]*T_Saldo[[#This Row],[Participaciones]]</f>
        <v>17581.2192</v>
      </c>
      <c r="D568" s="11">
        <f>T_Saldo[[#This Row],[Valor liquidativo (Moneda Extranjera)]]/T_Saldo[[#This Row],[Cambio]]</f>
        <v>87.906096000000005</v>
      </c>
      <c r="E568" s="13">
        <f>IF(ISERROR(MATCH(T_Saldo[[#This Row],[Producto]],T_Stocks[Ticker],0)),1,INDEX(T_Stocks[Close],MATCH(T_Saldo[[#This Row],[ID - Product - Fecha]],T_Stocks[ID],1),1))</f>
        <v>94.89</v>
      </c>
      <c r="F568" cm="1">
        <f t="array" ref="F568">IF(T_Saldo[[#This Row],[Divisa]]="USD",INDEX(T_USD_EUR[EURUSD],MATCH(T_Saldo[[#This Row],[Fecha]],T_USD_EUR[Fecha],1),0),1)</f>
        <v>1.0794473229706389</v>
      </c>
      <c r="G568" t="str" cm="1">
        <f t="array" ref="G568">INDEX(T_Elementos[Divisa],MATCH(T_Saldo[[#This Row],[Producto]],T_Elementos[Producto],0),0)</f>
        <v>USD</v>
      </c>
      <c r="H56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68" t="str">
        <f>T_Saldo[[#This Row],[Producto]] &amp; "-" &amp; DATE(YEAR(T_Saldo[[#This Row],[Fecha]]),MONTH(T_Saldo[[#This Row],[Fecha]]),DAY(T_Saldo[[#This Row],[Fecha]]))</f>
        <v>PRHSX-45382</v>
      </c>
    </row>
    <row r="569" spans="1:10" x14ac:dyDescent="0.45">
      <c r="A569" s="15">
        <v>45382</v>
      </c>
      <c r="B569" t="s">
        <v>32</v>
      </c>
      <c r="C569">
        <f>T_Saldo[[#This Row],[Valor liquidativo]]*T_Saldo[[#This Row],[Participaciones]]</f>
        <v>11728.224</v>
      </c>
      <c r="D569" s="11">
        <f>T_Saldo[[#This Row],[Valor liquidativo (Moneda Extranjera)]]/T_Saldo[[#This Row],[Cambio]]</f>
        <v>117.28224</v>
      </c>
      <c r="E569" s="13">
        <f>IF(ISERROR(MATCH(T_Saldo[[#This Row],[Producto]],T_Stocks[Ticker],0)),1,INDEX(T_Stocks[Close],MATCH(T_Saldo[[#This Row],[ID - Product - Fecha]],T_Stocks[ID],1),1))</f>
        <v>126.6</v>
      </c>
      <c r="F569" cm="1">
        <f t="array" ref="F569">IF(T_Saldo[[#This Row],[Divisa]]="USD",INDEX(T_USD_EUR[EURUSD],MATCH(T_Saldo[[#This Row],[Fecha]],T_USD_EUR[Fecha],1),0),1)</f>
        <v>1.0794473229706389</v>
      </c>
      <c r="G569" t="str" cm="1">
        <f t="array" ref="G569">INDEX(T_Elementos[Divisa],MATCH(T_Saldo[[#This Row],[Producto]],T_Elementos[Producto],0),0)</f>
        <v>USD</v>
      </c>
      <c r="H56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69" t="str">
        <f>T_Saldo[[#This Row],[Producto]] &amp; "-" &amp; DATE(YEAR(T_Saldo[[#This Row],[Fecha]]),MONTH(T_Saldo[[#This Row],[Fecha]]),DAY(T_Saldo[[#This Row],[Fecha]]))</f>
        <v>VTSAX-45382</v>
      </c>
    </row>
    <row r="570" spans="1:10" x14ac:dyDescent="0.45">
      <c r="A570" s="15">
        <v>45412</v>
      </c>
      <c r="B570" t="s">
        <v>38</v>
      </c>
      <c r="C570">
        <f>T_Saldo[[#This Row],[Valor liquidativo]]*T_Saldo[[#This Row],[Participaciones]]</f>
        <v>6386.6936800000003</v>
      </c>
      <c r="D570" s="11">
        <f>T_Saldo[[#This Row],[Valor liquidativo (Moneda Extranjera)]]/T_Saldo[[#This Row],[Cambio]]</f>
        <v>159.66734200000002</v>
      </c>
      <c r="E570" s="13">
        <f>IF(ISERROR(MATCH(T_Saldo[[#This Row],[Producto]],T_Stocks[Ticker],0)),1,INDEX(T_Stocks[Close],MATCH(T_Saldo[[#This Row],[ID - Product - Fecha]],T_Stocks[ID],1),1))</f>
        <v>170.33</v>
      </c>
      <c r="F570" cm="1">
        <f t="array" ref="F570">IF(T_Saldo[[#This Row],[Divisa]]="USD",INDEX(T_USD_EUR[EURUSD],MATCH(T_Saldo[[#This Row],[Fecha]],T_USD_EUR[Fecha],1),0),1)</f>
        <v>1.0667804565820354</v>
      </c>
      <c r="G570" t="str" cm="1">
        <f t="array" ref="G570">INDEX(T_Elementos[Divisa],MATCH(T_Saldo[[#This Row],[Producto]],T_Elementos[Producto],0),0)</f>
        <v>USD</v>
      </c>
      <c r="H57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70" t="str">
        <f>T_Saldo[[#This Row],[Producto]] &amp; "-" &amp; DATE(YEAR(T_Saldo[[#This Row],[Fecha]]),MONTH(T_Saldo[[#This Row],[Fecha]]),DAY(T_Saldo[[#This Row],[Fecha]]))</f>
        <v>AAPL-45412</v>
      </c>
    </row>
    <row r="571" spans="1:10" x14ac:dyDescent="0.45">
      <c r="A571" s="15">
        <v>45412</v>
      </c>
      <c r="B571" t="s">
        <v>43</v>
      </c>
      <c r="C571">
        <f>T_Saldo[[#This Row],[Valor liquidativo]]*T_Saldo[[#This Row],[Participaciones]]</f>
        <v>6000</v>
      </c>
      <c r="D571" s="11">
        <f>T_Saldo[[#This Row],[Valor liquidativo (Moneda Extranjera)]]/T_Saldo[[#This Row],[Cambio]]</f>
        <v>2000</v>
      </c>
      <c r="E571" s="13">
        <f>IF(ISERROR(MATCH(T_Saldo[[#This Row],[Producto]],T_Stocks[Ticker],0)),1,INDEX(T_Stocks[Close],MATCH(T_Saldo[[#This Row],[ID - Product - Fecha]],T_Stocks[ID],1),1))</f>
        <v>2000</v>
      </c>
      <c r="F571" cm="1">
        <f t="array" ref="F571">IF(T_Saldo[[#This Row],[Divisa]]="USD",INDEX(T_USD_EUR[EURUSD],MATCH(T_Saldo[[#This Row],[Fecha]],T_USD_EUR[Fecha],1),0),1)</f>
        <v>1</v>
      </c>
      <c r="G571" t="str" cm="1">
        <f t="array" ref="G571">INDEX(T_Elementos[Divisa],MATCH(T_Saldo[[#This Row],[Producto]],T_Elementos[Producto],0),0)</f>
        <v>EUR</v>
      </c>
      <c r="H57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71" t="str">
        <f>T_Saldo[[#This Row],[Producto]] &amp; "-" &amp; DATE(YEAR(T_Saldo[[#This Row],[Fecha]]),MONTH(T_Saldo[[#This Row],[Fecha]]),DAY(T_Saldo[[#This Row],[Fecha]]))</f>
        <v>Bonos-45412</v>
      </c>
    </row>
    <row r="572" spans="1:10" x14ac:dyDescent="0.45">
      <c r="A572" s="15">
        <v>45412</v>
      </c>
      <c r="B572" t="s">
        <v>155</v>
      </c>
      <c r="C572">
        <f>T_Saldo[[#This Row],[Valor liquidativo]]*T_Saldo[[#This Row],[Participaciones]]</f>
        <v>14238.819847500001</v>
      </c>
      <c r="D572" s="11">
        <f>T_Saldo[[#This Row],[Valor liquidativo (Moneda Extranjera)]]/T_Saldo[[#This Row],[Cambio]]</f>
        <v>56955.279390000003</v>
      </c>
      <c r="E572" s="13">
        <f>IF(ISERROR(MATCH(T_Saldo[[#This Row],[Producto]],T_Stocks[Ticker],0)),1,INDEX(T_Stocks[Close],MATCH(T_Saldo[[#This Row],[ID - Product - Fecha]],T_Stocks[ID],1),1))</f>
        <v>56955.279390000003</v>
      </c>
      <c r="F572" cm="1">
        <f t="array" ref="F572">IF(T_Saldo[[#This Row],[Divisa]]="USD",INDEX(T_USD_EUR[EURUSD],MATCH(T_Saldo[[#This Row],[Fecha]],T_USD_EUR[Fecha],1),0),1)</f>
        <v>1</v>
      </c>
      <c r="G572" t="str" cm="1">
        <f t="array" ref="G572">INDEX(T_Elementos[Divisa],MATCH(T_Saldo[[#This Row],[Producto]],T_Elementos[Producto],0),0)</f>
        <v>EUR</v>
      </c>
      <c r="H57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72" t="str">
        <f>T_Saldo[[#This Row],[Producto]] &amp; "-" &amp; DATE(YEAR(T_Saldo[[#This Row],[Fecha]]),MONTH(T_Saldo[[#This Row],[Fecha]]),DAY(T_Saldo[[#This Row],[Fecha]]))</f>
        <v>BTCEUR-45412</v>
      </c>
    </row>
    <row r="573" spans="1:10" x14ac:dyDescent="0.45">
      <c r="A573" s="15">
        <v>45412</v>
      </c>
      <c r="B573" t="s">
        <v>46</v>
      </c>
      <c r="C573">
        <f>T_Saldo[[#This Row],[Valor liquidativo]]*T_Saldo[[#This Row],[Participaciones]]</f>
        <v>42392.539999999994</v>
      </c>
      <c r="D573" s="11">
        <f>T_Saldo[[#This Row],[Valor liquidativo (Moneda Extranjera)]]/T_Saldo[[#This Row],[Cambio]]</f>
        <v>1</v>
      </c>
      <c r="E573" s="13">
        <f>IF(ISERROR(MATCH(T_Saldo[[#This Row],[Producto]],T_Stocks[Ticker],0)),1,INDEX(T_Stocks[Close],MATCH(T_Saldo[[#This Row],[ID - Product - Fecha]],T_Stocks[ID],1),1))</f>
        <v>1</v>
      </c>
      <c r="F573" cm="1">
        <f t="array" ref="F573">IF(T_Saldo[[#This Row],[Divisa]]="USD",INDEX(T_USD_EUR[EURUSD],MATCH(T_Saldo[[#This Row],[Fecha]],T_USD_EUR[Fecha],1),0),1)</f>
        <v>1</v>
      </c>
      <c r="G573" t="str" cm="1">
        <f t="array" ref="G573">INDEX(T_Elementos[Divisa],MATCH(T_Saldo[[#This Row],[Producto]],T_Elementos[Producto],0),0)</f>
        <v>EUR</v>
      </c>
      <c r="H57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42392.539999999994</v>
      </c>
      <c r="J573" t="str">
        <f>T_Saldo[[#This Row],[Producto]] &amp; "-" &amp; DATE(YEAR(T_Saldo[[#This Row],[Fecha]]),MONTH(T_Saldo[[#This Row],[Fecha]]),DAY(T_Saldo[[#This Row],[Fecha]]))</f>
        <v>CA 1-45412</v>
      </c>
    </row>
    <row r="574" spans="1:10" x14ac:dyDescent="0.45">
      <c r="A574" s="15">
        <v>45412</v>
      </c>
      <c r="B574" t="s">
        <v>10</v>
      </c>
      <c r="C574">
        <f>T_Saldo[[#This Row],[Valor liquidativo]]*T_Saldo[[#This Row],[Participaciones]]</f>
        <v>23126.769999999997</v>
      </c>
      <c r="D574" s="11">
        <f>T_Saldo[[#This Row],[Valor liquidativo (Moneda Extranjera)]]/T_Saldo[[#This Row],[Cambio]]</f>
        <v>1</v>
      </c>
      <c r="E574" s="13">
        <f>IF(ISERROR(MATCH(T_Saldo[[#This Row],[Producto]],T_Stocks[Ticker],0)),1,INDEX(T_Stocks[Close],MATCH(T_Saldo[[#This Row],[ID - Product - Fecha]],T_Stocks[ID],1),1))</f>
        <v>1</v>
      </c>
      <c r="F574" cm="1">
        <f t="array" ref="F574">IF(T_Saldo[[#This Row],[Divisa]]="USD",INDEX(T_USD_EUR[EURUSD],MATCH(T_Saldo[[#This Row],[Fecha]],T_USD_EUR[Fecha],1),0),1)</f>
        <v>1</v>
      </c>
      <c r="G574" t="str" cm="1">
        <f t="array" ref="G574">INDEX(T_Elementos[Divisa],MATCH(T_Saldo[[#This Row],[Producto]],T_Elementos[Producto],0),0)</f>
        <v>EUR</v>
      </c>
      <c r="H57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23126.769999999997</v>
      </c>
      <c r="J574" t="str">
        <f>T_Saldo[[#This Row],[Producto]] &amp; "-" &amp; DATE(YEAR(T_Saldo[[#This Row],[Fecha]]),MONTH(T_Saldo[[#This Row],[Fecha]]),DAY(T_Saldo[[#This Row],[Fecha]]))</f>
        <v>CC 1-45412</v>
      </c>
    </row>
    <row r="575" spans="1:10" x14ac:dyDescent="0.45">
      <c r="A575" s="15">
        <v>45412</v>
      </c>
      <c r="B575" t="s">
        <v>49</v>
      </c>
      <c r="C575">
        <f>T_Saldo[[#This Row],[Valor liquidativo]]*T_Saldo[[#This Row],[Participaciones]]</f>
        <v>25556.840000000011</v>
      </c>
      <c r="D575" s="11">
        <f>T_Saldo[[#This Row],[Valor liquidativo (Moneda Extranjera)]]/T_Saldo[[#This Row],[Cambio]]</f>
        <v>1</v>
      </c>
      <c r="E575" s="13">
        <f>IF(ISERROR(MATCH(T_Saldo[[#This Row],[Producto]],T_Stocks[Ticker],0)),1,INDEX(T_Stocks[Close],MATCH(T_Saldo[[#This Row],[ID - Product - Fecha]],T_Stocks[ID],1),1))</f>
        <v>1</v>
      </c>
      <c r="F575" cm="1">
        <f t="array" ref="F575">IF(T_Saldo[[#This Row],[Divisa]]="USD",INDEX(T_USD_EUR[EURUSD],MATCH(T_Saldo[[#This Row],[Fecha]],T_USD_EUR[Fecha],1),0),1)</f>
        <v>1</v>
      </c>
      <c r="G575" t="str" cm="1">
        <f t="array" ref="G575">INDEX(T_Elementos[Divisa],MATCH(T_Saldo[[#This Row],[Producto]],T_Elementos[Producto],0),0)</f>
        <v>EUR</v>
      </c>
      <c r="H57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25556.840000000011</v>
      </c>
      <c r="J575" t="str">
        <f>T_Saldo[[#This Row],[Producto]] &amp; "-" &amp; DATE(YEAR(T_Saldo[[#This Row],[Fecha]]),MONTH(T_Saldo[[#This Row],[Fecha]]),DAY(T_Saldo[[#This Row],[Fecha]]))</f>
        <v>CC 2-45412</v>
      </c>
    </row>
    <row r="576" spans="1:10" x14ac:dyDescent="0.45">
      <c r="A576" s="15">
        <v>45412</v>
      </c>
      <c r="B576" t="s">
        <v>41</v>
      </c>
      <c r="C576">
        <f>T_Saldo[[#This Row],[Valor liquidativo]]*T_Saldo[[#This Row],[Participaciones]]</f>
        <v>3649.57942</v>
      </c>
      <c r="D576" s="11">
        <f>T_Saldo[[#This Row],[Valor liquidativo (Moneda Extranjera)]]/T_Saldo[[#This Row],[Cambio]]</f>
        <v>364.957942</v>
      </c>
      <c r="E576" s="13">
        <f>IF(ISERROR(MATCH(T_Saldo[[#This Row],[Producto]],T_Stocks[Ticker],0)),1,INDEX(T_Stocks[Close],MATCH(T_Saldo[[#This Row],[ID - Product - Fecha]],T_Stocks[ID],1),1))</f>
        <v>389.33</v>
      </c>
      <c r="F576" cm="1">
        <f t="array" ref="F576">IF(T_Saldo[[#This Row],[Divisa]]="USD",INDEX(T_USD_EUR[EURUSD],MATCH(T_Saldo[[#This Row],[Fecha]],T_USD_EUR[Fecha],1),0),1)</f>
        <v>1.0667804565820354</v>
      </c>
      <c r="G576" t="str" cm="1">
        <f t="array" ref="G576">INDEX(T_Elementos[Divisa],MATCH(T_Saldo[[#This Row],[Producto]],T_Elementos[Producto],0),0)</f>
        <v>USD</v>
      </c>
      <c r="H57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76" t="str">
        <f>T_Saldo[[#This Row],[Producto]] &amp; "-" &amp; DATE(YEAR(T_Saldo[[#This Row],[Fecha]]),MONTH(T_Saldo[[#This Row],[Fecha]]),DAY(T_Saldo[[#This Row],[Fecha]]))</f>
        <v>MSFT-45412</v>
      </c>
    </row>
    <row r="577" spans="1:10" x14ac:dyDescent="0.45">
      <c r="A577" s="15">
        <v>45412</v>
      </c>
      <c r="B577" t="s">
        <v>51</v>
      </c>
      <c r="C577">
        <f>T_Saldo[[#This Row],[Valor liquidativo]]*T_Saldo[[#This Row],[Participaciones]]</f>
        <v>16905.071600000003</v>
      </c>
      <c r="D577" s="11">
        <f>T_Saldo[[#This Row],[Valor liquidativo (Moneda Extranjera)]]/T_Saldo[[#This Row],[Cambio]]</f>
        <v>84.525358000000011</v>
      </c>
      <c r="E577" s="13">
        <f>IF(ISERROR(MATCH(T_Saldo[[#This Row],[Producto]],T_Stocks[Ticker],0)),1,INDEX(T_Stocks[Close],MATCH(T_Saldo[[#This Row],[ID - Product - Fecha]],T_Stocks[ID],1),1))</f>
        <v>90.17</v>
      </c>
      <c r="F577" cm="1">
        <f t="array" ref="F577">IF(T_Saldo[[#This Row],[Divisa]]="USD",INDEX(T_USD_EUR[EURUSD],MATCH(T_Saldo[[#This Row],[Fecha]],T_USD_EUR[Fecha],1),0),1)</f>
        <v>1.0667804565820354</v>
      </c>
      <c r="G577" t="str" cm="1">
        <f t="array" ref="G577">INDEX(T_Elementos[Divisa],MATCH(T_Saldo[[#This Row],[Producto]],T_Elementos[Producto],0),0)</f>
        <v>USD</v>
      </c>
      <c r="H57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77" t="str">
        <f>T_Saldo[[#This Row],[Producto]] &amp; "-" &amp; DATE(YEAR(T_Saldo[[#This Row],[Fecha]]),MONTH(T_Saldo[[#This Row],[Fecha]]),DAY(T_Saldo[[#This Row],[Fecha]]))</f>
        <v>PRHSX-45412</v>
      </c>
    </row>
    <row r="578" spans="1:10" x14ac:dyDescent="0.45">
      <c r="A578" s="15">
        <v>45412</v>
      </c>
      <c r="B578" t="s">
        <v>32</v>
      </c>
      <c r="C578">
        <f>T_Saldo[[#This Row],[Valor liquidativo]]*T_Saldo[[#This Row],[Participaciones]]</f>
        <v>11343.477400000002</v>
      </c>
      <c r="D578" s="11">
        <f>T_Saldo[[#This Row],[Valor liquidativo (Moneda Extranjera)]]/T_Saldo[[#This Row],[Cambio]]</f>
        <v>113.43477400000002</v>
      </c>
      <c r="E578" s="13">
        <f>IF(ISERROR(MATCH(T_Saldo[[#This Row],[Producto]],T_Stocks[Ticker],0)),1,INDEX(T_Stocks[Close],MATCH(T_Saldo[[#This Row],[ID - Product - Fecha]],T_Stocks[ID],1),1))</f>
        <v>121.01</v>
      </c>
      <c r="F578" cm="1">
        <f t="array" ref="F578">IF(T_Saldo[[#This Row],[Divisa]]="USD",INDEX(T_USD_EUR[EURUSD],MATCH(T_Saldo[[#This Row],[Fecha]],T_USD_EUR[Fecha],1),0),1)</f>
        <v>1.0667804565820354</v>
      </c>
      <c r="G578" t="str" cm="1">
        <f t="array" ref="G578">INDEX(T_Elementos[Divisa],MATCH(T_Saldo[[#This Row],[Producto]],T_Elementos[Producto],0),0)</f>
        <v>USD</v>
      </c>
      <c r="H57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78" t="str">
        <f>T_Saldo[[#This Row],[Producto]] &amp; "-" &amp; DATE(YEAR(T_Saldo[[#This Row],[Fecha]]),MONTH(T_Saldo[[#This Row],[Fecha]]),DAY(T_Saldo[[#This Row],[Fecha]]))</f>
        <v>VTSAX-45412</v>
      </c>
    </row>
    <row r="579" spans="1:10" x14ac:dyDescent="0.45">
      <c r="A579" s="15">
        <v>45443</v>
      </c>
      <c r="B579" t="s">
        <v>38</v>
      </c>
      <c r="C579">
        <f>T_Saldo[[#This Row],[Valor liquidativo]]*T_Saldo[[#This Row],[Participaciones]]</f>
        <v>7090.9489999999996</v>
      </c>
      <c r="D579" s="11">
        <f>T_Saldo[[#This Row],[Valor liquidativo (Moneda Extranjera)]]/T_Saldo[[#This Row],[Cambio]]</f>
        <v>177.27372499999998</v>
      </c>
      <c r="E579" s="13">
        <f>IF(ISERROR(MATCH(T_Saldo[[#This Row],[Producto]],T_Stocks[Ticker],0)),1,INDEX(T_Stocks[Close],MATCH(T_Saldo[[#This Row],[ID - Product - Fecha]],T_Stocks[ID],1),1))</f>
        <v>192.25</v>
      </c>
      <c r="F579" cm="1">
        <f t="array" ref="F579">IF(T_Saldo[[#This Row],[Divisa]]="USD",INDEX(T_USD_EUR[EURUSD],MATCH(T_Saldo[[#This Row],[Fecha]],T_USD_EUR[Fecha],1),0),1)</f>
        <v>1.0844810758052272</v>
      </c>
      <c r="G579" t="str" cm="1">
        <f t="array" ref="G579">INDEX(T_Elementos[Divisa],MATCH(T_Saldo[[#This Row],[Producto]],T_Elementos[Producto],0),0)</f>
        <v>USD</v>
      </c>
      <c r="H57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40</v>
      </c>
      <c r="J579" t="str">
        <f>T_Saldo[[#This Row],[Producto]] &amp; "-" &amp; DATE(YEAR(T_Saldo[[#This Row],[Fecha]]),MONTH(T_Saldo[[#This Row],[Fecha]]),DAY(T_Saldo[[#This Row],[Fecha]]))</f>
        <v>AAPL-45443</v>
      </c>
    </row>
    <row r="580" spans="1:10" x14ac:dyDescent="0.45">
      <c r="A580" s="15">
        <v>45443</v>
      </c>
      <c r="B580" t="s">
        <v>43</v>
      </c>
      <c r="C580">
        <f>T_Saldo[[#This Row],[Valor liquidativo]]*T_Saldo[[#This Row],[Participaciones]]</f>
        <v>6000</v>
      </c>
      <c r="D580" s="11">
        <f>T_Saldo[[#This Row],[Valor liquidativo (Moneda Extranjera)]]/T_Saldo[[#This Row],[Cambio]]</f>
        <v>2000</v>
      </c>
      <c r="E580" s="13">
        <f>IF(ISERROR(MATCH(T_Saldo[[#This Row],[Producto]],T_Stocks[Ticker],0)),1,INDEX(T_Stocks[Close],MATCH(T_Saldo[[#This Row],[ID - Product - Fecha]],T_Stocks[ID],1),1))</f>
        <v>2000</v>
      </c>
      <c r="F580" cm="1">
        <f t="array" ref="F580">IF(T_Saldo[[#This Row],[Divisa]]="USD",INDEX(T_USD_EUR[EURUSD],MATCH(T_Saldo[[#This Row],[Fecha]],T_USD_EUR[Fecha],1),0),1)</f>
        <v>1</v>
      </c>
      <c r="G580" t="str" cm="1">
        <f t="array" ref="G580">INDEX(T_Elementos[Divisa],MATCH(T_Saldo[[#This Row],[Producto]],T_Elementos[Producto],0),0)</f>
        <v>EUR</v>
      </c>
      <c r="H58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80" t="str">
        <f>T_Saldo[[#This Row],[Producto]] &amp; "-" &amp; DATE(YEAR(T_Saldo[[#This Row],[Fecha]]),MONTH(T_Saldo[[#This Row],[Fecha]]),DAY(T_Saldo[[#This Row],[Fecha]]))</f>
        <v>Bonos-45443</v>
      </c>
    </row>
    <row r="581" spans="1:10" x14ac:dyDescent="0.45">
      <c r="A581" s="15">
        <v>45443</v>
      </c>
      <c r="B581" t="s">
        <v>155</v>
      </c>
      <c r="C581">
        <f>T_Saldo[[#This Row],[Valor liquidativo]]*T_Saldo[[#This Row],[Participaciones]]</f>
        <v>15788.511892500001</v>
      </c>
      <c r="D581" s="11">
        <f>T_Saldo[[#This Row],[Valor liquidativo (Moneda Extranjera)]]/T_Saldo[[#This Row],[Cambio]]</f>
        <v>63154.047570000002</v>
      </c>
      <c r="E581" s="13">
        <f>IF(ISERROR(MATCH(T_Saldo[[#This Row],[Producto]],T_Stocks[Ticker],0)),1,INDEX(T_Stocks[Close],MATCH(T_Saldo[[#This Row],[ID - Product - Fecha]],T_Stocks[ID],1),1))</f>
        <v>63154.047570000002</v>
      </c>
      <c r="F581" cm="1">
        <f t="array" ref="F581">IF(T_Saldo[[#This Row],[Divisa]]="USD",INDEX(T_USD_EUR[EURUSD],MATCH(T_Saldo[[#This Row],[Fecha]],T_USD_EUR[Fecha],1),0),1)</f>
        <v>1</v>
      </c>
      <c r="G581" t="str" cm="1">
        <f t="array" ref="G581">INDEX(T_Elementos[Divisa],MATCH(T_Saldo[[#This Row],[Producto]],T_Elementos[Producto],0),0)</f>
        <v>EUR</v>
      </c>
      <c r="H58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81" t="str">
        <f>T_Saldo[[#This Row],[Producto]] &amp; "-" &amp; DATE(YEAR(T_Saldo[[#This Row],[Fecha]]),MONTH(T_Saldo[[#This Row],[Fecha]]),DAY(T_Saldo[[#This Row],[Fecha]]))</f>
        <v>BTCEUR-45443</v>
      </c>
    </row>
    <row r="582" spans="1:10" x14ac:dyDescent="0.45">
      <c r="A582" s="15">
        <v>45443</v>
      </c>
      <c r="B582" t="s">
        <v>46</v>
      </c>
      <c r="C582">
        <f>T_Saldo[[#This Row],[Valor liquidativo]]*T_Saldo[[#This Row],[Participaciones]]</f>
        <v>42160.459999999992</v>
      </c>
      <c r="D582" s="11">
        <f>T_Saldo[[#This Row],[Valor liquidativo (Moneda Extranjera)]]/T_Saldo[[#This Row],[Cambio]]</f>
        <v>1</v>
      </c>
      <c r="E582" s="13">
        <f>IF(ISERROR(MATCH(T_Saldo[[#This Row],[Producto]],T_Stocks[Ticker],0)),1,INDEX(T_Stocks[Close],MATCH(T_Saldo[[#This Row],[ID - Product - Fecha]],T_Stocks[ID],1),1))</f>
        <v>1</v>
      </c>
      <c r="F582" cm="1">
        <f t="array" ref="F582">IF(T_Saldo[[#This Row],[Divisa]]="USD",INDEX(T_USD_EUR[EURUSD],MATCH(T_Saldo[[#This Row],[Fecha]],T_USD_EUR[Fecha],1),0),1)</f>
        <v>1</v>
      </c>
      <c r="G582" t="str" cm="1">
        <f t="array" ref="G582">INDEX(T_Elementos[Divisa],MATCH(T_Saldo[[#This Row],[Producto]],T_Elementos[Producto],0),0)</f>
        <v>EUR</v>
      </c>
      <c r="H58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42160.459999999992</v>
      </c>
      <c r="J582" t="str">
        <f>T_Saldo[[#This Row],[Producto]] &amp; "-" &amp; DATE(YEAR(T_Saldo[[#This Row],[Fecha]]),MONTH(T_Saldo[[#This Row],[Fecha]]),DAY(T_Saldo[[#This Row],[Fecha]]))</f>
        <v>CA 1-45443</v>
      </c>
    </row>
    <row r="583" spans="1:10" x14ac:dyDescent="0.45">
      <c r="A583" s="15">
        <v>45443</v>
      </c>
      <c r="B583" t="s">
        <v>10</v>
      </c>
      <c r="C583">
        <f>T_Saldo[[#This Row],[Valor liquidativo]]*T_Saldo[[#This Row],[Participaciones]]</f>
        <v>22890.399999999998</v>
      </c>
      <c r="D583" s="11">
        <f>T_Saldo[[#This Row],[Valor liquidativo (Moneda Extranjera)]]/T_Saldo[[#This Row],[Cambio]]</f>
        <v>1</v>
      </c>
      <c r="E583" s="13">
        <f>IF(ISERROR(MATCH(T_Saldo[[#This Row],[Producto]],T_Stocks[Ticker],0)),1,INDEX(T_Stocks[Close],MATCH(T_Saldo[[#This Row],[ID - Product - Fecha]],T_Stocks[ID],1),1))</f>
        <v>1</v>
      </c>
      <c r="F583" cm="1">
        <f t="array" ref="F583">IF(T_Saldo[[#This Row],[Divisa]]="USD",INDEX(T_USD_EUR[EURUSD],MATCH(T_Saldo[[#This Row],[Fecha]],T_USD_EUR[Fecha],1),0),1)</f>
        <v>1</v>
      </c>
      <c r="G583" t="str" cm="1">
        <f t="array" ref="G583">INDEX(T_Elementos[Divisa],MATCH(T_Saldo[[#This Row],[Producto]],T_Elementos[Producto],0),0)</f>
        <v>EUR</v>
      </c>
      <c r="H58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22890.399999999998</v>
      </c>
      <c r="J583" t="str">
        <f>T_Saldo[[#This Row],[Producto]] &amp; "-" &amp; DATE(YEAR(T_Saldo[[#This Row],[Fecha]]),MONTH(T_Saldo[[#This Row],[Fecha]]),DAY(T_Saldo[[#This Row],[Fecha]]))</f>
        <v>CC 1-45443</v>
      </c>
    </row>
    <row r="584" spans="1:10" x14ac:dyDescent="0.45">
      <c r="A584" s="15">
        <v>45443</v>
      </c>
      <c r="B584" t="s">
        <v>49</v>
      </c>
      <c r="C584">
        <f>T_Saldo[[#This Row],[Valor liquidativo]]*T_Saldo[[#This Row],[Participaciones]]</f>
        <v>25340.930000000011</v>
      </c>
      <c r="D584" s="11">
        <f>T_Saldo[[#This Row],[Valor liquidativo (Moneda Extranjera)]]/T_Saldo[[#This Row],[Cambio]]</f>
        <v>1</v>
      </c>
      <c r="E584" s="13">
        <f>IF(ISERROR(MATCH(T_Saldo[[#This Row],[Producto]],T_Stocks[Ticker],0)),1,INDEX(T_Stocks[Close],MATCH(T_Saldo[[#This Row],[ID - Product - Fecha]],T_Stocks[ID],1),1))</f>
        <v>1</v>
      </c>
      <c r="F584" cm="1">
        <f t="array" ref="F584">IF(T_Saldo[[#This Row],[Divisa]]="USD",INDEX(T_USD_EUR[EURUSD],MATCH(T_Saldo[[#This Row],[Fecha]],T_USD_EUR[Fecha],1),0),1)</f>
        <v>1</v>
      </c>
      <c r="G584" t="str" cm="1">
        <f t="array" ref="G584">INDEX(T_Elementos[Divisa],MATCH(T_Saldo[[#This Row],[Producto]],T_Elementos[Producto],0),0)</f>
        <v>EUR</v>
      </c>
      <c r="H58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25340.930000000011</v>
      </c>
      <c r="J584" t="str">
        <f>T_Saldo[[#This Row],[Producto]] &amp; "-" &amp; DATE(YEAR(T_Saldo[[#This Row],[Fecha]]),MONTH(T_Saldo[[#This Row],[Fecha]]),DAY(T_Saldo[[#This Row],[Fecha]]))</f>
        <v>CC 2-45443</v>
      </c>
    </row>
    <row r="585" spans="1:10" x14ac:dyDescent="0.45">
      <c r="A585" s="15">
        <v>45443</v>
      </c>
      <c r="B585" t="s">
        <v>41</v>
      </c>
      <c r="C585">
        <f>T_Saldo[[#This Row],[Valor liquidativo]]*T_Saldo[[#This Row],[Participaciones]]</f>
        <v>3827.9137299999998</v>
      </c>
      <c r="D585" s="11">
        <f>T_Saldo[[#This Row],[Valor liquidativo (Moneda Extranjera)]]/T_Saldo[[#This Row],[Cambio]]</f>
        <v>382.79137299999996</v>
      </c>
      <c r="E585" s="13">
        <f>IF(ISERROR(MATCH(T_Saldo[[#This Row],[Producto]],T_Stocks[Ticker],0)),1,INDEX(T_Stocks[Close],MATCH(T_Saldo[[#This Row],[ID - Product - Fecha]],T_Stocks[ID],1),1))</f>
        <v>415.13</v>
      </c>
      <c r="F585" cm="1">
        <f t="array" ref="F585">IF(T_Saldo[[#This Row],[Divisa]]="USD",INDEX(T_USD_EUR[EURUSD],MATCH(T_Saldo[[#This Row],[Fecha]],T_USD_EUR[Fecha],1),0),1)</f>
        <v>1.0844810758052272</v>
      </c>
      <c r="G585" t="str" cm="1">
        <f t="array" ref="G585">INDEX(T_Elementos[Divisa],MATCH(T_Saldo[[#This Row],[Producto]],T_Elementos[Producto],0),0)</f>
        <v>USD</v>
      </c>
      <c r="H58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</v>
      </c>
      <c r="J585" t="str">
        <f>T_Saldo[[#This Row],[Producto]] &amp; "-" &amp; DATE(YEAR(T_Saldo[[#This Row],[Fecha]]),MONTH(T_Saldo[[#This Row],[Fecha]]),DAY(T_Saldo[[#This Row],[Fecha]]))</f>
        <v>MSFT-45443</v>
      </c>
    </row>
    <row r="586" spans="1:10" x14ac:dyDescent="0.45">
      <c r="A586" s="15">
        <v>45443</v>
      </c>
      <c r="B586" t="s">
        <v>51</v>
      </c>
      <c r="C586">
        <f>T_Saldo[[#This Row],[Valor liquidativo]]*T_Saldo[[#This Row],[Participaciones]]</f>
        <v>17012.744999999999</v>
      </c>
      <c r="D586" s="11">
        <f>T_Saldo[[#This Row],[Valor liquidativo (Moneda Extranjera)]]/T_Saldo[[#This Row],[Cambio]]</f>
        <v>85.063724999999991</v>
      </c>
      <c r="E586" s="13">
        <f>IF(ISERROR(MATCH(T_Saldo[[#This Row],[Producto]],T_Stocks[Ticker],0)),1,INDEX(T_Stocks[Close],MATCH(T_Saldo[[#This Row],[ID - Product - Fecha]],T_Stocks[ID],1),1))</f>
        <v>92.25</v>
      </c>
      <c r="F586" cm="1">
        <f t="array" ref="F586">IF(T_Saldo[[#This Row],[Divisa]]="USD",INDEX(T_USD_EUR[EURUSD],MATCH(T_Saldo[[#This Row],[Fecha]],T_USD_EUR[Fecha],1),0),1)</f>
        <v>1.0844810758052272</v>
      </c>
      <c r="G586" t="str" cm="1">
        <f t="array" ref="G586">INDEX(T_Elementos[Divisa],MATCH(T_Saldo[[#This Row],[Producto]],T_Elementos[Producto],0),0)</f>
        <v>USD</v>
      </c>
      <c r="H58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86" t="str">
        <f>T_Saldo[[#This Row],[Producto]] &amp; "-" &amp; DATE(YEAR(T_Saldo[[#This Row],[Fecha]]),MONTH(T_Saldo[[#This Row],[Fecha]]),DAY(T_Saldo[[#This Row],[Fecha]]))</f>
        <v>PRHSX-45443</v>
      </c>
    </row>
    <row r="587" spans="1:10" x14ac:dyDescent="0.45">
      <c r="A587" s="15">
        <v>45443</v>
      </c>
      <c r="B587" t="s">
        <v>32</v>
      </c>
      <c r="C587">
        <f>T_Saldo[[#This Row],[Valor liquidativo]]*T_Saldo[[#This Row],[Participaciones]]</f>
        <v>11685.773299999999</v>
      </c>
      <c r="D587" s="11">
        <f>T_Saldo[[#This Row],[Valor liquidativo (Moneda Extranjera)]]/T_Saldo[[#This Row],[Cambio]]</f>
        <v>116.857733</v>
      </c>
      <c r="E587" s="13">
        <f>IF(ISERROR(MATCH(T_Saldo[[#This Row],[Producto]],T_Stocks[Ticker],0)),1,INDEX(T_Stocks[Close],MATCH(T_Saldo[[#This Row],[ID - Product - Fecha]],T_Stocks[ID],1),1))</f>
        <v>126.73</v>
      </c>
      <c r="F587" cm="1">
        <f t="array" ref="F587">IF(T_Saldo[[#This Row],[Divisa]]="USD",INDEX(T_USD_EUR[EURUSD],MATCH(T_Saldo[[#This Row],[Fecha]],T_USD_EUR[Fecha],1),0),1)</f>
        <v>1.0844810758052272</v>
      </c>
      <c r="G587" t="str" cm="1">
        <f t="array" ref="G587">INDEX(T_Elementos[Divisa],MATCH(T_Saldo[[#This Row],[Producto]],T_Elementos[Producto],0),0)</f>
        <v>USD</v>
      </c>
      <c r="H58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87" t="str">
        <f>T_Saldo[[#This Row],[Producto]] &amp; "-" &amp; DATE(YEAR(T_Saldo[[#This Row],[Fecha]]),MONTH(T_Saldo[[#This Row],[Fecha]]),DAY(T_Saldo[[#This Row],[Fecha]]))</f>
        <v>VTSAX-45443</v>
      </c>
    </row>
    <row r="588" spans="1:10" x14ac:dyDescent="0.45">
      <c r="A588" s="15">
        <v>45473</v>
      </c>
      <c r="B588" t="s">
        <v>38</v>
      </c>
      <c r="C588">
        <f>T_Saldo[[#This Row],[Valor liquidativo]]*T_Saldo[[#This Row],[Participaciones]]</f>
        <v>13757.066540000002</v>
      </c>
      <c r="D588" s="11">
        <f>T_Saldo[[#This Row],[Valor liquidativo (Moneda Extranjera)]]/T_Saldo[[#This Row],[Cambio]]</f>
        <v>196.52952200000001</v>
      </c>
      <c r="E588" s="13">
        <f>IF(ISERROR(MATCH(T_Saldo[[#This Row],[Producto]],T_Stocks[Ticker],0)),1,INDEX(T_Stocks[Close],MATCH(T_Saldo[[#This Row],[ID - Product - Fecha]],T_Stocks[ID],1),1))</f>
        <v>210.62</v>
      </c>
      <c r="F588" cm="1">
        <f t="array" ref="F588">IF(T_Saldo[[#This Row],[Divisa]]="USD",INDEX(T_USD_EUR[EURUSD],MATCH(T_Saldo[[#This Row],[Fecha]],T_USD_EUR[Fecha],1),0),1)</f>
        <v>1.0716964955524595</v>
      </c>
      <c r="G588" t="str" cm="1">
        <f t="array" ref="G588">INDEX(T_Elementos[Divisa],MATCH(T_Saldo[[#This Row],[Producto]],T_Elementos[Producto],0),0)</f>
        <v>USD</v>
      </c>
      <c r="H58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70</v>
      </c>
      <c r="J588" t="str">
        <f>T_Saldo[[#This Row],[Producto]] &amp; "-" &amp; DATE(YEAR(T_Saldo[[#This Row],[Fecha]]),MONTH(T_Saldo[[#This Row],[Fecha]]),DAY(T_Saldo[[#This Row],[Fecha]]))</f>
        <v>AAPL-45473</v>
      </c>
    </row>
    <row r="589" spans="1:10" x14ac:dyDescent="0.45">
      <c r="A589" s="15">
        <v>45473</v>
      </c>
      <c r="B589" t="s">
        <v>43</v>
      </c>
      <c r="C589">
        <f>T_Saldo[[#This Row],[Valor liquidativo]]*T_Saldo[[#This Row],[Participaciones]]</f>
        <v>6000</v>
      </c>
      <c r="D589" s="11">
        <f>T_Saldo[[#This Row],[Valor liquidativo (Moneda Extranjera)]]/T_Saldo[[#This Row],[Cambio]]</f>
        <v>2000</v>
      </c>
      <c r="E589" s="13">
        <f>IF(ISERROR(MATCH(T_Saldo[[#This Row],[Producto]],T_Stocks[Ticker],0)),1,INDEX(T_Stocks[Close],MATCH(T_Saldo[[#This Row],[ID - Product - Fecha]],T_Stocks[ID],1),1))</f>
        <v>2000</v>
      </c>
      <c r="F589" cm="1">
        <f t="array" ref="F589">IF(T_Saldo[[#This Row],[Divisa]]="USD",INDEX(T_USD_EUR[EURUSD],MATCH(T_Saldo[[#This Row],[Fecha]],T_USD_EUR[Fecha],1),0),1)</f>
        <v>1</v>
      </c>
      <c r="G589" t="str" cm="1">
        <f t="array" ref="G589">INDEX(T_Elementos[Divisa],MATCH(T_Saldo[[#This Row],[Producto]],T_Elementos[Producto],0),0)</f>
        <v>EUR</v>
      </c>
      <c r="H58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89" t="str">
        <f>T_Saldo[[#This Row],[Producto]] &amp; "-" &amp; DATE(YEAR(T_Saldo[[#This Row],[Fecha]]),MONTH(T_Saldo[[#This Row],[Fecha]]),DAY(T_Saldo[[#This Row],[Fecha]]))</f>
        <v>Bonos-45473</v>
      </c>
    </row>
    <row r="590" spans="1:10" x14ac:dyDescent="0.45">
      <c r="A590" s="15">
        <v>45473</v>
      </c>
      <c r="B590" t="s">
        <v>155</v>
      </c>
      <c r="C590">
        <f>T_Saldo[[#This Row],[Valor liquidativo]]*T_Saldo[[#This Row],[Participaciones]]</f>
        <v>14172.947937499999</v>
      </c>
      <c r="D590" s="11">
        <f>T_Saldo[[#This Row],[Valor liquidativo (Moneda Extranjera)]]/T_Saldo[[#This Row],[Cambio]]</f>
        <v>56691.791749999997</v>
      </c>
      <c r="E590" s="13">
        <f>IF(ISERROR(MATCH(T_Saldo[[#This Row],[Producto]],T_Stocks[Ticker],0)),1,INDEX(T_Stocks[Close],MATCH(T_Saldo[[#This Row],[ID - Product - Fecha]],T_Stocks[ID],1),1))</f>
        <v>56691.791749999997</v>
      </c>
      <c r="F590" cm="1">
        <f t="array" ref="F590">IF(T_Saldo[[#This Row],[Divisa]]="USD",INDEX(T_USD_EUR[EURUSD],MATCH(T_Saldo[[#This Row],[Fecha]],T_USD_EUR[Fecha],1),0),1)</f>
        <v>1</v>
      </c>
      <c r="G590" t="str" cm="1">
        <f t="array" ref="G590">INDEX(T_Elementos[Divisa],MATCH(T_Saldo[[#This Row],[Producto]],T_Elementos[Producto],0),0)</f>
        <v>EUR</v>
      </c>
      <c r="H59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90" t="str">
        <f>T_Saldo[[#This Row],[Producto]] &amp; "-" &amp; DATE(YEAR(T_Saldo[[#This Row],[Fecha]]),MONTH(T_Saldo[[#This Row],[Fecha]]),DAY(T_Saldo[[#This Row],[Fecha]]))</f>
        <v>BTCEUR-45473</v>
      </c>
    </row>
    <row r="591" spans="1:10" x14ac:dyDescent="0.45">
      <c r="A591" s="15">
        <v>45473</v>
      </c>
      <c r="B591" t="s">
        <v>46</v>
      </c>
      <c r="C591">
        <f>T_Saldo[[#This Row],[Valor liquidativo]]*T_Saldo[[#This Row],[Participaciones]]</f>
        <v>41764.079999999994</v>
      </c>
      <c r="D591" s="11">
        <f>T_Saldo[[#This Row],[Valor liquidativo (Moneda Extranjera)]]/T_Saldo[[#This Row],[Cambio]]</f>
        <v>1</v>
      </c>
      <c r="E591" s="13">
        <f>IF(ISERROR(MATCH(T_Saldo[[#This Row],[Producto]],T_Stocks[Ticker],0)),1,INDEX(T_Stocks[Close],MATCH(T_Saldo[[#This Row],[ID - Product - Fecha]],T_Stocks[ID],1),1))</f>
        <v>1</v>
      </c>
      <c r="F591" cm="1">
        <f t="array" ref="F591">IF(T_Saldo[[#This Row],[Divisa]]="USD",INDEX(T_USD_EUR[EURUSD],MATCH(T_Saldo[[#This Row],[Fecha]],T_USD_EUR[Fecha],1),0),1)</f>
        <v>1</v>
      </c>
      <c r="G591" t="str" cm="1">
        <f t="array" ref="G591">INDEX(T_Elementos[Divisa],MATCH(T_Saldo[[#This Row],[Producto]],T_Elementos[Producto],0),0)</f>
        <v>EUR</v>
      </c>
      <c r="H59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41764.079999999994</v>
      </c>
      <c r="J591" t="str">
        <f>T_Saldo[[#This Row],[Producto]] &amp; "-" &amp; DATE(YEAR(T_Saldo[[#This Row],[Fecha]]),MONTH(T_Saldo[[#This Row],[Fecha]]),DAY(T_Saldo[[#This Row],[Fecha]]))</f>
        <v>CA 1-45473</v>
      </c>
    </row>
    <row r="592" spans="1:10" x14ac:dyDescent="0.45">
      <c r="A592" s="15">
        <v>45473</v>
      </c>
      <c r="B592" t="s">
        <v>10</v>
      </c>
      <c r="C592">
        <f>T_Saldo[[#This Row],[Valor liquidativo]]*T_Saldo[[#This Row],[Participaciones]]</f>
        <v>22710.25</v>
      </c>
      <c r="D592" s="11">
        <f>T_Saldo[[#This Row],[Valor liquidativo (Moneda Extranjera)]]/T_Saldo[[#This Row],[Cambio]]</f>
        <v>1</v>
      </c>
      <c r="E592" s="13">
        <f>IF(ISERROR(MATCH(T_Saldo[[#This Row],[Producto]],T_Stocks[Ticker],0)),1,INDEX(T_Stocks[Close],MATCH(T_Saldo[[#This Row],[ID - Product - Fecha]],T_Stocks[ID],1),1))</f>
        <v>1</v>
      </c>
      <c r="F592" cm="1">
        <f t="array" ref="F592">IF(T_Saldo[[#This Row],[Divisa]]="USD",INDEX(T_USD_EUR[EURUSD],MATCH(T_Saldo[[#This Row],[Fecha]],T_USD_EUR[Fecha],1),0),1)</f>
        <v>1</v>
      </c>
      <c r="G592" t="str" cm="1">
        <f t="array" ref="G592">INDEX(T_Elementos[Divisa],MATCH(T_Saldo[[#This Row],[Producto]],T_Elementos[Producto],0),0)</f>
        <v>EUR</v>
      </c>
      <c r="H59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22710.25</v>
      </c>
      <c r="J592" t="str">
        <f>T_Saldo[[#This Row],[Producto]] &amp; "-" &amp; DATE(YEAR(T_Saldo[[#This Row],[Fecha]]),MONTH(T_Saldo[[#This Row],[Fecha]]),DAY(T_Saldo[[#This Row],[Fecha]]))</f>
        <v>CC 1-45473</v>
      </c>
    </row>
    <row r="593" spans="1:10" x14ac:dyDescent="0.45">
      <c r="A593" s="15">
        <v>45473</v>
      </c>
      <c r="B593" t="s">
        <v>49</v>
      </c>
      <c r="C593">
        <f>T_Saldo[[#This Row],[Valor liquidativo]]*T_Saldo[[#This Row],[Participaciones]]</f>
        <v>25122.21000000001</v>
      </c>
      <c r="D593" s="11">
        <f>T_Saldo[[#This Row],[Valor liquidativo (Moneda Extranjera)]]/T_Saldo[[#This Row],[Cambio]]</f>
        <v>1</v>
      </c>
      <c r="E593" s="13">
        <f>IF(ISERROR(MATCH(T_Saldo[[#This Row],[Producto]],T_Stocks[Ticker],0)),1,INDEX(T_Stocks[Close],MATCH(T_Saldo[[#This Row],[ID - Product - Fecha]],T_Stocks[ID],1),1))</f>
        <v>1</v>
      </c>
      <c r="F593" cm="1">
        <f t="array" ref="F593">IF(T_Saldo[[#This Row],[Divisa]]="USD",INDEX(T_USD_EUR[EURUSD],MATCH(T_Saldo[[#This Row],[Fecha]],T_USD_EUR[Fecha],1),0),1)</f>
        <v>1</v>
      </c>
      <c r="G593" t="str" cm="1">
        <f t="array" ref="G593">INDEX(T_Elementos[Divisa],MATCH(T_Saldo[[#This Row],[Producto]],T_Elementos[Producto],0),0)</f>
        <v>EUR</v>
      </c>
      <c r="H59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25122.21000000001</v>
      </c>
      <c r="J593" t="str">
        <f>T_Saldo[[#This Row],[Producto]] &amp; "-" &amp; DATE(YEAR(T_Saldo[[#This Row],[Fecha]]),MONTH(T_Saldo[[#This Row],[Fecha]]),DAY(T_Saldo[[#This Row],[Fecha]]))</f>
        <v>CC 2-45473</v>
      </c>
    </row>
    <row r="594" spans="1:10" x14ac:dyDescent="0.45">
      <c r="A594" s="15">
        <v>45473</v>
      </c>
      <c r="B594" t="s">
        <v>41</v>
      </c>
      <c r="C594">
        <f>T_Saldo[[#This Row],[Valor liquidativo]]*T_Saldo[[#This Row],[Participaciones]]</f>
        <v>20852.452250000002</v>
      </c>
      <c r="D594" s="11">
        <f>T_Saldo[[#This Row],[Valor liquidativo (Moneda Extranjera)]]/T_Saldo[[#This Row],[Cambio]]</f>
        <v>417.04904500000004</v>
      </c>
      <c r="E594" s="13">
        <f>IF(ISERROR(MATCH(T_Saldo[[#This Row],[Producto]],T_Stocks[Ticker],0)),1,INDEX(T_Stocks[Close],MATCH(T_Saldo[[#This Row],[ID - Product - Fecha]],T_Stocks[ID],1),1))</f>
        <v>446.95</v>
      </c>
      <c r="F594" cm="1">
        <f t="array" ref="F594">IF(T_Saldo[[#This Row],[Divisa]]="USD",INDEX(T_USD_EUR[EURUSD],MATCH(T_Saldo[[#This Row],[Fecha]],T_USD_EUR[Fecha],1),0),1)</f>
        <v>1.0716964955524595</v>
      </c>
      <c r="G594" t="str" cm="1">
        <f t="array" ref="G594">INDEX(T_Elementos[Divisa],MATCH(T_Saldo[[#This Row],[Producto]],T_Elementos[Producto],0),0)</f>
        <v>USD</v>
      </c>
      <c r="H59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594" t="str">
        <f>T_Saldo[[#This Row],[Producto]] &amp; "-" &amp; DATE(YEAR(T_Saldo[[#This Row],[Fecha]]),MONTH(T_Saldo[[#This Row],[Fecha]]),DAY(T_Saldo[[#This Row],[Fecha]]))</f>
        <v>MSFT-45473</v>
      </c>
    </row>
    <row r="595" spans="1:10" x14ac:dyDescent="0.45">
      <c r="A595" s="15">
        <v>45473</v>
      </c>
      <c r="B595" t="s">
        <v>51</v>
      </c>
      <c r="C595">
        <f>T_Saldo[[#This Row],[Valor liquidativo]]*T_Saldo[[#This Row],[Participaciones]]</f>
        <v>17706.5056</v>
      </c>
      <c r="D595" s="11">
        <f>T_Saldo[[#This Row],[Valor liquidativo (Moneda Extranjera)]]/T_Saldo[[#This Row],[Cambio]]</f>
        <v>88.532527999999999</v>
      </c>
      <c r="E595" s="13">
        <f>IF(ISERROR(MATCH(T_Saldo[[#This Row],[Producto]],T_Stocks[Ticker],0)),1,INDEX(T_Stocks[Close],MATCH(T_Saldo[[#This Row],[ID - Product - Fecha]],T_Stocks[ID],1),1))</f>
        <v>94.88</v>
      </c>
      <c r="F595" cm="1">
        <f t="array" ref="F595">IF(T_Saldo[[#This Row],[Divisa]]="USD",INDEX(T_USD_EUR[EURUSD],MATCH(T_Saldo[[#This Row],[Fecha]],T_USD_EUR[Fecha],1),0),1)</f>
        <v>1.0716964955524595</v>
      </c>
      <c r="G595" t="str" cm="1">
        <f t="array" ref="G595">INDEX(T_Elementos[Divisa],MATCH(T_Saldo[[#This Row],[Producto]],T_Elementos[Producto],0),0)</f>
        <v>USD</v>
      </c>
      <c r="H59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595" t="str">
        <f>T_Saldo[[#This Row],[Producto]] &amp; "-" &amp; DATE(YEAR(T_Saldo[[#This Row],[Fecha]]),MONTH(T_Saldo[[#This Row],[Fecha]]),DAY(T_Saldo[[#This Row],[Fecha]]))</f>
        <v>PRHSX-45473</v>
      </c>
    </row>
    <row r="596" spans="1:10" x14ac:dyDescent="0.45">
      <c r="A596" s="15">
        <v>45473</v>
      </c>
      <c r="B596" t="s">
        <v>32</v>
      </c>
      <c r="C596">
        <f>T_Saldo[[#This Row],[Valor liquidativo]]*T_Saldo[[#This Row],[Participaciones]]</f>
        <v>12153.627500000001</v>
      </c>
      <c r="D596" s="11">
        <f>T_Saldo[[#This Row],[Valor liquidativo (Moneda Extranjera)]]/T_Saldo[[#This Row],[Cambio]]</f>
        <v>121.536275</v>
      </c>
      <c r="E596" s="13">
        <f>IF(ISERROR(MATCH(T_Saldo[[#This Row],[Producto]],T_Stocks[Ticker],0)),1,INDEX(T_Stocks[Close],MATCH(T_Saldo[[#This Row],[ID - Product - Fecha]],T_Stocks[ID],1),1))</f>
        <v>130.25</v>
      </c>
      <c r="F596" cm="1">
        <f t="array" ref="F596">IF(T_Saldo[[#This Row],[Divisa]]="USD",INDEX(T_USD_EUR[EURUSD],MATCH(T_Saldo[[#This Row],[Fecha]],T_USD_EUR[Fecha],1),0),1)</f>
        <v>1.0716964955524595</v>
      </c>
      <c r="G596" t="str" cm="1">
        <f t="array" ref="G596">INDEX(T_Elementos[Divisa],MATCH(T_Saldo[[#This Row],[Producto]],T_Elementos[Producto],0),0)</f>
        <v>USD</v>
      </c>
      <c r="H59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596" t="str">
        <f>T_Saldo[[#This Row],[Producto]] &amp; "-" &amp; DATE(YEAR(T_Saldo[[#This Row],[Fecha]]),MONTH(T_Saldo[[#This Row],[Fecha]]),DAY(T_Saldo[[#This Row],[Fecha]]))</f>
        <v>VTSAX-45473</v>
      </c>
    </row>
    <row r="597" spans="1:10" x14ac:dyDescent="0.45">
      <c r="A597" s="15">
        <v>45504</v>
      </c>
      <c r="B597" t="s">
        <v>38</v>
      </c>
      <c r="C597">
        <f>T_Saldo[[#This Row],[Valor liquidativo]]*T_Saldo[[#This Row],[Participaciones]]</f>
        <v>15385.147200000001</v>
      </c>
      <c r="D597" s="11">
        <f>T_Saldo[[#This Row],[Valor liquidativo (Moneda Extranjera)]]/T_Saldo[[#This Row],[Cambio]]</f>
        <v>205.13529600000001</v>
      </c>
      <c r="E597" s="13">
        <f>IF(ISERROR(MATCH(T_Saldo[[#This Row],[Producto]],T_Stocks[Ticker],0)),1,INDEX(T_Stocks[Close],MATCH(T_Saldo[[#This Row],[ID - Product - Fecha]],T_Stocks[ID],1),1))</f>
        <v>222.08</v>
      </c>
      <c r="F597" cm="1">
        <f t="array" ref="F597">IF(T_Saldo[[#This Row],[Divisa]]="USD",INDEX(T_USD_EUR[EURUSD],MATCH(T_Saldo[[#This Row],[Fecha]],T_USD_EUR[Fecha],1),0),1)</f>
        <v>1.0826025765941323</v>
      </c>
      <c r="G597" t="str" cm="1">
        <f t="array" ref="G597">INDEX(T_Elementos[Divisa],MATCH(T_Saldo[[#This Row],[Producto]],T_Elementos[Producto],0),0)</f>
        <v>USD</v>
      </c>
      <c r="H59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75</v>
      </c>
      <c r="J597" t="str">
        <f>T_Saldo[[#This Row],[Producto]] &amp; "-" &amp; DATE(YEAR(T_Saldo[[#This Row],[Fecha]]),MONTH(T_Saldo[[#This Row],[Fecha]]),DAY(T_Saldo[[#This Row],[Fecha]]))</f>
        <v>AAPL-45504</v>
      </c>
    </row>
    <row r="598" spans="1:10" x14ac:dyDescent="0.45">
      <c r="A598" s="15">
        <v>45504</v>
      </c>
      <c r="B598" t="s">
        <v>43</v>
      </c>
      <c r="C598">
        <f>T_Saldo[[#This Row],[Valor liquidativo]]*T_Saldo[[#This Row],[Participaciones]]</f>
        <v>6000</v>
      </c>
      <c r="D598" s="11">
        <f>T_Saldo[[#This Row],[Valor liquidativo (Moneda Extranjera)]]/T_Saldo[[#This Row],[Cambio]]</f>
        <v>2000</v>
      </c>
      <c r="E598" s="13">
        <f>IF(ISERROR(MATCH(T_Saldo[[#This Row],[Producto]],T_Stocks[Ticker],0)),1,INDEX(T_Stocks[Close],MATCH(T_Saldo[[#This Row],[ID - Product - Fecha]],T_Stocks[ID],1),1))</f>
        <v>2000</v>
      </c>
      <c r="F598" cm="1">
        <f t="array" ref="F598">IF(T_Saldo[[#This Row],[Divisa]]="USD",INDEX(T_USD_EUR[EURUSD],MATCH(T_Saldo[[#This Row],[Fecha]],T_USD_EUR[Fecha],1),0),1)</f>
        <v>1</v>
      </c>
      <c r="G598" t="str" cm="1">
        <f t="array" ref="G598">INDEX(T_Elementos[Divisa],MATCH(T_Saldo[[#This Row],[Producto]],T_Elementos[Producto],0),0)</f>
        <v>EUR</v>
      </c>
      <c r="H59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598" t="str">
        <f>T_Saldo[[#This Row],[Producto]] &amp; "-" &amp; DATE(YEAR(T_Saldo[[#This Row],[Fecha]]),MONTH(T_Saldo[[#This Row],[Fecha]]),DAY(T_Saldo[[#This Row],[Fecha]]))</f>
        <v>Bonos-45504</v>
      </c>
    </row>
    <row r="599" spans="1:10" x14ac:dyDescent="0.45">
      <c r="A599" s="15">
        <v>45504</v>
      </c>
      <c r="B599" t="s">
        <v>155</v>
      </c>
      <c r="C599">
        <f>T_Saldo[[#This Row],[Valor liquidativo]]*T_Saldo[[#This Row],[Participaciones]]</f>
        <v>15269.4382475</v>
      </c>
      <c r="D599" s="11">
        <f>T_Saldo[[#This Row],[Valor liquidativo (Moneda Extranjera)]]/T_Saldo[[#This Row],[Cambio]]</f>
        <v>61077.752990000001</v>
      </c>
      <c r="E599" s="13">
        <f>IF(ISERROR(MATCH(T_Saldo[[#This Row],[Producto]],T_Stocks[Ticker],0)),1,INDEX(T_Stocks[Close],MATCH(T_Saldo[[#This Row],[ID - Product - Fecha]],T_Stocks[ID],1),1))</f>
        <v>61077.752990000001</v>
      </c>
      <c r="F599" cm="1">
        <f t="array" ref="F599">IF(T_Saldo[[#This Row],[Divisa]]="USD",INDEX(T_USD_EUR[EURUSD],MATCH(T_Saldo[[#This Row],[Fecha]],T_USD_EUR[Fecha],1),0),1)</f>
        <v>1</v>
      </c>
      <c r="G599" t="str" cm="1">
        <f t="array" ref="G599">INDEX(T_Elementos[Divisa],MATCH(T_Saldo[[#This Row],[Producto]],T_Elementos[Producto],0),0)</f>
        <v>EUR</v>
      </c>
      <c r="H59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599" t="str">
        <f>T_Saldo[[#This Row],[Producto]] &amp; "-" &amp; DATE(YEAR(T_Saldo[[#This Row],[Fecha]]),MONTH(T_Saldo[[#This Row],[Fecha]]),DAY(T_Saldo[[#This Row],[Fecha]]))</f>
        <v>BTCEUR-45504</v>
      </c>
    </row>
    <row r="600" spans="1:10" x14ac:dyDescent="0.45">
      <c r="A600" s="15">
        <v>45504</v>
      </c>
      <c r="B600" t="s">
        <v>46</v>
      </c>
      <c r="C600">
        <f>T_Saldo[[#This Row],[Valor liquidativo]]*T_Saldo[[#This Row],[Participaciones]]</f>
        <v>41283.699999999997</v>
      </c>
      <c r="D600" s="11">
        <f>T_Saldo[[#This Row],[Valor liquidativo (Moneda Extranjera)]]/T_Saldo[[#This Row],[Cambio]]</f>
        <v>1</v>
      </c>
      <c r="E600" s="13">
        <f>IF(ISERROR(MATCH(T_Saldo[[#This Row],[Producto]],T_Stocks[Ticker],0)),1,INDEX(T_Stocks[Close],MATCH(T_Saldo[[#This Row],[ID - Product - Fecha]],T_Stocks[ID],1),1))</f>
        <v>1</v>
      </c>
      <c r="F600" cm="1">
        <f t="array" ref="F600">IF(T_Saldo[[#This Row],[Divisa]]="USD",INDEX(T_USD_EUR[EURUSD],MATCH(T_Saldo[[#This Row],[Fecha]],T_USD_EUR[Fecha],1),0),1)</f>
        <v>1</v>
      </c>
      <c r="G600" t="str" cm="1">
        <f t="array" ref="G600">INDEX(T_Elementos[Divisa],MATCH(T_Saldo[[#This Row],[Producto]],T_Elementos[Producto],0),0)</f>
        <v>EUR</v>
      </c>
      <c r="H60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41283.699999999997</v>
      </c>
      <c r="J600" t="str">
        <f>T_Saldo[[#This Row],[Producto]] &amp; "-" &amp; DATE(YEAR(T_Saldo[[#This Row],[Fecha]]),MONTH(T_Saldo[[#This Row],[Fecha]]),DAY(T_Saldo[[#This Row],[Fecha]]))</f>
        <v>CA 1-45504</v>
      </c>
    </row>
    <row r="601" spans="1:10" x14ac:dyDescent="0.45">
      <c r="A601" s="15">
        <v>45504</v>
      </c>
      <c r="B601" t="s">
        <v>10</v>
      </c>
      <c r="C601">
        <f>T_Saldo[[#This Row],[Valor liquidativo]]*T_Saldo[[#This Row],[Participaciones]]</f>
        <v>22586.94</v>
      </c>
      <c r="D601" s="11">
        <f>T_Saldo[[#This Row],[Valor liquidativo (Moneda Extranjera)]]/T_Saldo[[#This Row],[Cambio]]</f>
        <v>1</v>
      </c>
      <c r="E601" s="13">
        <f>IF(ISERROR(MATCH(T_Saldo[[#This Row],[Producto]],T_Stocks[Ticker],0)),1,INDEX(T_Stocks[Close],MATCH(T_Saldo[[#This Row],[ID - Product - Fecha]],T_Stocks[ID],1),1))</f>
        <v>1</v>
      </c>
      <c r="F601" cm="1">
        <f t="array" ref="F601">IF(T_Saldo[[#This Row],[Divisa]]="USD",INDEX(T_USD_EUR[EURUSD],MATCH(T_Saldo[[#This Row],[Fecha]],T_USD_EUR[Fecha],1),0),1)</f>
        <v>1</v>
      </c>
      <c r="G601" t="str" cm="1">
        <f t="array" ref="G601">INDEX(T_Elementos[Divisa],MATCH(T_Saldo[[#This Row],[Producto]],T_Elementos[Producto],0),0)</f>
        <v>EUR</v>
      </c>
      <c r="H60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22586.94</v>
      </c>
      <c r="J601" t="str">
        <f>T_Saldo[[#This Row],[Producto]] &amp; "-" &amp; DATE(YEAR(T_Saldo[[#This Row],[Fecha]]),MONTH(T_Saldo[[#This Row],[Fecha]]),DAY(T_Saldo[[#This Row],[Fecha]]))</f>
        <v>CC 1-45504</v>
      </c>
    </row>
    <row r="602" spans="1:10" x14ac:dyDescent="0.45">
      <c r="A602" s="15">
        <v>45504</v>
      </c>
      <c r="B602" t="s">
        <v>49</v>
      </c>
      <c r="C602">
        <f>T_Saldo[[#This Row],[Valor liquidativo]]*T_Saldo[[#This Row],[Participaciones]]</f>
        <v>24827.700000000008</v>
      </c>
      <c r="D602" s="11">
        <f>T_Saldo[[#This Row],[Valor liquidativo (Moneda Extranjera)]]/T_Saldo[[#This Row],[Cambio]]</f>
        <v>1</v>
      </c>
      <c r="E602" s="13">
        <f>IF(ISERROR(MATCH(T_Saldo[[#This Row],[Producto]],T_Stocks[Ticker],0)),1,INDEX(T_Stocks[Close],MATCH(T_Saldo[[#This Row],[ID - Product - Fecha]],T_Stocks[ID],1),1))</f>
        <v>1</v>
      </c>
      <c r="F602" cm="1">
        <f t="array" ref="F602">IF(T_Saldo[[#This Row],[Divisa]]="USD",INDEX(T_USD_EUR[EURUSD],MATCH(T_Saldo[[#This Row],[Fecha]],T_USD_EUR[Fecha],1),0),1)</f>
        <v>1</v>
      </c>
      <c r="G602" t="str" cm="1">
        <f t="array" ref="G602">INDEX(T_Elementos[Divisa],MATCH(T_Saldo[[#This Row],[Producto]],T_Elementos[Producto],0),0)</f>
        <v>EUR</v>
      </c>
      <c r="H60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24827.700000000008</v>
      </c>
      <c r="J602" t="str">
        <f>T_Saldo[[#This Row],[Producto]] &amp; "-" &amp; DATE(YEAR(T_Saldo[[#This Row],[Fecha]]),MONTH(T_Saldo[[#This Row],[Fecha]]),DAY(T_Saldo[[#This Row],[Fecha]]))</f>
        <v>CC 2-45504</v>
      </c>
    </row>
    <row r="603" spans="1:10" x14ac:dyDescent="0.45">
      <c r="A603" s="15">
        <v>45504</v>
      </c>
      <c r="B603" t="s">
        <v>41</v>
      </c>
      <c r="C603">
        <f>T_Saldo[[#This Row],[Valor liquidativo]]*T_Saldo[[#This Row],[Participaciones]]</f>
        <v>19321.494750000002</v>
      </c>
      <c r="D603" s="11">
        <f>T_Saldo[[#This Row],[Valor liquidativo (Moneda Extranjera)]]/T_Saldo[[#This Row],[Cambio]]</f>
        <v>386.42989500000004</v>
      </c>
      <c r="E603" s="13">
        <f>IF(ISERROR(MATCH(T_Saldo[[#This Row],[Producto]],T_Stocks[Ticker],0)),1,INDEX(T_Stocks[Close],MATCH(T_Saldo[[#This Row],[ID - Product - Fecha]],T_Stocks[ID],1),1))</f>
        <v>418.35</v>
      </c>
      <c r="F603" cm="1">
        <f t="array" ref="F603">IF(T_Saldo[[#This Row],[Divisa]]="USD",INDEX(T_USD_EUR[EURUSD],MATCH(T_Saldo[[#This Row],[Fecha]],T_USD_EUR[Fecha],1),0),1)</f>
        <v>1.0826025765941323</v>
      </c>
      <c r="G603" t="str" cm="1">
        <f t="array" ref="G603">INDEX(T_Elementos[Divisa],MATCH(T_Saldo[[#This Row],[Producto]],T_Elementos[Producto],0),0)</f>
        <v>USD</v>
      </c>
      <c r="H60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603" t="str">
        <f>T_Saldo[[#This Row],[Producto]] &amp; "-" &amp; DATE(YEAR(T_Saldo[[#This Row],[Fecha]]),MONTH(T_Saldo[[#This Row],[Fecha]]),DAY(T_Saldo[[#This Row],[Fecha]]))</f>
        <v>MSFT-45504</v>
      </c>
    </row>
    <row r="604" spans="1:10" x14ac:dyDescent="0.45">
      <c r="A604" s="15">
        <v>45504</v>
      </c>
      <c r="B604" t="s">
        <v>51</v>
      </c>
      <c r="C604">
        <f>T_Saldo[[#This Row],[Valor liquidativo]]*T_Saldo[[#This Row],[Participaciones]]</f>
        <v>17997.370800000001</v>
      </c>
      <c r="D604" s="11">
        <f>T_Saldo[[#This Row],[Valor liquidativo (Moneda Extranjera)]]/T_Saldo[[#This Row],[Cambio]]</f>
        <v>89.986854000000008</v>
      </c>
      <c r="E604" s="13">
        <f>IF(ISERROR(MATCH(T_Saldo[[#This Row],[Producto]],T_Stocks[Ticker],0)),1,INDEX(T_Stocks[Close],MATCH(T_Saldo[[#This Row],[ID - Product - Fecha]],T_Stocks[ID],1),1))</f>
        <v>97.42</v>
      </c>
      <c r="F604" cm="1">
        <f t="array" ref="F604">IF(T_Saldo[[#This Row],[Divisa]]="USD",INDEX(T_USD_EUR[EURUSD],MATCH(T_Saldo[[#This Row],[Fecha]],T_USD_EUR[Fecha],1),0),1)</f>
        <v>1.0826025765941323</v>
      </c>
      <c r="G604" t="str" cm="1">
        <f t="array" ref="G604">INDEX(T_Elementos[Divisa],MATCH(T_Saldo[[#This Row],[Producto]],T_Elementos[Producto],0),0)</f>
        <v>USD</v>
      </c>
      <c r="H60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04" t="str">
        <f>T_Saldo[[#This Row],[Producto]] &amp; "-" &amp; DATE(YEAR(T_Saldo[[#This Row],[Fecha]]),MONTH(T_Saldo[[#This Row],[Fecha]]),DAY(T_Saldo[[#This Row],[Fecha]]))</f>
        <v>PRHSX-45504</v>
      </c>
    </row>
    <row r="605" spans="1:10" x14ac:dyDescent="0.45">
      <c r="A605" s="15">
        <v>45504</v>
      </c>
      <c r="B605" t="s">
        <v>32</v>
      </c>
      <c r="C605">
        <f>T_Saldo[[#This Row],[Valor liquidativo]]*T_Saldo[[#This Row],[Participaciones]]</f>
        <v>12251.033099999999</v>
      </c>
      <c r="D605" s="11">
        <f>T_Saldo[[#This Row],[Valor liquidativo (Moneda Extranjera)]]/T_Saldo[[#This Row],[Cambio]]</f>
        <v>122.51033099999999</v>
      </c>
      <c r="E605" s="13">
        <f>IF(ISERROR(MATCH(T_Saldo[[#This Row],[Producto]],T_Stocks[Ticker],0)),1,INDEX(T_Stocks[Close],MATCH(T_Saldo[[#This Row],[ID - Product - Fecha]],T_Stocks[ID],1),1))</f>
        <v>132.63</v>
      </c>
      <c r="F605" cm="1">
        <f t="array" ref="F605">IF(T_Saldo[[#This Row],[Divisa]]="USD",INDEX(T_USD_EUR[EURUSD],MATCH(T_Saldo[[#This Row],[Fecha]],T_USD_EUR[Fecha],1),0),1)</f>
        <v>1.0826025765941323</v>
      </c>
      <c r="G605" t="str" cm="1">
        <f t="array" ref="G605">INDEX(T_Elementos[Divisa],MATCH(T_Saldo[[#This Row],[Producto]],T_Elementos[Producto],0),0)</f>
        <v>USD</v>
      </c>
      <c r="H60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05" t="str">
        <f>T_Saldo[[#This Row],[Producto]] &amp; "-" &amp; DATE(YEAR(T_Saldo[[#This Row],[Fecha]]),MONTH(T_Saldo[[#This Row],[Fecha]]),DAY(T_Saldo[[#This Row],[Fecha]]))</f>
        <v>VTSAX-45504</v>
      </c>
    </row>
    <row r="606" spans="1:10" x14ac:dyDescent="0.45">
      <c r="A606" s="15">
        <v>45535</v>
      </c>
      <c r="B606" t="s">
        <v>38</v>
      </c>
      <c r="C606">
        <f>T_Saldo[[#This Row],[Valor liquidativo]]*T_Saldo[[#This Row],[Participaciones]]</f>
        <v>17617.771499999999</v>
      </c>
      <c r="D606" s="11">
        <f>T_Saldo[[#This Row],[Valor liquidativo (Moneda Extranjera)]]/T_Saldo[[#This Row],[Cambio]]</f>
        <v>207.2679</v>
      </c>
      <c r="E606" s="13">
        <f>IF(ISERROR(MATCH(T_Saldo[[#This Row],[Producto]],T_Stocks[Ticker],0)),1,INDEX(T_Stocks[Close],MATCH(T_Saldo[[#This Row],[ID - Product - Fecha]],T_Stocks[ID],1),1))</f>
        <v>229</v>
      </c>
      <c r="F606" cm="1">
        <f t="array" ref="F606">IF(T_Saldo[[#This Row],[Divisa]]="USD",INDEX(T_USD_EUR[EURUSD],MATCH(T_Saldo[[#This Row],[Fecha]],T_USD_EUR[Fecha],1),0),1)</f>
        <v>1.1048502927853276</v>
      </c>
      <c r="G606" t="str" cm="1">
        <f t="array" ref="G606">INDEX(T_Elementos[Divisa],MATCH(T_Saldo[[#This Row],[Producto]],T_Elementos[Producto],0),0)</f>
        <v>USD</v>
      </c>
      <c r="H60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85</v>
      </c>
      <c r="J606" t="str">
        <f>T_Saldo[[#This Row],[Producto]] &amp; "-" &amp; DATE(YEAR(T_Saldo[[#This Row],[Fecha]]),MONTH(T_Saldo[[#This Row],[Fecha]]),DAY(T_Saldo[[#This Row],[Fecha]]))</f>
        <v>AAPL-45535</v>
      </c>
    </row>
    <row r="607" spans="1:10" x14ac:dyDescent="0.45">
      <c r="A607" s="15">
        <v>45535</v>
      </c>
      <c r="B607" t="s">
        <v>43</v>
      </c>
      <c r="C607">
        <f>T_Saldo[[#This Row],[Valor liquidativo]]*T_Saldo[[#This Row],[Participaciones]]</f>
        <v>6000</v>
      </c>
      <c r="D607" s="11">
        <f>T_Saldo[[#This Row],[Valor liquidativo (Moneda Extranjera)]]/T_Saldo[[#This Row],[Cambio]]</f>
        <v>2000</v>
      </c>
      <c r="E607" s="13">
        <f>IF(ISERROR(MATCH(T_Saldo[[#This Row],[Producto]],T_Stocks[Ticker],0)),1,INDEX(T_Stocks[Close],MATCH(T_Saldo[[#This Row],[ID - Product - Fecha]],T_Stocks[ID],1),1))</f>
        <v>2000</v>
      </c>
      <c r="F607" cm="1">
        <f t="array" ref="F607">IF(T_Saldo[[#This Row],[Divisa]]="USD",INDEX(T_USD_EUR[EURUSD],MATCH(T_Saldo[[#This Row],[Fecha]],T_USD_EUR[Fecha],1),0),1)</f>
        <v>1</v>
      </c>
      <c r="G607" t="str" cm="1">
        <f t="array" ref="G607">INDEX(T_Elementos[Divisa],MATCH(T_Saldo[[#This Row],[Producto]],T_Elementos[Producto],0),0)</f>
        <v>EUR</v>
      </c>
      <c r="H60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607" t="str">
        <f>T_Saldo[[#This Row],[Producto]] &amp; "-" &amp; DATE(YEAR(T_Saldo[[#This Row],[Fecha]]),MONTH(T_Saldo[[#This Row],[Fecha]]),DAY(T_Saldo[[#This Row],[Fecha]]))</f>
        <v>Bonos-45535</v>
      </c>
    </row>
    <row r="608" spans="1:10" x14ac:dyDescent="0.45">
      <c r="A608" s="15">
        <v>45535</v>
      </c>
      <c r="B608" t="s">
        <v>155</v>
      </c>
      <c r="C608">
        <f>T_Saldo[[#This Row],[Valor liquidativo]]*T_Saldo[[#This Row],[Participaciones]]</f>
        <v>13389.171120000001</v>
      </c>
      <c r="D608" s="11">
        <f>T_Saldo[[#This Row],[Valor liquidativo (Moneda Extranjera)]]/T_Saldo[[#This Row],[Cambio]]</f>
        <v>53556.684480000004</v>
      </c>
      <c r="E608" s="13">
        <f>IF(ISERROR(MATCH(T_Saldo[[#This Row],[Producto]],T_Stocks[Ticker],0)),1,INDEX(T_Stocks[Close],MATCH(T_Saldo[[#This Row],[ID - Product - Fecha]],T_Stocks[ID],1),1))</f>
        <v>53556.684480000004</v>
      </c>
      <c r="F608" cm="1">
        <f t="array" ref="F608">IF(T_Saldo[[#This Row],[Divisa]]="USD",INDEX(T_USD_EUR[EURUSD],MATCH(T_Saldo[[#This Row],[Fecha]],T_USD_EUR[Fecha],1),0),1)</f>
        <v>1</v>
      </c>
      <c r="G608" t="str" cm="1">
        <f t="array" ref="G608">INDEX(T_Elementos[Divisa],MATCH(T_Saldo[[#This Row],[Producto]],T_Elementos[Producto],0),0)</f>
        <v>EUR</v>
      </c>
      <c r="H60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608" t="str">
        <f>T_Saldo[[#This Row],[Producto]] &amp; "-" &amp; DATE(YEAR(T_Saldo[[#This Row],[Fecha]]),MONTH(T_Saldo[[#This Row],[Fecha]]),DAY(T_Saldo[[#This Row],[Fecha]]))</f>
        <v>BTCEUR-45535</v>
      </c>
    </row>
    <row r="609" spans="1:10" x14ac:dyDescent="0.45">
      <c r="A609" s="15">
        <v>45535</v>
      </c>
      <c r="B609" t="s">
        <v>46</v>
      </c>
      <c r="C609">
        <f>T_Saldo[[#This Row],[Valor liquidativo]]*T_Saldo[[#This Row],[Participaciones]]</f>
        <v>42925.779999999992</v>
      </c>
      <c r="D609" s="11">
        <f>T_Saldo[[#This Row],[Valor liquidativo (Moneda Extranjera)]]/T_Saldo[[#This Row],[Cambio]]</f>
        <v>1</v>
      </c>
      <c r="E609" s="13">
        <f>IF(ISERROR(MATCH(T_Saldo[[#This Row],[Producto]],T_Stocks[Ticker],0)),1,INDEX(T_Stocks[Close],MATCH(T_Saldo[[#This Row],[ID - Product - Fecha]],T_Stocks[ID],1),1))</f>
        <v>1</v>
      </c>
      <c r="F609" cm="1">
        <f t="array" ref="F609">IF(T_Saldo[[#This Row],[Divisa]]="USD",INDEX(T_USD_EUR[EURUSD],MATCH(T_Saldo[[#This Row],[Fecha]],T_USD_EUR[Fecha],1),0),1)</f>
        <v>1</v>
      </c>
      <c r="G609" t="str" cm="1">
        <f t="array" ref="G609">INDEX(T_Elementos[Divisa],MATCH(T_Saldo[[#This Row],[Producto]],T_Elementos[Producto],0),0)</f>
        <v>EUR</v>
      </c>
      <c r="H60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42925.779999999992</v>
      </c>
      <c r="J609" t="str">
        <f>T_Saldo[[#This Row],[Producto]] &amp; "-" &amp; DATE(YEAR(T_Saldo[[#This Row],[Fecha]]),MONTH(T_Saldo[[#This Row],[Fecha]]),DAY(T_Saldo[[#This Row],[Fecha]]))</f>
        <v>CA 1-45535</v>
      </c>
    </row>
    <row r="610" spans="1:10" x14ac:dyDescent="0.45">
      <c r="A610" s="15">
        <v>45535</v>
      </c>
      <c r="B610" t="s">
        <v>10</v>
      </c>
      <c r="C610">
        <f>T_Saldo[[#This Row],[Valor liquidativo]]*T_Saldo[[#This Row],[Participaciones]]</f>
        <v>22400.07</v>
      </c>
      <c r="D610" s="11">
        <f>T_Saldo[[#This Row],[Valor liquidativo (Moneda Extranjera)]]/T_Saldo[[#This Row],[Cambio]]</f>
        <v>1</v>
      </c>
      <c r="E610" s="13">
        <f>IF(ISERROR(MATCH(T_Saldo[[#This Row],[Producto]],T_Stocks[Ticker],0)),1,INDEX(T_Stocks[Close],MATCH(T_Saldo[[#This Row],[ID - Product - Fecha]],T_Stocks[ID],1),1))</f>
        <v>1</v>
      </c>
      <c r="F610" cm="1">
        <f t="array" ref="F610">IF(T_Saldo[[#This Row],[Divisa]]="USD",INDEX(T_USD_EUR[EURUSD],MATCH(T_Saldo[[#This Row],[Fecha]],T_USD_EUR[Fecha],1),0),1)</f>
        <v>1</v>
      </c>
      <c r="G610" t="str" cm="1">
        <f t="array" ref="G610">INDEX(T_Elementos[Divisa],MATCH(T_Saldo[[#This Row],[Producto]],T_Elementos[Producto],0),0)</f>
        <v>EUR</v>
      </c>
      <c r="H61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22400.07</v>
      </c>
      <c r="J610" t="str">
        <f>T_Saldo[[#This Row],[Producto]] &amp; "-" &amp; DATE(YEAR(T_Saldo[[#This Row],[Fecha]]),MONTH(T_Saldo[[#This Row],[Fecha]]),DAY(T_Saldo[[#This Row],[Fecha]]))</f>
        <v>CC 1-45535</v>
      </c>
    </row>
    <row r="611" spans="1:10" x14ac:dyDescent="0.45">
      <c r="A611" s="15">
        <v>45535</v>
      </c>
      <c r="B611" t="s">
        <v>49</v>
      </c>
      <c r="C611">
        <f>T_Saldo[[#This Row],[Valor liquidativo]]*T_Saldo[[#This Row],[Participaciones]]</f>
        <v>26642.830000000009</v>
      </c>
      <c r="D611" s="11">
        <f>T_Saldo[[#This Row],[Valor liquidativo (Moneda Extranjera)]]/T_Saldo[[#This Row],[Cambio]]</f>
        <v>1</v>
      </c>
      <c r="E611" s="13">
        <f>IF(ISERROR(MATCH(T_Saldo[[#This Row],[Producto]],T_Stocks[Ticker],0)),1,INDEX(T_Stocks[Close],MATCH(T_Saldo[[#This Row],[ID - Product - Fecha]],T_Stocks[ID],1),1))</f>
        <v>1</v>
      </c>
      <c r="F611" cm="1">
        <f t="array" ref="F611">IF(T_Saldo[[#This Row],[Divisa]]="USD",INDEX(T_USD_EUR[EURUSD],MATCH(T_Saldo[[#This Row],[Fecha]],T_USD_EUR[Fecha],1),0),1)</f>
        <v>1</v>
      </c>
      <c r="G611" t="str" cm="1">
        <f t="array" ref="G611">INDEX(T_Elementos[Divisa],MATCH(T_Saldo[[#This Row],[Producto]],T_Elementos[Producto],0),0)</f>
        <v>EUR</v>
      </c>
      <c r="H61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26642.830000000009</v>
      </c>
      <c r="J611" t="str">
        <f>T_Saldo[[#This Row],[Producto]] &amp; "-" &amp; DATE(YEAR(T_Saldo[[#This Row],[Fecha]]),MONTH(T_Saldo[[#This Row],[Fecha]]),DAY(T_Saldo[[#This Row],[Fecha]]))</f>
        <v>CC 2-45535</v>
      </c>
    </row>
    <row r="612" spans="1:10" x14ac:dyDescent="0.45">
      <c r="A612" s="15">
        <v>45535</v>
      </c>
      <c r="B612" t="s">
        <v>41</v>
      </c>
      <c r="C612">
        <f>T_Saldo[[#This Row],[Valor liquidativo]]*T_Saldo[[#This Row],[Participaciones]]</f>
        <v>18877.670699999999</v>
      </c>
      <c r="D612" s="11">
        <f>T_Saldo[[#This Row],[Valor liquidativo (Moneda Extranjera)]]/T_Saldo[[#This Row],[Cambio]]</f>
        <v>377.55341399999998</v>
      </c>
      <c r="E612" s="13">
        <f>IF(ISERROR(MATCH(T_Saldo[[#This Row],[Producto]],T_Stocks[Ticker],0)),1,INDEX(T_Stocks[Close],MATCH(T_Saldo[[#This Row],[ID - Product - Fecha]],T_Stocks[ID],1),1))</f>
        <v>417.14</v>
      </c>
      <c r="F612" cm="1">
        <f t="array" ref="F612">IF(T_Saldo[[#This Row],[Divisa]]="USD",INDEX(T_USD_EUR[EURUSD],MATCH(T_Saldo[[#This Row],[Fecha]],T_USD_EUR[Fecha],1),0),1)</f>
        <v>1.1048502927853276</v>
      </c>
      <c r="G612" t="str" cm="1">
        <f t="array" ref="G612">INDEX(T_Elementos[Divisa],MATCH(T_Saldo[[#This Row],[Producto]],T_Elementos[Producto],0),0)</f>
        <v>USD</v>
      </c>
      <c r="H61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612" t="str">
        <f>T_Saldo[[#This Row],[Producto]] &amp; "-" &amp; DATE(YEAR(T_Saldo[[#This Row],[Fecha]]),MONTH(T_Saldo[[#This Row],[Fecha]]),DAY(T_Saldo[[#This Row],[Fecha]]))</f>
        <v>MSFT-45535</v>
      </c>
    </row>
    <row r="613" spans="1:10" x14ac:dyDescent="0.45">
      <c r="A613" s="15">
        <v>45535</v>
      </c>
      <c r="B613" t="s">
        <v>51</v>
      </c>
      <c r="C613">
        <f>T_Saldo[[#This Row],[Valor liquidativo]]*T_Saldo[[#This Row],[Participaciones]]</f>
        <v>18550.929599999999</v>
      </c>
      <c r="D613" s="11">
        <f>T_Saldo[[#This Row],[Valor liquidativo (Moneda Extranjera)]]/T_Saldo[[#This Row],[Cambio]]</f>
        <v>92.754648000000003</v>
      </c>
      <c r="E613" s="13">
        <f>IF(ISERROR(MATCH(T_Saldo[[#This Row],[Producto]],T_Stocks[Ticker],0)),1,INDEX(T_Stocks[Close],MATCH(T_Saldo[[#This Row],[ID - Product - Fecha]],T_Stocks[ID],1),1))</f>
        <v>102.48</v>
      </c>
      <c r="F613" cm="1">
        <f t="array" ref="F613">IF(T_Saldo[[#This Row],[Divisa]]="USD",INDEX(T_USD_EUR[EURUSD],MATCH(T_Saldo[[#This Row],[Fecha]],T_USD_EUR[Fecha],1),0),1)</f>
        <v>1.1048502927853276</v>
      </c>
      <c r="G613" t="str" cm="1">
        <f t="array" ref="G613">INDEX(T_Elementos[Divisa],MATCH(T_Saldo[[#This Row],[Producto]],T_Elementos[Producto],0),0)</f>
        <v>USD</v>
      </c>
      <c r="H61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13" t="str">
        <f>T_Saldo[[#This Row],[Producto]] &amp; "-" &amp; DATE(YEAR(T_Saldo[[#This Row],[Fecha]]),MONTH(T_Saldo[[#This Row],[Fecha]]),DAY(T_Saldo[[#This Row],[Fecha]]))</f>
        <v>PRHSX-45535</v>
      </c>
    </row>
    <row r="614" spans="1:10" x14ac:dyDescent="0.45">
      <c r="A614" s="15">
        <v>45535</v>
      </c>
      <c r="B614" t="s">
        <v>32</v>
      </c>
      <c r="C614">
        <f>T_Saldo[[#This Row],[Valor liquidativo]]*T_Saldo[[#This Row],[Participaciones]]</f>
        <v>12265.010099999998</v>
      </c>
      <c r="D614" s="11">
        <f>T_Saldo[[#This Row],[Valor liquidativo (Moneda Extranjera)]]/T_Saldo[[#This Row],[Cambio]]</f>
        <v>122.65010099999998</v>
      </c>
      <c r="E614" s="13">
        <f>IF(ISERROR(MATCH(T_Saldo[[#This Row],[Producto]],T_Stocks[Ticker],0)),1,INDEX(T_Stocks[Close],MATCH(T_Saldo[[#This Row],[ID - Product - Fecha]],T_Stocks[ID],1),1))</f>
        <v>135.51</v>
      </c>
      <c r="F614" cm="1">
        <f t="array" ref="F614">IF(T_Saldo[[#This Row],[Divisa]]="USD",INDEX(T_USD_EUR[EURUSD],MATCH(T_Saldo[[#This Row],[Fecha]],T_USD_EUR[Fecha],1),0),1)</f>
        <v>1.1048502927853276</v>
      </c>
      <c r="G614" t="str" cm="1">
        <f t="array" ref="G614">INDEX(T_Elementos[Divisa],MATCH(T_Saldo[[#This Row],[Producto]],T_Elementos[Producto],0),0)</f>
        <v>USD</v>
      </c>
      <c r="H61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14" t="str">
        <f>T_Saldo[[#This Row],[Producto]] &amp; "-" &amp; DATE(YEAR(T_Saldo[[#This Row],[Fecha]]),MONTH(T_Saldo[[#This Row],[Fecha]]),DAY(T_Saldo[[#This Row],[Fecha]]))</f>
        <v>VTSAX-45535</v>
      </c>
    </row>
    <row r="615" spans="1:10" x14ac:dyDescent="0.45">
      <c r="A615" s="15">
        <v>45565</v>
      </c>
      <c r="B615" t="s">
        <v>38</v>
      </c>
      <c r="C615">
        <f>T_Saldo[[#This Row],[Valor liquidativo]]*T_Saldo[[#This Row],[Participaciones]]</f>
        <v>19879.443499999998</v>
      </c>
      <c r="D615" s="11">
        <f>T_Saldo[[#This Row],[Valor liquidativo (Moneda Extranjera)]]/T_Saldo[[#This Row],[Cambio]]</f>
        <v>209.25729999999999</v>
      </c>
      <c r="E615" s="13">
        <f>IF(ISERROR(MATCH(T_Saldo[[#This Row],[Producto]],T_Stocks[Ticker],0)),1,INDEX(T_Stocks[Close],MATCH(T_Saldo[[#This Row],[ID - Product - Fecha]],T_Stocks[ID],1),1))</f>
        <v>233</v>
      </c>
      <c r="F615" cm="1">
        <f t="array" ref="F615">IF(T_Saldo[[#This Row],[Divisa]]="USD",INDEX(T_USD_EUR[EURUSD],MATCH(T_Saldo[[#This Row],[Fecha]],T_USD_EUR[Fecha],1),0),1)</f>
        <v>1.1134617525887986</v>
      </c>
      <c r="G615" t="str" cm="1">
        <f t="array" ref="G615">INDEX(T_Elementos[Divisa],MATCH(T_Saldo[[#This Row],[Producto]],T_Elementos[Producto],0),0)</f>
        <v>USD</v>
      </c>
      <c r="H61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95</v>
      </c>
      <c r="J615" t="str">
        <f>T_Saldo[[#This Row],[Producto]] &amp; "-" &amp; DATE(YEAR(T_Saldo[[#This Row],[Fecha]]),MONTH(T_Saldo[[#This Row],[Fecha]]),DAY(T_Saldo[[#This Row],[Fecha]]))</f>
        <v>AAPL-45565</v>
      </c>
    </row>
    <row r="616" spans="1:10" x14ac:dyDescent="0.45">
      <c r="A616" s="15">
        <v>45565</v>
      </c>
      <c r="B616" t="s">
        <v>43</v>
      </c>
      <c r="C616">
        <f>T_Saldo[[#This Row],[Valor liquidativo]]*T_Saldo[[#This Row],[Participaciones]]</f>
        <v>6000</v>
      </c>
      <c r="D616" s="11">
        <f>T_Saldo[[#This Row],[Valor liquidativo (Moneda Extranjera)]]/T_Saldo[[#This Row],[Cambio]]</f>
        <v>2000</v>
      </c>
      <c r="E616" s="13">
        <f>IF(ISERROR(MATCH(T_Saldo[[#This Row],[Producto]],T_Stocks[Ticker],0)),1,INDEX(T_Stocks[Close],MATCH(T_Saldo[[#This Row],[ID - Product - Fecha]],T_Stocks[ID],1),1))</f>
        <v>2000</v>
      </c>
      <c r="F616" cm="1">
        <f t="array" ref="F616">IF(T_Saldo[[#This Row],[Divisa]]="USD",INDEX(T_USD_EUR[EURUSD],MATCH(T_Saldo[[#This Row],[Fecha]],T_USD_EUR[Fecha],1),0),1)</f>
        <v>1</v>
      </c>
      <c r="G616" t="str" cm="1">
        <f t="array" ref="G616">INDEX(T_Elementos[Divisa],MATCH(T_Saldo[[#This Row],[Producto]],T_Elementos[Producto],0),0)</f>
        <v>EUR</v>
      </c>
      <c r="H61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616" t="str">
        <f>T_Saldo[[#This Row],[Producto]] &amp; "-" &amp; DATE(YEAR(T_Saldo[[#This Row],[Fecha]]),MONTH(T_Saldo[[#This Row],[Fecha]]),DAY(T_Saldo[[#This Row],[Fecha]]))</f>
        <v>Bonos-45565</v>
      </c>
    </row>
    <row r="617" spans="1:10" x14ac:dyDescent="0.45">
      <c r="A617" s="15">
        <v>45565</v>
      </c>
      <c r="B617" t="s">
        <v>155</v>
      </c>
      <c r="C617">
        <f>T_Saldo[[#This Row],[Valor liquidativo]]*T_Saldo[[#This Row],[Participaciones]]</f>
        <v>14489.209225000001</v>
      </c>
      <c r="D617" s="11">
        <f>T_Saldo[[#This Row],[Valor liquidativo (Moneda Extranjera)]]/T_Saldo[[#This Row],[Cambio]]</f>
        <v>57956.836900000002</v>
      </c>
      <c r="E617" s="13">
        <f>IF(ISERROR(MATCH(T_Saldo[[#This Row],[Producto]],T_Stocks[Ticker],0)),1,INDEX(T_Stocks[Close],MATCH(T_Saldo[[#This Row],[ID - Product - Fecha]],T_Stocks[ID],1),1))</f>
        <v>57956.836900000002</v>
      </c>
      <c r="F617" cm="1">
        <f t="array" ref="F617">IF(T_Saldo[[#This Row],[Divisa]]="USD",INDEX(T_USD_EUR[EURUSD],MATCH(T_Saldo[[#This Row],[Fecha]],T_USD_EUR[Fecha],1),0),1)</f>
        <v>1</v>
      </c>
      <c r="G617" t="str" cm="1">
        <f t="array" ref="G617">INDEX(T_Elementos[Divisa],MATCH(T_Saldo[[#This Row],[Producto]],T_Elementos[Producto],0),0)</f>
        <v>EUR</v>
      </c>
      <c r="H61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617" t="str">
        <f>T_Saldo[[#This Row],[Producto]] &amp; "-" &amp; DATE(YEAR(T_Saldo[[#This Row],[Fecha]]),MONTH(T_Saldo[[#This Row],[Fecha]]),DAY(T_Saldo[[#This Row],[Fecha]]))</f>
        <v>BTCEUR-45565</v>
      </c>
    </row>
    <row r="618" spans="1:10" x14ac:dyDescent="0.45">
      <c r="A618" s="15">
        <v>45565</v>
      </c>
      <c r="B618" t="s">
        <v>46</v>
      </c>
      <c r="C618">
        <f>T_Saldo[[#This Row],[Valor liquidativo]]*T_Saldo[[#This Row],[Participaciones]]</f>
        <v>42899.119999999988</v>
      </c>
      <c r="D618" s="11">
        <f>T_Saldo[[#This Row],[Valor liquidativo (Moneda Extranjera)]]/T_Saldo[[#This Row],[Cambio]]</f>
        <v>1</v>
      </c>
      <c r="E618" s="13">
        <f>IF(ISERROR(MATCH(T_Saldo[[#This Row],[Producto]],T_Stocks[Ticker],0)),1,INDEX(T_Stocks[Close],MATCH(T_Saldo[[#This Row],[ID - Product - Fecha]],T_Stocks[ID],1),1))</f>
        <v>1</v>
      </c>
      <c r="F618" cm="1">
        <f t="array" ref="F618">IF(T_Saldo[[#This Row],[Divisa]]="USD",INDEX(T_USD_EUR[EURUSD],MATCH(T_Saldo[[#This Row],[Fecha]],T_USD_EUR[Fecha],1),0),1)</f>
        <v>1</v>
      </c>
      <c r="G618" t="str" cm="1">
        <f t="array" ref="G618">INDEX(T_Elementos[Divisa],MATCH(T_Saldo[[#This Row],[Producto]],T_Elementos[Producto],0),0)</f>
        <v>EUR</v>
      </c>
      <c r="H61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42899.119999999988</v>
      </c>
      <c r="J618" t="str">
        <f>T_Saldo[[#This Row],[Producto]] &amp; "-" &amp; DATE(YEAR(T_Saldo[[#This Row],[Fecha]]),MONTH(T_Saldo[[#This Row],[Fecha]]),DAY(T_Saldo[[#This Row],[Fecha]]))</f>
        <v>CA 1-45565</v>
      </c>
    </row>
    <row r="619" spans="1:10" x14ac:dyDescent="0.45">
      <c r="A619" s="15">
        <v>45565</v>
      </c>
      <c r="B619" t="s">
        <v>10</v>
      </c>
      <c r="C619">
        <f>T_Saldo[[#This Row],[Valor liquidativo]]*T_Saldo[[#This Row],[Participaciones]]</f>
        <v>24111.01</v>
      </c>
      <c r="D619" s="11">
        <f>T_Saldo[[#This Row],[Valor liquidativo (Moneda Extranjera)]]/T_Saldo[[#This Row],[Cambio]]</f>
        <v>1</v>
      </c>
      <c r="E619" s="13">
        <f>IF(ISERROR(MATCH(T_Saldo[[#This Row],[Producto]],T_Stocks[Ticker],0)),1,INDEX(T_Stocks[Close],MATCH(T_Saldo[[#This Row],[ID - Product - Fecha]],T_Stocks[ID],1),1))</f>
        <v>1</v>
      </c>
      <c r="F619" cm="1">
        <f t="array" ref="F619">IF(T_Saldo[[#This Row],[Divisa]]="USD",INDEX(T_USD_EUR[EURUSD],MATCH(T_Saldo[[#This Row],[Fecha]],T_USD_EUR[Fecha],1),0),1)</f>
        <v>1</v>
      </c>
      <c r="G619" t="str" cm="1">
        <f t="array" ref="G619">INDEX(T_Elementos[Divisa],MATCH(T_Saldo[[#This Row],[Producto]],T_Elementos[Producto],0),0)</f>
        <v>EUR</v>
      </c>
      <c r="H61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24111.01</v>
      </c>
      <c r="J619" t="str">
        <f>T_Saldo[[#This Row],[Producto]] &amp; "-" &amp; DATE(YEAR(T_Saldo[[#This Row],[Fecha]]),MONTH(T_Saldo[[#This Row],[Fecha]]),DAY(T_Saldo[[#This Row],[Fecha]]))</f>
        <v>CC 1-45565</v>
      </c>
    </row>
    <row r="620" spans="1:10" x14ac:dyDescent="0.45">
      <c r="A620" s="15">
        <v>45565</v>
      </c>
      <c r="B620" t="s">
        <v>49</v>
      </c>
      <c r="C620">
        <f>T_Saldo[[#This Row],[Valor liquidativo]]*T_Saldo[[#This Row],[Participaciones]]</f>
        <v>29312.020000000011</v>
      </c>
      <c r="D620" s="11">
        <f>T_Saldo[[#This Row],[Valor liquidativo (Moneda Extranjera)]]/T_Saldo[[#This Row],[Cambio]]</f>
        <v>1</v>
      </c>
      <c r="E620" s="13">
        <f>IF(ISERROR(MATCH(T_Saldo[[#This Row],[Producto]],T_Stocks[Ticker],0)),1,INDEX(T_Stocks[Close],MATCH(T_Saldo[[#This Row],[ID - Product - Fecha]],T_Stocks[ID],1),1))</f>
        <v>1</v>
      </c>
      <c r="F620" cm="1">
        <f t="array" ref="F620">IF(T_Saldo[[#This Row],[Divisa]]="USD",INDEX(T_USD_EUR[EURUSD],MATCH(T_Saldo[[#This Row],[Fecha]],T_USD_EUR[Fecha],1),0),1)</f>
        <v>1</v>
      </c>
      <c r="G620" t="str" cm="1">
        <f t="array" ref="G620">INDEX(T_Elementos[Divisa],MATCH(T_Saldo[[#This Row],[Producto]],T_Elementos[Producto],0),0)</f>
        <v>EUR</v>
      </c>
      <c r="H62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29312.020000000011</v>
      </c>
      <c r="J620" t="str">
        <f>T_Saldo[[#This Row],[Producto]] &amp; "-" &amp; DATE(YEAR(T_Saldo[[#This Row],[Fecha]]),MONTH(T_Saldo[[#This Row],[Fecha]]),DAY(T_Saldo[[#This Row],[Fecha]]))</f>
        <v>CC 2-45565</v>
      </c>
    </row>
    <row r="621" spans="1:10" x14ac:dyDescent="0.45">
      <c r="A621" s="15">
        <v>45565</v>
      </c>
      <c r="B621" t="s">
        <v>41</v>
      </c>
      <c r="C621">
        <f>T_Saldo[[#This Row],[Valor liquidativo]]*T_Saldo[[#This Row],[Participaciones]]</f>
        <v>19322.621500000001</v>
      </c>
      <c r="D621" s="11">
        <f>T_Saldo[[#This Row],[Valor liquidativo (Moneda Extranjera)]]/T_Saldo[[#This Row],[Cambio]]</f>
        <v>386.45242999999999</v>
      </c>
      <c r="E621" s="13">
        <f>IF(ISERROR(MATCH(T_Saldo[[#This Row],[Producto]],T_Stocks[Ticker],0)),1,INDEX(T_Stocks[Close],MATCH(T_Saldo[[#This Row],[ID - Product - Fecha]],T_Stocks[ID],1),1))</f>
        <v>430.3</v>
      </c>
      <c r="F621" cm="1">
        <f t="array" ref="F621">IF(T_Saldo[[#This Row],[Divisa]]="USD",INDEX(T_USD_EUR[EURUSD],MATCH(T_Saldo[[#This Row],[Fecha]],T_USD_EUR[Fecha],1),0),1)</f>
        <v>1.1134617525887986</v>
      </c>
      <c r="G621" t="str" cm="1">
        <f t="array" ref="G621">INDEX(T_Elementos[Divisa],MATCH(T_Saldo[[#This Row],[Producto]],T_Elementos[Producto],0),0)</f>
        <v>USD</v>
      </c>
      <c r="H62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50</v>
      </c>
      <c r="J621" t="str">
        <f>T_Saldo[[#This Row],[Producto]] &amp; "-" &amp; DATE(YEAR(T_Saldo[[#This Row],[Fecha]]),MONTH(T_Saldo[[#This Row],[Fecha]]),DAY(T_Saldo[[#This Row],[Fecha]]))</f>
        <v>MSFT-45565</v>
      </c>
    </row>
    <row r="622" spans="1:10" x14ac:dyDescent="0.45">
      <c r="A622" s="15">
        <v>45565</v>
      </c>
      <c r="B622" t="s">
        <v>51</v>
      </c>
      <c r="C622">
        <f>T_Saldo[[#This Row],[Valor liquidativo]]*T_Saldo[[#This Row],[Participaciones]]</f>
        <v>18048.217599999996</v>
      </c>
      <c r="D622" s="11">
        <f>T_Saldo[[#This Row],[Valor liquidativo (Moneda Extranjera)]]/T_Saldo[[#This Row],[Cambio]]</f>
        <v>90.241087999999991</v>
      </c>
      <c r="E622" s="13">
        <f>IF(ISERROR(MATCH(T_Saldo[[#This Row],[Producto]],T_Stocks[Ticker],0)),1,INDEX(T_Stocks[Close],MATCH(T_Saldo[[#This Row],[ID - Product - Fecha]],T_Stocks[ID],1),1))</f>
        <v>100.48</v>
      </c>
      <c r="F622" cm="1">
        <f t="array" ref="F622">IF(T_Saldo[[#This Row],[Divisa]]="USD",INDEX(T_USD_EUR[EURUSD],MATCH(T_Saldo[[#This Row],[Fecha]],T_USD_EUR[Fecha],1),0),1)</f>
        <v>1.1134617525887986</v>
      </c>
      <c r="G622" t="str" cm="1">
        <f t="array" ref="G622">INDEX(T_Elementos[Divisa],MATCH(T_Saldo[[#This Row],[Producto]],T_Elementos[Producto],0),0)</f>
        <v>USD</v>
      </c>
      <c r="H62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22" t="str">
        <f>T_Saldo[[#This Row],[Producto]] &amp; "-" &amp; DATE(YEAR(T_Saldo[[#This Row],[Fecha]]),MONTH(T_Saldo[[#This Row],[Fecha]]),DAY(T_Saldo[[#This Row],[Fecha]]))</f>
        <v>PRHSX-45565</v>
      </c>
    </row>
    <row r="623" spans="1:10" x14ac:dyDescent="0.45">
      <c r="A623" s="15">
        <v>45565</v>
      </c>
      <c r="B623" t="s">
        <v>32</v>
      </c>
      <c r="C623">
        <f>T_Saldo[[#This Row],[Valor liquidativo]]*T_Saldo[[#This Row],[Participaciones]]</f>
        <v>12381.2066</v>
      </c>
      <c r="D623" s="11">
        <f>T_Saldo[[#This Row],[Valor liquidativo (Moneda Extranjera)]]/T_Saldo[[#This Row],[Cambio]]</f>
        <v>123.812066</v>
      </c>
      <c r="E623" s="13">
        <f>IF(ISERROR(MATCH(T_Saldo[[#This Row],[Producto]],T_Stocks[Ticker],0)),1,INDEX(T_Stocks[Close],MATCH(T_Saldo[[#This Row],[ID - Product - Fecha]],T_Stocks[ID],1),1))</f>
        <v>137.86000000000001</v>
      </c>
      <c r="F623" cm="1">
        <f t="array" ref="F623">IF(T_Saldo[[#This Row],[Divisa]]="USD",INDEX(T_USD_EUR[EURUSD],MATCH(T_Saldo[[#This Row],[Fecha]],T_USD_EUR[Fecha],1),0),1)</f>
        <v>1.1134617525887986</v>
      </c>
      <c r="G623" t="str" cm="1">
        <f t="array" ref="G623">INDEX(T_Elementos[Divisa],MATCH(T_Saldo[[#This Row],[Producto]],T_Elementos[Producto],0),0)</f>
        <v>USD</v>
      </c>
      <c r="H62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23" t="str">
        <f>T_Saldo[[#This Row],[Producto]] &amp; "-" &amp; DATE(YEAR(T_Saldo[[#This Row],[Fecha]]),MONTH(T_Saldo[[#This Row],[Fecha]]),DAY(T_Saldo[[#This Row],[Fecha]]))</f>
        <v>VTSAX-45565</v>
      </c>
    </row>
    <row r="624" spans="1:10" x14ac:dyDescent="0.45">
      <c r="A624" s="15">
        <v>45596</v>
      </c>
      <c r="B624" t="s">
        <v>38</v>
      </c>
      <c r="C624">
        <f>T_Saldo[[#This Row],[Valor liquidativo]]*T_Saldo[[#This Row],[Participaciones]]</f>
        <v>19718.780259999996</v>
      </c>
      <c r="D624" s="11">
        <f>T_Saldo[[#This Row],[Valor liquidativo (Moneda Extranjera)]]/T_Saldo[[#This Row],[Cambio]]</f>
        <v>207.56610799999996</v>
      </c>
      <c r="E624" s="13">
        <f>IF(ISERROR(MATCH(T_Saldo[[#This Row],[Producto]],T_Stocks[Ticker],0)),1,INDEX(T_Stocks[Close],MATCH(T_Saldo[[#This Row],[ID - Product - Fecha]],T_Stocks[ID],1),1))</f>
        <v>225.91</v>
      </c>
      <c r="F624" cm="1">
        <f t="array" ref="F624">IF(T_Saldo[[#This Row],[Divisa]]="USD",INDEX(T_USD_EUR[EURUSD],MATCH(T_Saldo[[#This Row],[Fecha]],T_USD_EUR[Fecha],1),0),1)</f>
        <v>1.0883761427949501</v>
      </c>
      <c r="G624" t="str" cm="1">
        <f t="array" ref="G624">INDEX(T_Elementos[Divisa],MATCH(T_Saldo[[#This Row],[Producto]],T_Elementos[Producto],0),0)</f>
        <v>USD</v>
      </c>
      <c r="H62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95</v>
      </c>
      <c r="J624" t="str">
        <f>T_Saldo[[#This Row],[Producto]] &amp; "-" &amp; DATE(YEAR(T_Saldo[[#This Row],[Fecha]]),MONTH(T_Saldo[[#This Row],[Fecha]]),DAY(T_Saldo[[#This Row],[Fecha]]))</f>
        <v>AAPL-45596</v>
      </c>
    </row>
    <row r="625" spans="1:10" x14ac:dyDescent="0.45">
      <c r="A625" s="15">
        <v>45596</v>
      </c>
      <c r="B625" t="s">
        <v>43</v>
      </c>
      <c r="C625">
        <f>T_Saldo[[#This Row],[Valor liquidativo]]*T_Saldo[[#This Row],[Participaciones]]</f>
        <v>6000</v>
      </c>
      <c r="D625" s="11">
        <f>T_Saldo[[#This Row],[Valor liquidativo (Moneda Extranjera)]]/T_Saldo[[#This Row],[Cambio]]</f>
        <v>2000</v>
      </c>
      <c r="E625" s="13">
        <f>IF(ISERROR(MATCH(T_Saldo[[#This Row],[Producto]],T_Stocks[Ticker],0)),1,INDEX(T_Stocks[Close],MATCH(T_Saldo[[#This Row],[ID - Product - Fecha]],T_Stocks[ID],1),1))</f>
        <v>2000</v>
      </c>
      <c r="F625" cm="1">
        <f t="array" ref="F625">IF(T_Saldo[[#This Row],[Divisa]]="USD",INDEX(T_USD_EUR[EURUSD],MATCH(T_Saldo[[#This Row],[Fecha]],T_USD_EUR[Fecha],1),0),1)</f>
        <v>1</v>
      </c>
      <c r="G625" t="str" cm="1">
        <f t="array" ref="G625">INDEX(T_Elementos[Divisa],MATCH(T_Saldo[[#This Row],[Producto]],T_Elementos[Producto],0),0)</f>
        <v>EUR</v>
      </c>
      <c r="H62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625" t="str">
        <f>T_Saldo[[#This Row],[Producto]] &amp; "-" &amp; DATE(YEAR(T_Saldo[[#This Row],[Fecha]]),MONTH(T_Saldo[[#This Row],[Fecha]]),DAY(T_Saldo[[#This Row],[Fecha]]))</f>
        <v>Bonos-45596</v>
      </c>
    </row>
    <row r="626" spans="1:10" x14ac:dyDescent="0.45">
      <c r="A626" s="15">
        <v>45596</v>
      </c>
      <c r="B626" t="s">
        <v>155</v>
      </c>
      <c r="C626">
        <f>T_Saldo[[#This Row],[Valor liquidativo]]*T_Saldo[[#This Row],[Participaciones]]</f>
        <v>16609.969037499999</v>
      </c>
      <c r="D626" s="11">
        <f>T_Saldo[[#This Row],[Valor liquidativo (Moneda Extranjera)]]/T_Saldo[[#This Row],[Cambio]]</f>
        <v>66439.876149999996</v>
      </c>
      <c r="E626" s="13">
        <f>IF(ISERROR(MATCH(T_Saldo[[#This Row],[Producto]],T_Stocks[Ticker],0)),1,INDEX(T_Stocks[Close],MATCH(T_Saldo[[#This Row],[ID - Product - Fecha]],T_Stocks[ID],1),1))</f>
        <v>66439.876149999996</v>
      </c>
      <c r="F626" cm="1">
        <f t="array" ref="F626">IF(T_Saldo[[#This Row],[Divisa]]="USD",INDEX(T_USD_EUR[EURUSD],MATCH(T_Saldo[[#This Row],[Fecha]],T_USD_EUR[Fecha],1),0),1)</f>
        <v>1</v>
      </c>
      <c r="G626" t="str" cm="1">
        <f t="array" ref="G626">INDEX(T_Elementos[Divisa],MATCH(T_Saldo[[#This Row],[Producto]],T_Elementos[Producto],0),0)</f>
        <v>EUR</v>
      </c>
      <c r="H62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626" t="str">
        <f>T_Saldo[[#This Row],[Producto]] &amp; "-" &amp; DATE(YEAR(T_Saldo[[#This Row],[Fecha]]),MONTH(T_Saldo[[#This Row],[Fecha]]),DAY(T_Saldo[[#This Row],[Fecha]]))</f>
        <v>BTCEUR-45596</v>
      </c>
    </row>
    <row r="627" spans="1:10" x14ac:dyDescent="0.45">
      <c r="A627" s="15">
        <v>45596</v>
      </c>
      <c r="B627" t="s">
        <v>46</v>
      </c>
      <c r="C627">
        <f>T_Saldo[[#This Row],[Valor liquidativo]]*T_Saldo[[#This Row],[Participaciones]]</f>
        <v>42521.529999999984</v>
      </c>
      <c r="D627" s="11">
        <f>T_Saldo[[#This Row],[Valor liquidativo (Moneda Extranjera)]]/T_Saldo[[#This Row],[Cambio]]</f>
        <v>1</v>
      </c>
      <c r="E627" s="13">
        <f>IF(ISERROR(MATCH(T_Saldo[[#This Row],[Producto]],T_Stocks[Ticker],0)),1,INDEX(T_Stocks[Close],MATCH(T_Saldo[[#This Row],[ID - Product - Fecha]],T_Stocks[ID],1),1))</f>
        <v>1</v>
      </c>
      <c r="F627" cm="1">
        <f t="array" ref="F627">IF(T_Saldo[[#This Row],[Divisa]]="USD",INDEX(T_USD_EUR[EURUSD],MATCH(T_Saldo[[#This Row],[Fecha]],T_USD_EUR[Fecha],1),0),1)</f>
        <v>1</v>
      </c>
      <c r="G627" t="str" cm="1">
        <f t="array" ref="G627">INDEX(T_Elementos[Divisa],MATCH(T_Saldo[[#This Row],[Producto]],T_Elementos[Producto],0),0)</f>
        <v>EUR</v>
      </c>
      <c r="H62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42521.529999999984</v>
      </c>
      <c r="J627" t="str">
        <f>T_Saldo[[#This Row],[Producto]] &amp; "-" &amp; DATE(YEAR(T_Saldo[[#This Row],[Fecha]]),MONTH(T_Saldo[[#This Row],[Fecha]]),DAY(T_Saldo[[#This Row],[Fecha]]))</f>
        <v>CA 1-45596</v>
      </c>
    </row>
    <row r="628" spans="1:10" x14ac:dyDescent="0.45">
      <c r="A628" s="15">
        <v>45596</v>
      </c>
      <c r="B628" t="s">
        <v>10</v>
      </c>
      <c r="C628">
        <f>T_Saldo[[#This Row],[Valor liquidativo]]*T_Saldo[[#This Row],[Participaciones]]</f>
        <v>26335.1</v>
      </c>
      <c r="D628" s="11">
        <f>T_Saldo[[#This Row],[Valor liquidativo (Moneda Extranjera)]]/T_Saldo[[#This Row],[Cambio]]</f>
        <v>1</v>
      </c>
      <c r="E628" s="13">
        <f>IF(ISERROR(MATCH(T_Saldo[[#This Row],[Producto]],T_Stocks[Ticker],0)),1,INDEX(T_Stocks[Close],MATCH(T_Saldo[[#This Row],[ID - Product - Fecha]],T_Stocks[ID],1),1))</f>
        <v>1</v>
      </c>
      <c r="F628" cm="1">
        <f t="array" ref="F628">IF(T_Saldo[[#This Row],[Divisa]]="USD",INDEX(T_USD_EUR[EURUSD],MATCH(T_Saldo[[#This Row],[Fecha]],T_USD_EUR[Fecha],1),0),1)</f>
        <v>1</v>
      </c>
      <c r="G628" t="str" cm="1">
        <f t="array" ref="G628">INDEX(T_Elementos[Divisa],MATCH(T_Saldo[[#This Row],[Producto]],T_Elementos[Producto],0),0)</f>
        <v>EUR</v>
      </c>
      <c r="H62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26335.1</v>
      </c>
      <c r="J628" t="str">
        <f>T_Saldo[[#This Row],[Producto]] &amp; "-" &amp; DATE(YEAR(T_Saldo[[#This Row],[Fecha]]),MONTH(T_Saldo[[#This Row],[Fecha]]),DAY(T_Saldo[[#This Row],[Fecha]]))</f>
        <v>CC 1-45596</v>
      </c>
    </row>
    <row r="629" spans="1:10" x14ac:dyDescent="0.45">
      <c r="A629" s="15">
        <v>45596</v>
      </c>
      <c r="B629" t="s">
        <v>49</v>
      </c>
      <c r="C629">
        <f>T_Saldo[[#This Row],[Valor liquidativo]]*T_Saldo[[#This Row],[Participaciones]]</f>
        <v>31881.270000000011</v>
      </c>
      <c r="D629" s="11">
        <f>T_Saldo[[#This Row],[Valor liquidativo (Moneda Extranjera)]]/T_Saldo[[#This Row],[Cambio]]</f>
        <v>1</v>
      </c>
      <c r="E629" s="13">
        <f>IF(ISERROR(MATCH(T_Saldo[[#This Row],[Producto]],T_Stocks[Ticker],0)),1,INDEX(T_Stocks[Close],MATCH(T_Saldo[[#This Row],[ID - Product - Fecha]],T_Stocks[ID],1),1))</f>
        <v>1</v>
      </c>
      <c r="F629" cm="1">
        <f t="array" ref="F629">IF(T_Saldo[[#This Row],[Divisa]]="USD",INDEX(T_USD_EUR[EURUSD],MATCH(T_Saldo[[#This Row],[Fecha]],T_USD_EUR[Fecha],1),0),1)</f>
        <v>1</v>
      </c>
      <c r="G629" t="str" cm="1">
        <f t="array" ref="G629">INDEX(T_Elementos[Divisa],MATCH(T_Saldo[[#This Row],[Producto]],T_Elementos[Producto],0),0)</f>
        <v>EUR</v>
      </c>
      <c r="H62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31881.270000000011</v>
      </c>
      <c r="J629" t="str">
        <f>T_Saldo[[#This Row],[Producto]] &amp; "-" &amp; DATE(YEAR(T_Saldo[[#This Row],[Fecha]]),MONTH(T_Saldo[[#This Row],[Fecha]]),DAY(T_Saldo[[#This Row],[Fecha]]))</f>
        <v>CC 2-45596</v>
      </c>
    </row>
    <row r="630" spans="1:10" x14ac:dyDescent="0.45">
      <c r="A630" s="15">
        <v>45596</v>
      </c>
      <c r="B630" t="s">
        <v>41</v>
      </c>
      <c r="C630">
        <f>T_Saldo[[#This Row],[Valor liquidativo]]*T_Saldo[[#This Row],[Participaciones]]</f>
        <v>11200.6314</v>
      </c>
      <c r="D630" s="11">
        <f>T_Saldo[[#This Row],[Valor liquidativo (Moneda Extranjera)]]/T_Saldo[[#This Row],[Cambio]]</f>
        <v>373.35437999999999</v>
      </c>
      <c r="E630" s="13">
        <f>IF(ISERROR(MATCH(T_Saldo[[#This Row],[Producto]],T_Stocks[Ticker],0)),1,INDEX(T_Stocks[Close],MATCH(T_Saldo[[#This Row],[ID - Product - Fecha]],T_Stocks[ID],1),1))</f>
        <v>406.35</v>
      </c>
      <c r="F630" cm="1">
        <f t="array" ref="F630">IF(T_Saldo[[#This Row],[Divisa]]="USD",INDEX(T_USD_EUR[EURUSD],MATCH(T_Saldo[[#This Row],[Fecha]],T_USD_EUR[Fecha],1),0),1)</f>
        <v>1.0883761427949501</v>
      </c>
      <c r="G630" t="str" cm="1">
        <f t="array" ref="G630">INDEX(T_Elementos[Divisa],MATCH(T_Saldo[[#This Row],[Producto]],T_Elementos[Producto],0),0)</f>
        <v>USD</v>
      </c>
      <c r="H63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30</v>
      </c>
      <c r="J630" t="str">
        <f>T_Saldo[[#This Row],[Producto]] &amp; "-" &amp; DATE(YEAR(T_Saldo[[#This Row],[Fecha]]),MONTH(T_Saldo[[#This Row],[Fecha]]),DAY(T_Saldo[[#This Row],[Fecha]]))</f>
        <v>MSFT-45596</v>
      </c>
    </row>
    <row r="631" spans="1:10" x14ac:dyDescent="0.45">
      <c r="A631" s="15">
        <v>45596</v>
      </c>
      <c r="B631" t="s">
        <v>51</v>
      </c>
      <c r="C631">
        <f>T_Saldo[[#This Row],[Valor liquidativo]]*T_Saldo[[#This Row],[Participaciones]]</f>
        <v>17541.729599999995</v>
      </c>
      <c r="D631" s="11">
        <f>T_Saldo[[#This Row],[Valor liquidativo (Moneda Extranjera)]]/T_Saldo[[#This Row],[Cambio]]</f>
        <v>87.708647999999982</v>
      </c>
      <c r="E631" s="13">
        <f>IF(ISERROR(MATCH(T_Saldo[[#This Row],[Producto]],T_Stocks[Ticker],0)),1,INDEX(T_Stocks[Close],MATCH(T_Saldo[[#This Row],[ID - Product - Fecha]],T_Stocks[ID],1),1))</f>
        <v>95.46</v>
      </c>
      <c r="F631" cm="1">
        <f t="array" ref="F631">IF(T_Saldo[[#This Row],[Divisa]]="USD",INDEX(T_USD_EUR[EURUSD],MATCH(T_Saldo[[#This Row],[Fecha]],T_USD_EUR[Fecha],1),0),1)</f>
        <v>1.0883761427949501</v>
      </c>
      <c r="G631" t="str" cm="1">
        <f t="array" ref="G631">INDEX(T_Elementos[Divisa],MATCH(T_Saldo[[#This Row],[Producto]],T_Elementos[Producto],0),0)</f>
        <v>USD</v>
      </c>
      <c r="H63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31" t="str">
        <f>T_Saldo[[#This Row],[Producto]] &amp; "-" &amp; DATE(YEAR(T_Saldo[[#This Row],[Fecha]]),MONTH(T_Saldo[[#This Row],[Fecha]]),DAY(T_Saldo[[#This Row],[Fecha]]))</f>
        <v>PRHSX-45596</v>
      </c>
    </row>
    <row r="632" spans="1:10" x14ac:dyDescent="0.45">
      <c r="A632" s="15">
        <v>45596</v>
      </c>
      <c r="B632" t="s">
        <v>32</v>
      </c>
      <c r="C632">
        <f>T_Saldo[[#This Row],[Valor liquidativo]]*T_Saldo[[#This Row],[Participaciones]]</f>
        <v>12571.021599999998</v>
      </c>
      <c r="D632" s="11">
        <f>T_Saldo[[#This Row],[Valor liquidativo (Moneda Extranjera)]]/T_Saldo[[#This Row],[Cambio]]</f>
        <v>125.71021599999997</v>
      </c>
      <c r="E632" s="13">
        <f>IF(ISERROR(MATCH(T_Saldo[[#This Row],[Producto]],T_Stocks[Ticker],0)),1,INDEX(T_Stocks[Close],MATCH(T_Saldo[[#This Row],[ID - Product - Fecha]],T_Stocks[ID],1),1))</f>
        <v>136.82</v>
      </c>
      <c r="F632" cm="1">
        <f t="array" ref="F632">IF(T_Saldo[[#This Row],[Divisa]]="USD",INDEX(T_USD_EUR[EURUSD],MATCH(T_Saldo[[#This Row],[Fecha]],T_USD_EUR[Fecha],1),0),1)</f>
        <v>1.0883761427949501</v>
      </c>
      <c r="G632" t="str" cm="1">
        <f t="array" ref="G632">INDEX(T_Elementos[Divisa],MATCH(T_Saldo[[#This Row],[Producto]],T_Elementos[Producto],0),0)</f>
        <v>USD</v>
      </c>
      <c r="H63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32" t="str">
        <f>T_Saldo[[#This Row],[Producto]] &amp; "-" &amp; DATE(YEAR(T_Saldo[[#This Row],[Fecha]]),MONTH(T_Saldo[[#This Row],[Fecha]]),DAY(T_Saldo[[#This Row],[Fecha]]))</f>
        <v>VTSAX-45596</v>
      </c>
    </row>
    <row r="633" spans="1:10" x14ac:dyDescent="0.45">
      <c r="A633" s="15">
        <v>45626</v>
      </c>
      <c r="B633" t="s">
        <v>38</v>
      </c>
      <c r="C633">
        <f>T_Saldo[[#This Row],[Valor liquidativo]]*T_Saldo[[#This Row],[Participaciones]]</f>
        <v>20866.575726000003</v>
      </c>
      <c r="D633" s="11">
        <f>T_Saldo[[#This Row],[Valor liquidativo (Moneda Extranjera)]]/T_Saldo[[#This Row],[Cambio]]</f>
        <v>224.37178200000002</v>
      </c>
      <c r="E633" s="13">
        <f>IF(ISERROR(MATCH(T_Saldo[[#This Row],[Producto]],T_Stocks[Ticker],0)),1,INDEX(T_Stocks[Close],MATCH(T_Saldo[[#This Row],[ID - Product - Fecha]],T_Stocks[ID],1),1))</f>
        <v>237.33</v>
      </c>
      <c r="F633" cm="1">
        <f t="array" ref="F633">IF(T_Saldo[[#This Row],[Divisa]]="USD",INDEX(T_USD_EUR[EURUSD],MATCH(T_Saldo[[#This Row],[Fecha]],T_USD_EUR[Fecha],1),0),1)</f>
        <v>1.0577533319229955</v>
      </c>
      <c r="G633" t="str" cm="1">
        <f t="array" ref="G633">INDEX(T_Elementos[Divisa],MATCH(T_Saldo[[#This Row],[Producto]],T_Elementos[Producto],0),0)</f>
        <v>USD</v>
      </c>
      <c r="H63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93</v>
      </c>
      <c r="J633" t="str">
        <f>T_Saldo[[#This Row],[Producto]] &amp; "-" &amp; DATE(YEAR(T_Saldo[[#This Row],[Fecha]]),MONTH(T_Saldo[[#This Row],[Fecha]]),DAY(T_Saldo[[#This Row],[Fecha]]))</f>
        <v>AAPL-45626</v>
      </c>
    </row>
    <row r="634" spans="1:10" x14ac:dyDescent="0.45">
      <c r="A634" s="15">
        <v>45626</v>
      </c>
      <c r="B634" t="s">
        <v>43</v>
      </c>
      <c r="C634">
        <f>T_Saldo[[#This Row],[Valor liquidativo]]*T_Saldo[[#This Row],[Participaciones]]</f>
        <v>6000</v>
      </c>
      <c r="D634" s="11">
        <f>T_Saldo[[#This Row],[Valor liquidativo (Moneda Extranjera)]]/T_Saldo[[#This Row],[Cambio]]</f>
        <v>2000</v>
      </c>
      <c r="E634" s="13">
        <f>IF(ISERROR(MATCH(T_Saldo[[#This Row],[Producto]],T_Stocks[Ticker],0)),1,INDEX(T_Stocks[Close],MATCH(T_Saldo[[#This Row],[ID - Product - Fecha]],T_Stocks[ID],1),1))</f>
        <v>2000</v>
      </c>
      <c r="F634" cm="1">
        <f t="array" ref="F634">IF(T_Saldo[[#This Row],[Divisa]]="USD",INDEX(T_USD_EUR[EURUSD],MATCH(T_Saldo[[#This Row],[Fecha]],T_USD_EUR[Fecha],1),0),1)</f>
        <v>1</v>
      </c>
      <c r="G634" t="str" cm="1">
        <f t="array" ref="G634">INDEX(T_Elementos[Divisa],MATCH(T_Saldo[[#This Row],[Producto]],T_Elementos[Producto],0),0)</f>
        <v>EUR</v>
      </c>
      <c r="H63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634" t="str">
        <f>T_Saldo[[#This Row],[Producto]] &amp; "-" &amp; DATE(YEAR(T_Saldo[[#This Row],[Fecha]]),MONTH(T_Saldo[[#This Row],[Fecha]]),DAY(T_Saldo[[#This Row],[Fecha]]))</f>
        <v>Bonos-45626</v>
      </c>
    </row>
    <row r="635" spans="1:10" x14ac:dyDescent="0.45">
      <c r="A635" s="15">
        <v>45626</v>
      </c>
      <c r="B635" t="s">
        <v>155</v>
      </c>
      <c r="C635">
        <f>T_Saldo[[#This Row],[Valor liquidativo]]*T_Saldo[[#This Row],[Participaciones]]</f>
        <v>22851.759555000001</v>
      </c>
      <c r="D635" s="11">
        <f>T_Saldo[[#This Row],[Valor liquidativo (Moneda Extranjera)]]/T_Saldo[[#This Row],[Cambio]]</f>
        <v>91407.038220000002</v>
      </c>
      <c r="E635" s="13">
        <f>IF(ISERROR(MATCH(T_Saldo[[#This Row],[Producto]],T_Stocks[Ticker],0)),1,INDEX(T_Stocks[Close],MATCH(T_Saldo[[#This Row],[ID - Product - Fecha]],T_Stocks[ID],1),1))</f>
        <v>91407.038220000002</v>
      </c>
      <c r="F635" cm="1">
        <f t="array" ref="F635">IF(T_Saldo[[#This Row],[Divisa]]="USD",INDEX(T_USD_EUR[EURUSD],MATCH(T_Saldo[[#This Row],[Fecha]],T_USD_EUR[Fecha],1),0),1)</f>
        <v>1</v>
      </c>
      <c r="G635" t="str" cm="1">
        <f t="array" ref="G635">INDEX(T_Elementos[Divisa],MATCH(T_Saldo[[#This Row],[Producto]],T_Elementos[Producto],0),0)</f>
        <v>EUR</v>
      </c>
      <c r="H63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635" t="str">
        <f>T_Saldo[[#This Row],[Producto]] &amp; "-" &amp; DATE(YEAR(T_Saldo[[#This Row],[Fecha]]),MONTH(T_Saldo[[#This Row],[Fecha]]),DAY(T_Saldo[[#This Row],[Fecha]]))</f>
        <v>BTCEUR-45626</v>
      </c>
    </row>
    <row r="636" spans="1:10" x14ac:dyDescent="0.45">
      <c r="A636" s="15">
        <v>45626</v>
      </c>
      <c r="B636" t="s">
        <v>46</v>
      </c>
      <c r="C636">
        <f>T_Saldo[[#This Row],[Valor liquidativo]]*T_Saldo[[#This Row],[Participaciones]]</f>
        <v>42363.069999999985</v>
      </c>
      <c r="D636" s="11">
        <f>T_Saldo[[#This Row],[Valor liquidativo (Moneda Extranjera)]]/T_Saldo[[#This Row],[Cambio]]</f>
        <v>1</v>
      </c>
      <c r="E636" s="13">
        <f>IF(ISERROR(MATCH(T_Saldo[[#This Row],[Producto]],T_Stocks[Ticker],0)),1,INDEX(T_Stocks[Close],MATCH(T_Saldo[[#This Row],[ID - Product - Fecha]],T_Stocks[ID],1),1))</f>
        <v>1</v>
      </c>
      <c r="F636" cm="1">
        <f t="array" ref="F636">IF(T_Saldo[[#This Row],[Divisa]]="USD",INDEX(T_USD_EUR[EURUSD],MATCH(T_Saldo[[#This Row],[Fecha]],T_USD_EUR[Fecha],1),0),1)</f>
        <v>1</v>
      </c>
      <c r="G636" t="str" cm="1">
        <f t="array" ref="G636">INDEX(T_Elementos[Divisa],MATCH(T_Saldo[[#This Row],[Producto]],T_Elementos[Producto],0),0)</f>
        <v>EUR</v>
      </c>
      <c r="H63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42363.069999999985</v>
      </c>
      <c r="J636" t="str">
        <f>T_Saldo[[#This Row],[Producto]] &amp; "-" &amp; DATE(YEAR(T_Saldo[[#This Row],[Fecha]]),MONTH(T_Saldo[[#This Row],[Fecha]]),DAY(T_Saldo[[#This Row],[Fecha]]))</f>
        <v>CA 1-45626</v>
      </c>
    </row>
    <row r="637" spans="1:10" x14ac:dyDescent="0.45">
      <c r="A637" s="15">
        <v>45626</v>
      </c>
      <c r="B637" t="s">
        <v>10</v>
      </c>
      <c r="C637">
        <f>T_Saldo[[#This Row],[Valor liquidativo]]*T_Saldo[[#This Row],[Participaciones]]</f>
        <v>25917.09</v>
      </c>
      <c r="D637" s="11">
        <f>T_Saldo[[#This Row],[Valor liquidativo (Moneda Extranjera)]]/T_Saldo[[#This Row],[Cambio]]</f>
        <v>1</v>
      </c>
      <c r="E637" s="13">
        <f>IF(ISERROR(MATCH(T_Saldo[[#This Row],[Producto]],T_Stocks[Ticker],0)),1,INDEX(T_Stocks[Close],MATCH(T_Saldo[[#This Row],[ID - Product - Fecha]],T_Stocks[ID],1),1))</f>
        <v>1</v>
      </c>
      <c r="F637" cm="1">
        <f t="array" ref="F637">IF(T_Saldo[[#This Row],[Divisa]]="USD",INDEX(T_USD_EUR[EURUSD],MATCH(T_Saldo[[#This Row],[Fecha]],T_USD_EUR[Fecha],1),0),1)</f>
        <v>1</v>
      </c>
      <c r="G637" t="str" cm="1">
        <f t="array" ref="G637">INDEX(T_Elementos[Divisa],MATCH(T_Saldo[[#This Row],[Producto]],T_Elementos[Producto],0),0)</f>
        <v>EUR</v>
      </c>
      <c r="H63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25917.09</v>
      </c>
      <c r="J637" t="str">
        <f>T_Saldo[[#This Row],[Producto]] &amp; "-" &amp; DATE(YEAR(T_Saldo[[#This Row],[Fecha]]),MONTH(T_Saldo[[#This Row],[Fecha]]),DAY(T_Saldo[[#This Row],[Fecha]]))</f>
        <v>CC 1-45626</v>
      </c>
    </row>
    <row r="638" spans="1:10" x14ac:dyDescent="0.45">
      <c r="A638" s="15">
        <v>45626</v>
      </c>
      <c r="B638" t="s">
        <v>49</v>
      </c>
      <c r="C638">
        <f>T_Saldo[[#This Row],[Valor liquidativo]]*T_Saldo[[#This Row],[Participaciones]]</f>
        <v>31616.590000000011</v>
      </c>
      <c r="D638" s="11">
        <f>T_Saldo[[#This Row],[Valor liquidativo (Moneda Extranjera)]]/T_Saldo[[#This Row],[Cambio]]</f>
        <v>1</v>
      </c>
      <c r="E638" s="13">
        <f>IF(ISERROR(MATCH(T_Saldo[[#This Row],[Producto]],T_Stocks[Ticker],0)),1,INDEX(T_Stocks[Close],MATCH(T_Saldo[[#This Row],[ID - Product - Fecha]],T_Stocks[ID],1),1))</f>
        <v>1</v>
      </c>
      <c r="F638" cm="1">
        <f t="array" ref="F638">IF(T_Saldo[[#This Row],[Divisa]]="USD",INDEX(T_USD_EUR[EURUSD],MATCH(T_Saldo[[#This Row],[Fecha]],T_USD_EUR[Fecha],1),0),1)</f>
        <v>1</v>
      </c>
      <c r="G638" t="str" cm="1">
        <f t="array" ref="G638">INDEX(T_Elementos[Divisa],MATCH(T_Saldo[[#This Row],[Producto]],T_Elementos[Producto],0),0)</f>
        <v>EUR</v>
      </c>
      <c r="H63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31616.590000000011</v>
      </c>
      <c r="J638" t="str">
        <f>T_Saldo[[#This Row],[Producto]] &amp; "-" &amp; DATE(YEAR(T_Saldo[[#This Row],[Fecha]]),MONTH(T_Saldo[[#This Row],[Fecha]]),DAY(T_Saldo[[#This Row],[Fecha]]))</f>
        <v>CC 2-45626</v>
      </c>
    </row>
    <row r="639" spans="1:10" x14ac:dyDescent="0.45">
      <c r="A639" s="15">
        <v>45626</v>
      </c>
      <c r="B639" t="s">
        <v>41</v>
      </c>
      <c r="C639">
        <f>T_Saldo[[#This Row],[Valor liquidativo]]*T_Saldo[[#This Row],[Participaciones]]</f>
        <v>12010.17252</v>
      </c>
      <c r="D639" s="11">
        <f>T_Saldo[[#This Row],[Valor liquidativo (Moneda Extranjera)]]/T_Saldo[[#This Row],[Cambio]]</f>
        <v>400.33908400000001</v>
      </c>
      <c r="E639" s="13">
        <f>IF(ISERROR(MATCH(T_Saldo[[#This Row],[Producto]],T_Stocks[Ticker],0)),1,INDEX(T_Stocks[Close],MATCH(T_Saldo[[#This Row],[ID - Product - Fecha]],T_Stocks[ID],1),1))</f>
        <v>423.46</v>
      </c>
      <c r="F639" cm="1">
        <f t="array" ref="F639">IF(T_Saldo[[#This Row],[Divisa]]="USD",INDEX(T_USD_EUR[EURUSD],MATCH(T_Saldo[[#This Row],[Fecha]],T_USD_EUR[Fecha],1),0),1)</f>
        <v>1.0577533319229955</v>
      </c>
      <c r="G639" t="str" cm="1">
        <f t="array" ref="G639">INDEX(T_Elementos[Divisa],MATCH(T_Saldo[[#This Row],[Producto]],T_Elementos[Producto],0),0)</f>
        <v>USD</v>
      </c>
      <c r="H63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30</v>
      </c>
      <c r="J639" t="str">
        <f>T_Saldo[[#This Row],[Producto]] &amp; "-" &amp; DATE(YEAR(T_Saldo[[#This Row],[Fecha]]),MONTH(T_Saldo[[#This Row],[Fecha]]),DAY(T_Saldo[[#This Row],[Fecha]]))</f>
        <v>MSFT-45626</v>
      </c>
    </row>
    <row r="640" spans="1:10" x14ac:dyDescent="0.45">
      <c r="A640" s="15">
        <v>45626</v>
      </c>
      <c r="B640" t="s">
        <v>51</v>
      </c>
      <c r="C640">
        <f>T_Saldo[[#This Row],[Valor liquidativo]]*T_Saldo[[#This Row],[Participaciones]]</f>
        <v>18318.070400000001</v>
      </c>
      <c r="D640" s="11">
        <f>T_Saldo[[#This Row],[Valor liquidativo (Moneda Extranjera)]]/T_Saldo[[#This Row],[Cambio]]</f>
        <v>91.590351999999996</v>
      </c>
      <c r="E640" s="13">
        <f>IF(ISERROR(MATCH(T_Saldo[[#This Row],[Producto]],T_Stocks[Ticker],0)),1,INDEX(T_Stocks[Close],MATCH(T_Saldo[[#This Row],[ID - Product - Fecha]],T_Stocks[ID],1),1))</f>
        <v>96.88</v>
      </c>
      <c r="F640" cm="1">
        <f t="array" ref="F640">IF(T_Saldo[[#This Row],[Divisa]]="USD",INDEX(T_USD_EUR[EURUSD],MATCH(T_Saldo[[#This Row],[Fecha]],T_USD_EUR[Fecha],1),0),1)</f>
        <v>1.0577533319229955</v>
      </c>
      <c r="G640" t="str" cm="1">
        <f t="array" ref="G640">INDEX(T_Elementos[Divisa],MATCH(T_Saldo[[#This Row],[Producto]],T_Elementos[Producto],0),0)</f>
        <v>USD</v>
      </c>
      <c r="H64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40" t="str">
        <f>T_Saldo[[#This Row],[Producto]] &amp; "-" &amp; DATE(YEAR(T_Saldo[[#This Row],[Fecha]]),MONTH(T_Saldo[[#This Row],[Fecha]]),DAY(T_Saldo[[#This Row],[Fecha]]))</f>
        <v>PRHSX-45626</v>
      </c>
    </row>
    <row r="641" spans="1:10" x14ac:dyDescent="0.45">
      <c r="A641" s="15">
        <v>45626</v>
      </c>
      <c r="B641" t="s">
        <v>32</v>
      </c>
      <c r="C641">
        <f>T_Saldo[[#This Row],[Valor liquidativo]]*T_Saldo[[#This Row],[Participaciones]]</f>
        <v>13792.4406</v>
      </c>
      <c r="D641" s="11">
        <f>T_Saldo[[#This Row],[Valor liquidativo (Moneda Extranjera)]]/T_Saldo[[#This Row],[Cambio]]</f>
        <v>137.924406</v>
      </c>
      <c r="E641" s="13">
        <f>IF(ISERROR(MATCH(T_Saldo[[#This Row],[Producto]],T_Stocks[Ticker],0)),1,INDEX(T_Stocks[Close],MATCH(T_Saldo[[#This Row],[ID - Product - Fecha]],T_Stocks[ID],1),1))</f>
        <v>145.88999999999999</v>
      </c>
      <c r="F641" cm="1">
        <f t="array" ref="F641">IF(T_Saldo[[#This Row],[Divisa]]="USD",INDEX(T_USD_EUR[EURUSD],MATCH(T_Saldo[[#This Row],[Fecha]],T_USD_EUR[Fecha],1),0),1)</f>
        <v>1.0577533319229955</v>
      </c>
      <c r="G641" t="str" cm="1">
        <f t="array" ref="G641">INDEX(T_Elementos[Divisa],MATCH(T_Saldo[[#This Row],[Producto]],T_Elementos[Producto],0),0)</f>
        <v>USD</v>
      </c>
      <c r="H641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41" t="str">
        <f>T_Saldo[[#This Row],[Producto]] &amp; "-" &amp; DATE(YEAR(T_Saldo[[#This Row],[Fecha]]),MONTH(T_Saldo[[#This Row],[Fecha]]),DAY(T_Saldo[[#This Row],[Fecha]]))</f>
        <v>VTSAX-45626</v>
      </c>
    </row>
    <row r="642" spans="1:10" x14ac:dyDescent="0.45">
      <c r="A642" s="15">
        <v>45657</v>
      </c>
      <c r="B642" t="s">
        <v>38</v>
      </c>
      <c r="C642">
        <f>T_Saldo[[#This Row],[Valor liquidativo]]*T_Saldo[[#This Row],[Participaciones]]</f>
        <v>10399.792347999999</v>
      </c>
      <c r="D642" s="11">
        <f>T_Saldo[[#This Row],[Valor liquidativo (Moneda Extranjera)]]/T_Saldo[[#This Row],[Cambio]]</f>
        <v>241.85563599999998</v>
      </c>
      <c r="E642" s="13">
        <f>IF(ISERROR(MATCH(T_Saldo[[#This Row],[Producto]],T_Stocks[Ticker],0)),1,INDEX(T_Stocks[Close],MATCH(T_Saldo[[#This Row],[ID - Product - Fecha]],T_Stocks[ID],1),1))</f>
        <v>250.42</v>
      </c>
      <c r="F642" cm="1">
        <f t="array" ref="F642">IF(T_Saldo[[#This Row],[Divisa]]="USD",INDEX(T_USD_EUR[EURUSD],MATCH(T_Saldo[[#This Row],[Fecha]],T_USD_EUR[Fecha],1),0),1)</f>
        <v>1.0354110581901015</v>
      </c>
      <c r="G642" t="str" cm="1">
        <f t="array" ref="G642">INDEX(T_Elementos[Divisa],MATCH(T_Saldo[[#This Row],[Producto]],T_Elementos[Producto],0),0)</f>
        <v>USD</v>
      </c>
      <c r="H642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43</v>
      </c>
      <c r="J642" t="str">
        <f>T_Saldo[[#This Row],[Producto]] &amp; "-" &amp; DATE(YEAR(T_Saldo[[#This Row],[Fecha]]),MONTH(T_Saldo[[#This Row],[Fecha]]),DAY(T_Saldo[[#This Row],[Fecha]]))</f>
        <v>AAPL-45657</v>
      </c>
    </row>
    <row r="643" spans="1:10" x14ac:dyDescent="0.45">
      <c r="A643" s="15">
        <v>45657</v>
      </c>
      <c r="B643" t="s">
        <v>43</v>
      </c>
      <c r="C643">
        <f>T_Saldo[[#This Row],[Valor liquidativo]]*T_Saldo[[#This Row],[Participaciones]]</f>
        <v>6000</v>
      </c>
      <c r="D643" s="11">
        <f>T_Saldo[[#This Row],[Valor liquidativo (Moneda Extranjera)]]/T_Saldo[[#This Row],[Cambio]]</f>
        <v>2000</v>
      </c>
      <c r="E643" s="13">
        <f>IF(ISERROR(MATCH(T_Saldo[[#This Row],[Producto]],T_Stocks[Ticker],0)),1,INDEX(T_Stocks[Close],MATCH(T_Saldo[[#This Row],[ID - Product - Fecha]],T_Stocks[ID],1),1))</f>
        <v>2000</v>
      </c>
      <c r="F643" cm="1">
        <f t="array" ref="F643">IF(T_Saldo[[#This Row],[Divisa]]="USD",INDEX(T_USD_EUR[EURUSD],MATCH(T_Saldo[[#This Row],[Fecha]],T_USD_EUR[Fecha],1),0),1)</f>
        <v>1</v>
      </c>
      <c r="G643" t="str" cm="1">
        <f t="array" ref="G643">INDEX(T_Elementos[Divisa],MATCH(T_Saldo[[#This Row],[Producto]],T_Elementos[Producto],0),0)</f>
        <v>EUR</v>
      </c>
      <c r="H643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</v>
      </c>
      <c r="J643" t="str">
        <f>T_Saldo[[#This Row],[Producto]] &amp; "-" &amp; DATE(YEAR(T_Saldo[[#This Row],[Fecha]]),MONTH(T_Saldo[[#This Row],[Fecha]]),DAY(T_Saldo[[#This Row],[Fecha]]))</f>
        <v>Bonos-45657</v>
      </c>
    </row>
    <row r="644" spans="1:10" x14ac:dyDescent="0.45">
      <c r="A644" s="15">
        <v>45657</v>
      </c>
      <c r="B644" t="s">
        <v>155</v>
      </c>
      <c r="C644">
        <f>T_Saldo[[#This Row],[Valor liquidativo]]*T_Saldo[[#This Row],[Participaciones]]</f>
        <v>22383.37931</v>
      </c>
      <c r="D644" s="11">
        <f>T_Saldo[[#This Row],[Valor liquidativo (Moneda Extranjera)]]/T_Saldo[[#This Row],[Cambio]]</f>
        <v>89533.517240000001</v>
      </c>
      <c r="E644" s="13">
        <f>IF(ISERROR(MATCH(T_Saldo[[#This Row],[Producto]],T_Stocks[Ticker],0)),1,INDEX(T_Stocks[Close],MATCH(T_Saldo[[#This Row],[ID - Product - Fecha]],T_Stocks[ID],1),1))</f>
        <v>89533.517240000001</v>
      </c>
      <c r="F644" cm="1">
        <f t="array" ref="F644">IF(T_Saldo[[#This Row],[Divisa]]="USD",INDEX(T_USD_EUR[EURUSD],MATCH(T_Saldo[[#This Row],[Fecha]],T_USD_EUR[Fecha],1),0),1)</f>
        <v>1</v>
      </c>
      <c r="G644" t="str" cm="1">
        <f t="array" ref="G644">INDEX(T_Elementos[Divisa],MATCH(T_Saldo[[#This Row],[Producto]],T_Elementos[Producto],0),0)</f>
        <v>EUR</v>
      </c>
      <c r="H644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0.25</v>
      </c>
      <c r="J644" t="str">
        <f>T_Saldo[[#This Row],[Producto]] &amp; "-" &amp; DATE(YEAR(T_Saldo[[#This Row],[Fecha]]),MONTH(T_Saldo[[#This Row],[Fecha]]),DAY(T_Saldo[[#This Row],[Fecha]]))</f>
        <v>BTCEUR-45657</v>
      </c>
    </row>
    <row r="645" spans="1:10" x14ac:dyDescent="0.45">
      <c r="A645" s="15">
        <v>45657</v>
      </c>
      <c r="B645" t="s">
        <v>46</v>
      </c>
      <c r="C645">
        <f>T_Saldo[[#This Row],[Valor liquidativo]]*T_Saldo[[#This Row],[Participaciones]]</f>
        <v>42255.959999999985</v>
      </c>
      <c r="D645" s="11">
        <f>T_Saldo[[#This Row],[Valor liquidativo (Moneda Extranjera)]]/T_Saldo[[#This Row],[Cambio]]</f>
        <v>1</v>
      </c>
      <c r="E645" s="13">
        <f>IF(ISERROR(MATCH(T_Saldo[[#This Row],[Producto]],T_Stocks[Ticker],0)),1,INDEX(T_Stocks[Close],MATCH(T_Saldo[[#This Row],[ID - Product - Fecha]],T_Stocks[ID],1),1))</f>
        <v>1</v>
      </c>
      <c r="F645" cm="1">
        <f t="array" ref="F645">IF(T_Saldo[[#This Row],[Divisa]]="USD",INDEX(T_USD_EUR[EURUSD],MATCH(T_Saldo[[#This Row],[Fecha]],T_USD_EUR[Fecha],1),0),1)</f>
        <v>1</v>
      </c>
      <c r="G645" t="str" cm="1">
        <f t="array" ref="G645">INDEX(T_Elementos[Divisa],MATCH(T_Saldo[[#This Row],[Producto]],T_Elementos[Producto],0),0)</f>
        <v>EUR</v>
      </c>
      <c r="H645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42255.959999999985</v>
      </c>
      <c r="J645" t="str">
        <f>T_Saldo[[#This Row],[Producto]] &amp; "-" &amp; DATE(YEAR(T_Saldo[[#This Row],[Fecha]]),MONTH(T_Saldo[[#This Row],[Fecha]]),DAY(T_Saldo[[#This Row],[Fecha]]))</f>
        <v>CA 1-45657</v>
      </c>
    </row>
    <row r="646" spans="1:10" x14ac:dyDescent="0.45">
      <c r="A646" s="15">
        <v>45657</v>
      </c>
      <c r="B646" t="s">
        <v>10</v>
      </c>
      <c r="C646">
        <f>T_Saldo[[#This Row],[Valor liquidativo]]*T_Saldo[[#This Row],[Participaciones]]</f>
        <v>27894.21</v>
      </c>
      <c r="D646" s="11">
        <f>T_Saldo[[#This Row],[Valor liquidativo (Moneda Extranjera)]]/T_Saldo[[#This Row],[Cambio]]</f>
        <v>1</v>
      </c>
      <c r="E646" s="13">
        <f>IF(ISERROR(MATCH(T_Saldo[[#This Row],[Producto]],T_Stocks[Ticker],0)),1,INDEX(T_Stocks[Close],MATCH(T_Saldo[[#This Row],[ID - Product - Fecha]],T_Stocks[ID],1),1))</f>
        <v>1</v>
      </c>
      <c r="F646" cm="1">
        <f t="array" ref="F646">IF(T_Saldo[[#This Row],[Divisa]]="USD",INDEX(T_USD_EUR[EURUSD],MATCH(T_Saldo[[#This Row],[Fecha]],T_USD_EUR[Fecha],1),0),1)</f>
        <v>1</v>
      </c>
      <c r="G646" t="str" cm="1">
        <f t="array" ref="G646">INDEX(T_Elementos[Divisa],MATCH(T_Saldo[[#This Row],[Producto]],T_Elementos[Producto],0),0)</f>
        <v>EUR</v>
      </c>
      <c r="H646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27894.21</v>
      </c>
      <c r="J646" t="str">
        <f>T_Saldo[[#This Row],[Producto]] &amp; "-" &amp; DATE(YEAR(T_Saldo[[#This Row],[Fecha]]),MONTH(T_Saldo[[#This Row],[Fecha]]),DAY(T_Saldo[[#This Row],[Fecha]]))</f>
        <v>CC 1-45657</v>
      </c>
    </row>
    <row r="647" spans="1:10" x14ac:dyDescent="0.45">
      <c r="A647" s="15">
        <v>45657</v>
      </c>
      <c r="B647" t="s">
        <v>49</v>
      </c>
      <c r="C647">
        <f>T_Saldo[[#This Row],[Valor liquidativo]]*T_Saldo[[#This Row],[Participaciones]]</f>
        <v>31166.540000000008</v>
      </c>
      <c r="D647" s="11">
        <f>T_Saldo[[#This Row],[Valor liquidativo (Moneda Extranjera)]]/T_Saldo[[#This Row],[Cambio]]</f>
        <v>1</v>
      </c>
      <c r="E647" s="13">
        <f>IF(ISERROR(MATCH(T_Saldo[[#This Row],[Producto]],T_Stocks[Ticker],0)),1,INDEX(T_Stocks[Close],MATCH(T_Saldo[[#This Row],[ID - Product - Fecha]],T_Stocks[ID],1),1))</f>
        <v>1</v>
      </c>
      <c r="F647" cm="1">
        <f t="array" ref="F647">IF(T_Saldo[[#This Row],[Divisa]]="USD",INDEX(T_USD_EUR[EURUSD],MATCH(T_Saldo[[#This Row],[Fecha]],T_USD_EUR[Fecha],1),0),1)</f>
        <v>1</v>
      </c>
      <c r="G647" t="str" cm="1">
        <f t="array" ref="G647">INDEX(T_Elementos[Divisa],MATCH(T_Saldo[[#This Row],[Producto]],T_Elementos[Producto],0),0)</f>
        <v>EUR</v>
      </c>
      <c r="H647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31166.540000000008</v>
      </c>
      <c r="J647" t="str">
        <f>T_Saldo[[#This Row],[Producto]] &amp; "-" &amp; DATE(YEAR(T_Saldo[[#This Row],[Fecha]]),MONTH(T_Saldo[[#This Row],[Fecha]]),DAY(T_Saldo[[#This Row],[Fecha]]))</f>
        <v>CC 2-45657</v>
      </c>
    </row>
    <row r="648" spans="1:10" x14ac:dyDescent="0.45">
      <c r="A648" s="15">
        <v>45657</v>
      </c>
      <c r="B648" t="s">
        <v>41</v>
      </c>
      <c r="C648">
        <f>T_Saldo[[#This Row],[Valor liquidativo]]*T_Saldo[[#This Row],[Participaciones]]</f>
        <v>12212.540999999999</v>
      </c>
      <c r="D648" s="11">
        <f>T_Saldo[[#This Row],[Valor liquidativo (Moneda Extranjera)]]/T_Saldo[[#This Row],[Cambio]]</f>
        <v>407.0847</v>
      </c>
      <c r="E648" s="13">
        <f>IF(ISERROR(MATCH(T_Saldo[[#This Row],[Producto]],T_Stocks[Ticker],0)),1,INDEX(T_Stocks[Close],MATCH(T_Saldo[[#This Row],[ID - Product - Fecha]],T_Stocks[ID],1),1))</f>
        <v>421.5</v>
      </c>
      <c r="F648" cm="1">
        <f t="array" ref="F648">IF(T_Saldo[[#This Row],[Divisa]]="USD",INDEX(T_USD_EUR[EURUSD],MATCH(T_Saldo[[#This Row],[Fecha]],T_USD_EUR[Fecha],1),0),1)</f>
        <v>1.0354110581901015</v>
      </c>
      <c r="G648" t="str" cm="1">
        <f t="array" ref="G648">INDEX(T_Elementos[Divisa],MATCH(T_Saldo[[#This Row],[Producto]],T_Elementos[Producto],0),0)</f>
        <v>USD</v>
      </c>
      <c r="H648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30</v>
      </c>
      <c r="J648" t="str">
        <f>T_Saldo[[#This Row],[Producto]] &amp; "-" &amp; DATE(YEAR(T_Saldo[[#This Row],[Fecha]]),MONTH(T_Saldo[[#This Row],[Fecha]]),DAY(T_Saldo[[#This Row],[Fecha]]))</f>
        <v>MSFT-45657</v>
      </c>
    </row>
    <row r="649" spans="1:10" x14ac:dyDescent="0.45">
      <c r="A649" s="15">
        <v>45657</v>
      </c>
      <c r="B649" t="s">
        <v>51</v>
      </c>
      <c r="C649">
        <f>T_Saldo[[#This Row],[Valor liquidativo]]*T_Saldo[[#This Row],[Participaciones]]</f>
        <v>15362.014800000001</v>
      </c>
      <c r="D649" s="11">
        <f>T_Saldo[[#This Row],[Valor liquidativo (Moneda Extranjera)]]/T_Saldo[[#This Row],[Cambio]]</f>
        <v>76.810074</v>
      </c>
      <c r="E649" s="13">
        <f>IF(ISERROR(MATCH(T_Saldo[[#This Row],[Producto]],T_Stocks[Ticker],0)),1,INDEX(T_Stocks[Close],MATCH(T_Saldo[[#This Row],[ID - Product - Fecha]],T_Stocks[ID],1),1))</f>
        <v>79.53</v>
      </c>
      <c r="F649" cm="1">
        <f t="array" ref="F649">IF(T_Saldo[[#This Row],[Divisa]]="USD",INDEX(T_USD_EUR[EURUSD],MATCH(T_Saldo[[#This Row],[Fecha]],T_USD_EUR[Fecha],1),0),1)</f>
        <v>1.0354110581901015</v>
      </c>
      <c r="G649" t="str" cm="1">
        <f t="array" ref="G649">INDEX(T_Elementos[Divisa],MATCH(T_Saldo[[#This Row],[Producto]],T_Elementos[Producto],0),0)</f>
        <v>USD</v>
      </c>
      <c r="H649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200</v>
      </c>
      <c r="J649" t="str">
        <f>T_Saldo[[#This Row],[Producto]] &amp; "-" &amp; DATE(YEAR(T_Saldo[[#This Row],[Fecha]]),MONTH(T_Saldo[[#This Row],[Fecha]]),DAY(T_Saldo[[#This Row],[Fecha]]))</f>
        <v>PRHSX-45657</v>
      </c>
    </row>
    <row r="650" spans="1:10" x14ac:dyDescent="0.45">
      <c r="A650" s="15">
        <v>45657</v>
      </c>
      <c r="B650" t="s">
        <v>32</v>
      </c>
      <c r="C650">
        <f>T_Saldo[[#This Row],[Valor liquidativo]]*T_Saldo[[#This Row],[Participaciones]]</f>
        <v>13620.6774</v>
      </c>
      <c r="D650" s="11">
        <f>T_Saldo[[#This Row],[Valor liquidativo (Moneda Extranjera)]]/T_Saldo[[#This Row],[Cambio]]</f>
        <v>136.206774</v>
      </c>
      <c r="E650" s="13">
        <f>IF(ISERROR(MATCH(T_Saldo[[#This Row],[Producto]],T_Stocks[Ticker],0)),1,INDEX(T_Stocks[Close],MATCH(T_Saldo[[#This Row],[ID - Product - Fecha]],T_Stocks[ID],1),1))</f>
        <v>141.03</v>
      </c>
      <c r="F650" cm="1">
        <f t="array" ref="F650">IF(T_Saldo[[#This Row],[Divisa]]="USD",INDEX(T_USD_EUR[EURUSD],MATCH(T_Saldo[[#This Row],[Fecha]],T_USD_EUR[Fecha],1),0),1)</f>
        <v>1.0354110581901015</v>
      </c>
      <c r="G650" t="str" cm="1">
        <f t="array" ref="G650">INDEX(T_Elementos[Divisa],MATCH(T_Saldo[[#This Row],[Producto]],T_Elementos[Producto],0),0)</f>
        <v>USD</v>
      </c>
      <c r="H650">
        <f>SUMIFS(T_Transacciones[Participaciones],T_Transacciones[Producto],T_Saldo[[#This Row],[Producto]],T_Transacciones[Fecha],"&lt;="&amp;T_Saldo[[#This Row],[Fecha]],T_Transacciones[Tipo Transacción],"&lt;&gt;Dividendos") +
SUMIFS(T_Movimientos[IMPORTE (€)],T_Movimientos[CUENTA],T_Saldo[[#This Row],[Producto]],T_Movimientos[FECHA],"&lt;="&amp;T_Saldo[[#This Row],[Fecha]])</f>
        <v>100</v>
      </c>
      <c r="J650" t="str">
        <f>T_Saldo[[#This Row],[Producto]] &amp; "-" &amp; DATE(YEAR(T_Saldo[[#This Row],[Fecha]]),MONTH(T_Saldo[[#This Row],[Fecha]]),DAY(T_Saldo[[#This Row],[Fecha]]))</f>
        <v>VTSAX-45657</v>
      </c>
    </row>
    <row r="651" spans="1:10" x14ac:dyDescent="0.45">
      <c r="A651" s="15">
        <v>45657</v>
      </c>
      <c r="B651" t="s">
        <v>38</v>
      </c>
      <c r="C651">
        <v>13620.6774</v>
      </c>
      <c r="D651" s="11">
        <v>136.206774</v>
      </c>
      <c r="E651" s="13">
        <v>141.03</v>
      </c>
      <c r="F651">
        <v>1.0354110581901015</v>
      </c>
      <c r="G651" t="s">
        <v>152</v>
      </c>
      <c r="H651">
        <v>100</v>
      </c>
      <c r="J651" t="str">
        <f>T_Saldo[[#This Row],[Producto]] &amp; "-" &amp; DATE(YEAR(T_Saldo[[#This Row],[Fecha]]),MONTH(T_Saldo[[#This Row],[Fecha]]),DAY(T_Saldo[[#This Row],[Fecha]]))</f>
        <v>AAPL-45657</v>
      </c>
    </row>
    <row r="652" spans="1:10" x14ac:dyDescent="0.45">
      <c r="A652" s="15">
        <v>45657</v>
      </c>
      <c r="B652" t="s">
        <v>155</v>
      </c>
      <c r="C652">
        <v>13620.6774</v>
      </c>
      <c r="D652" s="11">
        <v>136.206774</v>
      </c>
      <c r="E652" s="13">
        <v>141.03</v>
      </c>
      <c r="F652">
        <v>1.0354110581901015</v>
      </c>
      <c r="G652" t="s">
        <v>152</v>
      </c>
      <c r="H652">
        <v>100</v>
      </c>
      <c r="J652" t="str">
        <f>T_Saldo[[#This Row],[Producto]] &amp; "-" &amp; DATE(YEAR(T_Saldo[[#This Row],[Fecha]]),MONTH(T_Saldo[[#This Row],[Fecha]]),DAY(T_Saldo[[#This Row],[Fecha]]))</f>
        <v>BTCEUR-45657</v>
      </c>
    </row>
    <row r="653" spans="1:10" x14ac:dyDescent="0.45">
      <c r="A653" s="15">
        <v>45657</v>
      </c>
      <c r="B653" t="s">
        <v>43</v>
      </c>
      <c r="C653">
        <v>13620.6774</v>
      </c>
      <c r="D653" s="11">
        <v>136.206774</v>
      </c>
      <c r="E653" s="13">
        <v>141.03</v>
      </c>
      <c r="F653">
        <v>1.0354110581901015</v>
      </c>
      <c r="G653" t="s">
        <v>152</v>
      </c>
      <c r="H653">
        <v>100</v>
      </c>
      <c r="J653" t="str">
        <f>T_Saldo[[#This Row],[Producto]] &amp; "-" &amp; DATE(YEAR(T_Saldo[[#This Row],[Fecha]]),MONTH(T_Saldo[[#This Row],[Fecha]]),DAY(T_Saldo[[#This Row],[Fecha]]))</f>
        <v>Bonos-45657</v>
      </c>
    </row>
    <row r="654" spans="1:10" x14ac:dyDescent="0.45">
      <c r="A654" s="15">
        <v>45657</v>
      </c>
      <c r="B654" t="s">
        <v>41</v>
      </c>
      <c r="C654">
        <v>13620.6774</v>
      </c>
      <c r="D654" s="11">
        <v>136.206774</v>
      </c>
      <c r="E654" s="13">
        <v>141.03</v>
      </c>
      <c r="F654">
        <v>1.0354110581901015</v>
      </c>
      <c r="G654" t="s">
        <v>152</v>
      </c>
      <c r="H654">
        <v>100</v>
      </c>
      <c r="J654" t="str">
        <f>T_Saldo[[#This Row],[Producto]] &amp; "-" &amp; DATE(YEAR(T_Saldo[[#This Row],[Fecha]]),MONTH(T_Saldo[[#This Row],[Fecha]]),DAY(T_Saldo[[#This Row],[Fecha]]))</f>
        <v>MSFT-45657</v>
      </c>
    </row>
    <row r="655" spans="1:10" x14ac:dyDescent="0.45">
      <c r="E655"/>
    </row>
    <row r="656" spans="1:10" x14ac:dyDescent="0.45">
      <c r="E656"/>
    </row>
    <row r="657" spans="5:5" x14ac:dyDescent="0.45">
      <c r="E657"/>
    </row>
    <row r="658" spans="5:5" x14ac:dyDescent="0.45">
      <c r="E658"/>
    </row>
    <row r="659" spans="5:5" x14ac:dyDescent="0.45">
      <c r="E659"/>
    </row>
    <row r="660" spans="5:5" x14ac:dyDescent="0.45">
      <c r="E660"/>
    </row>
    <row r="661" spans="5:5" x14ac:dyDescent="0.45">
      <c r="E661"/>
    </row>
    <row r="662" spans="5:5" x14ac:dyDescent="0.45">
      <c r="E662"/>
    </row>
    <row r="663" spans="5:5" x14ac:dyDescent="0.45">
      <c r="E663"/>
    </row>
    <row r="664" spans="5:5" x14ac:dyDescent="0.45">
      <c r="E664"/>
    </row>
    <row r="665" spans="5:5" x14ac:dyDescent="0.45">
      <c r="E665"/>
    </row>
    <row r="666" spans="5:5" x14ac:dyDescent="0.45">
      <c r="E666"/>
    </row>
    <row r="667" spans="5:5" x14ac:dyDescent="0.45">
      <c r="E667"/>
    </row>
    <row r="668" spans="5:5" x14ac:dyDescent="0.45">
      <c r="E668"/>
    </row>
    <row r="669" spans="5:5" x14ac:dyDescent="0.45">
      <c r="E669"/>
    </row>
    <row r="670" spans="5:5" x14ac:dyDescent="0.45">
      <c r="E670"/>
    </row>
    <row r="671" spans="5:5" x14ac:dyDescent="0.45">
      <c r="E671"/>
    </row>
    <row r="672" spans="5:5" x14ac:dyDescent="0.45">
      <c r="E672"/>
    </row>
    <row r="673" spans="5:5" x14ac:dyDescent="0.45">
      <c r="E673"/>
    </row>
    <row r="674" spans="5:5" x14ac:dyDescent="0.45">
      <c r="E674"/>
    </row>
    <row r="675" spans="5:5" x14ac:dyDescent="0.45">
      <c r="E675"/>
    </row>
    <row r="676" spans="5:5" x14ac:dyDescent="0.45">
      <c r="E676"/>
    </row>
    <row r="677" spans="5:5" x14ac:dyDescent="0.45">
      <c r="E677"/>
    </row>
    <row r="678" spans="5:5" x14ac:dyDescent="0.45">
      <c r="E678"/>
    </row>
    <row r="679" spans="5:5" x14ac:dyDescent="0.45">
      <c r="E679"/>
    </row>
    <row r="680" spans="5:5" x14ac:dyDescent="0.45">
      <c r="E680"/>
    </row>
    <row r="681" spans="5:5" x14ac:dyDescent="0.45">
      <c r="E681"/>
    </row>
    <row r="682" spans="5:5" x14ac:dyDescent="0.45">
      <c r="E682"/>
    </row>
    <row r="683" spans="5:5" x14ac:dyDescent="0.45">
      <c r="E683"/>
    </row>
    <row r="684" spans="5:5" x14ac:dyDescent="0.45">
      <c r="E684"/>
    </row>
    <row r="685" spans="5:5" x14ac:dyDescent="0.45">
      <c r="E685"/>
    </row>
    <row r="686" spans="5:5" x14ac:dyDescent="0.45">
      <c r="E686"/>
    </row>
    <row r="687" spans="5:5" x14ac:dyDescent="0.45">
      <c r="E687"/>
    </row>
    <row r="688" spans="5:5" x14ac:dyDescent="0.45">
      <c r="E688"/>
    </row>
    <row r="689" spans="5:5" x14ac:dyDescent="0.45">
      <c r="E689"/>
    </row>
    <row r="690" spans="5:5" x14ac:dyDescent="0.45">
      <c r="E690"/>
    </row>
    <row r="691" spans="5:5" x14ac:dyDescent="0.45">
      <c r="E691"/>
    </row>
    <row r="692" spans="5:5" x14ac:dyDescent="0.45">
      <c r="E692"/>
    </row>
    <row r="693" spans="5:5" x14ac:dyDescent="0.45">
      <c r="E693"/>
    </row>
    <row r="694" spans="5:5" x14ac:dyDescent="0.45">
      <c r="E694"/>
    </row>
    <row r="695" spans="5:5" x14ac:dyDescent="0.45">
      <c r="E695"/>
    </row>
    <row r="696" spans="5:5" x14ac:dyDescent="0.45">
      <c r="E696"/>
    </row>
    <row r="697" spans="5:5" x14ac:dyDescent="0.45">
      <c r="E697"/>
    </row>
    <row r="698" spans="5:5" x14ac:dyDescent="0.45">
      <c r="E698"/>
    </row>
    <row r="699" spans="5:5" x14ac:dyDescent="0.45">
      <c r="E699"/>
    </row>
    <row r="700" spans="5:5" x14ac:dyDescent="0.45">
      <c r="E700"/>
    </row>
    <row r="701" spans="5:5" x14ac:dyDescent="0.45">
      <c r="E701"/>
    </row>
    <row r="702" spans="5:5" x14ac:dyDescent="0.45">
      <c r="E702"/>
    </row>
    <row r="703" spans="5:5" x14ac:dyDescent="0.45">
      <c r="E703"/>
    </row>
    <row r="704" spans="5:5" x14ac:dyDescent="0.45">
      <c r="E704"/>
    </row>
    <row r="705" spans="5:5" x14ac:dyDescent="0.45">
      <c r="E705"/>
    </row>
    <row r="706" spans="5:5" x14ac:dyDescent="0.45">
      <c r="E706"/>
    </row>
    <row r="707" spans="5:5" x14ac:dyDescent="0.45">
      <c r="E707"/>
    </row>
    <row r="708" spans="5:5" x14ac:dyDescent="0.45">
      <c r="E708"/>
    </row>
    <row r="709" spans="5:5" x14ac:dyDescent="0.45">
      <c r="E709"/>
    </row>
    <row r="710" spans="5:5" x14ac:dyDescent="0.45">
      <c r="E710"/>
    </row>
    <row r="711" spans="5:5" x14ac:dyDescent="0.45">
      <c r="E711"/>
    </row>
    <row r="712" spans="5:5" x14ac:dyDescent="0.45">
      <c r="E712"/>
    </row>
    <row r="713" spans="5:5" x14ac:dyDescent="0.45">
      <c r="E713"/>
    </row>
    <row r="714" spans="5:5" x14ac:dyDescent="0.45">
      <c r="E714"/>
    </row>
    <row r="715" spans="5:5" x14ac:dyDescent="0.45">
      <c r="E715"/>
    </row>
    <row r="716" spans="5:5" x14ac:dyDescent="0.45">
      <c r="E716"/>
    </row>
    <row r="717" spans="5:5" x14ac:dyDescent="0.45">
      <c r="E717"/>
    </row>
    <row r="718" spans="5:5" x14ac:dyDescent="0.45">
      <c r="E718"/>
    </row>
    <row r="719" spans="5:5" x14ac:dyDescent="0.45">
      <c r="E719"/>
    </row>
    <row r="720" spans="5:5" x14ac:dyDescent="0.45">
      <c r="E720"/>
    </row>
    <row r="721" spans="5:5" x14ac:dyDescent="0.45">
      <c r="E721"/>
    </row>
    <row r="722" spans="5:5" x14ac:dyDescent="0.45">
      <c r="E722"/>
    </row>
    <row r="723" spans="5:5" x14ac:dyDescent="0.45">
      <c r="E723"/>
    </row>
    <row r="724" spans="5:5" x14ac:dyDescent="0.45">
      <c r="E724"/>
    </row>
    <row r="725" spans="5:5" x14ac:dyDescent="0.45">
      <c r="E725"/>
    </row>
    <row r="726" spans="5:5" x14ac:dyDescent="0.45">
      <c r="E726"/>
    </row>
    <row r="727" spans="5:5" x14ac:dyDescent="0.45">
      <c r="E727"/>
    </row>
    <row r="728" spans="5:5" x14ac:dyDescent="0.45">
      <c r="E728"/>
    </row>
    <row r="729" spans="5:5" x14ac:dyDescent="0.45">
      <c r="E729"/>
    </row>
    <row r="730" spans="5:5" x14ac:dyDescent="0.45">
      <c r="E730"/>
    </row>
    <row r="731" spans="5:5" x14ac:dyDescent="0.45">
      <c r="E731"/>
    </row>
    <row r="732" spans="5:5" x14ac:dyDescent="0.45">
      <c r="E732"/>
    </row>
    <row r="733" spans="5:5" x14ac:dyDescent="0.45">
      <c r="E733"/>
    </row>
    <row r="734" spans="5:5" x14ac:dyDescent="0.45">
      <c r="E734"/>
    </row>
    <row r="735" spans="5:5" x14ac:dyDescent="0.45">
      <c r="E735"/>
    </row>
    <row r="736" spans="5:5" x14ac:dyDescent="0.45">
      <c r="E736"/>
    </row>
    <row r="737" spans="5:5" x14ac:dyDescent="0.45">
      <c r="E737"/>
    </row>
    <row r="738" spans="5:5" x14ac:dyDescent="0.45">
      <c r="E738"/>
    </row>
    <row r="739" spans="5:5" x14ac:dyDescent="0.45">
      <c r="E739"/>
    </row>
    <row r="740" spans="5:5" x14ac:dyDescent="0.45">
      <c r="E740"/>
    </row>
    <row r="741" spans="5:5" x14ac:dyDescent="0.45">
      <c r="E741"/>
    </row>
    <row r="742" spans="5:5" x14ac:dyDescent="0.45">
      <c r="E742"/>
    </row>
    <row r="743" spans="5:5" x14ac:dyDescent="0.45">
      <c r="E743"/>
    </row>
    <row r="744" spans="5:5" x14ac:dyDescent="0.45">
      <c r="E744"/>
    </row>
    <row r="745" spans="5:5" x14ac:dyDescent="0.45">
      <c r="E745"/>
    </row>
    <row r="746" spans="5:5" x14ac:dyDescent="0.45">
      <c r="E746"/>
    </row>
    <row r="747" spans="5:5" x14ac:dyDescent="0.45">
      <c r="E747"/>
    </row>
    <row r="748" spans="5:5" x14ac:dyDescent="0.45">
      <c r="E748"/>
    </row>
    <row r="749" spans="5:5" x14ac:dyDescent="0.45">
      <c r="E749"/>
    </row>
    <row r="750" spans="5:5" x14ac:dyDescent="0.45">
      <c r="E750"/>
    </row>
    <row r="751" spans="5:5" x14ac:dyDescent="0.45">
      <c r="E751"/>
    </row>
    <row r="752" spans="5:5" x14ac:dyDescent="0.45">
      <c r="E752"/>
    </row>
    <row r="753" spans="5:5" x14ac:dyDescent="0.45">
      <c r="E753"/>
    </row>
    <row r="754" spans="5:5" x14ac:dyDescent="0.45">
      <c r="E754"/>
    </row>
    <row r="755" spans="5:5" x14ac:dyDescent="0.45">
      <c r="E755"/>
    </row>
    <row r="756" spans="5:5" x14ac:dyDescent="0.45">
      <c r="E756"/>
    </row>
    <row r="757" spans="5:5" x14ac:dyDescent="0.45">
      <c r="E757"/>
    </row>
    <row r="758" spans="5:5" x14ac:dyDescent="0.45">
      <c r="E758"/>
    </row>
    <row r="759" spans="5:5" x14ac:dyDescent="0.45">
      <c r="E759"/>
    </row>
    <row r="760" spans="5:5" x14ac:dyDescent="0.45">
      <c r="E760"/>
    </row>
    <row r="761" spans="5:5" x14ac:dyDescent="0.45">
      <c r="E761"/>
    </row>
    <row r="762" spans="5:5" x14ac:dyDescent="0.45">
      <c r="E762"/>
    </row>
    <row r="763" spans="5:5" x14ac:dyDescent="0.45">
      <c r="E763"/>
    </row>
    <row r="764" spans="5:5" x14ac:dyDescent="0.45">
      <c r="E764"/>
    </row>
    <row r="765" spans="5:5" x14ac:dyDescent="0.45">
      <c r="E765"/>
    </row>
    <row r="766" spans="5:5" x14ac:dyDescent="0.45">
      <c r="E766"/>
    </row>
    <row r="767" spans="5:5" x14ac:dyDescent="0.45">
      <c r="E767"/>
    </row>
    <row r="768" spans="5:5" x14ac:dyDescent="0.45">
      <c r="E768"/>
    </row>
    <row r="769" spans="5:5" x14ac:dyDescent="0.45">
      <c r="E769"/>
    </row>
    <row r="770" spans="5:5" x14ac:dyDescent="0.45">
      <c r="E770"/>
    </row>
    <row r="771" spans="5:5" x14ac:dyDescent="0.45">
      <c r="E771"/>
    </row>
    <row r="772" spans="5:5" x14ac:dyDescent="0.45">
      <c r="E772"/>
    </row>
    <row r="773" spans="5:5" x14ac:dyDescent="0.45">
      <c r="E773"/>
    </row>
    <row r="774" spans="5:5" x14ac:dyDescent="0.45">
      <c r="E774"/>
    </row>
    <row r="775" spans="5:5" x14ac:dyDescent="0.45">
      <c r="E775"/>
    </row>
    <row r="776" spans="5:5" x14ac:dyDescent="0.45">
      <c r="E776"/>
    </row>
    <row r="777" spans="5:5" x14ac:dyDescent="0.45">
      <c r="E777"/>
    </row>
    <row r="778" spans="5:5" x14ac:dyDescent="0.45">
      <c r="E778"/>
    </row>
    <row r="779" spans="5:5" x14ac:dyDescent="0.45">
      <c r="E779"/>
    </row>
    <row r="780" spans="5:5" x14ac:dyDescent="0.45">
      <c r="E780"/>
    </row>
    <row r="781" spans="5:5" x14ac:dyDescent="0.45">
      <c r="E781"/>
    </row>
    <row r="782" spans="5:5" x14ac:dyDescent="0.45">
      <c r="E782"/>
    </row>
    <row r="783" spans="5:5" x14ac:dyDescent="0.45">
      <c r="E783"/>
    </row>
    <row r="784" spans="5:5" x14ac:dyDescent="0.45">
      <c r="E784"/>
    </row>
    <row r="785" spans="5:5" x14ac:dyDescent="0.45">
      <c r="E785"/>
    </row>
    <row r="786" spans="5:5" x14ac:dyDescent="0.45">
      <c r="E786"/>
    </row>
    <row r="787" spans="5:5" x14ac:dyDescent="0.45">
      <c r="E787"/>
    </row>
    <row r="788" spans="5:5" x14ac:dyDescent="0.45">
      <c r="E788"/>
    </row>
    <row r="789" spans="5:5" x14ac:dyDescent="0.45">
      <c r="E789"/>
    </row>
    <row r="790" spans="5:5" x14ac:dyDescent="0.45">
      <c r="E790"/>
    </row>
    <row r="791" spans="5:5" x14ac:dyDescent="0.45">
      <c r="E791"/>
    </row>
    <row r="792" spans="5:5" x14ac:dyDescent="0.45">
      <c r="E792"/>
    </row>
    <row r="793" spans="5:5" x14ac:dyDescent="0.45">
      <c r="E793"/>
    </row>
    <row r="794" spans="5:5" x14ac:dyDescent="0.45">
      <c r="E794"/>
    </row>
    <row r="795" spans="5:5" x14ac:dyDescent="0.45">
      <c r="E795"/>
    </row>
    <row r="796" spans="5:5" x14ac:dyDescent="0.45">
      <c r="E796"/>
    </row>
    <row r="797" spans="5:5" x14ac:dyDescent="0.45">
      <c r="E797"/>
    </row>
    <row r="798" spans="5:5" x14ac:dyDescent="0.45">
      <c r="E798"/>
    </row>
    <row r="799" spans="5:5" x14ac:dyDescent="0.45">
      <c r="E799"/>
    </row>
    <row r="800" spans="5:5" x14ac:dyDescent="0.45">
      <c r="E800"/>
    </row>
    <row r="801" spans="5:5" x14ac:dyDescent="0.45">
      <c r="E801"/>
    </row>
    <row r="802" spans="5:5" x14ac:dyDescent="0.45">
      <c r="E802"/>
    </row>
    <row r="803" spans="5:5" x14ac:dyDescent="0.45">
      <c r="E803"/>
    </row>
    <row r="804" spans="5:5" x14ac:dyDescent="0.45">
      <c r="E804"/>
    </row>
    <row r="805" spans="5:5" x14ac:dyDescent="0.45">
      <c r="E805"/>
    </row>
    <row r="806" spans="5:5" x14ac:dyDescent="0.45">
      <c r="E806"/>
    </row>
    <row r="807" spans="5:5" x14ac:dyDescent="0.45">
      <c r="E807"/>
    </row>
    <row r="808" spans="5:5" x14ac:dyDescent="0.45">
      <c r="E808"/>
    </row>
    <row r="809" spans="5:5" x14ac:dyDescent="0.45">
      <c r="E809"/>
    </row>
    <row r="810" spans="5:5" x14ac:dyDescent="0.45">
      <c r="E810"/>
    </row>
    <row r="811" spans="5:5" x14ac:dyDescent="0.45">
      <c r="E811"/>
    </row>
    <row r="812" spans="5:5" x14ac:dyDescent="0.45">
      <c r="E812"/>
    </row>
    <row r="813" spans="5:5" x14ac:dyDescent="0.45">
      <c r="E813"/>
    </row>
    <row r="814" spans="5:5" x14ac:dyDescent="0.45">
      <c r="E814"/>
    </row>
    <row r="815" spans="5:5" x14ac:dyDescent="0.45">
      <c r="E815"/>
    </row>
    <row r="816" spans="5:5" x14ac:dyDescent="0.45">
      <c r="E816"/>
    </row>
    <row r="817" spans="5:5" x14ac:dyDescent="0.45">
      <c r="E817"/>
    </row>
    <row r="818" spans="5:5" x14ac:dyDescent="0.45">
      <c r="E818"/>
    </row>
    <row r="819" spans="5:5" x14ac:dyDescent="0.45">
      <c r="E819"/>
    </row>
    <row r="820" spans="5:5" x14ac:dyDescent="0.45">
      <c r="E820"/>
    </row>
    <row r="821" spans="5:5" x14ac:dyDescent="0.45">
      <c r="E821"/>
    </row>
    <row r="822" spans="5:5" x14ac:dyDescent="0.45">
      <c r="E822"/>
    </row>
    <row r="823" spans="5:5" x14ac:dyDescent="0.45">
      <c r="E823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W31"/>
  <sheetViews>
    <sheetView tabSelected="1" topLeftCell="N1" workbookViewId="0">
      <selection activeCell="V1" sqref="V1:W1"/>
    </sheetView>
  </sheetViews>
  <sheetFormatPr baseColWidth="10" defaultColWidth="9.1328125" defaultRowHeight="14.25" x14ac:dyDescent="0.45"/>
  <cols>
    <col min="1" max="1" width="30.3984375" customWidth="1"/>
    <col min="2" max="2" width="15" customWidth="1"/>
    <col min="3" max="3" width="17.86328125" customWidth="1"/>
    <col min="5" max="5" width="22.1328125" customWidth="1"/>
    <col min="6" max="6" width="20.3984375" customWidth="1"/>
    <col min="7" max="7" width="20.265625" customWidth="1"/>
    <col min="8" max="8" width="16.59765625" customWidth="1"/>
    <col min="9" max="9" width="20.59765625" customWidth="1"/>
    <col min="10" max="10" width="28.73046875" customWidth="1"/>
    <col min="12" max="12" width="9.86328125" customWidth="1"/>
    <col min="13" max="13" width="15.59765625" customWidth="1"/>
    <col min="14" max="14" width="35.59765625" customWidth="1"/>
    <col min="15" max="15" width="11.265625" customWidth="1"/>
    <col min="16" max="16" width="31.265625" customWidth="1"/>
    <col min="17" max="17" width="16.1328125" customWidth="1"/>
    <col min="18" max="18" width="11" customWidth="1"/>
    <col min="19" max="19" width="13.265625" customWidth="1"/>
    <col min="20" max="20" width="31.3984375" customWidth="1"/>
    <col min="21" max="21" width="9.59765625" customWidth="1"/>
    <col min="22" max="22" width="25.33203125" customWidth="1"/>
    <col min="23" max="23" width="15.6640625" customWidth="1"/>
  </cols>
  <sheetData>
    <row r="1" spans="1:23" x14ac:dyDescent="0.45">
      <c r="A1" s="3" t="s">
        <v>25</v>
      </c>
      <c r="B1" s="8" t="s">
        <v>26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31</v>
      </c>
      <c r="I1" s="3" t="s">
        <v>57</v>
      </c>
      <c r="J1" s="3" t="s">
        <v>58</v>
      </c>
      <c r="K1" s="3" t="s">
        <v>59</v>
      </c>
      <c r="L1" s="3" t="s">
        <v>30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9</v>
      </c>
      <c r="V1" s="8" t="s">
        <v>161</v>
      </c>
      <c r="W1" s="3" t="s">
        <v>162</v>
      </c>
    </row>
    <row r="2" spans="1:23" x14ac:dyDescent="0.45">
      <c r="A2" s="2">
        <v>43467</v>
      </c>
      <c r="B2" t="s">
        <v>46</v>
      </c>
      <c r="D2" t="s">
        <v>68</v>
      </c>
      <c r="E2" t="s">
        <v>158</v>
      </c>
      <c r="G2" t="s">
        <v>69</v>
      </c>
      <c r="H2">
        <v>10000</v>
      </c>
      <c r="I2">
        <f>T_Transacciones[[#This Row],[Precio (Moneda Transacción)]]/T_Transacciones[[#This Row],[Cambio]]</f>
        <v>1</v>
      </c>
      <c r="J2">
        <v>1</v>
      </c>
      <c r="K2" t="str" cm="1">
        <f t="array" ref="K2">INDEX(T_Elementos[Divisa],MATCH(T_Transacciones[[#This Row],[Producto]],T_Elementos[Producto],0),0)</f>
        <v>EUR</v>
      </c>
      <c r="L2" cm="1">
        <f t="array" ref="L2">IF(T_Transacciones[[#This Row],[Divisa]]="EUR",1,INDEX(T_USD_EUR[EURUSD],MATCH(T_Transacciones[[#This Row],[Fecha]],T_USD_EUR[Fecha],1),0))</f>
        <v>1</v>
      </c>
      <c r="M2">
        <f>T_Transacciones[[#This Row],[Importe Bruto (Moneda Transacción)]]/T_Transacciones[[#This Row],[Cambio]]</f>
        <v>10000</v>
      </c>
      <c r="N2">
        <f>T_Transacciones[[#This Row],[Precio (Moneda Transacción)]]*T_Transacciones[[#This Row],[Participaciones]]</f>
        <v>10000</v>
      </c>
      <c r="S2">
        <f>T_Transacciones[[#This Row],[Comisión (Moneda Transacción)]]/T_Transacciones[[#This Row],[Cambio]]</f>
        <v>0</v>
      </c>
      <c r="V2" t="str">
        <f>T_Transacciones[[#This Row],[Producto]] &amp; "-" &amp; DATE(YEAR(T_Transacciones[[#This Row],[Fecha]]),MONTH(T_Transacciones[[#This Row],[Fecha]]),DAY(T_Transacciones[[#This Row],[Fecha]]))</f>
        <v>CA 1-43467</v>
      </c>
    </row>
    <row r="3" spans="1:23" x14ac:dyDescent="0.45">
      <c r="A3" s="2">
        <v>43467</v>
      </c>
      <c r="B3" t="s">
        <v>49</v>
      </c>
      <c r="D3" t="s">
        <v>68</v>
      </c>
      <c r="E3" t="s">
        <v>158</v>
      </c>
      <c r="G3" t="s">
        <v>69</v>
      </c>
      <c r="H3">
        <v>5000</v>
      </c>
      <c r="I3">
        <f>T_Transacciones[[#This Row],[Precio (Moneda Transacción)]]/T_Transacciones[[#This Row],[Cambio]]</f>
        <v>1</v>
      </c>
      <c r="J3">
        <v>1</v>
      </c>
      <c r="K3" t="str" cm="1">
        <f t="array" ref="K3">INDEX(T_Elementos[Divisa],MATCH(T_Transacciones[[#This Row],[Producto]],T_Elementos[Producto],0),0)</f>
        <v>EUR</v>
      </c>
      <c r="L3" cm="1">
        <f t="array" ref="L3">IF(T_Transacciones[[#This Row],[Divisa]]="EUR",1,INDEX(T_USD_EUR[EURUSD],MATCH(T_Transacciones[[#This Row],[Fecha]],T_USD_EUR[Fecha],1),0))</f>
        <v>1</v>
      </c>
      <c r="M3">
        <f>T_Transacciones[[#This Row],[Importe Bruto (Moneda Transacción)]]/T_Transacciones[[#This Row],[Cambio]]</f>
        <v>5000</v>
      </c>
      <c r="N3">
        <f>T_Transacciones[[#This Row],[Precio (Moneda Transacción)]]*T_Transacciones[[#This Row],[Participaciones]]</f>
        <v>5000</v>
      </c>
      <c r="S3">
        <f>T_Transacciones[[#This Row],[Comisión (Moneda Transacción)]]/T_Transacciones[[#This Row],[Cambio]]</f>
        <v>0</v>
      </c>
      <c r="V3" t="str">
        <f>T_Transacciones[[#This Row],[Producto]] &amp; "-" &amp; DATE(YEAR(T_Transacciones[[#This Row],[Fecha]]),MONTH(T_Transacciones[[#This Row],[Fecha]]),DAY(T_Transacciones[[#This Row],[Fecha]]))</f>
        <v>CC 2-43467</v>
      </c>
    </row>
    <row r="4" spans="1:23" x14ac:dyDescent="0.45">
      <c r="A4" s="2">
        <v>43467</v>
      </c>
      <c r="B4" t="s">
        <v>10</v>
      </c>
      <c r="D4" t="s">
        <v>68</v>
      </c>
      <c r="E4" t="s">
        <v>158</v>
      </c>
      <c r="G4" t="s">
        <v>69</v>
      </c>
      <c r="H4">
        <v>7500</v>
      </c>
      <c r="I4">
        <f>T_Transacciones[[#This Row],[Precio (Moneda Transacción)]]/T_Transacciones[[#This Row],[Cambio]]</f>
        <v>1</v>
      </c>
      <c r="J4">
        <v>1</v>
      </c>
      <c r="K4" t="str" cm="1">
        <f t="array" ref="K4">INDEX(T_Elementos[Divisa],MATCH(T_Transacciones[[#This Row],[Producto]],T_Elementos[Producto],0),0)</f>
        <v>EUR</v>
      </c>
      <c r="L4" cm="1">
        <f t="array" ref="L4">IF(T_Transacciones[[#This Row],[Divisa]]="EUR",1,INDEX(T_USD_EUR[EURUSD],MATCH(T_Transacciones[[#This Row],[Fecha]],T_USD_EUR[Fecha],1),0))</f>
        <v>1</v>
      </c>
      <c r="M4">
        <f>T_Transacciones[[#This Row],[Importe Bruto (Moneda Transacción)]]/T_Transacciones[[#This Row],[Cambio]]</f>
        <v>7500</v>
      </c>
      <c r="N4">
        <f>T_Transacciones[[#This Row],[Precio (Moneda Transacción)]]*T_Transacciones[[#This Row],[Participaciones]]</f>
        <v>7500</v>
      </c>
      <c r="S4">
        <f>T_Transacciones[[#This Row],[Comisión (Moneda Transacción)]]/T_Transacciones[[#This Row],[Cambio]]</f>
        <v>0</v>
      </c>
      <c r="V4" t="str">
        <f>T_Transacciones[[#This Row],[Producto]] &amp; "-" &amp; DATE(YEAR(T_Transacciones[[#This Row],[Fecha]]),MONTH(T_Transacciones[[#This Row],[Fecha]]),DAY(T_Transacciones[[#This Row],[Fecha]]))</f>
        <v>CC 1-43467</v>
      </c>
    </row>
    <row r="5" spans="1:23" x14ac:dyDescent="0.45">
      <c r="A5" s="2">
        <v>43497</v>
      </c>
      <c r="B5" t="s">
        <v>38</v>
      </c>
      <c r="D5" t="s">
        <v>68</v>
      </c>
      <c r="E5" t="s">
        <v>10</v>
      </c>
      <c r="G5" t="s">
        <v>69</v>
      </c>
      <c r="H5">
        <v>100</v>
      </c>
      <c r="I5">
        <f>T_Transacciones[[#This Row],[Precio (Moneda Transacción)]]/T_Transacciones[[#This Row],[Cambio]]</f>
        <v>36.334664000000004</v>
      </c>
      <c r="J5" cm="1">
        <f t="array" ref="J5">IF(T_Transacciones[[#This Row],[Tipo Transacción]]="Dividendos",INDEX(T_Stocks[Close],MATCH(T_Transacciones[[#This Row],[ID Transacción]],T_Stocks[ID],1),0)/100,INDEX(T_Stocks[Close],MATCH(T_Transacciones[[#This Row],[ID Transacción]],T_Stocks[ID],1),0))</f>
        <v>41.63</v>
      </c>
      <c r="K5" t="str" cm="1">
        <f t="array" ref="K5">INDEX(T_Elementos[Divisa],MATCH(T_Transacciones[[#This Row],[Producto]],T_Elementos[Producto],0),0)</f>
        <v>USD</v>
      </c>
      <c r="L5" cm="1">
        <f t="array" ref="L5">IF(T_Transacciones[[#This Row],[Divisa]]="EUR",1,INDEX(T_USD_EUR[EURUSD],MATCH(T_Transacciones[[#This Row],[Fecha]],T_USD_EUR[Fecha],1),0))</f>
        <v>1.1457378551787352</v>
      </c>
      <c r="M5">
        <f>T_Transacciones[[#This Row],[Importe Bruto (Moneda Transacción)]]/T_Transacciones[[#This Row],[Cambio]]</f>
        <v>3633.4663999999998</v>
      </c>
      <c r="N5">
        <f>T_Transacciones[[#This Row],[Precio (Moneda Transacción)]]*T_Transacciones[[#This Row],[Participaciones]]</f>
        <v>4163</v>
      </c>
      <c r="S5">
        <f>T_Transacciones[[#This Row],[Comisión (Moneda Transacción)]]/T_Transacciones[[#This Row],[Cambio]]</f>
        <v>0</v>
      </c>
      <c r="T5">
        <v>0</v>
      </c>
      <c r="V5" t="str">
        <f>T_Transacciones[[#This Row],[Producto]] &amp; "-" &amp; DATE(YEAR(T_Transacciones[[#This Row],[Fecha]]),MONTH(T_Transacciones[[#This Row],[Fecha]]),DAY(T_Transacciones[[#This Row],[Fecha]]))</f>
        <v>AAPL-43497</v>
      </c>
    </row>
    <row r="6" spans="1:23" x14ac:dyDescent="0.45">
      <c r="A6" s="2">
        <v>44022</v>
      </c>
      <c r="B6" t="s">
        <v>38</v>
      </c>
      <c r="D6" t="s">
        <v>68</v>
      </c>
      <c r="E6" t="s">
        <v>10</v>
      </c>
      <c r="G6" t="s">
        <v>72</v>
      </c>
      <c r="H6">
        <v>50</v>
      </c>
      <c r="I6">
        <f>T_Transacciones[[#This Row],[Precio (Moneda Transacción)]]/T_Transacciones[[#This Row],[Cambio]]</f>
        <v>0.84870016000000015</v>
      </c>
      <c r="J6" cm="1">
        <f t="array" ref="J6">IF(T_Transacciones[[#This Row],[Tipo Transacción]]="Dividendos",INDEX(T_Stocks[Close],MATCH(T_Transacciones[[#This Row],[ID Transacción]],T_Stocks[ID],1),0)/100,INDEX(T_Stocks[Close],MATCH(T_Transacciones[[#This Row],[ID Transacción]],T_Stocks[ID],1),0))</f>
        <v>0.95920000000000005</v>
      </c>
      <c r="K6" t="str" cm="1">
        <f t="array" ref="K6">INDEX(T_Elementos[Divisa],MATCH(T_Transacciones[[#This Row],[Producto]],T_Elementos[Producto],0),0)</f>
        <v>USD</v>
      </c>
      <c r="L6" cm="1">
        <f t="array" ref="L6">IF(T_Transacciones[[#This Row],[Divisa]]="EUR",1,INDEX(T_USD_EUR[EURUSD],MATCH(T_Transacciones[[#This Row],[Fecha]],T_USD_EUR[Fecha],1),0))</f>
        <v>1.1301989150090415</v>
      </c>
      <c r="M6">
        <f>T_Transacciones[[#This Row],[Importe Bruto (Moneda Transacción)]]/T_Transacciones[[#This Row],[Cambio]]</f>
        <v>42.435008000000003</v>
      </c>
      <c r="N6">
        <f>T_Transacciones[[#This Row],[Precio (Moneda Transacción)]]*T_Transacciones[[#This Row],[Participaciones]]</f>
        <v>47.96</v>
      </c>
      <c r="O6">
        <v>0</v>
      </c>
      <c r="Q6" t="s">
        <v>73</v>
      </c>
      <c r="S6">
        <f>T_Transacciones[[#This Row],[Comisión (Moneda Transacción)]]/T_Transacciones[[#This Row],[Cambio]]</f>
        <v>0</v>
      </c>
      <c r="T6">
        <v>0</v>
      </c>
      <c r="V6" t="str">
        <f>T_Transacciones[[#This Row],[Producto]] &amp; "-" &amp; DATE(YEAR(T_Transacciones[[#This Row],[Fecha]]),MONTH(T_Transacciones[[#This Row],[Fecha]]),DAY(T_Transacciones[[#This Row],[Fecha]]))</f>
        <v>AAPL-44022</v>
      </c>
    </row>
    <row r="7" spans="1:23" x14ac:dyDescent="0.45">
      <c r="A7" s="14">
        <v>44166</v>
      </c>
      <c r="B7" t="s">
        <v>38</v>
      </c>
      <c r="D7" t="s">
        <v>68</v>
      </c>
      <c r="E7" t="s">
        <v>10</v>
      </c>
      <c r="G7" t="s">
        <v>71</v>
      </c>
      <c r="H7">
        <v>-100</v>
      </c>
      <c r="I7">
        <f>T_Transacciones[[#This Row],[Precio (Moneda Transacción)]]/T_Transacciones[[#This Row],[Cambio]]</f>
        <v>101.66124800000001</v>
      </c>
      <c r="J7" cm="1">
        <f t="array" ref="J7">IF(T_Transacciones[[#This Row],[Tipo Transacción]]="Dividendos",INDEX(T_Stocks[Close],MATCH(T_Transacciones[[#This Row],[ID Transacción]],T_Stocks[ID],1),0)/100,INDEX(T_Stocks[Close],MATCH(T_Transacciones[[#This Row],[ID Transacción]],T_Stocks[ID],1),0))</f>
        <v>122.72</v>
      </c>
      <c r="K7" t="str" cm="1">
        <f t="array" ref="K7">INDEX(T_Elementos[Divisa],MATCH(T_Transacciones[[#This Row],[Producto]],T_Elementos[Producto],0),0)</f>
        <v>USD</v>
      </c>
      <c r="L7" cm="1">
        <f t="array" ref="L7">IF(T_Transacciones[[#This Row],[Divisa]]="EUR",1,INDEX(T_USD_EUR[EURUSD],MATCH(T_Transacciones[[#This Row],[Fecha]],T_USD_EUR[Fecha],1),0))</f>
        <v>1.2071463061323031</v>
      </c>
      <c r="M7">
        <f>T_Transacciones[[#This Row],[Importe Bruto (Moneda Transacción)]]/T_Transacciones[[#This Row],[Cambio]]</f>
        <v>-10166.124800000001</v>
      </c>
      <c r="N7">
        <f>T_Transacciones[[#This Row],[Precio (Moneda Transacción)]]*T_Transacciones[[#This Row],[Participaciones]]</f>
        <v>-12272</v>
      </c>
      <c r="S7">
        <f>T_Transacciones[[#This Row],[Comisión (Moneda Transacción)]]/T_Transacciones[[#This Row],[Cambio]]</f>
        <v>0</v>
      </c>
      <c r="T7">
        <v>0</v>
      </c>
      <c r="U7">
        <v>1</v>
      </c>
      <c r="V7" t="str">
        <f>T_Transacciones[[#This Row],[Producto]] &amp; "-" &amp; DATE(YEAR(T_Transacciones[[#This Row],[Fecha]]),MONTH(T_Transacciones[[#This Row],[Fecha]]),DAY(T_Transacciones[[#This Row],[Fecha]]))</f>
        <v>AAPL-44166</v>
      </c>
    </row>
    <row r="8" spans="1:23" x14ac:dyDescent="0.45">
      <c r="A8" s="14">
        <v>44170</v>
      </c>
      <c r="B8" t="s">
        <v>155</v>
      </c>
      <c r="D8" t="s">
        <v>68</v>
      </c>
      <c r="E8" t="s">
        <v>10</v>
      </c>
      <c r="G8" t="s">
        <v>69</v>
      </c>
      <c r="H8">
        <v>0.5</v>
      </c>
      <c r="I8">
        <f>T_Transacciones[[#This Row],[Precio (Moneda Transacción)]]/T_Transacciones[[#This Row],[Cambio]]</f>
        <v>15799.92446</v>
      </c>
      <c r="J8" cm="1">
        <f t="array" ref="J8">INDEX(T_Stocks[Close],MATCH(T_Transacciones[[#This Row],[ID Transacción]],T_Stocks[ID],1),0)</f>
        <v>15799.92446</v>
      </c>
      <c r="K8" t="str" cm="1">
        <f t="array" ref="K8">INDEX(T_Elementos[Divisa],MATCH(T_Transacciones[[#This Row],[Producto]],T_Elementos[Producto],0),0)</f>
        <v>EUR</v>
      </c>
      <c r="L8" cm="1">
        <f t="array" ref="L8">IF(T_Transacciones[[#This Row],[Divisa]]="EUR",1,INDEX(T_USD_EUR[EURUSD],MATCH(T_Transacciones[[#This Row],[Fecha]],T_USD_EUR[Fecha],1),0))</f>
        <v>1</v>
      </c>
      <c r="M8">
        <f>T_Transacciones[[#This Row],[Importe Bruto (Moneda Transacción)]]/T_Transacciones[[#This Row],[Cambio]]</f>
        <v>7899.9622300000001</v>
      </c>
      <c r="N8">
        <f>T_Transacciones[[#This Row],[Precio (Moneda Transacción)]]*T_Transacciones[[#This Row],[Participaciones]]</f>
        <v>7899.9622300000001</v>
      </c>
      <c r="S8">
        <f>T_Transacciones[[#This Row],[Comisión (Moneda Transacción)]]/T_Transacciones[[#This Row],[Cambio]]</f>
        <v>1</v>
      </c>
      <c r="T8">
        <v>1</v>
      </c>
      <c r="V8" t="str">
        <f>T_Transacciones[[#This Row],[Producto]] &amp; "-" &amp; DATE(YEAR(T_Transacciones[[#This Row],[Fecha]]),MONTH(T_Transacciones[[#This Row],[Fecha]]),DAY(T_Transacciones[[#This Row],[Fecha]]))</f>
        <v>BTCEUR-44170</v>
      </c>
    </row>
    <row r="9" spans="1:23" x14ac:dyDescent="0.45">
      <c r="A9" s="2">
        <v>44313</v>
      </c>
      <c r="B9" t="s">
        <v>41</v>
      </c>
      <c r="D9" t="s">
        <v>68</v>
      </c>
      <c r="E9" t="s">
        <v>10</v>
      </c>
      <c r="G9" t="s">
        <v>69</v>
      </c>
      <c r="H9">
        <v>60</v>
      </c>
      <c r="I9">
        <f>T_Transacciones[[#This Row],[Precio (Moneda Transacción)]]/T_Transacciones[[#This Row],[Cambio]]</f>
        <v>216.62299300000001</v>
      </c>
      <c r="J9" cm="1">
        <f t="array" ref="J9">IF(T_Transacciones[[#This Row],[Tipo Transacción]]="Dividendos",INDEX(T_Stocks[Close],MATCH(T_Transacciones[[#This Row],[ID Transacción]],T_Stocks[ID],1),0)/100,INDEX(T_Stocks[Close],MATCH(T_Transacciones[[#This Row],[ID Transacción]],T_Stocks[ID],1),0))</f>
        <v>261.97000000000003</v>
      </c>
      <c r="K9" t="str" cm="1">
        <f t="array" ref="K9">INDEX(T_Elementos[Divisa],MATCH(T_Transacciones[[#This Row],[Producto]],T_Elementos[Producto],0),0)</f>
        <v>USD</v>
      </c>
      <c r="L9" cm="1">
        <f t="array" ref="L9">IF(T_Transacciones[[#This Row],[Divisa]]="EUR",1,INDEX(T_USD_EUR[EURUSD],MATCH(T_Transacciones[[#This Row],[Fecha]],T_USD_EUR[Fecha],1),0))</f>
        <v>1.2093360744951023</v>
      </c>
      <c r="M9">
        <f>T_Transacciones[[#This Row],[Importe Bruto (Moneda Transacción)]]/T_Transacciones[[#This Row],[Cambio]]</f>
        <v>12997.379579999999</v>
      </c>
      <c r="N9">
        <f>T_Transacciones[[#This Row],[Precio (Moneda Transacción)]]*T_Transacciones[[#This Row],[Participaciones]]</f>
        <v>15718.2</v>
      </c>
      <c r="S9">
        <f>T_Transacciones[[#This Row],[Comisión (Moneda Transacción)]]/T_Transacciones[[#This Row],[Cambio]]</f>
        <v>0.82689999999999997</v>
      </c>
      <c r="T9">
        <v>1</v>
      </c>
      <c r="V9" t="str">
        <f>T_Transacciones[[#This Row],[Producto]] &amp; "-" &amp; DATE(YEAR(T_Transacciones[[#This Row],[Fecha]]),MONTH(T_Transacciones[[#This Row],[Fecha]]),DAY(T_Transacciones[[#This Row],[Fecha]]))</f>
        <v>MSFT-44313</v>
      </c>
    </row>
    <row r="10" spans="1:23" x14ac:dyDescent="0.45">
      <c r="A10" s="2">
        <v>44328</v>
      </c>
      <c r="B10" t="s">
        <v>41</v>
      </c>
      <c r="D10" t="s">
        <v>68</v>
      </c>
      <c r="E10" t="s">
        <v>10</v>
      </c>
      <c r="G10" t="s">
        <v>71</v>
      </c>
      <c r="H10">
        <v>-50</v>
      </c>
      <c r="I10">
        <f>T_Transacciones[[#This Row],[Precio (Moneda Transacción)]]/T_Transacciones[[#This Row],[Cambio]]</f>
        <v>197.93980000000002</v>
      </c>
      <c r="J10" cm="1">
        <f t="array" ref="J10">IF(T_Transacciones[[#This Row],[Tipo Transacción]]="Dividendos",INDEX(T_Stocks[Close],MATCH(T_Transacciones[[#This Row],[ID Transacción]],T_Stocks[ID],1),0)/100,INDEX(T_Stocks[Close],MATCH(T_Transacciones[[#This Row],[ID Transacción]],T_Stocks[ID],1),0))</f>
        <v>239</v>
      </c>
      <c r="K10" t="str" cm="1">
        <f t="array" ref="K10">INDEX(T_Elementos[Divisa],MATCH(T_Transacciones[[#This Row],[Producto]],T_Elementos[Producto],0),0)</f>
        <v>USD</v>
      </c>
      <c r="L10" cm="1">
        <f t="array" ref="L10">IF(T_Transacciones[[#This Row],[Divisa]]="EUR",1,INDEX(T_USD_EUR[EURUSD],MATCH(T_Transacciones[[#This Row],[Fecha]],T_USD_EUR[Fecha],1),0))</f>
        <v>1.2074378169524269</v>
      </c>
      <c r="M10">
        <f>T_Transacciones[[#This Row],[Importe Bruto (Moneda Transacción)]]/T_Transacciones[[#This Row],[Cambio]]</f>
        <v>-9896.99</v>
      </c>
      <c r="N10">
        <f>T_Transacciones[[#This Row],[Precio (Moneda Transacción)]]*T_Transacciones[[#This Row],[Participaciones]]</f>
        <v>-11950</v>
      </c>
      <c r="S10">
        <f>T_Transacciones[[#This Row],[Comisión (Moneda Transacción)]]/T_Transacciones[[#This Row],[Cambio]]</f>
        <v>0.82820000000000005</v>
      </c>
      <c r="T10">
        <v>1</v>
      </c>
      <c r="V10" t="str">
        <f>T_Transacciones[[#This Row],[Producto]] &amp; "-" &amp; DATE(YEAR(T_Transacciones[[#This Row],[Fecha]]),MONTH(T_Transacciones[[#This Row],[Fecha]]),DAY(T_Transacciones[[#This Row],[Fecha]]))</f>
        <v>MSFT-44328</v>
      </c>
    </row>
    <row r="11" spans="1:23" x14ac:dyDescent="0.45">
      <c r="A11" s="2">
        <v>44663</v>
      </c>
      <c r="B11" t="s">
        <v>32</v>
      </c>
      <c r="D11" t="s">
        <v>68</v>
      </c>
      <c r="E11" t="s">
        <v>10</v>
      </c>
      <c r="G11" t="s">
        <v>69</v>
      </c>
      <c r="H11">
        <v>200</v>
      </c>
      <c r="I11">
        <f>T_Transacciones[[#This Row],[Precio (Moneda Transacción)]]/T_Transacciones[[#This Row],[Cambio]]</f>
        <v>99.136223999999999</v>
      </c>
      <c r="J11" cm="1">
        <f t="array" ref="J11">IF(T_Transacciones[[#This Row],[Tipo Transacción]]="Dividendos",INDEX(T_Stocks[Close],MATCH(T_Transacciones[[#This Row],[ID Transacción]],T_Stocks[ID],1),0)/100,INDEX(T_Stocks[Close],MATCH(T_Transacciones[[#This Row],[ID Transacción]],T_Stocks[ID],1),0))</f>
        <v>107.36</v>
      </c>
      <c r="K11" t="str" cm="1">
        <f t="array" ref="K11">INDEX(T_Elementos[Divisa],MATCH(T_Transacciones[[#This Row],[Producto]],T_Elementos[Producto],0),0)</f>
        <v>USD</v>
      </c>
      <c r="L11" cm="1">
        <f t="array" ref="L11">IF(T_Transacciones[[#This Row],[Divisa]]="EUR",1,INDEX(T_USD_EUR[EURUSD],MATCH(T_Transacciones[[#This Row],[Fecha]],T_USD_EUR[Fecha],1),0))</f>
        <v>1.0829542993285683</v>
      </c>
      <c r="M11">
        <f>T_Transacciones[[#This Row],[Importe Bruto (Moneda Transacción)]]/T_Transacciones[[#This Row],[Cambio]]</f>
        <v>19827.2448</v>
      </c>
      <c r="N11">
        <f>T_Transacciones[[#This Row],[Precio (Moneda Transacción)]]*T_Transacciones[[#This Row],[Participaciones]]</f>
        <v>21472</v>
      </c>
      <c r="S11">
        <f>T_Transacciones[[#This Row],[Comisión (Moneda Transacción)]]/T_Transacciones[[#This Row],[Cambio]]</f>
        <v>9.234</v>
      </c>
      <c r="T11">
        <v>10</v>
      </c>
      <c r="V11" t="str">
        <f>T_Transacciones[[#This Row],[Producto]] &amp; "-" &amp; DATE(YEAR(T_Transacciones[[#This Row],[Fecha]]),MONTH(T_Transacciones[[#This Row],[Fecha]]),DAY(T_Transacciones[[#This Row],[Fecha]]))</f>
        <v>VTSAX-44663</v>
      </c>
    </row>
    <row r="12" spans="1:23" x14ac:dyDescent="0.45">
      <c r="A12" s="2">
        <v>44655</v>
      </c>
      <c r="B12" t="s">
        <v>38</v>
      </c>
      <c r="D12" t="s">
        <v>68</v>
      </c>
      <c r="E12" t="s">
        <v>10</v>
      </c>
      <c r="G12" t="s">
        <v>69</v>
      </c>
      <c r="H12">
        <v>100</v>
      </c>
      <c r="I12">
        <f>T_Transacciones[[#This Row],[Precio (Moneda Transacción)]]/T_Transacciones[[#This Row],[Cambio]]</f>
        <v>162.594528</v>
      </c>
      <c r="J12" cm="1">
        <f t="array" ref="J12">IF(T_Transacciones[[#This Row],[Tipo Transacción]]="Dividendos",INDEX(T_Stocks[Close],MATCH(T_Transacciones[[#This Row],[ID Transacción]],T_Stocks[ID],1),0)/100,INDEX(T_Stocks[Close],MATCH(T_Transacciones[[#This Row],[ID Transacción]],T_Stocks[ID],1),0))</f>
        <v>178.44</v>
      </c>
      <c r="K12" t="str" cm="1">
        <f t="array" ref="K12">INDEX(T_Elementos[Divisa],MATCH(T_Transacciones[[#This Row],[Producto]],T_Elementos[Producto],0),0)</f>
        <v>USD</v>
      </c>
      <c r="L12" cm="1">
        <f t="array" ref="L12">IF(T_Transacciones[[#This Row],[Divisa]]="EUR",1,INDEX(T_USD_EUR[EURUSD],MATCH(T_Transacciones[[#This Row],[Fecha]],T_USD_EUR[Fecha],1),0))</f>
        <v>1.0974539069359086</v>
      </c>
      <c r="M12">
        <f>T_Transacciones[[#This Row],[Importe Bruto (Moneda Transacción)]]/T_Transacciones[[#This Row],[Cambio]]</f>
        <v>16259.452800000001</v>
      </c>
      <c r="N12">
        <f>T_Transacciones[[#This Row],[Precio (Moneda Transacción)]]*T_Transacciones[[#This Row],[Participaciones]]</f>
        <v>17844</v>
      </c>
      <c r="S12">
        <f>T_Transacciones[[#This Row],[Comisión (Moneda Transacción)]]/T_Transacciones[[#This Row],[Cambio]]</f>
        <v>0</v>
      </c>
      <c r="T12">
        <v>0</v>
      </c>
      <c r="V12" t="str">
        <f>T_Transacciones[[#This Row],[Producto]] &amp; "-" &amp; DATE(YEAR(T_Transacciones[[#This Row],[Fecha]]),MONTH(T_Transacciones[[#This Row],[Fecha]]),DAY(T_Transacciones[[#This Row],[Fecha]]))</f>
        <v>AAPL-44655</v>
      </c>
    </row>
    <row r="13" spans="1:23" x14ac:dyDescent="0.45">
      <c r="A13" s="2">
        <v>44958</v>
      </c>
      <c r="B13" t="s">
        <v>38</v>
      </c>
      <c r="D13" t="s">
        <v>68</v>
      </c>
      <c r="E13" t="s">
        <v>10</v>
      </c>
      <c r="G13" t="s">
        <v>71</v>
      </c>
      <c r="H13">
        <v>-50</v>
      </c>
      <c r="I13">
        <f>T_Transacciones[[#This Row],[Precio (Moneda Transacción)]]/T_Transacciones[[#This Row],[Cambio]]</f>
        <v>132.31221400000001</v>
      </c>
      <c r="J13" cm="1">
        <f t="array" ref="J13">IF(T_Transacciones[[#This Row],[Tipo Transacción]]="Dividendos",INDEX(T_Stocks[Close],MATCH(T_Transacciones[[#This Row],[ID Transacción]],T_Stocks[ID],1),0)/100,INDEX(T_Stocks[Close],MATCH(T_Transacciones[[#This Row],[ID Transacción]],T_Stocks[ID],1),0))</f>
        <v>145.43</v>
      </c>
      <c r="K13" t="str" cm="1">
        <f t="array" ref="K13">INDEX(T_Elementos[Divisa],MATCH(T_Transacciones[[#This Row],[Producto]],T_Elementos[Producto],0),0)</f>
        <v>USD</v>
      </c>
      <c r="L13" cm="1">
        <f t="array" ref="L13">IF(T_Transacciones[[#This Row],[Divisa]]="EUR",1,INDEX(T_USD_EUR[EURUSD],MATCH(T_Transacciones[[#This Row],[Fecha]],T_USD_EUR[Fecha],1),0))</f>
        <v>1.0991426687183996</v>
      </c>
      <c r="M13">
        <f>T_Transacciones[[#This Row],[Importe Bruto (Moneda Transacción)]]/T_Transacciones[[#This Row],[Cambio]]</f>
        <v>-6615.6107000000002</v>
      </c>
      <c r="N13">
        <f>T_Transacciones[[#This Row],[Precio (Moneda Transacción)]]*T_Transacciones[[#This Row],[Participaciones]]</f>
        <v>-7271.5</v>
      </c>
      <c r="S13">
        <f>T_Transacciones[[#This Row],[Comisión (Moneda Transacción)]]/T_Transacciones[[#This Row],[Cambio]]</f>
        <v>0.90980000000000005</v>
      </c>
      <c r="T13">
        <v>1</v>
      </c>
      <c r="V13" t="str">
        <f>T_Transacciones[[#This Row],[Producto]] &amp; "-" &amp; DATE(YEAR(T_Transacciones[[#This Row],[Fecha]]),MONTH(T_Transacciones[[#This Row],[Fecha]]),DAY(T_Transacciones[[#This Row],[Fecha]]))</f>
        <v>AAPL-44958</v>
      </c>
    </row>
    <row r="14" spans="1:23" x14ac:dyDescent="0.45">
      <c r="A14" s="2">
        <v>44986</v>
      </c>
      <c r="B14" t="s">
        <v>38</v>
      </c>
      <c r="D14" t="s">
        <v>68</v>
      </c>
      <c r="E14" t="s">
        <v>10</v>
      </c>
      <c r="G14" t="s">
        <v>72</v>
      </c>
      <c r="H14">
        <v>52</v>
      </c>
      <c r="I14">
        <f>T_Transacciones[[#This Row],[Precio (Moneda Transacción)]]/T_Transacciones[[#This Row],[Cambio]]</f>
        <v>1.3617000100000001</v>
      </c>
      <c r="J14" cm="1">
        <f t="array" ref="J14">IF(T_Transacciones[[#This Row],[Tipo Transacción]]="Dividendos",INDEX(T_Stocks[Close],MATCH(T_Transacciones[[#This Row],[ID Transacción]],T_Stocks[ID],1),0)/100,INDEX(T_Stocks[Close],MATCH(T_Transacciones[[#This Row],[ID Transacción]],T_Stocks[ID],1),0))</f>
        <v>1.4531000000000001</v>
      </c>
      <c r="K14" t="str" cm="1">
        <f t="array" ref="K14">INDEX(T_Elementos[Divisa],MATCH(T_Transacciones[[#This Row],[Producto]],T_Elementos[Producto],0),0)</f>
        <v>USD</v>
      </c>
      <c r="L14" cm="1">
        <f t="array" ref="L14">IF(T_Transacciones[[#This Row],[Divisa]]="EUR",1,INDEX(T_USD_EUR[EURUSD],MATCH(T_Transacciones[[#This Row],[Fecha]],T_USD_EUR[Fecha],1),0))</f>
        <v>1.0671219720414042</v>
      </c>
      <c r="M14">
        <f>T_Transacciones[[#This Row],[Importe Bruto (Moneda Transacción)]]/T_Transacciones[[#This Row],[Cambio]]</f>
        <v>70.808400520000006</v>
      </c>
      <c r="N14">
        <f>T_Transacciones[[#This Row],[Precio (Moneda Transacción)]]*T_Transacciones[[#This Row],[Participaciones]]</f>
        <v>75.561199999999999</v>
      </c>
      <c r="S14">
        <f>T_Transacciones[[#This Row],[Comisión (Moneda Transacción)]]/T_Transacciones[[#This Row],[Cambio]]</f>
        <v>18.742000000000001</v>
      </c>
      <c r="T14">
        <v>20</v>
      </c>
      <c r="V14" t="str">
        <f>T_Transacciones[[#This Row],[Producto]] &amp; "-" &amp; DATE(YEAR(T_Transacciones[[#This Row],[Fecha]]),MONTH(T_Transacciones[[#This Row],[Fecha]]),DAY(T_Transacciones[[#This Row],[Fecha]]))</f>
        <v>AAPL-44986</v>
      </c>
    </row>
    <row r="15" spans="1:23" x14ac:dyDescent="0.45">
      <c r="A15" s="2">
        <v>45023</v>
      </c>
      <c r="B15" t="s">
        <v>43</v>
      </c>
      <c r="D15" t="s">
        <v>68</v>
      </c>
      <c r="E15" t="s">
        <v>159</v>
      </c>
      <c r="G15" t="s">
        <v>69</v>
      </c>
      <c r="H15">
        <v>3</v>
      </c>
      <c r="I15">
        <f>T_Transacciones[[#This Row],[Precio (Moneda Transacción)]]/T_Transacciones[[#This Row],[Cambio]]</f>
        <v>2000</v>
      </c>
      <c r="J15" cm="1">
        <f t="array" ref="J15">INDEX(T_Stocks[Close],MATCH(T_Transacciones[[#This Row],[ID Transacción]],T_Stocks[ID],1),0)</f>
        <v>2000</v>
      </c>
      <c r="K15" t="str" cm="1">
        <f t="array" ref="K15">INDEX(T_Elementos[Divisa],MATCH(T_Transacciones[[#This Row],[Producto]],T_Elementos[Producto],0),0)</f>
        <v>EUR</v>
      </c>
      <c r="L15" cm="1">
        <f t="array" ref="L15">IF(T_Transacciones[[#This Row],[Divisa]]="EUR",1,INDEX(T_USD_EUR[EURUSD],MATCH(T_Transacciones[[#This Row],[Fecha]],T_USD_EUR[Fecha],1),0))</f>
        <v>1</v>
      </c>
      <c r="M15">
        <f>T_Transacciones[[#This Row],[Importe Bruto (Moneda Transacción)]]/T_Transacciones[[#This Row],[Cambio]]</f>
        <v>6000</v>
      </c>
      <c r="N15">
        <f>T_Transacciones[[#This Row],[Precio (Moneda Transacción)]]*T_Transacciones[[#This Row],[Participaciones]]</f>
        <v>6000</v>
      </c>
      <c r="S15">
        <f>T_Transacciones[[#This Row],[Comisión (Moneda Transacción)]]/T_Transacciones[[#This Row],[Cambio]]</f>
        <v>0</v>
      </c>
      <c r="V15" t="str">
        <f>T_Transacciones[[#This Row],[Producto]] &amp; "-" &amp; DATE(YEAR(T_Transacciones[[#This Row],[Fecha]]),MONTH(T_Transacciones[[#This Row],[Fecha]]),DAY(T_Transacciones[[#This Row],[Fecha]]))</f>
        <v>Bonos-45023</v>
      </c>
    </row>
    <row r="16" spans="1:23" x14ac:dyDescent="0.45">
      <c r="A16" s="2">
        <v>45292</v>
      </c>
      <c r="B16" t="s">
        <v>32</v>
      </c>
      <c r="D16" t="s">
        <v>68</v>
      </c>
      <c r="E16" t="s">
        <v>10</v>
      </c>
      <c r="G16" t="s">
        <v>69</v>
      </c>
      <c r="H16">
        <v>100</v>
      </c>
      <c r="I16">
        <f>T_Transacciones[[#This Row],[Precio (Moneda Transacción)]]/T_Transacciones[[#This Row],[Cambio]]</f>
        <v>104.55309699999999</v>
      </c>
      <c r="J16" cm="1">
        <f t="array" ref="J16">IF(T_Transacciones[[#This Row],[Tipo Transacción]]="Dividendos",INDEX(T_Stocks[Close],MATCH(T_Transacciones[[#This Row],[ID Transacción]],T_Stocks[ID],1),0)/100,INDEX(T_Stocks[Close],MATCH(T_Transacciones[[#This Row],[ID Transacción]],T_Stocks[ID],1),0))</f>
        <v>115.49</v>
      </c>
      <c r="K16" t="str" cm="1">
        <f t="array" ref="K16">INDEX(T_Elementos[Divisa],MATCH(T_Transacciones[[#This Row],[Producto]],T_Elementos[Producto],0),0)</f>
        <v>USD</v>
      </c>
      <c r="L16" cm="1">
        <f t="array" ref="L16">IF(T_Transacciones[[#This Row],[Divisa]]="EUR",1,INDEX(T_USD_EUR[EURUSD],MATCH(T_Transacciones[[#This Row],[Fecha]],T_USD_EUR[Fecha],1),0))</f>
        <v>1.1046062078868883</v>
      </c>
      <c r="M16">
        <f>T_Transacciones[[#This Row],[Importe Bruto (Moneda Transacción)]]/T_Transacciones[[#This Row],[Cambio]]</f>
        <v>10455.3097</v>
      </c>
      <c r="N16">
        <f>T_Transacciones[[#This Row],[Precio (Moneda Transacción)]]*T_Transacciones[[#This Row],[Participaciones]]</f>
        <v>11549</v>
      </c>
      <c r="S16">
        <f>T_Transacciones[[#This Row],[Comisión (Moneda Transacción)]]/T_Transacciones[[#This Row],[Cambio]]</f>
        <v>0.90529999999999999</v>
      </c>
      <c r="T16">
        <v>1</v>
      </c>
      <c r="V16" t="str">
        <f>T_Transacciones[[#This Row],[Producto]] &amp; "-" &amp; DATE(YEAR(T_Transacciones[[#This Row],[Fecha]]),MONTH(T_Transacciones[[#This Row],[Fecha]]),DAY(T_Transacciones[[#This Row],[Fecha]]))</f>
        <v>VTSAX-45292</v>
      </c>
    </row>
    <row r="17" spans="1:22" x14ac:dyDescent="0.45">
      <c r="A17" s="2">
        <v>45444</v>
      </c>
      <c r="B17" t="s">
        <v>41</v>
      </c>
      <c r="D17" t="s">
        <v>68</v>
      </c>
      <c r="E17" t="s">
        <v>10</v>
      </c>
      <c r="G17" t="s">
        <v>69</v>
      </c>
      <c r="H17">
        <v>40</v>
      </c>
      <c r="I17">
        <f>T_Transacciones[[#This Row],[Precio (Moneda Transacción)]]/T_Transacciones[[#This Row],[Cambio]]</f>
        <v>382.79137299999996</v>
      </c>
      <c r="J17" cm="1">
        <f t="array" ref="J17">IF(T_Transacciones[[#This Row],[Tipo Transacción]]="Dividendos",INDEX(T_Stocks[Close],MATCH(T_Transacciones[[#This Row],[ID Transacción]],T_Stocks[ID],1),0)/100,INDEX(T_Stocks[Close],MATCH(T_Transacciones[[#This Row],[ID Transacción]],T_Stocks[ID],1),0))</f>
        <v>415.13</v>
      </c>
      <c r="K17" t="str" cm="1">
        <f t="array" ref="K17">INDEX(T_Elementos[Divisa],MATCH(T_Transacciones[[#This Row],[Producto]],T_Elementos[Producto],0),0)</f>
        <v>USD</v>
      </c>
      <c r="L17" cm="1">
        <f t="array" ref="L17">IF(T_Transacciones[[#This Row],[Divisa]]="EUR",1,INDEX(T_USD_EUR[EURUSD],MATCH(T_Transacciones[[#This Row],[Fecha]],T_USD_EUR[Fecha],1),0))</f>
        <v>1.0844810758052272</v>
      </c>
      <c r="M17">
        <f>T_Transacciones[[#This Row],[Importe Bruto (Moneda Transacción)]]/T_Transacciones[[#This Row],[Cambio]]</f>
        <v>15311.654920000001</v>
      </c>
      <c r="N17">
        <f>T_Transacciones[[#This Row],[Precio (Moneda Transacción)]]*T_Transacciones[[#This Row],[Participaciones]]</f>
        <v>16605.2</v>
      </c>
      <c r="S17">
        <f>T_Transacciones[[#This Row],[Comisión (Moneda Transacción)]]/T_Transacciones[[#This Row],[Cambio]]</f>
        <v>0.92209999999999992</v>
      </c>
      <c r="T17">
        <v>1</v>
      </c>
      <c r="V17" t="str">
        <f>T_Transacciones[[#This Row],[Producto]] &amp; "-" &amp; DATE(YEAR(T_Transacciones[[#This Row],[Fecha]]),MONTH(T_Transacciones[[#This Row],[Fecha]]),DAY(T_Transacciones[[#This Row],[Fecha]]))</f>
        <v>MSFT-45444</v>
      </c>
    </row>
    <row r="18" spans="1:22" x14ac:dyDescent="0.45">
      <c r="A18" s="2">
        <v>45444</v>
      </c>
      <c r="B18" t="s">
        <v>38</v>
      </c>
      <c r="D18" t="s">
        <v>68</v>
      </c>
      <c r="E18" t="s">
        <v>10</v>
      </c>
      <c r="G18" t="s">
        <v>69</v>
      </c>
      <c r="H18">
        <v>20</v>
      </c>
      <c r="I18">
        <f>T_Transacciones[[#This Row],[Precio (Moneda Transacción)]]/T_Transacciones[[#This Row],[Cambio]]</f>
        <v>177.27372499999998</v>
      </c>
      <c r="J18" cm="1">
        <f t="array" ref="J18">IF(T_Transacciones[[#This Row],[Tipo Transacción]]="Dividendos",INDEX(T_Stocks[Close],MATCH(T_Transacciones[[#This Row],[ID Transacción]],T_Stocks[ID],1),0)/100,INDEX(T_Stocks[Close],MATCH(T_Transacciones[[#This Row],[ID Transacción]],T_Stocks[ID],1),0))</f>
        <v>192.25</v>
      </c>
      <c r="K18" t="str" cm="1">
        <f t="array" ref="K18">INDEX(T_Elementos[Divisa],MATCH(T_Transacciones[[#This Row],[Producto]],T_Elementos[Producto],0),0)</f>
        <v>USD</v>
      </c>
      <c r="L18" cm="1">
        <f t="array" ref="L18">IF(T_Transacciones[[#This Row],[Divisa]]="EUR",1,INDEX(T_USD_EUR[EURUSD],MATCH(T_Transacciones[[#This Row],[Fecha]],T_USD_EUR[Fecha],1),0))</f>
        <v>1.0844810758052272</v>
      </c>
      <c r="M18">
        <f>T_Transacciones[[#This Row],[Importe Bruto (Moneda Transacción)]]/T_Transacciones[[#This Row],[Cambio]]</f>
        <v>3545.4744999999998</v>
      </c>
      <c r="N18">
        <f>T_Transacciones[[#This Row],[Precio (Moneda Transacción)]]*T_Transacciones[[#This Row],[Participaciones]]</f>
        <v>3845</v>
      </c>
      <c r="S18">
        <f>T_Transacciones[[#This Row],[Comisión (Moneda Transacción)]]/T_Transacciones[[#This Row],[Cambio]]</f>
        <v>4.6105</v>
      </c>
      <c r="T18">
        <v>5</v>
      </c>
      <c r="V18" t="str">
        <f>T_Transacciones[[#This Row],[Producto]] &amp; "-" &amp; DATE(YEAR(T_Transacciones[[#This Row],[Fecha]]),MONTH(T_Transacciones[[#This Row],[Fecha]]),DAY(T_Transacciones[[#This Row],[Fecha]]))</f>
        <v>AAPL-45444</v>
      </c>
    </row>
    <row r="19" spans="1:22" x14ac:dyDescent="0.45">
      <c r="A19" s="2">
        <v>45078</v>
      </c>
      <c r="B19" t="s">
        <v>51</v>
      </c>
      <c r="D19" s="16">
        <v>0.20833333333333334</v>
      </c>
      <c r="E19" t="s">
        <v>160</v>
      </c>
      <c r="G19" t="s">
        <v>69</v>
      </c>
      <c r="H19">
        <v>200</v>
      </c>
      <c r="I19">
        <f>T_Transacciones[[#This Row],[Precio (Moneda Transacción)]]/T_Transacciones[[#This Row],[Cambio]]</f>
        <v>82.996859999999998</v>
      </c>
      <c r="J19" cm="1">
        <f t="array" ref="J19">INDEX(T_Stocks[Close],MATCH(T_Transacciones[[#This Row],[ID Transacción]],T_Stocks[ID],1),0)</f>
        <v>89.34</v>
      </c>
      <c r="K19" t="str" cm="1">
        <f t="array" ref="K19">INDEX(T_Elementos[Divisa],MATCH(T_Transacciones[[#This Row],[Producto]],T_Elementos[Producto],0),0)</f>
        <v>USD</v>
      </c>
      <c r="L19" cm="1">
        <f t="array" ref="L19">IF(T_Transacciones[[#This Row],[Divisa]]="EUR",1,INDEX(T_USD_EUR[EURUSD],MATCH(T_Transacciones[[#This Row],[Fecha]],T_USD_EUR[Fecha],1),0))</f>
        <v>1.0764262648008611</v>
      </c>
      <c r="M19">
        <f>T_Transacciones[[#This Row],[Importe Bruto (Moneda Transacción)]]/T_Transacciones[[#This Row],[Cambio]]</f>
        <v>16599.371999999999</v>
      </c>
      <c r="N19">
        <f>T_Transacciones[[#This Row],[Precio (Moneda Transacción)]]*T_Transacciones[[#This Row],[Participaciones]]</f>
        <v>17868</v>
      </c>
      <c r="S19">
        <f>T_Transacciones[[#This Row],[Comisión (Moneda Transacción)]]/T_Transacciones[[#This Row],[Cambio]]</f>
        <v>0</v>
      </c>
      <c r="V19" t="str">
        <f>T_Transacciones[[#This Row],[Producto]] &amp; "-" &amp; DATE(YEAR(T_Transacciones[[#This Row],[Fecha]]),MONTH(T_Transacciones[[#This Row],[Fecha]]),DAY(T_Transacciones[[#This Row],[Fecha]]))</f>
        <v>PRHSX-45078</v>
      </c>
    </row>
    <row r="20" spans="1:22" x14ac:dyDescent="0.45">
      <c r="A20" s="2">
        <v>45448</v>
      </c>
      <c r="B20" t="s">
        <v>38</v>
      </c>
      <c r="D20" t="s">
        <v>68</v>
      </c>
      <c r="E20" t="s">
        <v>10</v>
      </c>
      <c r="G20" t="s">
        <v>69</v>
      </c>
      <c r="H20">
        <v>10</v>
      </c>
      <c r="I20">
        <f>T_Transacciones[[#This Row],[Precio (Moneda Transacción)]]/T_Transacciones[[#This Row],[Cambio]]</f>
        <v>180.18081300000003</v>
      </c>
      <c r="J20" cm="1">
        <f t="array" ref="J20">IF(T_Transacciones[[#This Row],[Tipo Transacción]]="Dividendos",INDEX(T_Stocks[Close],MATCH(T_Transacciones[[#This Row],[ID Transacción]],T_Stocks[ID],1),0)/100,INDEX(T_Stocks[Close],MATCH(T_Transacciones[[#This Row],[ID Transacción]],T_Stocks[ID],1),0))</f>
        <v>195.87</v>
      </c>
      <c r="K20" t="str" cm="1">
        <f t="array" ref="K20">INDEX(T_Elementos[Divisa],MATCH(T_Transacciones[[#This Row],[Producto]],T_Elementos[Producto],0),0)</f>
        <v>USD</v>
      </c>
      <c r="L20" cm="1">
        <f t="array" ref="L20">IF(T_Transacciones[[#This Row],[Divisa]]="EUR",1,INDEX(T_USD_EUR[EURUSD],MATCH(T_Transacciones[[#This Row],[Fecha]],T_USD_EUR[Fecha],1),0))</f>
        <v>1.0870746820306554</v>
      </c>
      <c r="M20">
        <f>T_Transacciones[[#This Row],[Importe Bruto (Moneda Transacción)]]/T_Transacciones[[#This Row],[Cambio]]</f>
        <v>1801.8081300000003</v>
      </c>
      <c r="N20">
        <f>T_Transacciones[[#This Row],[Precio (Moneda Transacción)]]*T_Transacciones[[#This Row],[Participaciones]]</f>
        <v>1958.7</v>
      </c>
      <c r="S20">
        <f>T_Transacciones[[#This Row],[Comisión (Moneda Transacción)]]/T_Transacciones[[#This Row],[Cambio]]</f>
        <v>4.5995000000000008</v>
      </c>
      <c r="T20">
        <v>5</v>
      </c>
      <c r="V20" t="str">
        <f>T_Transacciones[[#This Row],[Producto]] &amp; "-" &amp; DATE(YEAR(T_Transacciones[[#This Row],[Fecha]]),MONTH(T_Transacciones[[#This Row],[Fecha]]),DAY(T_Transacciones[[#This Row],[Fecha]]))</f>
        <v>AAPL-45448</v>
      </c>
    </row>
    <row r="21" spans="1:22" x14ac:dyDescent="0.45">
      <c r="A21" s="2">
        <v>45474</v>
      </c>
      <c r="B21" t="s">
        <v>38</v>
      </c>
      <c r="D21" t="s">
        <v>68</v>
      </c>
      <c r="E21" t="s">
        <v>10</v>
      </c>
      <c r="G21" t="s">
        <v>69</v>
      </c>
      <c r="H21">
        <v>5</v>
      </c>
      <c r="I21">
        <f>T_Transacciones[[#This Row],[Precio (Moneda Transacción)]]/T_Transacciones[[#This Row],[Cambio]]</f>
        <v>201.77257499999999</v>
      </c>
      <c r="J21" cm="1">
        <f t="array" ref="J21">IF(T_Transacciones[[#This Row],[Tipo Transacción]]="Dividendos",INDEX(T_Stocks[Close],MATCH(T_Transacciones[[#This Row],[ID Transacción]],T_Stocks[ID],1),0)/100,INDEX(T_Stocks[Close],MATCH(T_Transacciones[[#This Row],[ID Transacción]],T_Stocks[ID],1),0))</f>
        <v>216.75</v>
      </c>
      <c r="K21" t="str" cm="1">
        <f t="array" ref="K21">INDEX(T_Elementos[Divisa],MATCH(T_Transacciones[[#This Row],[Producto]],T_Elementos[Producto],0),0)</f>
        <v>USD</v>
      </c>
      <c r="L21" cm="1">
        <f t="array" ref="L21">IF(T_Transacciones[[#This Row],[Divisa]]="EUR",1,INDEX(T_USD_EUR[EURUSD],MATCH(T_Transacciones[[#This Row],[Fecha]],T_USD_EUR[Fecha],1),0))</f>
        <v>1.074229240519927</v>
      </c>
      <c r="M21">
        <f>T_Transacciones[[#This Row],[Importe Bruto (Moneda Transacción)]]/T_Transacciones[[#This Row],[Cambio]]</f>
        <v>1008.862875</v>
      </c>
      <c r="N21">
        <f>T_Transacciones[[#This Row],[Precio (Moneda Transacción)]]*T_Transacciones[[#This Row],[Participaciones]]</f>
        <v>1083.75</v>
      </c>
      <c r="S21">
        <f>T_Transacciones[[#This Row],[Comisión (Moneda Transacción)]]/T_Transacciones[[#This Row],[Cambio]]</f>
        <v>2.7927</v>
      </c>
      <c r="T21">
        <v>3</v>
      </c>
      <c r="V21" t="str">
        <f>T_Transacciones[[#This Row],[Producto]] &amp; "-" &amp; DATE(YEAR(T_Transacciones[[#This Row],[Fecha]]),MONTH(T_Transacciones[[#This Row],[Fecha]]),DAY(T_Transacciones[[#This Row],[Fecha]]))</f>
        <v>AAPL-45474</v>
      </c>
    </row>
    <row r="22" spans="1:22" x14ac:dyDescent="0.45">
      <c r="A22" s="2">
        <v>45483</v>
      </c>
      <c r="B22" t="s">
        <v>38</v>
      </c>
      <c r="D22" t="s">
        <v>68</v>
      </c>
      <c r="E22" t="s">
        <v>10</v>
      </c>
      <c r="G22" t="s">
        <v>72</v>
      </c>
      <c r="H22">
        <v>97</v>
      </c>
      <c r="I22">
        <f>T_Transacciones[[#This Row],[Precio (Moneda Transacción)]]/T_Transacciones[[#This Row],[Cambio]]</f>
        <v>2.1511043399999998</v>
      </c>
      <c r="J22" cm="1">
        <f t="array" ref="J22">IF(T_Transacciones[[#This Row],[Tipo Transacción]]="Dividendos",INDEX(T_Stocks[Close],MATCH(T_Transacciones[[#This Row],[ID Transacción]],T_Stocks[ID],1),0)/100,INDEX(T_Stocks[Close],MATCH(T_Transacciones[[#This Row],[ID Transacción]],T_Stocks[ID],1),0))</f>
        <v>2.3298000000000001</v>
      </c>
      <c r="K22" t="str" cm="1">
        <f t="array" ref="K22">INDEX(T_Elementos[Divisa],MATCH(T_Transacciones[[#This Row],[Producto]],T_Elementos[Producto],0),0)</f>
        <v>USD</v>
      </c>
      <c r="L22" cm="1">
        <f t="array" ref="L22">IF(T_Transacciones[[#This Row],[Divisa]]="EUR",1,INDEX(T_USD_EUR[EURUSD],MATCH(T_Transacciones[[#This Row],[Fecha]],T_USD_EUR[Fecha],1),0))</f>
        <v>1.0830715910321673</v>
      </c>
      <c r="M22">
        <f>T_Transacciones[[#This Row],[Importe Bruto (Moneda Transacción)]]/T_Transacciones[[#This Row],[Cambio]]</f>
        <v>208.65712097999997</v>
      </c>
      <c r="N22">
        <f>T_Transacciones[[#This Row],[Precio (Moneda Transacción)]]*T_Transacciones[[#This Row],[Participaciones]]</f>
        <v>225.9906</v>
      </c>
      <c r="O22">
        <f>T_Transacciones[[#This Row],[Retenido (Moneda Transacción)]]/T_Transacciones[[#This Row],[Cambio]]</f>
        <v>138.49499999999998</v>
      </c>
      <c r="P22">
        <v>150</v>
      </c>
      <c r="Q22" t="s">
        <v>73</v>
      </c>
      <c r="S22">
        <f>T_Transacciones[[#This Row],[Comisión (Moneda Transacción)]]/T_Transacciones[[#This Row],[Cambio]]</f>
        <v>19.389299999999999</v>
      </c>
      <c r="T22">
        <v>21</v>
      </c>
      <c r="V22" t="str">
        <f>T_Transacciones[[#This Row],[Producto]] &amp; "-" &amp; DATE(YEAR(T_Transacciones[[#This Row],[Fecha]]),MONTH(T_Transacciones[[#This Row],[Fecha]]),DAY(T_Transacciones[[#This Row],[Fecha]]))</f>
        <v>AAPL-45483</v>
      </c>
    </row>
    <row r="23" spans="1:22" x14ac:dyDescent="0.45">
      <c r="A23" s="2">
        <v>45505</v>
      </c>
      <c r="B23" t="s">
        <v>38</v>
      </c>
      <c r="D23" t="s">
        <v>68</v>
      </c>
      <c r="E23" t="s">
        <v>10</v>
      </c>
      <c r="G23" t="s">
        <v>69</v>
      </c>
      <c r="H23">
        <v>10</v>
      </c>
      <c r="I23">
        <f>T_Transacciones[[#This Row],[Precio (Moneda Transacción)]]/T_Transacciones[[#This Row],[Cambio]]</f>
        <v>202.33237600000001</v>
      </c>
      <c r="J23" cm="1">
        <f t="array" ref="J23">IF(T_Transacciones[[#This Row],[Tipo Transacción]]="Dividendos",INDEX(T_Stocks[Close],MATCH(T_Transacciones[[#This Row],[ID Transacción]],T_Stocks[ID],1),0)/100,INDEX(T_Stocks[Close],MATCH(T_Transacciones[[#This Row],[ID Transacción]],T_Stocks[ID],1),0))</f>
        <v>218.36</v>
      </c>
      <c r="K23" t="str" cm="1">
        <f t="array" ref="K23">INDEX(T_Elementos[Divisa],MATCH(T_Transacciones[[#This Row],[Producto]],T_Elementos[Producto],0),0)</f>
        <v>USD</v>
      </c>
      <c r="L23" cm="1">
        <f t="array" ref="L23">IF(T_Transacciones[[#This Row],[Divisa]]="EUR",1,INDEX(T_USD_EUR[EURUSD],MATCH(T_Transacciones[[#This Row],[Fecha]],T_USD_EUR[Fecha],1),0))</f>
        <v>1.0792143319663285</v>
      </c>
      <c r="M23">
        <f>T_Transacciones[[#This Row],[Importe Bruto (Moneda Transacción)]]/T_Transacciones[[#This Row],[Cambio]]</f>
        <v>2023.3237600000002</v>
      </c>
      <c r="N23">
        <f>T_Transacciones[[#This Row],[Precio (Moneda Transacción)]]*T_Transacciones[[#This Row],[Participaciones]]</f>
        <v>2183.6000000000004</v>
      </c>
      <c r="S23">
        <f>T_Transacciones[[#This Row],[Comisión (Moneda Transacción)]]/T_Transacciones[[#This Row],[Cambio]]</f>
        <v>4.633</v>
      </c>
      <c r="T23">
        <v>5</v>
      </c>
      <c r="V23" t="str">
        <f>T_Transacciones[[#This Row],[Producto]] &amp; "-" &amp; DATE(YEAR(T_Transacciones[[#This Row],[Fecha]]),MONTH(T_Transacciones[[#This Row],[Fecha]]),DAY(T_Transacciones[[#This Row],[Fecha]]))</f>
        <v>AAPL-45505</v>
      </c>
    </row>
    <row r="24" spans="1:22" x14ac:dyDescent="0.45">
      <c r="A24" s="2">
        <v>45536</v>
      </c>
      <c r="B24" t="s">
        <v>38</v>
      </c>
      <c r="D24" t="s">
        <v>68</v>
      </c>
      <c r="E24" t="s">
        <v>10</v>
      </c>
      <c r="G24" t="s">
        <v>69</v>
      </c>
      <c r="H24">
        <v>10</v>
      </c>
      <c r="I24">
        <f>T_Transacciones[[#This Row],[Precio (Moneda Transacción)]]/T_Transacciones[[#This Row],[Cambio]]</f>
        <v>207.2679</v>
      </c>
      <c r="J24" cm="1">
        <f t="array" ref="J24">IF(T_Transacciones[[#This Row],[Tipo Transacción]]="Dividendos",INDEX(T_Stocks[Close],MATCH(T_Transacciones[[#This Row],[ID Transacción]],T_Stocks[ID],1),0)/100,INDEX(T_Stocks[Close],MATCH(T_Transacciones[[#This Row],[ID Transacción]],T_Stocks[ID],1),0))</f>
        <v>229</v>
      </c>
      <c r="K24" t="str" cm="1">
        <f t="array" ref="K24">INDEX(T_Elementos[Divisa],MATCH(T_Transacciones[[#This Row],[Producto]],T_Elementos[Producto],0),0)</f>
        <v>USD</v>
      </c>
      <c r="L24" cm="1">
        <f t="array" ref="L24">IF(T_Transacciones[[#This Row],[Divisa]]="EUR",1,INDEX(T_USD_EUR[EURUSD],MATCH(T_Transacciones[[#This Row],[Fecha]],T_USD_EUR[Fecha],1),0))</f>
        <v>1.1048502927853276</v>
      </c>
      <c r="M24">
        <f>T_Transacciones[[#This Row],[Importe Bruto (Moneda Transacción)]]/T_Transacciones[[#This Row],[Cambio]]</f>
        <v>2072.6790000000001</v>
      </c>
      <c r="N24">
        <f>T_Transacciones[[#This Row],[Precio (Moneda Transacción)]]*T_Transacciones[[#This Row],[Participaciones]]</f>
        <v>2290</v>
      </c>
      <c r="S24">
        <f>T_Transacciones[[#This Row],[Comisión (Moneda Transacción)]]/T_Transacciones[[#This Row],[Cambio]]</f>
        <v>4.5255000000000001</v>
      </c>
      <c r="T24">
        <v>5</v>
      </c>
      <c r="V24" t="str">
        <f>T_Transacciones[[#This Row],[Producto]] &amp; "-" &amp; DATE(YEAR(T_Transacciones[[#This Row],[Fecha]]),MONTH(T_Transacciones[[#This Row],[Fecha]]),DAY(T_Transacciones[[#This Row],[Fecha]]))</f>
        <v>AAPL-45536</v>
      </c>
    </row>
    <row r="25" spans="1:22" x14ac:dyDescent="0.45">
      <c r="A25" s="2">
        <v>45170</v>
      </c>
      <c r="B25" t="s">
        <v>38</v>
      </c>
      <c r="D25" t="s">
        <v>68</v>
      </c>
      <c r="E25" t="s">
        <v>10</v>
      </c>
      <c r="G25" t="s">
        <v>71</v>
      </c>
      <c r="H25">
        <v>-10</v>
      </c>
      <c r="I25">
        <f>T_Transacciones[[#This Row],[Precio (Moneda Transacción)]]/T_Transacciones[[#This Row],[Cambio]]</f>
        <v>175.79993399999998</v>
      </c>
      <c r="J25" cm="1">
        <f t="array" ref="J25">IF(T_Transacciones[[#This Row],[Tipo Transacción]]="Dividendos",INDEX(T_Stocks[Close],MATCH(T_Transacciones[[#This Row],[ID Transacción]],T_Stocks[ID],1),0)/100,INDEX(T_Stocks[Close],MATCH(T_Transacciones[[#This Row],[ID Transacción]],T_Stocks[ID],1),0))</f>
        <v>189.46</v>
      </c>
      <c r="K25" t="str" cm="1">
        <f t="array" ref="K25">INDEX(T_Elementos[Divisa],MATCH(T_Transacciones[[#This Row],[Producto]],T_Elementos[Producto],0),0)</f>
        <v>USD</v>
      </c>
      <c r="L25" cm="1">
        <f t="array" ref="L25">IF(T_Transacciones[[#This Row],[Divisa]]="EUR",1,INDEX(T_USD_EUR[EURUSD],MATCH(T_Transacciones[[#This Row],[Fecha]],T_USD_EUR[Fecha],1),0))</f>
        <v>1.0777023386140749</v>
      </c>
      <c r="M25">
        <f>T_Transacciones[[#This Row],[Importe Bruto (Moneda Transacción)]]/T_Transacciones[[#This Row],[Cambio]]</f>
        <v>-1757.9993399999998</v>
      </c>
      <c r="N25">
        <f>T_Transacciones[[#This Row],[Precio (Moneda Transacción)]]*T_Transacciones[[#This Row],[Participaciones]]</f>
        <v>-1894.6000000000001</v>
      </c>
      <c r="S25">
        <f>T_Transacciones[[#This Row],[Comisión (Moneda Transacción)]]/T_Transacciones[[#This Row],[Cambio]]</f>
        <v>0.92789999999999984</v>
      </c>
      <c r="T25">
        <v>1</v>
      </c>
      <c r="V25" t="str">
        <f>T_Transacciones[[#This Row],[Producto]] &amp; "-" &amp; DATE(YEAR(T_Transacciones[[#This Row],[Fecha]]),MONTH(T_Transacciones[[#This Row],[Fecha]]),DAY(T_Transacciones[[#This Row],[Fecha]]))</f>
        <v>AAPL-45170</v>
      </c>
    </row>
    <row r="26" spans="1:22" x14ac:dyDescent="0.45">
      <c r="A26" s="2">
        <v>45566</v>
      </c>
      <c r="B26" t="s">
        <v>41</v>
      </c>
      <c r="D26" t="s">
        <v>68</v>
      </c>
      <c r="E26" t="s">
        <v>10</v>
      </c>
      <c r="G26" t="s">
        <v>71</v>
      </c>
      <c r="H26">
        <v>-20</v>
      </c>
      <c r="I26">
        <f>T_Transacciones[[#This Row],[Precio (Moneda Transacción)]]/T_Transacciones[[#This Row],[Cambio]]</f>
        <v>380.05134599999997</v>
      </c>
      <c r="J26" cm="1">
        <f t="array" ref="J26">IF(T_Transacciones[[#This Row],[Tipo Transacción]]="Dividendos",INDEX(T_Stocks[Close],MATCH(T_Transacciones[[#This Row],[ID Transacción]],T_Stocks[ID],1),0)/100,INDEX(T_Stocks[Close],MATCH(T_Transacciones[[#This Row],[ID Transacción]],T_Stocks[ID],1),0))</f>
        <v>420.69</v>
      </c>
      <c r="K26" t="str" cm="1">
        <f t="array" ref="K26">INDEX(T_Elementos[Divisa],MATCH(T_Transacciones[[#This Row],[Producto]],T_Elementos[Producto],0),0)</f>
        <v>USD</v>
      </c>
      <c r="L26" cm="1">
        <f t="array" ref="L26">IF(T_Transacciones[[#This Row],[Divisa]]="EUR",1,INDEX(T_USD_EUR[EURUSD],MATCH(T_Transacciones[[#This Row],[Fecha]],T_USD_EUR[Fecha],1),0))</f>
        <v>1.1069293779056897</v>
      </c>
      <c r="M26">
        <f>T_Transacciones[[#This Row],[Importe Bruto (Moneda Transacción)]]/T_Transacciones[[#This Row],[Cambio]]</f>
        <v>-7601.0269199999993</v>
      </c>
      <c r="N26">
        <f>T_Transacciones[[#This Row],[Precio (Moneda Transacción)]]*T_Transacciones[[#This Row],[Participaciones]]</f>
        <v>-8413.7999999999993</v>
      </c>
      <c r="S26">
        <f>T_Transacciones[[#This Row],[Comisión (Moneda Transacción)]]/T_Transacciones[[#This Row],[Cambio]]</f>
        <v>0.90339999999999998</v>
      </c>
      <c r="T26">
        <v>1</v>
      </c>
      <c r="V26" t="str">
        <f>T_Transacciones[[#This Row],[Producto]] &amp; "-" &amp; DATE(YEAR(T_Transacciones[[#This Row],[Fecha]]),MONTH(T_Transacciones[[#This Row],[Fecha]]),DAY(T_Transacciones[[#This Row],[Fecha]]))</f>
        <v>MSFT-45566</v>
      </c>
    </row>
    <row r="27" spans="1:22" x14ac:dyDescent="0.45">
      <c r="A27" s="2">
        <v>45597</v>
      </c>
      <c r="B27" t="s">
        <v>38</v>
      </c>
      <c r="D27" t="s">
        <v>68</v>
      </c>
      <c r="E27" t="s">
        <v>10</v>
      </c>
      <c r="G27" t="s">
        <v>71</v>
      </c>
      <c r="H27">
        <v>-2</v>
      </c>
      <c r="I27">
        <f>T_Transacciones[[#This Row],[Precio (Moneda Transacción)]]/T_Transacciones[[#This Row],[Cambio]]</f>
        <v>205.74592999999999</v>
      </c>
      <c r="J27" cm="1">
        <f t="array" ref="J27">IF(T_Transacciones[[#This Row],[Tipo Transacción]]="Dividendos",INDEX(T_Stocks[Close],MATCH(T_Transacciones[[#This Row],[ID Transacción]],T_Stocks[ID],1),0)/100,INDEX(T_Stocks[Close],MATCH(T_Transacciones[[#This Row],[ID Transacción]],T_Stocks[ID],1),0))</f>
        <v>222.91</v>
      </c>
      <c r="K27" t="str" cm="1">
        <f t="array" ref="K27">INDEX(T_Elementos[Divisa],MATCH(T_Transacciones[[#This Row],[Producto]],T_Elementos[Producto],0),0)</f>
        <v>USD</v>
      </c>
      <c r="L27" cm="1">
        <f t="array" ref="L27">IF(T_Transacciones[[#This Row],[Divisa]]="EUR",1,INDEX(T_USD_EUR[EURUSD],MATCH(T_Transacciones[[#This Row],[Fecha]],T_USD_EUR[Fecha],1),0))</f>
        <v>1.0834236186348862</v>
      </c>
      <c r="M27">
        <f>T_Transacciones[[#This Row],[Importe Bruto (Moneda Transacción)]]/T_Transacciones[[#This Row],[Cambio]]</f>
        <v>-411.49185999999997</v>
      </c>
      <c r="N27">
        <f>T_Transacciones[[#This Row],[Precio (Moneda Transacción)]]*T_Transacciones[[#This Row],[Participaciones]]</f>
        <v>-445.82</v>
      </c>
      <c r="S27">
        <f>T_Transacciones[[#This Row],[Comisión (Moneda Transacción)]]/T_Transacciones[[#This Row],[Cambio]]</f>
        <v>0.92300000000000004</v>
      </c>
      <c r="T27">
        <v>1</v>
      </c>
      <c r="V27" t="str">
        <f>T_Transacciones[[#This Row],[Producto]] &amp; "-" &amp; DATE(YEAR(T_Transacciones[[#This Row],[Fecha]]),MONTH(T_Transacciones[[#This Row],[Fecha]]),DAY(T_Transacciones[[#This Row],[Fecha]]))</f>
        <v>AAPL-45597</v>
      </c>
    </row>
    <row r="28" spans="1:22" x14ac:dyDescent="0.45">
      <c r="A28" s="2">
        <v>45260</v>
      </c>
      <c r="B28" t="s">
        <v>32</v>
      </c>
      <c r="D28" t="s">
        <v>68</v>
      </c>
      <c r="E28" t="s">
        <v>10</v>
      </c>
      <c r="G28" t="s">
        <v>71</v>
      </c>
      <c r="H28">
        <v>-200</v>
      </c>
      <c r="I28">
        <f>T_Transacciones[[#This Row],[Precio (Moneda Transacción)]]/T_Transacciones[[#This Row],[Cambio]]</f>
        <v>101.14339199999999</v>
      </c>
      <c r="J28" cm="1">
        <f t="array" ref="J28">IF(T_Transacciones[[#This Row],[Tipo Transacción]]="Dividendos",INDEX(T_Stocks[Close],MATCH(T_Transacciones[[#This Row],[ID Transacción]],T_Stocks[ID],1),0)/100,INDEX(T_Stocks[Close],MATCH(T_Transacciones[[#This Row],[ID Transacción]],T_Stocks[ID],1),0))</f>
        <v>110.13</v>
      </c>
      <c r="K28" t="str" cm="1">
        <f t="array" ref="K28">INDEX(T_Elementos[Divisa],MATCH(T_Transacciones[[#This Row],[Producto]],T_Elementos[Producto],0),0)</f>
        <v>USD</v>
      </c>
      <c r="L28" cm="1">
        <f t="array" ref="L28">IF(T_Transacciones[[#This Row],[Divisa]]="EUR",1,INDEX(T_USD_EUR[EURUSD],MATCH(T_Transacciones[[#This Row],[Fecha]],T_USD_EUR[Fecha],1),0))</f>
        <v>1.0888501742160279</v>
      </c>
      <c r="M28">
        <f>T_Transacciones[[#This Row],[Importe Bruto (Moneda Transacción)]]/T_Transacciones[[#This Row],[Cambio]]</f>
        <v>-20228.678400000001</v>
      </c>
      <c r="N28">
        <f>T_Transacciones[[#This Row],[Precio (Moneda Transacción)]]*T_Transacciones[[#This Row],[Participaciones]]</f>
        <v>-22026</v>
      </c>
      <c r="S28">
        <f>T_Transacciones[[#This Row],[Comisión (Moneda Transacción)]]/T_Transacciones[[#This Row],[Cambio]]</f>
        <v>13.776</v>
      </c>
      <c r="T28">
        <v>15</v>
      </c>
      <c r="V28" t="str">
        <f>T_Transacciones[[#This Row],[Producto]] &amp; "-" &amp; DATE(YEAR(T_Transacciones[[#This Row],[Fecha]]),MONTH(T_Transacciones[[#This Row],[Fecha]]),DAY(T_Transacciones[[#This Row],[Fecha]]))</f>
        <v>VTSAX-45260</v>
      </c>
    </row>
    <row r="29" spans="1:22" x14ac:dyDescent="0.45">
      <c r="A29" s="2">
        <v>45627</v>
      </c>
      <c r="B29" t="s">
        <v>38</v>
      </c>
      <c r="D29" t="s">
        <v>68</v>
      </c>
      <c r="E29" t="s">
        <v>10</v>
      </c>
      <c r="G29" t="s">
        <v>71</v>
      </c>
      <c r="H29">
        <v>-50</v>
      </c>
      <c r="I29">
        <f>T_Transacciones[[#This Row],[Precio (Moneda Transacción)]]/T_Transacciones[[#This Row],[Cambio]]</f>
        <v>224.37178200000002</v>
      </c>
      <c r="J29" cm="1">
        <f t="array" ref="J29">IF(T_Transacciones[[#This Row],[Tipo Transacción]]="Dividendos",INDEX(T_Stocks[Close],MATCH(T_Transacciones[[#This Row],[ID Transacción]],T_Stocks[ID],1),0)/100,INDEX(T_Stocks[Close],MATCH(T_Transacciones[[#This Row],[ID Transacción]],T_Stocks[ID],1),0))</f>
        <v>237.33</v>
      </c>
      <c r="K29" t="str" cm="1">
        <f t="array" ref="K29">INDEX(T_Elementos[Divisa],MATCH(T_Transacciones[[#This Row],[Producto]],T_Elementos[Producto],0),0)</f>
        <v>USD</v>
      </c>
      <c r="L29" cm="1">
        <f t="array" ref="L29">IF(T_Transacciones[[#This Row],[Divisa]]="EUR",1,INDEX(T_USD_EUR[EURUSD],MATCH(T_Transacciones[[#This Row],[Fecha]],T_USD_EUR[Fecha],1),0))</f>
        <v>1.0577533319229955</v>
      </c>
      <c r="M29">
        <f>T_Transacciones[[#This Row],[Importe Bruto (Moneda Transacción)]]/T_Transacciones[[#This Row],[Cambio]]</f>
        <v>-11218.589100000001</v>
      </c>
      <c r="N29">
        <f>T_Transacciones[[#This Row],[Precio (Moneda Transacción)]]*T_Transacciones[[#This Row],[Participaciones]]</f>
        <v>-11866.5</v>
      </c>
      <c r="S29">
        <f>T_Transacciones[[#This Row],[Comisión (Moneda Transacción)]]/T_Transacciones[[#This Row],[Cambio]]</f>
        <v>0</v>
      </c>
      <c r="T29">
        <v>0</v>
      </c>
      <c r="U29">
        <v>1</v>
      </c>
      <c r="V29" t="str">
        <f>T_Transacciones[[#This Row],[Producto]] &amp; "-" &amp; DATE(YEAR(T_Transacciones[[#This Row],[Fecha]]),MONTH(T_Transacciones[[#This Row],[Fecha]]),DAY(T_Transacciones[[#This Row],[Fecha]]))</f>
        <v>AAPL-45627</v>
      </c>
    </row>
    <row r="30" spans="1:22" x14ac:dyDescent="0.45">
      <c r="A30" s="2">
        <v>44506</v>
      </c>
      <c r="B30" t="s">
        <v>155</v>
      </c>
      <c r="D30" t="s">
        <v>68</v>
      </c>
      <c r="E30" t="s">
        <v>10</v>
      </c>
      <c r="G30" t="s">
        <v>69</v>
      </c>
      <c r="H30">
        <v>0.5</v>
      </c>
      <c r="I30">
        <f>T_Transacciones[[#This Row],[Precio (Moneda Transacción)]]/T_Transacciones[[#This Row],[Cambio]]</f>
        <v>53274.215620000003</v>
      </c>
      <c r="J30" cm="1">
        <f t="array" ref="J30">INDEX(T_Stocks[Close],MATCH(T_Transacciones[[#This Row],[ID Transacción]],T_Stocks[ID],1),0)</f>
        <v>53274.215620000003</v>
      </c>
      <c r="K30" t="str" cm="1">
        <f t="array" ref="K30">INDEX(T_Elementos[Divisa],MATCH(T_Transacciones[[#This Row],[Producto]],T_Elementos[Producto],0),0)</f>
        <v>EUR</v>
      </c>
      <c r="L30" cm="1">
        <f t="array" ref="L30">IF(T_Transacciones[[#This Row],[Divisa]]="EUR",1,INDEX(T_USD_EUR[EURUSD],MATCH(T_Transacciones[[#This Row],[Fecha]],T_USD_EUR[Fecha],1),0))</f>
        <v>1</v>
      </c>
      <c r="M30">
        <f>T_Transacciones[[#This Row],[Importe Bruto (Moneda Transacción)]]/T_Transacciones[[#This Row],[Cambio]]</f>
        <v>26637.107810000001</v>
      </c>
      <c r="N30">
        <f>T_Transacciones[[#This Row],[Precio (Moneda Transacción)]]*T_Transacciones[[#This Row],[Participaciones]]</f>
        <v>26637.107810000001</v>
      </c>
      <c r="S30">
        <f>T_Transacciones[[#This Row],[Comisión (Moneda Transacción)]]/T_Transacciones[[#This Row],[Cambio]]</f>
        <v>1</v>
      </c>
      <c r="T30">
        <v>1</v>
      </c>
      <c r="V30" t="str">
        <f>T_Transacciones[[#This Row],[Producto]] &amp; "-" &amp; DATE(YEAR(T_Transacciones[[#This Row],[Fecha]]),MONTH(T_Transacciones[[#This Row],[Fecha]]),DAY(T_Transacciones[[#This Row],[Fecha]]))</f>
        <v>BTCEUR-44506</v>
      </c>
    </row>
    <row r="31" spans="1:22" x14ac:dyDescent="0.45">
      <c r="A31" s="2">
        <v>44893</v>
      </c>
      <c r="B31" t="s">
        <v>155</v>
      </c>
      <c r="D31" t="s">
        <v>68</v>
      </c>
      <c r="E31" t="s">
        <v>10</v>
      </c>
      <c r="G31" t="s">
        <v>71</v>
      </c>
      <c r="H31">
        <v>-0.75</v>
      </c>
      <c r="I31">
        <f>T_Transacciones[[#This Row],[Precio (Moneda Transacción)]]/T_Transacciones[[#This Row],[Cambio]]</f>
        <v>15665.0869</v>
      </c>
      <c r="J31" cm="1">
        <f t="array" ref="J31">INDEX(T_Stocks[Close],MATCH(T_Transacciones[[#This Row],[ID Transacción]],T_Stocks[ID],1),0)</f>
        <v>15665.0869</v>
      </c>
      <c r="K31" t="str" cm="1">
        <f t="array" ref="K31">INDEX(T_Elementos[Divisa],MATCH(T_Transacciones[[#This Row],[Producto]],T_Elementos[Producto],0),0)</f>
        <v>EUR</v>
      </c>
      <c r="L31" cm="1">
        <f t="array" ref="L31">IF(T_Transacciones[[#This Row],[Divisa]]="EUR",1,INDEX(T_USD_EUR[EURUSD],MATCH(T_Transacciones[[#This Row],[Fecha]],T_USD_EUR[Fecha],1),0))</f>
        <v>1</v>
      </c>
      <c r="M31">
        <f>T_Transacciones[[#This Row],[Importe Bruto (Moneda Transacción)]]/T_Transacciones[[#This Row],[Cambio]]</f>
        <v>-11748.815175</v>
      </c>
      <c r="N31">
        <f>T_Transacciones[[#This Row],[Precio (Moneda Transacción)]]*T_Transacciones[[#This Row],[Participaciones]]</f>
        <v>-11748.815175</v>
      </c>
      <c r="S31">
        <f>T_Transacciones[[#This Row],[Comisión (Moneda Transacción)]]/T_Transacciones[[#This Row],[Cambio]]</f>
        <v>1</v>
      </c>
      <c r="T31">
        <v>1</v>
      </c>
      <c r="V31" t="str">
        <f>T_Transacciones[[#This Row],[Producto]] &amp; "-" &amp; DATE(YEAR(T_Transacciones[[#This Row],[Fecha]]),MONTH(T_Transacciones[[#This Row],[Fecha]]),DAY(T_Transacciones[[#This Row],[Fecha]]))</f>
        <v>BTCEUR-44893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H11"/>
  <sheetViews>
    <sheetView workbookViewId="0">
      <selection activeCell="A10" sqref="A10"/>
    </sheetView>
  </sheetViews>
  <sheetFormatPr baseColWidth="10" defaultColWidth="9.1328125" defaultRowHeight="14.25" x14ac:dyDescent="0.45"/>
  <cols>
    <col min="1" max="1" width="20.86328125" customWidth="1"/>
    <col min="2" max="2" width="24.1328125" customWidth="1"/>
    <col min="3" max="4" width="23.265625" customWidth="1"/>
    <col min="5" max="5" width="16" customWidth="1"/>
    <col min="6" max="6" width="11" customWidth="1"/>
    <col min="7" max="7" width="21.86328125" customWidth="1"/>
  </cols>
  <sheetData>
    <row r="1" spans="1:8" x14ac:dyDescent="0.45">
      <c r="A1" s="3" t="s">
        <v>26</v>
      </c>
      <c r="B1" s="3" t="s">
        <v>33</v>
      </c>
      <c r="C1" s="3" t="s">
        <v>34</v>
      </c>
      <c r="D1" s="3" t="s">
        <v>59</v>
      </c>
      <c r="E1" s="3" t="s">
        <v>9</v>
      </c>
      <c r="F1" s="3" t="s">
        <v>35</v>
      </c>
      <c r="G1" s="3" t="s">
        <v>36</v>
      </c>
      <c r="H1" s="3" t="s">
        <v>37</v>
      </c>
    </row>
    <row r="2" spans="1:8" x14ac:dyDescent="0.45">
      <c r="A2" t="s">
        <v>38</v>
      </c>
      <c r="B2" t="s">
        <v>39</v>
      </c>
      <c r="C2" t="s">
        <v>40</v>
      </c>
      <c r="D2" t="s">
        <v>152</v>
      </c>
    </row>
    <row r="3" spans="1:8" x14ac:dyDescent="0.45">
      <c r="A3" t="s">
        <v>43</v>
      </c>
      <c r="B3" t="s">
        <v>44</v>
      </c>
      <c r="C3" t="s">
        <v>45</v>
      </c>
      <c r="D3" t="s">
        <v>70</v>
      </c>
    </row>
    <row r="4" spans="1:8" x14ac:dyDescent="0.45">
      <c r="A4" t="s">
        <v>155</v>
      </c>
      <c r="B4" t="s">
        <v>39</v>
      </c>
      <c r="C4" t="s">
        <v>42</v>
      </c>
      <c r="D4" t="s">
        <v>70</v>
      </c>
    </row>
    <row r="5" spans="1:8" x14ac:dyDescent="0.45">
      <c r="A5" t="s">
        <v>46</v>
      </c>
      <c r="B5" t="s">
        <v>47</v>
      </c>
      <c r="C5" t="s">
        <v>47</v>
      </c>
      <c r="D5" t="s">
        <v>70</v>
      </c>
    </row>
    <row r="6" spans="1:8" x14ac:dyDescent="0.45">
      <c r="A6" t="s">
        <v>10</v>
      </c>
      <c r="B6" t="s">
        <v>48</v>
      </c>
      <c r="C6" t="s">
        <v>48</v>
      </c>
      <c r="D6" t="s">
        <v>70</v>
      </c>
    </row>
    <row r="7" spans="1:8" x14ac:dyDescent="0.45">
      <c r="A7" t="s">
        <v>49</v>
      </c>
      <c r="B7" t="s">
        <v>48</v>
      </c>
      <c r="C7" t="s">
        <v>48</v>
      </c>
      <c r="D7" t="s">
        <v>70</v>
      </c>
    </row>
    <row r="8" spans="1:8" x14ac:dyDescent="0.45">
      <c r="A8" t="s">
        <v>41</v>
      </c>
      <c r="B8" t="s">
        <v>39</v>
      </c>
      <c r="C8" t="s">
        <v>40</v>
      </c>
      <c r="D8" t="s">
        <v>152</v>
      </c>
    </row>
    <row r="9" spans="1:8" x14ac:dyDescent="0.45">
      <c r="A9" t="s">
        <v>51</v>
      </c>
      <c r="B9" t="s">
        <v>39</v>
      </c>
      <c r="C9" t="s">
        <v>50</v>
      </c>
      <c r="D9" t="s">
        <v>152</v>
      </c>
    </row>
    <row r="10" spans="1:8" x14ac:dyDescent="0.45">
      <c r="A10" t="s">
        <v>32</v>
      </c>
      <c r="B10" t="s">
        <v>39</v>
      </c>
      <c r="C10" t="s">
        <v>50</v>
      </c>
      <c r="D10" t="s">
        <v>152</v>
      </c>
    </row>
    <row r="11" spans="1:8" x14ac:dyDescent="0.45">
      <c r="A11" t="s">
        <v>158</v>
      </c>
      <c r="B11" t="s">
        <v>158</v>
      </c>
      <c r="C11" t="s">
        <v>158</v>
      </c>
      <c r="D11" t="s">
        <v>70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FD6D-4A60-4ECC-967B-64C6C32DB379}">
  <sheetPr codeName="Hoja6"/>
  <dimension ref="A1:D8400"/>
  <sheetViews>
    <sheetView workbookViewId="0">
      <selection activeCell="C4" sqref="C4"/>
    </sheetView>
  </sheetViews>
  <sheetFormatPr baseColWidth="10" defaultRowHeight="14.25" x14ac:dyDescent="0.45"/>
  <cols>
    <col min="1" max="1" width="30" customWidth="1"/>
    <col min="4" max="4" width="26.1328125" customWidth="1"/>
  </cols>
  <sheetData>
    <row r="1" spans="1:4" ht="14.65" thickBot="1" x14ac:dyDescent="0.5">
      <c r="A1" s="10" t="s">
        <v>25</v>
      </c>
      <c r="B1" s="9" t="s">
        <v>150</v>
      </c>
      <c r="C1" t="s">
        <v>151</v>
      </c>
      <c r="D1" t="s">
        <v>156</v>
      </c>
    </row>
    <row r="2" spans="1:4" ht="14.65" thickBot="1" x14ac:dyDescent="0.5">
      <c r="A2" s="17">
        <v>43496</v>
      </c>
      <c r="B2" s="19">
        <v>41.63</v>
      </c>
      <c r="C2" t="s">
        <v>38</v>
      </c>
      <c r="D2" t="str">
        <f>T_Stocks[[#This Row],[Ticker]] &amp; "-" &amp; DATE(YEAR(T_Stocks[[#This Row],[Fecha]]),MONTH(T_Stocks[[#This Row],[Fecha]]),DAY(T_Stocks[[#This Row],[Fecha]]))</f>
        <v>AAPL-43496</v>
      </c>
    </row>
    <row r="3" spans="1:4" ht="14.65" thickBot="1" x14ac:dyDescent="0.5">
      <c r="A3" s="17">
        <v>43497.666666666664</v>
      </c>
      <c r="B3" s="19">
        <v>41.63</v>
      </c>
      <c r="C3" t="s">
        <v>38</v>
      </c>
      <c r="D3" t="str">
        <f>T_Stocks[[#This Row],[Ticker]] &amp; "-" &amp; DATE(YEAR(T_Stocks[[#This Row],[Fecha]]),MONTH(T_Stocks[[#This Row],[Fecha]]),DAY(T_Stocks[[#This Row],[Fecha]]))</f>
        <v>AAPL-43497</v>
      </c>
    </row>
    <row r="4" spans="1:4" ht="14.65" thickBot="1" x14ac:dyDescent="0.5">
      <c r="A4" s="17">
        <v>43500.666666666664</v>
      </c>
      <c r="B4" s="19">
        <v>42.81</v>
      </c>
      <c r="C4" t="s">
        <v>38</v>
      </c>
      <c r="D4" t="str">
        <f>T_Stocks[[#This Row],[Ticker]] &amp; "-" &amp; DATE(YEAR(T_Stocks[[#This Row],[Fecha]]),MONTH(T_Stocks[[#This Row],[Fecha]]),DAY(T_Stocks[[#This Row],[Fecha]]))</f>
        <v>AAPL-43500</v>
      </c>
    </row>
    <row r="5" spans="1:4" ht="14.65" thickBot="1" x14ac:dyDescent="0.5">
      <c r="A5" s="17">
        <v>43501.666666666664</v>
      </c>
      <c r="B5" s="19">
        <v>43.55</v>
      </c>
      <c r="C5" t="s">
        <v>38</v>
      </c>
      <c r="D5" t="str">
        <f>T_Stocks[[#This Row],[Ticker]] &amp; "-" &amp; DATE(YEAR(T_Stocks[[#This Row],[Fecha]]),MONTH(T_Stocks[[#This Row],[Fecha]]),DAY(T_Stocks[[#This Row],[Fecha]]))</f>
        <v>AAPL-43501</v>
      </c>
    </row>
    <row r="6" spans="1:4" ht="14.65" thickBot="1" x14ac:dyDescent="0.5">
      <c r="A6" s="17">
        <v>43502.666666666664</v>
      </c>
      <c r="B6" s="19">
        <v>43.56</v>
      </c>
      <c r="C6" t="s">
        <v>38</v>
      </c>
      <c r="D6" t="str">
        <f>T_Stocks[[#This Row],[Ticker]] &amp; "-" &amp; DATE(YEAR(T_Stocks[[#This Row],[Fecha]]),MONTH(T_Stocks[[#This Row],[Fecha]]),DAY(T_Stocks[[#This Row],[Fecha]]))</f>
        <v>AAPL-43502</v>
      </c>
    </row>
    <row r="7" spans="1:4" ht="14.65" thickBot="1" x14ac:dyDescent="0.5">
      <c r="A7" s="17">
        <v>43503.666666666664</v>
      </c>
      <c r="B7" s="19">
        <v>42.74</v>
      </c>
      <c r="C7" t="s">
        <v>38</v>
      </c>
      <c r="D7" t="str">
        <f>T_Stocks[[#This Row],[Ticker]] &amp; "-" &amp; DATE(YEAR(T_Stocks[[#This Row],[Fecha]]),MONTH(T_Stocks[[#This Row],[Fecha]]),DAY(T_Stocks[[#This Row],[Fecha]]))</f>
        <v>AAPL-43503</v>
      </c>
    </row>
    <row r="8" spans="1:4" ht="14.65" thickBot="1" x14ac:dyDescent="0.5">
      <c r="A8" s="17">
        <v>43504.666666666664</v>
      </c>
      <c r="B8" s="19">
        <v>42.6</v>
      </c>
      <c r="C8" t="s">
        <v>38</v>
      </c>
      <c r="D8" t="str">
        <f>T_Stocks[[#This Row],[Ticker]] &amp; "-" &amp; DATE(YEAR(T_Stocks[[#This Row],[Fecha]]),MONTH(T_Stocks[[#This Row],[Fecha]]),DAY(T_Stocks[[#This Row],[Fecha]]))</f>
        <v>AAPL-43504</v>
      </c>
    </row>
    <row r="9" spans="1:4" ht="14.65" thickBot="1" x14ac:dyDescent="0.5">
      <c r="A9" s="17">
        <v>43507.666666666664</v>
      </c>
      <c r="B9" s="19">
        <v>42.36</v>
      </c>
      <c r="C9" t="s">
        <v>38</v>
      </c>
      <c r="D9" t="str">
        <f>T_Stocks[[#This Row],[Ticker]] &amp; "-" &amp; DATE(YEAR(T_Stocks[[#This Row],[Fecha]]),MONTH(T_Stocks[[#This Row],[Fecha]]),DAY(T_Stocks[[#This Row],[Fecha]]))</f>
        <v>AAPL-43507</v>
      </c>
    </row>
    <row r="10" spans="1:4" ht="14.65" thickBot="1" x14ac:dyDescent="0.5">
      <c r="A10" s="17">
        <v>43508.666666666664</v>
      </c>
      <c r="B10" s="19">
        <v>42.72</v>
      </c>
      <c r="C10" t="s">
        <v>38</v>
      </c>
      <c r="D10" t="str">
        <f>T_Stocks[[#This Row],[Ticker]] &amp; "-" &amp; DATE(YEAR(T_Stocks[[#This Row],[Fecha]]),MONTH(T_Stocks[[#This Row],[Fecha]]),DAY(T_Stocks[[#This Row],[Fecha]]))</f>
        <v>AAPL-43508</v>
      </c>
    </row>
    <row r="11" spans="1:4" ht="14.65" thickBot="1" x14ac:dyDescent="0.5">
      <c r="A11" s="17">
        <v>43509.666666666664</v>
      </c>
      <c r="B11" s="19">
        <v>42.55</v>
      </c>
      <c r="C11" t="s">
        <v>38</v>
      </c>
      <c r="D11" t="str">
        <f>T_Stocks[[#This Row],[Ticker]] &amp; "-" &amp; DATE(YEAR(T_Stocks[[#This Row],[Fecha]]),MONTH(T_Stocks[[#This Row],[Fecha]]),DAY(T_Stocks[[#This Row],[Fecha]]))</f>
        <v>AAPL-43509</v>
      </c>
    </row>
    <row r="12" spans="1:4" ht="14.65" thickBot="1" x14ac:dyDescent="0.5">
      <c r="A12" s="17">
        <v>43510.666666666664</v>
      </c>
      <c r="B12" s="19">
        <v>42.7</v>
      </c>
      <c r="C12" t="s">
        <v>38</v>
      </c>
      <c r="D12" t="str">
        <f>T_Stocks[[#This Row],[Ticker]] &amp; "-" &amp; DATE(YEAR(T_Stocks[[#This Row],[Fecha]]),MONTH(T_Stocks[[#This Row],[Fecha]]),DAY(T_Stocks[[#This Row],[Fecha]]))</f>
        <v>AAPL-43510</v>
      </c>
    </row>
    <row r="13" spans="1:4" ht="14.65" thickBot="1" x14ac:dyDescent="0.5">
      <c r="A13" s="17">
        <v>43511.666666666664</v>
      </c>
      <c r="B13" s="19">
        <v>42.61</v>
      </c>
      <c r="C13" t="s">
        <v>38</v>
      </c>
      <c r="D13" t="str">
        <f>T_Stocks[[#This Row],[Ticker]] &amp; "-" &amp; DATE(YEAR(T_Stocks[[#This Row],[Fecha]]),MONTH(T_Stocks[[#This Row],[Fecha]]),DAY(T_Stocks[[#This Row],[Fecha]]))</f>
        <v>AAPL-43511</v>
      </c>
    </row>
    <row r="14" spans="1:4" ht="14.65" thickBot="1" x14ac:dyDescent="0.5">
      <c r="A14" s="17">
        <v>43515.666666666664</v>
      </c>
      <c r="B14" s="19">
        <v>42.73</v>
      </c>
      <c r="C14" t="s">
        <v>38</v>
      </c>
      <c r="D14" t="str">
        <f>T_Stocks[[#This Row],[Ticker]] &amp; "-" &amp; DATE(YEAR(T_Stocks[[#This Row],[Fecha]]),MONTH(T_Stocks[[#This Row],[Fecha]]),DAY(T_Stocks[[#This Row],[Fecha]]))</f>
        <v>AAPL-43515</v>
      </c>
    </row>
    <row r="15" spans="1:4" ht="14.65" thickBot="1" x14ac:dyDescent="0.5">
      <c r="A15" s="17">
        <v>43516.666666666664</v>
      </c>
      <c r="B15" s="19">
        <v>43.01</v>
      </c>
      <c r="C15" t="s">
        <v>38</v>
      </c>
      <c r="D15" t="str">
        <f>T_Stocks[[#This Row],[Ticker]] &amp; "-" &amp; DATE(YEAR(T_Stocks[[#This Row],[Fecha]]),MONTH(T_Stocks[[#This Row],[Fecha]]),DAY(T_Stocks[[#This Row],[Fecha]]))</f>
        <v>AAPL-43516</v>
      </c>
    </row>
    <row r="16" spans="1:4" ht="14.65" thickBot="1" x14ac:dyDescent="0.5">
      <c r="A16" s="17">
        <v>43517.666666666664</v>
      </c>
      <c r="B16" s="19">
        <v>42.77</v>
      </c>
      <c r="C16" t="s">
        <v>38</v>
      </c>
      <c r="D16" t="str">
        <f>T_Stocks[[#This Row],[Ticker]] &amp; "-" &amp; DATE(YEAR(T_Stocks[[#This Row],[Fecha]]),MONTH(T_Stocks[[#This Row],[Fecha]]),DAY(T_Stocks[[#This Row],[Fecha]]))</f>
        <v>AAPL-43517</v>
      </c>
    </row>
    <row r="17" spans="1:4" ht="14.65" thickBot="1" x14ac:dyDescent="0.5">
      <c r="A17" s="17">
        <v>43518.666666666664</v>
      </c>
      <c r="B17" s="19">
        <v>43.24</v>
      </c>
      <c r="C17" t="s">
        <v>38</v>
      </c>
      <c r="D17" t="str">
        <f>T_Stocks[[#This Row],[Ticker]] &amp; "-" &amp; DATE(YEAR(T_Stocks[[#This Row],[Fecha]]),MONTH(T_Stocks[[#This Row],[Fecha]]),DAY(T_Stocks[[#This Row],[Fecha]]))</f>
        <v>AAPL-43518</v>
      </c>
    </row>
    <row r="18" spans="1:4" ht="14.65" thickBot="1" x14ac:dyDescent="0.5">
      <c r="A18" s="17">
        <v>43521.666666666664</v>
      </c>
      <c r="B18" s="19">
        <v>43.56</v>
      </c>
      <c r="C18" t="s">
        <v>38</v>
      </c>
      <c r="D18" t="str">
        <f>T_Stocks[[#This Row],[Ticker]] &amp; "-" &amp; DATE(YEAR(T_Stocks[[#This Row],[Fecha]]),MONTH(T_Stocks[[#This Row],[Fecha]]),DAY(T_Stocks[[#This Row],[Fecha]]))</f>
        <v>AAPL-43521</v>
      </c>
    </row>
    <row r="19" spans="1:4" ht="14.65" thickBot="1" x14ac:dyDescent="0.5">
      <c r="A19" s="17">
        <v>43522.666666666664</v>
      </c>
      <c r="B19" s="19">
        <v>43.58</v>
      </c>
      <c r="C19" t="s">
        <v>38</v>
      </c>
      <c r="D19" t="str">
        <f>T_Stocks[[#This Row],[Ticker]] &amp; "-" &amp; DATE(YEAR(T_Stocks[[#This Row],[Fecha]]),MONTH(T_Stocks[[#This Row],[Fecha]]),DAY(T_Stocks[[#This Row],[Fecha]]))</f>
        <v>AAPL-43522</v>
      </c>
    </row>
    <row r="20" spans="1:4" ht="14.65" thickBot="1" x14ac:dyDescent="0.5">
      <c r="A20" s="17">
        <v>43523.666666666664</v>
      </c>
      <c r="B20" s="19">
        <v>43.72</v>
      </c>
      <c r="C20" t="s">
        <v>38</v>
      </c>
      <c r="D20" t="str">
        <f>T_Stocks[[#This Row],[Ticker]] &amp; "-" &amp; DATE(YEAR(T_Stocks[[#This Row],[Fecha]]),MONTH(T_Stocks[[#This Row],[Fecha]]),DAY(T_Stocks[[#This Row],[Fecha]]))</f>
        <v>AAPL-43523</v>
      </c>
    </row>
    <row r="21" spans="1:4" ht="14.65" thickBot="1" x14ac:dyDescent="0.5">
      <c r="A21" s="17">
        <v>43524.666666666664</v>
      </c>
      <c r="B21" s="19">
        <v>43.29</v>
      </c>
      <c r="C21" t="s">
        <v>38</v>
      </c>
      <c r="D21" t="str">
        <f>T_Stocks[[#This Row],[Ticker]] &amp; "-" &amp; DATE(YEAR(T_Stocks[[#This Row],[Fecha]]),MONTH(T_Stocks[[#This Row],[Fecha]]),DAY(T_Stocks[[#This Row],[Fecha]]))</f>
        <v>AAPL-43524</v>
      </c>
    </row>
    <row r="22" spans="1:4" ht="14.65" thickBot="1" x14ac:dyDescent="0.5">
      <c r="A22" s="17">
        <v>43525.666666666664</v>
      </c>
      <c r="B22" s="19">
        <v>43.74</v>
      </c>
      <c r="C22" t="s">
        <v>38</v>
      </c>
      <c r="D22" t="str">
        <f>T_Stocks[[#This Row],[Ticker]] &amp; "-" &amp; DATE(YEAR(T_Stocks[[#This Row],[Fecha]]),MONTH(T_Stocks[[#This Row],[Fecha]]),DAY(T_Stocks[[#This Row],[Fecha]]))</f>
        <v>AAPL-43525</v>
      </c>
    </row>
    <row r="23" spans="1:4" ht="14.65" thickBot="1" x14ac:dyDescent="0.5">
      <c r="A23" s="17">
        <v>43528.666666666664</v>
      </c>
      <c r="B23" s="19">
        <v>43.96</v>
      </c>
      <c r="C23" t="s">
        <v>38</v>
      </c>
      <c r="D23" t="str">
        <f>T_Stocks[[#This Row],[Ticker]] &amp; "-" &amp; DATE(YEAR(T_Stocks[[#This Row],[Fecha]]),MONTH(T_Stocks[[#This Row],[Fecha]]),DAY(T_Stocks[[#This Row],[Fecha]]))</f>
        <v>AAPL-43528</v>
      </c>
    </row>
    <row r="24" spans="1:4" ht="14.65" thickBot="1" x14ac:dyDescent="0.5">
      <c r="A24" s="17">
        <v>43529.666666666664</v>
      </c>
      <c r="B24" s="19">
        <v>43.88</v>
      </c>
      <c r="C24" t="s">
        <v>38</v>
      </c>
      <c r="D24" t="str">
        <f>T_Stocks[[#This Row],[Ticker]] &amp; "-" &amp; DATE(YEAR(T_Stocks[[#This Row],[Fecha]]),MONTH(T_Stocks[[#This Row],[Fecha]]),DAY(T_Stocks[[#This Row],[Fecha]]))</f>
        <v>AAPL-43529</v>
      </c>
    </row>
    <row r="25" spans="1:4" ht="14.65" thickBot="1" x14ac:dyDescent="0.5">
      <c r="A25" s="17">
        <v>43530.666666666664</v>
      </c>
      <c r="B25" s="19">
        <v>43.63</v>
      </c>
      <c r="C25" t="s">
        <v>38</v>
      </c>
      <c r="D25" t="str">
        <f>T_Stocks[[#This Row],[Ticker]] &amp; "-" &amp; DATE(YEAR(T_Stocks[[#This Row],[Fecha]]),MONTH(T_Stocks[[#This Row],[Fecha]]),DAY(T_Stocks[[#This Row],[Fecha]]))</f>
        <v>AAPL-43530</v>
      </c>
    </row>
    <row r="26" spans="1:4" ht="14.65" thickBot="1" x14ac:dyDescent="0.5">
      <c r="A26" s="17">
        <v>43531.666666666664</v>
      </c>
      <c r="B26" s="19">
        <v>43.13</v>
      </c>
      <c r="C26" t="s">
        <v>38</v>
      </c>
      <c r="D26" t="str">
        <f>T_Stocks[[#This Row],[Ticker]] &amp; "-" &amp; DATE(YEAR(T_Stocks[[#This Row],[Fecha]]),MONTH(T_Stocks[[#This Row],[Fecha]]),DAY(T_Stocks[[#This Row],[Fecha]]))</f>
        <v>AAPL-43531</v>
      </c>
    </row>
    <row r="27" spans="1:4" ht="14.65" thickBot="1" x14ac:dyDescent="0.5">
      <c r="A27" s="17">
        <v>43532.666666666664</v>
      </c>
      <c r="B27" s="19">
        <v>43.23</v>
      </c>
      <c r="C27" t="s">
        <v>38</v>
      </c>
      <c r="D27" t="str">
        <f>T_Stocks[[#This Row],[Ticker]] &amp; "-" &amp; DATE(YEAR(T_Stocks[[#This Row],[Fecha]]),MONTH(T_Stocks[[#This Row],[Fecha]]),DAY(T_Stocks[[#This Row],[Fecha]]))</f>
        <v>AAPL-43532</v>
      </c>
    </row>
    <row r="28" spans="1:4" ht="14.65" thickBot="1" x14ac:dyDescent="0.5">
      <c r="A28" s="17">
        <v>43535.666666666664</v>
      </c>
      <c r="B28" s="19">
        <v>44.73</v>
      </c>
      <c r="C28" t="s">
        <v>38</v>
      </c>
      <c r="D28" t="str">
        <f>T_Stocks[[#This Row],[Ticker]] &amp; "-" &amp; DATE(YEAR(T_Stocks[[#This Row],[Fecha]]),MONTH(T_Stocks[[#This Row],[Fecha]]),DAY(T_Stocks[[#This Row],[Fecha]]))</f>
        <v>AAPL-43535</v>
      </c>
    </row>
    <row r="29" spans="1:4" ht="14.65" thickBot="1" x14ac:dyDescent="0.5">
      <c r="A29" s="17">
        <v>43536.666666666664</v>
      </c>
      <c r="B29" s="19">
        <v>45.23</v>
      </c>
      <c r="C29" t="s">
        <v>38</v>
      </c>
      <c r="D29" t="str">
        <f>T_Stocks[[#This Row],[Ticker]] &amp; "-" &amp; DATE(YEAR(T_Stocks[[#This Row],[Fecha]]),MONTH(T_Stocks[[#This Row],[Fecha]]),DAY(T_Stocks[[#This Row],[Fecha]]))</f>
        <v>AAPL-43536</v>
      </c>
    </row>
    <row r="30" spans="1:4" ht="14.65" thickBot="1" x14ac:dyDescent="0.5">
      <c r="A30" s="17">
        <v>43537.666666666664</v>
      </c>
      <c r="B30" s="19">
        <v>45.43</v>
      </c>
      <c r="C30" t="s">
        <v>38</v>
      </c>
      <c r="D30" t="str">
        <f>T_Stocks[[#This Row],[Ticker]] &amp; "-" &amp; DATE(YEAR(T_Stocks[[#This Row],[Fecha]]),MONTH(T_Stocks[[#This Row],[Fecha]]),DAY(T_Stocks[[#This Row],[Fecha]]))</f>
        <v>AAPL-43537</v>
      </c>
    </row>
    <row r="31" spans="1:4" ht="14.65" thickBot="1" x14ac:dyDescent="0.5">
      <c r="A31" s="17">
        <v>43538.666666666664</v>
      </c>
      <c r="B31" s="19">
        <v>45.93</v>
      </c>
      <c r="C31" t="s">
        <v>38</v>
      </c>
      <c r="D31" t="str">
        <f>T_Stocks[[#This Row],[Ticker]] &amp; "-" &amp; DATE(YEAR(T_Stocks[[#This Row],[Fecha]]),MONTH(T_Stocks[[#This Row],[Fecha]]),DAY(T_Stocks[[#This Row],[Fecha]]))</f>
        <v>AAPL-43538</v>
      </c>
    </row>
    <row r="32" spans="1:4" ht="14.65" thickBot="1" x14ac:dyDescent="0.5">
      <c r="A32" s="17">
        <v>43539.666666666664</v>
      </c>
      <c r="B32" s="19">
        <v>46.53</v>
      </c>
      <c r="C32" t="s">
        <v>38</v>
      </c>
      <c r="D32" t="str">
        <f>T_Stocks[[#This Row],[Ticker]] &amp; "-" &amp; DATE(YEAR(T_Stocks[[#This Row],[Fecha]]),MONTH(T_Stocks[[#This Row],[Fecha]]),DAY(T_Stocks[[#This Row],[Fecha]]))</f>
        <v>AAPL-43539</v>
      </c>
    </row>
    <row r="33" spans="1:4" ht="14.65" thickBot="1" x14ac:dyDescent="0.5">
      <c r="A33" s="17">
        <v>43542.666666666664</v>
      </c>
      <c r="B33" s="19">
        <v>47.01</v>
      </c>
      <c r="C33" t="s">
        <v>38</v>
      </c>
      <c r="D33" t="str">
        <f>T_Stocks[[#This Row],[Ticker]] &amp; "-" &amp; DATE(YEAR(T_Stocks[[#This Row],[Fecha]]),MONTH(T_Stocks[[#This Row],[Fecha]]),DAY(T_Stocks[[#This Row],[Fecha]]))</f>
        <v>AAPL-43542</v>
      </c>
    </row>
    <row r="34" spans="1:4" ht="14.65" thickBot="1" x14ac:dyDescent="0.5">
      <c r="A34" s="17">
        <v>43543.666666666664</v>
      </c>
      <c r="B34" s="19">
        <v>46.63</v>
      </c>
      <c r="C34" t="s">
        <v>38</v>
      </c>
      <c r="D34" t="str">
        <f>T_Stocks[[#This Row],[Ticker]] &amp; "-" &amp; DATE(YEAR(T_Stocks[[#This Row],[Fecha]]),MONTH(T_Stocks[[#This Row],[Fecha]]),DAY(T_Stocks[[#This Row],[Fecha]]))</f>
        <v>AAPL-43543</v>
      </c>
    </row>
    <row r="35" spans="1:4" ht="14.65" thickBot="1" x14ac:dyDescent="0.5">
      <c r="A35" s="17">
        <v>43544.666666666664</v>
      </c>
      <c r="B35" s="19">
        <v>47.04</v>
      </c>
      <c r="C35" t="s">
        <v>38</v>
      </c>
      <c r="D35" t="str">
        <f>T_Stocks[[#This Row],[Ticker]] &amp; "-" &amp; DATE(YEAR(T_Stocks[[#This Row],[Fecha]]),MONTH(T_Stocks[[#This Row],[Fecha]]),DAY(T_Stocks[[#This Row],[Fecha]]))</f>
        <v>AAPL-43544</v>
      </c>
    </row>
    <row r="36" spans="1:4" ht="14.65" thickBot="1" x14ac:dyDescent="0.5">
      <c r="A36" s="17">
        <v>43545.666666666664</v>
      </c>
      <c r="B36" s="19">
        <v>48.77</v>
      </c>
      <c r="C36" t="s">
        <v>38</v>
      </c>
      <c r="D36" t="str">
        <f>T_Stocks[[#This Row],[Ticker]] &amp; "-" &amp; DATE(YEAR(T_Stocks[[#This Row],[Fecha]]),MONTH(T_Stocks[[#This Row],[Fecha]]),DAY(T_Stocks[[#This Row],[Fecha]]))</f>
        <v>AAPL-43545</v>
      </c>
    </row>
    <row r="37" spans="1:4" ht="14.65" thickBot="1" x14ac:dyDescent="0.5">
      <c r="A37" s="17">
        <v>43546.666666666664</v>
      </c>
      <c r="B37" s="19">
        <v>47.76</v>
      </c>
      <c r="C37" t="s">
        <v>38</v>
      </c>
      <c r="D37" t="str">
        <f>T_Stocks[[#This Row],[Ticker]] &amp; "-" &amp; DATE(YEAR(T_Stocks[[#This Row],[Fecha]]),MONTH(T_Stocks[[#This Row],[Fecha]]),DAY(T_Stocks[[#This Row],[Fecha]]))</f>
        <v>AAPL-43546</v>
      </c>
    </row>
    <row r="38" spans="1:4" ht="14.65" thickBot="1" x14ac:dyDescent="0.5">
      <c r="A38" s="17">
        <v>43549.666666666664</v>
      </c>
      <c r="B38" s="19">
        <v>47.19</v>
      </c>
      <c r="C38" t="s">
        <v>38</v>
      </c>
      <c r="D38" t="str">
        <f>T_Stocks[[#This Row],[Ticker]] &amp; "-" &amp; DATE(YEAR(T_Stocks[[#This Row],[Fecha]]),MONTH(T_Stocks[[#This Row],[Fecha]]),DAY(T_Stocks[[#This Row],[Fecha]]))</f>
        <v>AAPL-43549</v>
      </c>
    </row>
    <row r="39" spans="1:4" ht="14.65" thickBot="1" x14ac:dyDescent="0.5">
      <c r="A39" s="17">
        <v>43550.666666666664</v>
      </c>
      <c r="B39" s="19">
        <v>46.7</v>
      </c>
      <c r="C39" t="s">
        <v>38</v>
      </c>
      <c r="D39" t="str">
        <f>T_Stocks[[#This Row],[Ticker]] &amp; "-" &amp; DATE(YEAR(T_Stocks[[#This Row],[Fecha]]),MONTH(T_Stocks[[#This Row],[Fecha]]),DAY(T_Stocks[[#This Row],[Fecha]]))</f>
        <v>AAPL-43550</v>
      </c>
    </row>
    <row r="40" spans="1:4" ht="14.65" thickBot="1" x14ac:dyDescent="0.5">
      <c r="A40" s="17">
        <v>43551.666666666664</v>
      </c>
      <c r="B40" s="19">
        <v>47.12</v>
      </c>
      <c r="C40" t="s">
        <v>38</v>
      </c>
      <c r="D40" t="str">
        <f>T_Stocks[[#This Row],[Ticker]] &amp; "-" &amp; DATE(YEAR(T_Stocks[[#This Row],[Fecha]]),MONTH(T_Stocks[[#This Row],[Fecha]]),DAY(T_Stocks[[#This Row],[Fecha]]))</f>
        <v>AAPL-43551</v>
      </c>
    </row>
    <row r="41" spans="1:4" ht="14.65" thickBot="1" x14ac:dyDescent="0.5">
      <c r="A41" s="17">
        <v>43552.666666666664</v>
      </c>
      <c r="B41" s="19">
        <v>47.18</v>
      </c>
      <c r="C41" t="s">
        <v>38</v>
      </c>
      <c r="D41" t="str">
        <f>T_Stocks[[#This Row],[Ticker]] &amp; "-" &amp; DATE(YEAR(T_Stocks[[#This Row],[Fecha]]),MONTH(T_Stocks[[#This Row],[Fecha]]),DAY(T_Stocks[[#This Row],[Fecha]]))</f>
        <v>AAPL-43552</v>
      </c>
    </row>
    <row r="42" spans="1:4" ht="14.65" thickBot="1" x14ac:dyDescent="0.5">
      <c r="A42" s="17">
        <v>43553.666666666664</v>
      </c>
      <c r="B42" s="19">
        <v>47.49</v>
      </c>
      <c r="C42" t="s">
        <v>38</v>
      </c>
      <c r="D42" t="str">
        <f>T_Stocks[[#This Row],[Ticker]] &amp; "-" &amp; DATE(YEAR(T_Stocks[[#This Row],[Fecha]]),MONTH(T_Stocks[[#This Row],[Fecha]]),DAY(T_Stocks[[#This Row],[Fecha]]))</f>
        <v>AAPL-43553</v>
      </c>
    </row>
    <row r="43" spans="1:4" ht="14.65" thickBot="1" x14ac:dyDescent="0.5">
      <c r="A43" s="17">
        <v>43556.666666666664</v>
      </c>
      <c r="B43" s="19">
        <v>47.81</v>
      </c>
      <c r="C43" t="s">
        <v>38</v>
      </c>
      <c r="D43" t="str">
        <f>T_Stocks[[#This Row],[Ticker]] &amp; "-" &amp; DATE(YEAR(T_Stocks[[#This Row],[Fecha]]),MONTH(T_Stocks[[#This Row],[Fecha]]),DAY(T_Stocks[[#This Row],[Fecha]]))</f>
        <v>AAPL-43556</v>
      </c>
    </row>
    <row r="44" spans="1:4" ht="14.65" thickBot="1" x14ac:dyDescent="0.5">
      <c r="A44" s="17">
        <v>43557.666666666664</v>
      </c>
      <c r="B44" s="19">
        <v>48.51</v>
      </c>
      <c r="C44" t="s">
        <v>38</v>
      </c>
      <c r="D44" t="str">
        <f>T_Stocks[[#This Row],[Ticker]] &amp; "-" &amp; DATE(YEAR(T_Stocks[[#This Row],[Fecha]]),MONTH(T_Stocks[[#This Row],[Fecha]]),DAY(T_Stocks[[#This Row],[Fecha]]))</f>
        <v>AAPL-43557</v>
      </c>
    </row>
    <row r="45" spans="1:4" ht="14.65" thickBot="1" x14ac:dyDescent="0.5">
      <c r="A45" s="17">
        <v>43558.666666666664</v>
      </c>
      <c r="B45" s="19">
        <v>48.84</v>
      </c>
      <c r="C45" t="s">
        <v>38</v>
      </c>
      <c r="D45" t="str">
        <f>T_Stocks[[#This Row],[Ticker]] &amp; "-" &amp; DATE(YEAR(T_Stocks[[#This Row],[Fecha]]),MONTH(T_Stocks[[#This Row],[Fecha]]),DAY(T_Stocks[[#This Row],[Fecha]]))</f>
        <v>AAPL-43558</v>
      </c>
    </row>
    <row r="46" spans="1:4" ht="14.65" thickBot="1" x14ac:dyDescent="0.5">
      <c r="A46" s="17">
        <v>43559.666666666664</v>
      </c>
      <c r="B46" s="19">
        <v>48.92</v>
      </c>
      <c r="C46" t="s">
        <v>38</v>
      </c>
      <c r="D46" t="str">
        <f>T_Stocks[[#This Row],[Ticker]] &amp; "-" &amp; DATE(YEAR(T_Stocks[[#This Row],[Fecha]]),MONTH(T_Stocks[[#This Row],[Fecha]]),DAY(T_Stocks[[#This Row],[Fecha]]))</f>
        <v>AAPL-43559</v>
      </c>
    </row>
    <row r="47" spans="1:4" ht="14.65" thickBot="1" x14ac:dyDescent="0.5">
      <c r="A47" s="17">
        <v>43560.666666666664</v>
      </c>
      <c r="B47" s="19">
        <v>49.25</v>
      </c>
      <c r="C47" t="s">
        <v>38</v>
      </c>
      <c r="D47" t="str">
        <f>T_Stocks[[#This Row],[Ticker]] &amp; "-" &amp; DATE(YEAR(T_Stocks[[#This Row],[Fecha]]),MONTH(T_Stocks[[#This Row],[Fecha]]),DAY(T_Stocks[[#This Row],[Fecha]]))</f>
        <v>AAPL-43560</v>
      </c>
    </row>
    <row r="48" spans="1:4" ht="14.65" thickBot="1" x14ac:dyDescent="0.5">
      <c r="A48" s="17">
        <v>43563.666666666664</v>
      </c>
      <c r="B48" s="19">
        <v>50.03</v>
      </c>
      <c r="C48" t="s">
        <v>38</v>
      </c>
      <c r="D48" t="str">
        <f>T_Stocks[[#This Row],[Ticker]] &amp; "-" &amp; DATE(YEAR(T_Stocks[[#This Row],[Fecha]]),MONTH(T_Stocks[[#This Row],[Fecha]]),DAY(T_Stocks[[#This Row],[Fecha]]))</f>
        <v>AAPL-43563</v>
      </c>
    </row>
    <row r="49" spans="1:4" ht="14.65" thickBot="1" x14ac:dyDescent="0.5">
      <c r="A49" s="17">
        <v>43564.666666666664</v>
      </c>
      <c r="B49" s="19">
        <v>49.88</v>
      </c>
      <c r="C49" t="s">
        <v>38</v>
      </c>
      <c r="D49" t="str">
        <f>T_Stocks[[#This Row],[Ticker]] &amp; "-" &amp; DATE(YEAR(T_Stocks[[#This Row],[Fecha]]),MONTH(T_Stocks[[#This Row],[Fecha]]),DAY(T_Stocks[[#This Row],[Fecha]]))</f>
        <v>AAPL-43564</v>
      </c>
    </row>
    <row r="50" spans="1:4" ht="14.65" thickBot="1" x14ac:dyDescent="0.5">
      <c r="A50" s="17">
        <v>43565.666666666664</v>
      </c>
      <c r="B50" s="19">
        <v>50.16</v>
      </c>
      <c r="C50" t="s">
        <v>38</v>
      </c>
      <c r="D50" t="str">
        <f>T_Stocks[[#This Row],[Ticker]] &amp; "-" &amp; DATE(YEAR(T_Stocks[[#This Row],[Fecha]]),MONTH(T_Stocks[[#This Row],[Fecha]]),DAY(T_Stocks[[#This Row],[Fecha]]))</f>
        <v>AAPL-43565</v>
      </c>
    </row>
    <row r="51" spans="1:4" ht="14.65" thickBot="1" x14ac:dyDescent="0.5">
      <c r="A51" s="17">
        <v>43566.666666666664</v>
      </c>
      <c r="B51" s="19">
        <v>49.74</v>
      </c>
      <c r="C51" t="s">
        <v>38</v>
      </c>
      <c r="D51" t="str">
        <f>T_Stocks[[#This Row],[Ticker]] &amp; "-" &amp; DATE(YEAR(T_Stocks[[#This Row],[Fecha]]),MONTH(T_Stocks[[#This Row],[Fecha]]),DAY(T_Stocks[[#This Row],[Fecha]]))</f>
        <v>AAPL-43566</v>
      </c>
    </row>
    <row r="52" spans="1:4" ht="14.65" thickBot="1" x14ac:dyDescent="0.5">
      <c r="A52" s="17">
        <v>43567.666666666664</v>
      </c>
      <c r="B52" s="19">
        <v>49.72</v>
      </c>
      <c r="C52" t="s">
        <v>38</v>
      </c>
      <c r="D52" t="str">
        <f>T_Stocks[[#This Row],[Ticker]] &amp; "-" &amp; DATE(YEAR(T_Stocks[[#This Row],[Fecha]]),MONTH(T_Stocks[[#This Row],[Fecha]]),DAY(T_Stocks[[#This Row],[Fecha]]))</f>
        <v>AAPL-43567</v>
      </c>
    </row>
    <row r="53" spans="1:4" ht="14.65" thickBot="1" x14ac:dyDescent="0.5">
      <c r="A53" s="17">
        <v>43570.666666666664</v>
      </c>
      <c r="B53" s="19">
        <v>49.81</v>
      </c>
      <c r="C53" t="s">
        <v>38</v>
      </c>
      <c r="D53" t="str">
        <f>T_Stocks[[#This Row],[Ticker]] &amp; "-" &amp; DATE(YEAR(T_Stocks[[#This Row],[Fecha]]),MONTH(T_Stocks[[#This Row],[Fecha]]),DAY(T_Stocks[[#This Row],[Fecha]]))</f>
        <v>AAPL-43570</v>
      </c>
    </row>
    <row r="54" spans="1:4" ht="14.65" thickBot="1" x14ac:dyDescent="0.5">
      <c r="A54" s="17">
        <v>43571.666666666664</v>
      </c>
      <c r="B54" s="19">
        <v>49.81</v>
      </c>
      <c r="C54" t="s">
        <v>38</v>
      </c>
      <c r="D54" t="str">
        <f>T_Stocks[[#This Row],[Ticker]] &amp; "-" &amp; DATE(YEAR(T_Stocks[[#This Row],[Fecha]]),MONTH(T_Stocks[[#This Row],[Fecha]]),DAY(T_Stocks[[#This Row],[Fecha]]))</f>
        <v>AAPL-43571</v>
      </c>
    </row>
    <row r="55" spans="1:4" ht="14.65" thickBot="1" x14ac:dyDescent="0.5">
      <c r="A55" s="17">
        <v>43572.666666666664</v>
      </c>
      <c r="B55" s="19">
        <v>50.78</v>
      </c>
      <c r="C55" t="s">
        <v>38</v>
      </c>
      <c r="D55" t="str">
        <f>T_Stocks[[#This Row],[Ticker]] &amp; "-" &amp; DATE(YEAR(T_Stocks[[#This Row],[Fecha]]),MONTH(T_Stocks[[#This Row],[Fecha]]),DAY(T_Stocks[[#This Row],[Fecha]]))</f>
        <v>AAPL-43572</v>
      </c>
    </row>
    <row r="56" spans="1:4" ht="14.65" thickBot="1" x14ac:dyDescent="0.5">
      <c r="A56" s="17">
        <v>43573.666666666664</v>
      </c>
      <c r="B56" s="19">
        <v>50.97</v>
      </c>
      <c r="C56" t="s">
        <v>38</v>
      </c>
      <c r="D56" t="str">
        <f>T_Stocks[[#This Row],[Ticker]] &amp; "-" &amp; DATE(YEAR(T_Stocks[[#This Row],[Fecha]]),MONTH(T_Stocks[[#This Row],[Fecha]]),DAY(T_Stocks[[#This Row],[Fecha]]))</f>
        <v>AAPL-43573</v>
      </c>
    </row>
    <row r="57" spans="1:4" ht="14.65" thickBot="1" x14ac:dyDescent="0.5">
      <c r="A57" s="17">
        <v>43577.666666666664</v>
      </c>
      <c r="B57" s="19">
        <v>51.13</v>
      </c>
      <c r="C57" t="s">
        <v>38</v>
      </c>
      <c r="D57" t="str">
        <f>T_Stocks[[#This Row],[Ticker]] &amp; "-" &amp; DATE(YEAR(T_Stocks[[#This Row],[Fecha]]),MONTH(T_Stocks[[#This Row],[Fecha]]),DAY(T_Stocks[[#This Row],[Fecha]]))</f>
        <v>AAPL-43577</v>
      </c>
    </row>
    <row r="58" spans="1:4" ht="14.65" thickBot="1" x14ac:dyDescent="0.5">
      <c r="A58" s="17">
        <v>43578.666666666664</v>
      </c>
      <c r="B58" s="19">
        <v>51.87</v>
      </c>
      <c r="C58" t="s">
        <v>38</v>
      </c>
      <c r="D58" t="str">
        <f>T_Stocks[[#This Row],[Ticker]] &amp; "-" &amp; DATE(YEAR(T_Stocks[[#This Row],[Fecha]]),MONTH(T_Stocks[[#This Row],[Fecha]]),DAY(T_Stocks[[#This Row],[Fecha]]))</f>
        <v>AAPL-43578</v>
      </c>
    </row>
    <row r="59" spans="1:4" ht="14.65" thickBot="1" x14ac:dyDescent="0.5">
      <c r="A59" s="17">
        <v>43579.666666666664</v>
      </c>
      <c r="B59" s="19">
        <v>51.79</v>
      </c>
      <c r="C59" t="s">
        <v>38</v>
      </c>
      <c r="D59" t="str">
        <f>T_Stocks[[#This Row],[Ticker]] &amp; "-" &amp; DATE(YEAR(T_Stocks[[#This Row],[Fecha]]),MONTH(T_Stocks[[#This Row],[Fecha]]),DAY(T_Stocks[[#This Row],[Fecha]]))</f>
        <v>AAPL-43579</v>
      </c>
    </row>
    <row r="60" spans="1:4" ht="14.65" thickBot="1" x14ac:dyDescent="0.5">
      <c r="A60" s="17">
        <v>43580.666666666664</v>
      </c>
      <c r="B60" s="19">
        <v>51.32</v>
      </c>
      <c r="C60" t="s">
        <v>38</v>
      </c>
      <c r="D60" t="str">
        <f>T_Stocks[[#This Row],[Ticker]] &amp; "-" &amp; DATE(YEAR(T_Stocks[[#This Row],[Fecha]]),MONTH(T_Stocks[[#This Row],[Fecha]]),DAY(T_Stocks[[#This Row],[Fecha]]))</f>
        <v>AAPL-43580</v>
      </c>
    </row>
    <row r="61" spans="1:4" ht="14.65" thickBot="1" x14ac:dyDescent="0.5">
      <c r="A61" s="17">
        <v>43581.666666666664</v>
      </c>
      <c r="B61" s="19">
        <v>51.08</v>
      </c>
      <c r="C61" t="s">
        <v>38</v>
      </c>
      <c r="D61" t="str">
        <f>T_Stocks[[#This Row],[Ticker]] &amp; "-" &amp; DATE(YEAR(T_Stocks[[#This Row],[Fecha]]),MONTH(T_Stocks[[#This Row],[Fecha]]),DAY(T_Stocks[[#This Row],[Fecha]]))</f>
        <v>AAPL-43581</v>
      </c>
    </row>
    <row r="62" spans="1:4" ht="14.65" thickBot="1" x14ac:dyDescent="0.5">
      <c r="A62" s="17">
        <v>43584.666666666664</v>
      </c>
      <c r="B62" s="19">
        <v>51.15</v>
      </c>
      <c r="C62" t="s">
        <v>38</v>
      </c>
      <c r="D62" t="str">
        <f>T_Stocks[[#This Row],[Ticker]] &amp; "-" &amp; DATE(YEAR(T_Stocks[[#This Row],[Fecha]]),MONTH(T_Stocks[[#This Row],[Fecha]]),DAY(T_Stocks[[#This Row],[Fecha]]))</f>
        <v>AAPL-43584</v>
      </c>
    </row>
    <row r="63" spans="1:4" ht="14.65" thickBot="1" x14ac:dyDescent="0.5">
      <c r="A63" s="17">
        <v>43585.666666666664</v>
      </c>
      <c r="B63" s="19">
        <v>50.17</v>
      </c>
      <c r="C63" t="s">
        <v>38</v>
      </c>
      <c r="D63" t="str">
        <f>T_Stocks[[#This Row],[Ticker]] &amp; "-" &amp; DATE(YEAR(T_Stocks[[#This Row],[Fecha]]),MONTH(T_Stocks[[#This Row],[Fecha]]),DAY(T_Stocks[[#This Row],[Fecha]]))</f>
        <v>AAPL-43585</v>
      </c>
    </row>
    <row r="64" spans="1:4" ht="14.65" thickBot="1" x14ac:dyDescent="0.5">
      <c r="A64" s="17">
        <v>43586.666666666664</v>
      </c>
      <c r="B64" s="19">
        <v>52.63</v>
      </c>
      <c r="C64" t="s">
        <v>38</v>
      </c>
      <c r="D64" t="str">
        <f>T_Stocks[[#This Row],[Ticker]] &amp; "-" &amp; DATE(YEAR(T_Stocks[[#This Row],[Fecha]]),MONTH(T_Stocks[[#This Row],[Fecha]]),DAY(T_Stocks[[#This Row],[Fecha]]))</f>
        <v>AAPL-43586</v>
      </c>
    </row>
    <row r="65" spans="1:4" ht="14.65" thickBot="1" x14ac:dyDescent="0.5">
      <c r="A65" s="17">
        <v>43587.666666666664</v>
      </c>
      <c r="B65" s="19">
        <v>52.29</v>
      </c>
      <c r="C65" t="s">
        <v>38</v>
      </c>
      <c r="D65" t="str">
        <f>T_Stocks[[#This Row],[Ticker]] &amp; "-" &amp; DATE(YEAR(T_Stocks[[#This Row],[Fecha]]),MONTH(T_Stocks[[#This Row],[Fecha]]),DAY(T_Stocks[[#This Row],[Fecha]]))</f>
        <v>AAPL-43587</v>
      </c>
    </row>
    <row r="66" spans="1:4" ht="14.65" thickBot="1" x14ac:dyDescent="0.5">
      <c r="A66" s="17">
        <v>43588.666666666664</v>
      </c>
      <c r="B66" s="19">
        <v>52.94</v>
      </c>
      <c r="C66" t="s">
        <v>38</v>
      </c>
      <c r="D66" t="str">
        <f>T_Stocks[[#This Row],[Ticker]] &amp; "-" &amp; DATE(YEAR(T_Stocks[[#This Row],[Fecha]]),MONTH(T_Stocks[[#This Row],[Fecha]]),DAY(T_Stocks[[#This Row],[Fecha]]))</f>
        <v>AAPL-43588</v>
      </c>
    </row>
    <row r="67" spans="1:4" ht="14.65" thickBot="1" x14ac:dyDescent="0.5">
      <c r="A67" s="17">
        <v>43591.666666666664</v>
      </c>
      <c r="B67" s="19">
        <v>52.12</v>
      </c>
      <c r="C67" t="s">
        <v>38</v>
      </c>
      <c r="D67" t="str">
        <f>T_Stocks[[#This Row],[Ticker]] &amp; "-" &amp; DATE(YEAR(T_Stocks[[#This Row],[Fecha]]),MONTH(T_Stocks[[#This Row],[Fecha]]),DAY(T_Stocks[[#This Row],[Fecha]]))</f>
        <v>AAPL-43591</v>
      </c>
    </row>
    <row r="68" spans="1:4" ht="14.65" thickBot="1" x14ac:dyDescent="0.5">
      <c r="A68" s="17">
        <v>43592.666666666664</v>
      </c>
      <c r="B68" s="19">
        <v>50.72</v>
      </c>
      <c r="C68" t="s">
        <v>38</v>
      </c>
      <c r="D68" t="str">
        <f>T_Stocks[[#This Row],[Ticker]] &amp; "-" &amp; DATE(YEAR(T_Stocks[[#This Row],[Fecha]]),MONTH(T_Stocks[[#This Row],[Fecha]]),DAY(T_Stocks[[#This Row],[Fecha]]))</f>
        <v>AAPL-43592</v>
      </c>
    </row>
    <row r="69" spans="1:4" ht="14.65" thickBot="1" x14ac:dyDescent="0.5">
      <c r="A69" s="17">
        <v>43593.666666666664</v>
      </c>
      <c r="B69" s="19">
        <v>50.73</v>
      </c>
      <c r="C69" t="s">
        <v>38</v>
      </c>
      <c r="D69" t="str">
        <f>T_Stocks[[#This Row],[Ticker]] &amp; "-" &amp; DATE(YEAR(T_Stocks[[#This Row],[Fecha]]),MONTH(T_Stocks[[#This Row],[Fecha]]),DAY(T_Stocks[[#This Row],[Fecha]]))</f>
        <v>AAPL-43593</v>
      </c>
    </row>
    <row r="70" spans="1:4" ht="14.65" thickBot="1" x14ac:dyDescent="0.5">
      <c r="A70" s="17">
        <v>43594.666666666664</v>
      </c>
      <c r="B70" s="19">
        <v>50.18</v>
      </c>
      <c r="C70" t="s">
        <v>38</v>
      </c>
      <c r="D70" t="str">
        <f>T_Stocks[[#This Row],[Ticker]] &amp; "-" &amp; DATE(YEAR(T_Stocks[[#This Row],[Fecha]]),MONTH(T_Stocks[[#This Row],[Fecha]]),DAY(T_Stocks[[#This Row],[Fecha]]))</f>
        <v>AAPL-43594</v>
      </c>
    </row>
    <row r="71" spans="1:4" ht="14.65" thickBot="1" x14ac:dyDescent="0.5">
      <c r="A71" s="17">
        <v>43595.666666666664</v>
      </c>
      <c r="B71" s="19">
        <v>49.3</v>
      </c>
      <c r="C71" t="s">
        <v>38</v>
      </c>
      <c r="D71" t="str">
        <f>T_Stocks[[#This Row],[Ticker]] &amp; "-" &amp; DATE(YEAR(T_Stocks[[#This Row],[Fecha]]),MONTH(T_Stocks[[#This Row],[Fecha]]),DAY(T_Stocks[[#This Row],[Fecha]]))</f>
        <v>AAPL-43595</v>
      </c>
    </row>
    <row r="72" spans="1:4" ht="14.65" thickBot="1" x14ac:dyDescent="0.5">
      <c r="A72" s="17">
        <v>43598.666666666664</v>
      </c>
      <c r="B72" s="19">
        <v>46.43</v>
      </c>
      <c r="C72" t="s">
        <v>38</v>
      </c>
      <c r="D72" t="str">
        <f>T_Stocks[[#This Row],[Ticker]] &amp; "-" &amp; DATE(YEAR(T_Stocks[[#This Row],[Fecha]]),MONTH(T_Stocks[[#This Row],[Fecha]]),DAY(T_Stocks[[#This Row],[Fecha]]))</f>
        <v>AAPL-43598</v>
      </c>
    </row>
    <row r="73" spans="1:4" ht="14.65" thickBot="1" x14ac:dyDescent="0.5">
      <c r="A73" s="17">
        <v>43599.666666666664</v>
      </c>
      <c r="B73" s="19">
        <v>47.17</v>
      </c>
      <c r="C73" t="s">
        <v>38</v>
      </c>
      <c r="D73" t="str">
        <f>T_Stocks[[#This Row],[Ticker]] &amp; "-" &amp; DATE(YEAR(T_Stocks[[#This Row],[Fecha]]),MONTH(T_Stocks[[#This Row],[Fecha]]),DAY(T_Stocks[[#This Row],[Fecha]]))</f>
        <v>AAPL-43599</v>
      </c>
    </row>
    <row r="74" spans="1:4" ht="14.65" thickBot="1" x14ac:dyDescent="0.5">
      <c r="A74" s="17">
        <v>43600.666666666664</v>
      </c>
      <c r="B74" s="19">
        <v>47.73</v>
      </c>
      <c r="C74" t="s">
        <v>38</v>
      </c>
      <c r="D74" t="str">
        <f>T_Stocks[[#This Row],[Ticker]] &amp; "-" &amp; DATE(YEAR(T_Stocks[[#This Row],[Fecha]]),MONTH(T_Stocks[[#This Row],[Fecha]]),DAY(T_Stocks[[#This Row],[Fecha]]))</f>
        <v>AAPL-43600</v>
      </c>
    </row>
    <row r="75" spans="1:4" ht="14.65" thickBot="1" x14ac:dyDescent="0.5">
      <c r="A75" s="17">
        <v>43601.666666666664</v>
      </c>
      <c r="B75" s="19">
        <v>47.52</v>
      </c>
      <c r="C75" t="s">
        <v>38</v>
      </c>
      <c r="D75" t="str">
        <f>T_Stocks[[#This Row],[Ticker]] &amp; "-" &amp; DATE(YEAR(T_Stocks[[#This Row],[Fecha]]),MONTH(T_Stocks[[#This Row],[Fecha]]),DAY(T_Stocks[[#This Row],[Fecha]]))</f>
        <v>AAPL-43601</v>
      </c>
    </row>
    <row r="76" spans="1:4" ht="14.65" thickBot="1" x14ac:dyDescent="0.5">
      <c r="A76" s="17">
        <v>43602.666666666664</v>
      </c>
      <c r="B76" s="19">
        <v>47.25</v>
      </c>
      <c r="C76" t="s">
        <v>38</v>
      </c>
      <c r="D76" t="str">
        <f>T_Stocks[[#This Row],[Ticker]] &amp; "-" &amp; DATE(YEAR(T_Stocks[[#This Row],[Fecha]]),MONTH(T_Stocks[[#This Row],[Fecha]]),DAY(T_Stocks[[#This Row],[Fecha]]))</f>
        <v>AAPL-43602</v>
      </c>
    </row>
    <row r="77" spans="1:4" ht="14.65" thickBot="1" x14ac:dyDescent="0.5">
      <c r="A77" s="17">
        <v>43605.666666666664</v>
      </c>
      <c r="B77" s="19">
        <v>45.77</v>
      </c>
      <c r="C77" t="s">
        <v>38</v>
      </c>
      <c r="D77" t="str">
        <f>T_Stocks[[#This Row],[Ticker]] &amp; "-" &amp; DATE(YEAR(T_Stocks[[#This Row],[Fecha]]),MONTH(T_Stocks[[#This Row],[Fecha]]),DAY(T_Stocks[[#This Row],[Fecha]]))</f>
        <v>AAPL-43605</v>
      </c>
    </row>
    <row r="78" spans="1:4" ht="14.65" thickBot="1" x14ac:dyDescent="0.5">
      <c r="A78" s="17">
        <v>43606.666666666664</v>
      </c>
      <c r="B78" s="19">
        <v>46.65</v>
      </c>
      <c r="C78" t="s">
        <v>38</v>
      </c>
      <c r="D78" t="str">
        <f>T_Stocks[[#This Row],[Ticker]] &amp; "-" &amp; DATE(YEAR(T_Stocks[[#This Row],[Fecha]]),MONTH(T_Stocks[[#This Row],[Fecha]]),DAY(T_Stocks[[#This Row],[Fecha]]))</f>
        <v>AAPL-43606</v>
      </c>
    </row>
    <row r="79" spans="1:4" ht="14.65" thickBot="1" x14ac:dyDescent="0.5">
      <c r="A79" s="17">
        <v>43607.666666666664</v>
      </c>
      <c r="B79" s="19">
        <v>45.7</v>
      </c>
      <c r="C79" t="s">
        <v>38</v>
      </c>
      <c r="D79" t="str">
        <f>T_Stocks[[#This Row],[Ticker]] &amp; "-" &amp; DATE(YEAR(T_Stocks[[#This Row],[Fecha]]),MONTH(T_Stocks[[#This Row],[Fecha]]),DAY(T_Stocks[[#This Row],[Fecha]]))</f>
        <v>AAPL-43607</v>
      </c>
    </row>
    <row r="80" spans="1:4" ht="14.65" thickBot="1" x14ac:dyDescent="0.5">
      <c r="A80" s="17">
        <v>43608.666666666664</v>
      </c>
      <c r="B80" s="19">
        <v>44.92</v>
      </c>
      <c r="C80" t="s">
        <v>38</v>
      </c>
      <c r="D80" t="str">
        <f>T_Stocks[[#This Row],[Ticker]] &amp; "-" &amp; DATE(YEAR(T_Stocks[[#This Row],[Fecha]]),MONTH(T_Stocks[[#This Row],[Fecha]]),DAY(T_Stocks[[#This Row],[Fecha]]))</f>
        <v>AAPL-43608</v>
      </c>
    </row>
    <row r="81" spans="1:4" ht="14.65" thickBot="1" x14ac:dyDescent="0.5">
      <c r="A81" s="17">
        <v>43609.666666666664</v>
      </c>
      <c r="B81" s="19">
        <v>44.74</v>
      </c>
      <c r="C81" t="s">
        <v>38</v>
      </c>
      <c r="D81" t="str">
        <f>T_Stocks[[#This Row],[Ticker]] &amp; "-" &amp; DATE(YEAR(T_Stocks[[#This Row],[Fecha]]),MONTH(T_Stocks[[#This Row],[Fecha]]),DAY(T_Stocks[[#This Row],[Fecha]]))</f>
        <v>AAPL-43609</v>
      </c>
    </row>
    <row r="82" spans="1:4" ht="14.65" thickBot="1" x14ac:dyDescent="0.5">
      <c r="A82" s="17">
        <v>43613.666666666664</v>
      </c>
      <c r="B82" s="19">
        <v>44.56</v>
      </c>
      <c r="C82" t="s">
        <v>38</v>
      </c>
      <c r="D82" t="str">
        <f>T_Stocks[[#This Row],[Ticker]] &amp; "-" &amp; DATE(YEAR(T_Stocks[[#This Row],[Fecha]]),MONTH(T_Stocks[[#This Row],[Fecha]]),DAY(T_Stocks[[#This Row],[Fecha]]))</f>
        <v>AAPL-43613</v>
      </c>
    </row>
    <row r="83" spans="1:4" ht="14.65" thickBot="1" x14ac:dyDescent="0.5">
      <c r="A83" s="17">
        <v>43614.666666666664</v>
      </c>
      <c r="B83" s="19">
        <v>44.35</v>
      </c>
      <c r="C83" t="s">
        <v>38</v>
      </c>
      <c r="D83" t="str">
        <f>T_Stocks[[#This Row],[Ticker]] &amp; "-" &amp; DATE(YEAR(T_Stocks[[#This Row],[Fecha]]),MONTH(T_Stocks[[#This Row],[Fecha]]),DAY(T_Stocks[[#This Row],[Fecha]]))</f>
        <v>AAPL-43614</v>
      </c>
    </row>
    <row r="84" spans="1:4" ht="14.65" thickBot="1" x14ac:dyDescent="0.5">
      <c r="A84" s="17">
        <v>43615.666666666664</v>
      </c>
      <c r="B84" s="19">
        <v>44.58</v>
      </c>
      <c r="C84" t="s">
        <v>38</v>
      </c>
      <c r="D84" t="str">
        <f>T_Stocks[[#This Row],[Ticker]] &amp; "-" &amp; DATE(YEAR(T_Stocks[[#This Row],[Fecha]]),MONTH(T_Stocks[[#This Row],[Fecha]]),DAY(T_Stocks[[#This Row],[Fecha]]))</f>
        <v>AAPL-43615</v>
      </c>
    </row>
    <row r="85" spans="1:4" ht="14.65" thickBot="1" x14ac:dyDescent="0.5">
      <c r="A85" s="17">
        <v>43616.666666666664</v>
      </c>
      <c r="B85" s="19">
        <v>43.77</v>
      </c>
      <c r="C85" t="s">
        <v>38</v>
      </c>
      <c r="D85" t="str">
        <f>T_Stocks[[#This Row],[Ticker]] &amp; "-" &amp; DATE(YEAR(T_Stocks[[#This Row],[Fecha]]),MONTH(T_Stocks[[#This Row],[Fecha]]),DAY(T_Stocks[[#This Row],[Fecha]]))</f>
        <v>AAPL-43616</v>
      </c>
    </row>
    <row r="86" spans="1:4" ht="14.65" thickBot="1" x14ac:dyDescent="0.5">
      <c r="A86" s="17">
        <v>43619.666666666664</v>
      </c>
      <c r="B86" s="19">
        <v>43.33</v>
      </c>
      <c r="C86" t="s">
        <v>38</v>
      </c>
      <c r="D86" t="str">
        <f>T_Stocks[[#This Row],[Ticker]] &amp; "-" &amp; DATE(YEAR(T_Stocks[[#This Row],[Fecha]]),MONTH(T_Stocks[[#This Row],[Fecha]]),DAY(T_Stocks[[#This Row],[Fecha]]))</f>
        <v>AAPL-43619</v>
      </c>
    </row>
    <row r="87" spans="1:4" ht="14.65" thickBot="1" x14ac:dyDescent="0.5">
      <c r="A87" s="17">
        <v>43620.666666666664</v>
      </c>
      <c r="B87" s="19">
        <v>44.91</v>
      </c>
      <c r="C87" t="s">
        <v>38</v>
      </c>
      <c r="D87" t="str">
        <f>T_Stocks[[#This Row],[Ticker]] &amp; "-" &amp; DATE(YEAR(T_Stocks[[#This Row],[Fecha]]),MONTH(T_Stocks[[#This Row],[Fecha]]),DAY(T_Stocks[[#This Row],[Fecha]]))</f>
        <v>AAPL-43620</v>
      </c>
    </row>
    <row r="88" spans="1:4" ht="14.65" thickBot="1" x14ac:dyDescent="0.5">
      <c r="A88" s="17">
        <v>43621.666666666664</v>
      </c>
      <c r="B88" s="19">
        <v>45.64</v>
      </c>
      <c r="C88" t="s">
        <v>38</v>
      </c>
      <c r="D88" t="str">
        <f>T_Stocks[[#This Row],[Ticker]] &amp; "-" &amp; DATE(YEAR(T_Stocks[[#This Row],[Fecha]]),MONTH(T_Stocks[[#This Row],[Fecha]]),DAY(T_Stocks[[#This Row],[Fecha]]))</f>
        <v>AAPL-43621</v>
      </c>
    </row>
    <row r="89" spans="1:4" ht="14.65" thickBot="1" x14ac:dyDescent="0.5">
      <c r="A89" s="17">
        <v>43622.666666666664</v>
      </c>
      <c r="B89" s="19">
        <v>46.31</v>
      </c>
      <c r="C89" t="s">
        <v>38</v>
      </c>
      <c r="D89" t="str">
        <f>T_Stocks[[#This Row],[Ticker]] &amp; "-" &amp; DATE(YEAR(T_Stocks[[#This Row],[Fecha]]),MONTH(T_Stocks[[#This Row],[Fecha]]),DAY(T_Stocks[[#This Row],[Fecha]]))</f>
        <v>AAPL-43622</v>
      </c>
    </row>
    <row r="90" spans="1:4" ht="14.65" thickBot="1" x14ac:dyDescent="0.5">
      <c r="A90" s="17">
        <v>43623.666666666664</v>
      </c>
      <c r="B90" s="19">
        <v>47.54</v>
      </c>
      <c r="C90" t="s">
        <v>38</v>
      </c>
      <c r="D90" t="str">
        <f>T_Stocks[[#This Row],[Ticker]] &amp; "-" &amp; DATE(YEAR(T_Stocks[[#This Row],[Fecha]]),MONTH(T_Stocks[[#This Row],[Fecha]]),DAY(T_Stocks[[#This Row],[Fecha]]))</f>
        <v>AAPL-43623</v>
      </c>
    </row>
    <row r="91" spans="1:4" ht="14.65" thickBot="1" x14ac:dyDescent="0.5">
      <c r="A91" s="17">
        <v>43626.666666666664</v>
      </c>
      <c r="B91" s="19">
        <v>48.15</v>
      </c>
      <c r="C91" t="s">
        <v>38</v>
      </c>
      <c r="D91" t="str">
        <f>T_Stocks[[#This Row],[Ticker]] &amp; "-" &amp; DATE(YEAR(T_Stocks[[#This Row],[Fecha]]),MONTH(T_Stocks[[#This Row],[Fecha]]),DAY(T_Stocks[[#This Row],[Fecha]]))</f>
        <v>AAPL-43626</v>
      </c>
    </row>
    <row r="92" spans="1:4" ht="14.65" thickBot="1" x14ac:dyDescent="0.5">
      <c r="A92" s="17">
        <v>43627.666666666664</v>
      </c>
      <c r="B92" s="19">
        <v>48.7</v>
      </c>
      <c r="C92" t="s">
        <v>38</v>
      </c>
      <c r="D92" t="str">
        <f>T_Stocks[[#This Row],[Ticker]] &amp; "-" &amp; DATE(YEAR(T_Stocks[[#This Row],[Fecha]]),MONTH(T_Stocks[[#This Row],[Fecha]]),DAY(T_Stocks[[#This Row],[Fecha]]))</f>
        <v>AAPL-43627</v>
      </c>
    </row>
    <row r="93" spans="1:4" ht="14.65" thickBot="1" x14ac:dyDescent="0.5">
      <c r="A93" s="17">
        <v>43628.666666666664</v>
      </c>
      <c r="B93" s="19">
        <v>48.55</v>
      </c>
      <c r="C93" t="s">
        <v>38</v>
      </c>
      <c r="D93" t="str">
        <f>T_Stocks[[#This Row],[Ticker]] &amp; "-" &amp; DATE(YEAR(T_Stocks[[#This Row],[Fecha]]),MONTH(T_Stocks[[#This Row],[Fecha]]),DAY(T_Stocks[[#This Row],[Fecha]]))</f>
        <v>AAPL-43628</v>
      </c>
    </row>
    <row r="94" spans="1:4" ht="14.65" thickBot="1" x14ac:dyDescent="0.5">
      <c r="A94" s="17">
        <v>43629.666666666664</v>
      </c>
      <c r="B94" s="19">
        <v>48.54</v>
      </c>
      <c r="C94" t="s">
        <v>38</v>
      </c>
      <c r="D94" t="str">
        <f>T_Stocks[[#This Row],[Ticker]] &amp; "-" &amp; DATE(YEAR(T_Stocks[[#This Row],[Fecha]]),MONTH(T_Stocks[[#This Row],[Fecha]]),DAY(T_Stocks[[#This Row],[Fecha]]))</f>
        <v>AAPL-43629</v>
      </c>
    </row>
    <row r="95" spans="1:4" ht="14.65" thickBot="1" x14ac:dyDescent="0.5">
      <c r="A95" s="17">
        <v>43630.666666666664</v>
      </c>
      <c r="B95" s="19">
        <v>48.19</v>
      </c>
      <c r="C95" t="s">
        <v>38</v>
      </c>
      <c r="D95" t="str">
        <f>T_Stocks[[#This Row],[Ticker]] &amp; "-" &amp; DATE(YEAR(T_Stocks[[#This Row],[Fecha]]),MONTH(T_Stocks[[#This Row],[Fecha]]),DAY(T_Stocks[[#This Row],[Fecha]]))</f>
        <v>AAPL-43630</v>
      </c>
    </row>
    <row r="96" spans="1:4" ht="14.65" thickBot="1" x14ac:dyDescent="0.5">
      <c r="A96" s="17">
        <v>43633.666666666664</v>
      </c>
      <c r="B96" s="19">
        <v>48.47</v>
      </c>
      <c r="C96" t="s">
        <v>38</v>
      </c>
      <c r="D96" t="str">
        <f>T_Stocks[[#This Row],[Ticker]] &amp; "-" &amp; DATE(YEAR(T_Stocks[[#This Row],[Fecha]]),MONTH(T_Stocks[[#This Row],[Fecha]]),DAY(T_Stocks[[#This Row],[Fecha]]))</f>
        <v>AAPL-43633</v>
      </c>
    </row>
    <row r="97" spans="1:4" ht="14.65" thickBot="1" x14ac:dyDescent="0.5">
      <c r="A97" s="17">
        <v>43634.666666666664</v>
      </c>
      <c r="B97" s="19">
        <v>49.61</v>
      </c>
      <c r="C97" t="s">
        <v>38</v>
      </c>
      <c r="D97" t="str">
        <f>T_Stocks[[#This Row],[Ticker]] &amp; "-" &amp; DATE(YEAR(T_Stocks[[#This Row],[Fecha]]),MONTH(T_Stocks[[#This Row],[Fecha]]),DAY(T_Stocks[[#This Row],[Fecha]]))</f>
        <v>AAPL-43634</v>
      </c>
    </row>
    <row r="98" spans="1:4" ht="14.65" thickBot="1" x14ac:dyDescent="0.5">
      <c r="A98" s="17">
        <v>43635.666666666664</v>
      </c>
      <c r="B98" s="19">
        <v>49.47</v>
      </c>
      <c r="C98" t="s">
        <v>38</v>
      </c>
      <c r="D98" t="str">
        <f>T_Stocks[[#This Row],[Ticker]] &amp; "-" &amp; DATE(YEAR(T_Stocks[[#This Row],[Fecha]]),MONTH(T_Stocks[[#This Row],[Fecha]]),DAY(T_Stocks[[#This Row],[Fecha]]))</f>
        <v>AAPL-43635</v>
      </c>
    </row>
    <row r="99" spans="1:4" ht="14.65" thickBot="1" x14ac:dyDescent="0.5">
      <c r="A99" s="17">
        <v>43636.666666666664</v>
      </c>
      <c r="B99" s="19">
        <v>49.87</v>
      </c>
      <c r="C99" t="s">
        <v>38</v>
      </c>
      <c r="D99" t="str">
        <f>T_Stocks[[#This Row],[Ticker]] &amp; "-" &amp; DATE(YEAR(T_Stocks[[#This Row],[Fecha]]),MONTH(T_Stocks[[#This Row],[Fecha]]),DAY(T_Stocks[[#This Row],[Fecha]]))</f>
        <v>AAPL-43636</v>
      </c>
    </row>
    <row r="100" spans="1:4" ht="14.65" thickBot="1" x14ac:dyDescent="0.5">
      <c r="A100" s="17">
        <v>43637.666666666664</v>
      </c>
      <c r="B100" s="19">
        <v>49.7</v>
      </c>
      <c r="C100" t="s">
        <v>38</v>
      </c>
      <c r="D100" t="str">
        <f>T_Stocks[[#This Row],[Ticker]] &amp; "-" &amp; DATE(YEAR(T_Stocks[[#This Row],[Fecha]]),MONTH(T_Stocks[[#This Row],[Fecha]]),DAY(T_Stocks[[#This Row],[Fecha]]))</f>
        <v>AAPL-43637</v>
      </c>
    </row>
    <row r="101" spans="1:4" ht="14.65" thickBot="1" x14ac:dyDescent="0.5">
      <c r="A101" s="17">
        <v>43640.666666666664</v>
      </c>
      <c r="B101" s="19">
        <v>49.65</v>
      </c>
      <c r="C101" t="s">
        <v>38</v>
      </c>
      <c r="D101" t="str">
        <f>T_Stocks[[#This Row],[Ticker]] &amp; "-" &amp; DATE(YEAR(T_Stocks[[#This Row],[Fecha]]),MONTH(T_Stocks[[#This Row],[Fecha]]),DAY(T_Stocks[[#This Row],[Fecha]]))</f>
        <v>AAPL-43640</v>
      </c>
    </row>
    <row r="102" spans="1:4" ht="14.65" thickBot="1" x14ac:dyDescent="0.5">
      <c r="A102" s="17">
        <v>43641.666666666664</v>
      </c>
      <c r="B102" s="19">
        <v>48.89</v>
      </c>
      <c r="C102" t="s">
        <v>38</v>
      </c>
      <c r="D102" t="str">
        <f>T_Stocks[[#This Row],[Ticker]] &amp; "-" &amp; DATE(YEAR(T_Stocks[[#This Row],[Fecha]]),MONTH(T_Stocks[[#This Row],[Fecha]]),DAY(T_Stocks[[#This Row],[Fecha]]))</f>
        <v>AAPL-43641</v>
      </c>
    </row>
    <row r="103" spans="1:4" ht="14.65" thickBot="1" x14ac:dyDescent="0.5">
      <c r="A103" s="17">
        <v>43642.666666666664</v>
      </c>
      <c r="B103" s="19">
        <v>49.95</v>
      </c>
      <c r="C103" t="s">
        <v>38</v>
      </c>
      <c r="D103" t="str">
        <f>T_Stocks[[#This Row],[Ticker]] &amp; "-" &amp; DATE(YEAR(T_Stocks[[#This Row],[Fecha]]),MONTH(T_Stocks[[#This Row],[Fecha]]),DAY(T_Stocks[[#This Row],[Fecha]]))</f>
        <v>AAPL-43642</v>
      </c>
    </row>
    <row r="104" spans="1:4" ht="14.65" thickBot="1" x14ac:dyDescent="0.5">
      <c r="A104" s="17">
        <v>43643.666666666664</v>
      </c>
      <c r="B104" s="19">
        <v>49.94</v>
      </c>
      <c r="C104" t="s">
        <v>38</v>
      </c>
      <c r="D104" t="str">
        <f>T_Stocks[[#This Row],[Ticker]] &amp; "-" &amp; DATE(YEAR(T_Stocks[[#This Row],[Fecha]]),MONTH(T_Stocks[[#This Row],[Fecha]]),DAY(T_Stocks[[#This Row],[Fecha]]))</f>
        <v>AAPL-43643</v>
      </c>
    </row>
    <row r="105" spans="1:4" ht="14.65" thickBot="1" x14ac:dyDescent="0.5">
      <c r="A105" s="17">
        <v>43644.666666666664</v>
      </c>
      <c r="B105" s="19">
        <v>49.48</v>
      </c>
      <c r="C105" t="s">
        <v>38</v>
      </c>
      <c r="D105" t="str">
        <f>T_Stocks[[#This Row],[Ticker]] &amp; "-" &amp; DATE(YEAR(T_Stocks[[#This Row],[Fecha]]),MONTH(T_Stocks[[#This Row],[Fecha]]),DAY(T_Stocks[[#This Row],[Fecha]]))</f>
        <v>AAPL-43644</v>
      </c>
    </row>
    <row r="106" spans="1:4" ht="14.65" thickBot="1" x14ac:dyDescent="0.5">
      <c r="A106" s="17">
        <v>43647.666666666664</v>
      </c>
      <c r="B106" s="19">
        <v>50.39</v>
      </c>
      <c r="C106" t="s">
        <v>38</v>
      </c>
      <c r="D106" t="str">
        <f>T_Stocks[[#This Row],[Ticker]] &amp; "-" &amp; DATE(YEAR(T_Stocks[[#This Row],[Fecha]]),MONTH(T_Stocks[[#This Row],[Fecha]]),DAY(T_Stocks[[#This Row],[Fecha]]))</f>
        <v>AAPL-43647</v>
      </c>
    </row>
    <row r="107" spans="1:4" ht="14.65" thickBot="1" x14ac:dyDescent="0.5">
      <c r="A107" s="17">
        <v>43648.666666666664</v>
      </c>
      <c r="B107" s="19">
        <v>50.68</v>
      </c>
      <c r="C107" t="s">
        <v>38</v>
      </c>
      <c r="D107" t="str">
        <f>T_Stocks[[#This Row],[Ticker]] &amp; "-" &amp; DATE(YEAR(T_Stocks[[#This Row],[Fecha]]),MONTH(T_Stocks[[#This Row],[Fecha]]),DAY(T_Stocks[[#This Row],[Fecha]]))</f>
        <v>AAPL-43648</v>
      </c>
    </row>
    <row r="108" spans="1:4" ht="14.65" thickBot="1" x14ac:dyDescent="0.5">
      <c r="A108" s="17">
        <v>43649.541666666664</v>
      </c>
      <c r="B108" s="19">
        <v>51.1</v>
      </c>
      <c r="C108" t="s">
        <v>38</v>
      </c>
      <c r="D108" t="str">
        <f>T_Stocks[[#This Row],[Ticker]] &amp; "-" &amp; DATE(YEAR(T_Stocks[[#This Row],[Fecha]]),MONTH(T_Stocks[[#This Row],[Fecha]]),DAY(T_Stocks[[#This Row],[Fecha]]))</f>
        <v>AAPL-43649</v>
      </c>
    </row>
    <row r="109" spans="1:4" ht="14.65" thickBot="1" x14ac:dyDescent="0.5">
      <c r="A109" s="17">
        <v>43651.666666666664</v>
      </c>
      <c r="B109" s="19">
        <v>51.06</v>
      </c>
      <c r="C109" t="s">
        <v>38</v>
      </c>
      <c r="D109" t="str">
        <f>T_Stocks[[#This Row],[Ticker]] &amp; "-" &amp; DATE(YEAR(T_Stocks[[#This Row],[Fecha]]),MONTH(T_Stocks[[#This Row],[Fecha]]),DAY(T_Stocks[[#This Row],[Fecha]]))</f>
        <v>AAPL-43651</v>
      </c>
    </row>
    <row r="110" spans="1:4" ht="14.65" thickBot="1" x14ac:dyDescent="0.5">
      <c r="A110" s="17">
        <v>43654.666666666664</v>
      </c>
      <c r="B110" s="19">
        <v>50.01</v>
      </c>
      <c r="C110" t="s">
        <v>38</v>
      </c>
      <c r="D110" t="str">
        <f>T_Stocks[[#This Row],[Ticker]] &amp; "-" &amp; DATE(YEAR(T_Stocks[[#This Row],[Fecha]]),MONTH(T_Stocks[[#This Row],[Fecha]]),DAY(T_Stocks[[#This Row],[Fecha]]))</f>
        <v>AAPL-43654</v>
      </c>
    </row>
    <row r="111" spans="1:4" ht="14.65" thickBot="1" x14ac:dyDescent="0.5">
      <c r="A111" s="17">
        <v>43655.666666666664</v>
      </c>
      <c r="B111" s="19">
        <v>50.31</v>
      </c>
      <c r="C111" t="s">
        <v>38</v>
      </c>
      <c r="D111" t="str">
        <f>T_Stocks[[#This Row],[Ticker]] &amp; "-" &amp; DATE(YEAR(T_Stocks[[#This Row],[Fecha]]),MONTH(T_Stocks[[#This Row],[Fecha]]),DAY(T_Stocks[[#This Row],[Fecha]]))</f>
        <v>AAPL-43655</v>
      </c>
    </row>
    <row r="112" spans="1:4" ht="14.65" thickBot="1" x14ac:dyDescent="0.5">
      <c r="A112" s="17">
        <v>43656.666666666664</v>
      </c>
      <c r="B112" s="19">
        <v>50.81</v>
      </c>
      <c r="C112" t="s">
        <v>38</v>
      </c>
      <c r="D112" t="str">
        <f>T_Stocks[[#This Row],[Ticker]] &amp; "-" &amp; DATE(YEAR(T_Stocks[[#This Row],[Fecha]]),MONTH(T_Stocks[[#This Row],[Fecha]]),DAY(T_Stocks[[#This Row],[Fecha]]))</f>
        <v>AAPL-43656</v>
      </c>
    </row>
    <row r="113" spans="1:4" ht="14.65" thickBot="1" x14ac:dyDescent="0.5">
      <c r="A113" s="17">
        <v>43657.666666666664</v>
      </c>
      <c r="B113" s="19">
        <v>50.44</v>
      </c>
      <c r="C113" t="s">
        <v>38</v>
      </c>
      <c r="D113" t="str">
        <f>T_Stocks[[#This Row],[Ticker]] &amp; "-" &amp; DATE(YEAR(T_Stocks[[#This Row],[Fecha]]),MONTH(T_Stocks[[#This Row],[Fecha]]),DAY(T_Stocks[[#This Row],[Fecha]]))</f>
        <v>AAPL-43657</v>
      </c>
    </row>
    <row r="114" spans="1:4" ht="14.65" thickBot="1" x14ac:dyDescent="0.5">
      <c r="A114" s="17">
        <v>43658.666666666664</v>
      </c>
      <c r="B114" s="19">
        <v>50.83</v>
      </c>
      <c r="C114" t="s">
        <v>38</v>
      </c>
      <c r="D114" t="str">
        <f>T_Stocks[[#This Row],[Ticker]] &amp; "-" &amp; DATE(YEAR(T_Stocks[[#This Row],[Fecha]]),MONTH(T_Stocks[[#This Row],[Fecha]]),DAY(T_Stocks[[#This Row],[Fecha]]))</f>
        <v>AAPL-43658</v>
      </c>
    </row>
    <row r="115" spans="1:4" ht="14.65" thickBot="1" x14ac:dyDescent="0.5">
      <c r="A115" s="17">
        <v>43661.666666666664</v>
      </c>
      <c r="B115" s="19">
        <v>51.3</v>
      </c>
      <c r="C115" t="s">
        <v>38</v>
      </c>
      <c r="D115" t="str">
        <f>T_Stocks[[#This Row],[Ticker]] &amp; "-" &amp; DATE(YEAR(T_Stocks[[#This Row],[Fecha]]),MONTH(T_Stocks[[#This Row],[Fecha]]),DAY(T_Stocks[[#This Row],[Fecha]]))</f>
        <v>AAPL-43661</v>
      </c>
    </row>
    <row r="116" spans="1:4" ht="14.65" thickBot="1" x14ac:dyDescent="0.5">
      <c r="A116" s="17">
        <v>43662.666666666664</v>
      </c>
      <c r="B116" s="19">
        <v>51.13</v>
      </c>
      <c r="C116" t="s">
        <v>38</v>
      </c>
      <c r="D116" t="str">
        <f>T_Stocks[[#This Row],[Ticker]] &amp; "-" &amp; DATE(YEAR(T_Stocks[[#This Row],[Fecha]]),MONTH(T_Stocks[[#This Row],[Fecha]]),DAY(T_Stocks[[#This Row],[Fecha]]))</f>
        <v>AAPL-43662</v>
      </c>
    </row>
    <row r="117" spans="1:4" ht="14.65" thickBot="1" x14ac:dyDescent="0.5">
      <c r="A117" s="17">
        <v>43663.666666666664</v>
      </c>
      <c r="B117" s="19">
        <v>50.84</v>
      </c>
      <c r="C117" t="s">
        <v>38</v>
      </c>
      <c r="D117" t="str">
        <f>T_Stocks[[#This Row],[Ticker]] &amp; "-" &amp; DATE(YEAR(T_Stocks[[#This Row],[Fecha]]),MONTH(T_Stocks[[#This Row],[Fecha]]),DAY(T_Stocks[[#This Row],[Fecha]]))</f>
        <v>AAPL-43663</v>
      </c>
    </row>
    <row r="118" spans="1:4" ht="14.65" thickBot="1" x14ac:dyDescent="0.5">
      <c r="A118" s="17">
        <v>43664.666666666664</v>
      </c>
      <c r="B118" s="19">
        <v>51.42</v>
      </c>
      <c r="C118" t="s">
        <v>38</v>
      </c>
      <c r="D118" t="str">
        <f>T_Stocks[[#This Row],[Ticker]] &amp; "-" &amp; DATE(YEAR(T_Stocks[[#This Row],[Fecha]]),MONTH(T_Stocks[[#This Row],[Fecha]]),DAY(T_Stocks[[#This Row],[Fecha]]))</f>
        <v>AAPL-43664</v>
      </c>
    </row>
    <row r="119" spans="1:4" ht="14.65" thickBot="1" x14ac:dyDescent="0.5">
      <c r="A119" s="17">
        <v>43665.666666666664</v>
      </c>
      <c r="B119" s="19">
        <v>50.65</v>
      </c>
      <c r="C119" t="s">
        <v>38</v>
      </c>
      <c r="D119" t="str">
        <f>T_Stocks[[#This Row],[Ticker]] &amp; "-" &amp; DATE(YEAR(T_Stocks[[#This Row],[Fecha]]),MONTH(T_Stocks[[#This Row],[Fecha]]),DAY(T_Stocks[[#This Row],[Fecha]]))</f>
        <v>AAPL-43665</v>
      </c>
    </row>
    <row r="120" spans="1:4" ht="14.65" thickBot="1" x14ac:dyDescent="0.5">
      <c r="A120" s="17">
        <v>43668.666666666664</v>
      </c>
      <c r="B120" s="19">
        <v>51.81</v>
      </c>
      <c r="C120" t="s">
        <v>38</v>
      </c>
      <c r="D120" t="str">
        <f>T_Stocks[[#This Row],[Ticker]] &amp; "-" &amp; DATE(YEAR(T_Stocks[[#This Row],[Fecha]]),MONTH(T_Stocks[[#This Row],[Fecha]]),DAY(T_Stocks[[#This Row],[Fecha]]))</f>
        <v>AAPL-43668</v>
      </c>
    </row>
    <row r="121" spans="1:4" ht="14.65" thickBot="1" x14ac:dyDescent="0.5">
      <c r="A121" s="17">
        <v>43669.666666666664</v>
      </c>
      <c r="B121" s="19">
        <v>52.21</v>
      </c>
      <c r="C121" t="s">
        <v>38</v>
      </c>
      <c r="D121" t="str">
        <f>T_Stocks[[#This Row],[Ticker]] &amp; "-" &amp; DATE(YEAR(T_Stocks[[#This Row],[Fecha]]),MONTH(T_Stocks[[#This Row],[Fecha]]),DAY(T_Stocks[[#This Row],[Fecha]]))</f>
        <v>AAPL-43669</v>
      </c>
    </row>
    <row r="122" spans="1:4" ht="14.65" thickBot="1" x14ac:dyDescent="0.5">
      <c r="A122" s="17">
        <v>43670.666666666664</v>
      </c>
      <c r="B122" s="19">
        <v>52.17</v>
      </c>
      <c r="C122" t="s">
        <v>38</v>
      </c>
      <c r="D122" t="str">
        <f>T_Stocks[[#This Row],[Ticker]] &amp; "-" &amp; DATE(YEAR(T_Stocks[[#This Row],[Fecha]]),MONTH(T_Stocks[[#This Row],[Fecha]]),DAY(T_Stocks[[#This Row],[Fecha]]))</f>
        <v>AAPL-43670</v>
      </c>
    </row>
    <row r="123" spans="1:4" ht="14.65" thickBot="1" x14ac:dyDescent="0.5">
      <c r="A123" s="17">
        <v>43671.666666666664</v>
      </c>
      <c r="B123" s="19">
        <v>51.76</v>
      </c>
      <c r="C123" t="s">
        <v>38</v>
      </c>
      <c r="D123" t="str">
        <f>T_Stocks[[#This Row],[Ticker]] &amp; "-" &amp; DATE(YEAR(T_Stocks[[#This Row],[Fecha]]),MONTH(T_Stocks[[#This Row],[Fecha]]),DAY(T_Stocks[[#This Row],[Fecha]]))</f>
        <v>AAPL-43671</v>
      </c>
    </row>
    <row r="124" spans="1:4" ht="14.65" thickBot="1" x14ac:dyDescent="0.5">
      <c r="A124" s="17">
        <v>43672.666666666664</v>
      </c>
      <c r="B124" s="19">
        <v>51.94</v>
      </c>
      <c r="C124" t="s">
        <v>38</v>
      </c>
      <c r="D124" t="str">
        <f>T_Stocks[[#This Row],[Ticker]] &amp; "-" &amp; DATE(YEAR(T_Stocks[[#This Row],[Fecha]]),MONTH(T_Stocks[[#This Row],[Fecha]]),DAY(T_Stocks[[#This Row],[Fecha]]))</f>
        <v>AAPL-43672</v>
      </c>
    </row>
    <row r="125" spans="1:4" ht="14.65" thickBot="1" x14ac:dyDescent="0.5">
      <c r="A125" s="17">
        <v>43675.666666666664</v>
      </c>
      <c r="B125" s="19">
        <v>52.42</v>
      </c>
      <c r="C125" t="s">
        <v>38</v>
      </c>
      <c r="D125" t="str">
        <f>T_Stocks[[#This Row],[Ticker]] &amp; "-" &amp; DATE(YEAR(T_Stocks[[#This Row],[Fecha]]),MONTH(T_Stocks[[#This Row],[Fecha]]),DAY(T_Stocks[[#This Row],[Fecha]]))</f>
        <v>AAPL-43675</v>
      </c>
    </row>
    <row r="126" spans="1:4" ht="14.65" thickBot="1" x14ac:dyDescent="0.5">
      <c r="A126" s="17">
        <v>43676.666666666664</v>
      </c>
      <c r="B126" s="19">
        <v>52.2</v>
      </c>
      <c r="C126" t="s">
        <v>38</v>
      </c>
      <c r="D126" t="str">
        <f>T_Stocks[[#This Row],[Ticker]] &amp; "-" &amp; DATE(YEAR(T_Stocks[[#This Row],[Fecha]]),MONTH(T_Stocks[[#This Row],[Fecha]]),DAY(T_Stocks[[#This Row],[Fecha]]))</f>
        <v>AAPL-43676</v>
      </c>
    </row>
    <row r="127" spans="1:4" ht="14.65" thickBot="1" x14ac:dyDescent="0.5">
      <c r="A127" s="17">
        <v>43677.666666666664</v>
      </c>
      <c r="B127" s="19">
        <v>53.26</v>
      </c>
      <c r="C127" t="s">
        <v>38</v>
      </c>
      <c r="D127" t="str">
        <f>T_Stocks[[#This Row],[Ticker]] &amp; "-" &amp; DATE(YEAR(T_Stocks[[#This Row],[Fecha]]),MONTH(T_Stocks[[#This Row],[Fecha]]),DAY(T_Stocks[[#This Row],[Fecha]]))</f>
        <v>AAPL-43677</v>
      </c>
    </row>
    <row r="128" spans="1:4" ht="14.65" thickBot="1" x14ac:dyDescent="0.5">
      <c r="A128" s="17">
        <v>43678.666666666664</v>
      </c>
      <c r="B128" s="19">
        <v>52.11</v>
      </c>
      <c r="C128" t="s">
        <v>38</v>
      </c>
      <c r="D128" t="str">
        <f>T_Stocks[[#This Row],[Ticker]] &amp; "-" &amp; DATE(YEAR(T_Stocks[[#This Row],[Fecha]]),MONTH(T_Stocks[[#This Row],[Fecha]]),DAY(T_Stocks[[#This Row],[Fecha]]))</f>
        <v>AAPL-43678</v>
      </c>
    </row>
    <row r="129" spans="1:4" ht="14.65" thickBot="1" x14ac:dyDescent="0.5">
      <c r="A129" s="17">
        <v>43679.666666666664</v>
      </c>
      <c r="B129" s="19">
        <v>51.01</v>
      </c>
      <c r="C129" t="s">
        <v>38</v>
      </c>
      <c r="D129" t="str">
        <f>T_Stocks[[#This Row],[Ticker]] &amp; "-" &amp; DATE(YEAR(T_Stocks[[#This Row],[Fecha]]),MONTH(T_Stocks[[#This Row],[Fecha]]),DAY(T_Stocks[[#This Row],[Fecha]]))</f>
        <v>AAPL-43679</v>
      </c>
    </row>
    <row r="130" spans="1:4" ht="14.65" thickBot="1" x14ac:dyDescent="0.5">
      <c r="A130" s="17">
        <v>43682.666666666664</v>
      </c>
      <c r="B130" s="19">
        <v>48.34</v>
      </c>
      <c r="C130" t="s">
        <v>38</v>
      </c>
      <c r="D130" t="str">
        <f>T_Stocks[[#This Row],[Ticker]] &amp; "-" &amp; DATE(YEAR(T_Stocks[[#This Row],[Fecha]]),MONTH(T_Stocks[[#This Row],[Fecha]]),DAY(T_Stocks[[#This Row],[Fecha]]))</f>
        <v>AAPL-43682</v>
      </c>
    </row>
    <row r="131" spans="1:4" ht="14.65" thickBot="1" x14ac:dyDescent="0.5">
      <c r="A131" s="17">
        <v>43683.666666666664</v>
      </c>
      <c r="B131" s="19">
        <v>49.25</v>
      </c>
      <c r="C131" t="s">
        <v>38</v>
      </c>
      <c r="D131" t="str">
        <f>T_Stocks[[#This Row],[Ticker]] &amp; "-" &amp; DATE(YEAR(T_Stocks[[#This Row],[Fecha]]),MONTH(T_Stocks[[#This Row],[Fecha]]),DAY(T_Stocks[[#This Row],[Fecha]]))</f>
        <v>AAPL-43683</v>
      </c>
    </row>
    <row r="132" spans="1:4" ht="14.65" thickBot="1" x14ac:dyDescent="0.5">
      <c r="A132" s="17">
        <v>43684.666666666664</v>
      </c>
      <c r="B132" s="19">
        <v>49.76</v>
      </c>
      <c r="C132" t="s">
        <v>38</v>
      </c>
      <c r="D132" t="str">
        <f>T_Stocks[[#This Row],[Ticker]] &amp; "-" &amp; DATE(YEAR(T_Stocks[[#This Row],[Fecha]]),MONTH(T_Stocks[[#This Row],[Fecha]]),DAY(T_Stocks[[#This Row],[Fecha]]))</f>
        <v>AAPL-43684</v>
      </c>
    </row>
    <row r="133" spans="1:4" ht="14.65" thickBot="1" x14ac:dyDescent="0.5">
      <c r="A133" s="17">
        <v>43685.666666666664</v>
      </c>
      <c r="B133" s="19">
        <v>50.86</v>
      </c>
      <c r="C133" t="s">
        <v>38</v>
      </c>
      <c r="D133" t="str">
        <f>T_Stocks[[#This Row],[Ticker]] &amp; "-" &amp; DATE(YEAR(T_Stocks[[#This Row],[Fecha]]),MONTH(T_Stocks[[#This Row],[Fecha]]),DAY(T_Stocks[[#This Row],[Fecha]]))</f>
        <v>AAPL-43685</v>
      </c>
    </row>
    <row r="134" spans="1:4" ht="14.65" thickBot="1" x14ac:dyDescent="0.5">
      <c r="A134" s="17">
        <v>43686.666666666664</v>
      </c>
      <c r="B134" s="19">
        <v>50.25</v>
      </c>
      <c r="C134" t="s">
        <v>38</v>
      </c>
      <c r="D134" t="str">
        <f>T_Stocks[[#This Row],[Ticker]] &amp; "-" &amp; DATE(YEAR(T_Stocks[[#This Row],[Fecha]]),MONTH(T_Stocks[[#This Row],[Fecha]]),DAY(T_Stocks[[#This Row],[Fecha]]))</f>
        <v>AAPL-43686</v>
      </c>
    </row>
    <row r="135" spans="1:4" ht="14.65" thickBot="1" x14ac:dyDescent="0.5">
      <c r="A135" s="17">
        <v>43689.666666666664</v>
      </c>
      <c r="B135" s="19">
        <v>50.12</v>
      </c>
      <c r="C135" t="s">
        <v>38</v>
      </c>
      <c r="D135" t="str">
        <f>T_Stocks[[#This Row],[Ticker]] &amp; "-" &amp; DATE(YEAR(T_Stocks[[#This Row],[Fecha]]),MONTH(T_Stocks[[#This Row],[Fecha]]),DAY(T_Stocks[[#This Row],[Fecha]]))</f>
        <v>AAPL-43689</v>
      </c>
    </row>
    <row r="136" spans="1:4" ht="14.65" thickBot="1" x14ac:dyDescent="0.5">
      <c r="A136" s="17">
        <v>43690.666666666664</v>
      </c>
      <c r="B136" s="19">
        <v>52.24</v>
      </c>
      <c r="C136" t="s">
        <v>38</v>
      </c>
      <c r="D136" t="str">
        <f>T_Stocks[[#This Row],[Ticker]] &amp; "-" &amp; DATE(YEAR(T_Stocks[[#This Row],[Fecha]]),MONTH(T_Stocks[[#This Row],[Fecha]]),DAY(T_Stocks[[#This Row],[Fecha]]))</f>
        <v>AAPL-43690</v>
      </c>
    </row>
    <row r="137" spans="1:4" ht="14.65" thickBot="1" x14ac:dyDescent="0.5">
      <c r="A137" s="17">
        <v>43691.666666666664</v>
      </c>
      <c r="B137" s="19">
        <v>50.69</v>
      </c>
      <c r="C137" t="s">
        <v>38</v>
      </c>
      <c r="D137" t="str">
        <f>T_Stocks[[#This Row],[Ticker]] &amp; "-" &amp; DATE(YEAR(T_Stocks[[#This Row],[Fecha]]),MONTH(T_Stocks[[#This Row],[Fecha]]),DAY(T_Stocks[[#This Row],[Fecha]]))</f>
        <v>AAPL-43691</v>
      </c>
    </row>
    <row r="138" spans="1:4" ht="14.65" thickBot="1" x14ac:dyDescent="0.5">
      <c r="A138" s="17">
        <v>43692.666666666664</v>
      </c>
      <c r="B138" s="19">
        <v>50.44</v>
      </c>
      <c r="C138" t="s">
        <v>38</v>
      </c>
      <c r="D138" t="str">
        <f>T_Stocks[[#This Row],[Ticker]] &amp; "-" &amp; DATE(YEAR(T_Stocks[[#This Row],[Fecha]]),MONTH(T_Stocks[[#This Row],[Fecha]]),DAY(T_Stocks[[#This Row],[Fecha]]))</f>
        <v>AAPL-43692</v>
      </c>
    </row>
    <row r="139" spans="1:4" ht="14.65" thickBot="1" x14ac:dyDescent="0.5">
      <c r="A139" s="17">
        <v>43693.666666666664</v>
      </c>
      <c r="B139" s="19">
        <v>51.63</v>
      </c>
      <c r="C139" t="s">
        <v>38</v>
      </c>
      <c r="D139" t="str">
        <f>T_Stocks[[#This Row],[Ticker]] &amp; "-" &amp; DATE(YEAR(T_Stocks[[#This Row],[Fecha]]),MONTH(T_Stocks[[#This Row],[Fecha]]),DAY(T_Stocks[[#This Row],[Fecha]]))</f>
        <v>AAPL-43693</v>
      </c>
    </row>
    <row r="140" spans="1:4" ht="14.65" thickBot="1" x14ac:dyDescent="0.5">
      <c r="A140" s="17">
        <v>43696.666666666664</v>
      </c>
      <c r="B140" s="19">
        <v>52.59</v>
      </c>
      <c r="C140" t="s">
        <v>38</v>
      </c>
      <c r="D140" t="str">
        <f>T_Stocks[[#This Row],[Ticker]] &amp; "-" &amp; DATE(YEAR(T_Stocks[[#This Row],[Fecha]]),MONTH(T_Stocks[[#This Row],[Fecha]]),DAY(T_Stocks[[#This Row],[Fecha]]))</f>
        <v>AAPL-43696</v>
      </c>
    </row>
    <row r="141" spans="1:4" ht="14.65" thickBot="1" x14ac:dyDescent="0.5">
      <c r="A141" s="17">
        <v>43697.666666666664</v>
      </c>
      <c r="B141" s="19">
        <v>52.59</v>
      </c>
      <c r="C141" t="s">
        <v>38</v>
      </c>
      <c r="D141" t="str">
        <f>T_Stocks[[#This Row],[Ticker]] &amp; "-" &amp; DATE(YEAR(T_Stocks[[#This Row],[Fecha]]),MONTH(T_Stocks[[#This Row],[Fecha]]),DAY(T_Stocks[[#This Row],[Fecha]]))</f>
        <v>AAPL-43697</v>
      </c>
    </row>
    <row r="142" spans="1:4" ht="14.65" thickBot="1" x14ac:dyDescent="0.5">
      <c r="A142" s="17">
        <v>43698.666666666664</v>
      </c>
      <c r="B142" s="19">
        <v>53.16</v>
      </c>
      <c r="C142" t="s">
        <v>38</v>
      </c>
      <c r="D142" t="str">
        <f>T_Stocks[[#This Row],[Ticker]] &amp; "-" &amp; DATE(YEAR(T_Stocks[[#This Row],[Fecha]]),MONTH(T_Stocks[[#This Row],[Fecha]]),DAY(T_Stocks[[#This Row],[Fecha]]))</f>
        <v>AAPL-43698</v>
      </c>
    </row>
    <row r="143" spans="1:4" ht="14.65" thickBot="1" x14ac:dyDescent="0.5">
      <c r="A143" s="17">
        <v>43699.666666666664</v>
      </c>
      <c r="B143" s="19">
        <v>53.12</v>
      </c>
      <c r="C143" t="s">
        <v>38</v>
      </c>
      <c r="D143" t="str">
        <f>T_Stocks[[#This Row],[Ticker]] &amp; "-" &amp; DATE(YEAR(T_Stocks[[#This Row],[Fecha]]),MONTH(T_Stocks[[#This Row],[Fecha]]),DAY(T_Stocks[[#This Row],[Fecha]]))</f>
        <v>AAPL-43699</v>
      </c>
    </row>
    <row r="144" spans="1:4" ht="14.65" thickBot="1" x14ac:dyDescent="0.5">
      <c r="A144" s="17">
        <v>43700.666666666664</v>
      </c>
      <c r="B144" s="19">
        <v>50.66</v>
      </c>
      <c r="C144" t="s">
        <v>38</v>
      </c>
      <c r="D144" t="str">
        <f>T_Stocks[[#This Row],[Ticker]] &amp; "-" &amp; DATE(YEAR(T_Stocks[[#This Row],[Fecha]]),MONTH(T_Stocks[[#This Row],[Fecha]]),DAY(T_Stocks[[#This Row],[Fecha]]))</f>
        <v>AAPL-43700</v>
      </c>
    </row>
    <row r="145" spans="1:4" ht="14.65" thickBot="1" x14ac:dyDescent="0.5">
      <c r="A145" s="17">
        <v>43703.666666666664</v>
      </c>
      <c r="B145" s="19">
        <v>51.62</v>
      </c>
      <c r="C145" t="s">
        <v>38</v>
      </c>
      <c r="D145" t="str">
        <f>T_Stocks[[#This Row],[Ticker]] &amp; "-" &amp; DATE(YEAR(T_Stocks[[#This Row],[Fecha]]),MONTH(T_Stocks[[#This Row],[Fecha]]),DAY(T_Stocks[[#This Row],[Fecha]]))</f>
        <v>AAPL-43703</v>
      </c>
    </row>
    <row r="146" spans="1:4" ht="14.65" thickBot="1" x14ac:dyDescent="0.5">
      <c r="A146" s="17">
        <v>43704.666666666664</v>
      </c>
      <c r="B146" s="19">
        <v>51.04</v>
      </c>
      <c r="C146" t="s">
        <v>38</v>
      </c>
      <c r="D146" t="str">
        <f>T_Stocks[[#This Row],[Ticker]] &amp; "-" &amp; DATE(YEAR(T_Stocks[[#This Row],[Fecha]]),MONTH(T_Stocks[[#This Row],[Fecha]]),DAY(T_Stocks[[#This Row],[Fecha]]))</f>
        <v>AAPL-43704</v>
      </c>
    </row>
    <row r="147" spans="1:4" ht="14.65" thickBot="1" x14ac:dyDescent="0.5">
      <c r="A147" s="17">
        <v>43705.666666666664</v>
      </c>
      <c r="B147" s="19">
        <v>51.38</v>
      </c>
      <c r="C147" t="s">
        <v>38</v>
      </c>
      <c r="D147" t="str">
        <f>T_Stocks[[#This Row],[Ticker]] &amp; "-" &amp; DATE(YEAR(T_Stocks[[#This Row],[Fecha]]),MONTH(T_Stocks[[#This Row],[Fecha]]),DAY(T_Stocks[[#This Row],[Fecha]]))</f>
        <v>AAPL-43705</v>
      </c>
    </row>
    <row r="148" spans="1:4" ht="14.65" thickBot="1" x14ac:dyDescent="0.5">
      <c r="A148" s="17">
        <v>43706.666666666664</v>
      </c>
      <c r="B148" s="19">
        <v>52.25</v>
      </c>
      <c r="C148" t="s">
        <v>38</v>
      </c>
      <c r="D148" t="str">
        <f>T_Stocks[[#This Row],[Ticker]] &amp; "-" &amp; DATE(YEAR(T_Stocks[[#This Row],[Fecha]]),MONTH(T_Stocks[[#This Row],[Fecha]]),DAY(T_Stocks[[#This Row],[Fecha]]))</f>
        <v>AAPL-43706</v>
      </c>
    </row>
    <row r="149" spans="1:4" ht="14.65" thickBot="1" x14ac:dyDescent="0.5">
      <c r="A149" s="17">
        <v>43707.666666666664</v>
      </c>
      <c r="B149" s="19">
        <v>52.19</v>
      </c>
      <c r="C149" t="s">
        <v>38</v>
      </c>
      <c r="D149" t="str">
        <f>T_Stocks[[#This Row],[Ticker]] &amp; "-" &amp; DATE(YEAR(T_Stocks[[#This Row],[Fecha]]),MONTH(T_Stocks[[#This Row],[Fecha]]),DAY(T_Stocks[[#This Row],[Fecha]]))</f>
        <v>AAPL-43707</v>
      </c>
    </row>
    <row r="150" spans="1:4" ht="14.65" thickBot="1" x14ac:dyDescent="0.5">
      <c r="A150" s="17">
        <v>43711.666666666664</v>
      </c>
      <c r="B150" s="19">
        <v>51.43</v>
      </c>
      <c r="C150" t="s">
        <v>38</v>
      </c>
      <c r="D150" t="str">
        <f>T_Stocks[[#This Row],[Ticker]] &amp; "-" &amp; DATE(YEAR(T_Stocks[[#This Row],[Fecha]]),MONTH(T_Stocks[[#This Row],[Fecha]]),DAY(T_Stocks[[#This Row],[Fecha]]))</f>
        <v>AAPL-43711</v>
      </c>
    </row>
    <row r="151" spans="1:4" ht="14.65" thickBot="1" x14ac:dyDescent="0.5">
      <c r="A151" s="17">
        <v>43712.666666666664</v>
      </c>
      <c r="B151" s="19">
        <v>52.3</v>
      </c>
      <c r="C151" t="s">
        <v>38</v>
      </c>
      <c r="D151" t="str">
        <f>T_Stocks[[#This Row],[Ticker]] &amp; "-" &amp; DATE(YEAR(T_Stocks[[#This Row],[Fecha]]),MONTH(T_Stocks[[#This Row],[Fecha]]),DAY(T_Stocks[[#This Row],[Fecha]]))</f>
        <v>AAPL-43712</v>
      </c>
    </row>
    <row r="152" spans="1:4" ht="14.65" thickBot="1" x14ac:dyDescent="0.5">
      <c r="A152" s="17">
        <v>43713.666666666664</v>
      </c>
      <c r="B152" s="19">
        <v>53.32</v>
      </c>
      <c r="C152" t="s">
        <v>38</v>
      </c>
      <c r="D152" t="str">
        <f>T_Stocks[[#This Row],[Ticker]] &amp; "-" &amp; DATE(YEAR(T_Stocks[[#This Row],[Fecha]]),MONTH(T_Stocks[[#This Row],[Fecha]]),DAY(T_Stocks[[#This Row],[Fecha]]))</f>
        <v>AAPL-43713</v>
      </c>
    </row>
    <row r="153" spans="1:4" ht="14.65" thickBot="1" x14ac:dyDescent="0.5">
      <c r="A153" s="17">
        <v>43714.666666666664</v>
      </c>
      <c r="B153" s="19">
        <v>53.32</v>
      </c>
      <c r="C153" t="s">
        <v>38</v>
      </c>
      <c r="D153" t="str">
        <f>T_Stocks[[#This Row],[Ticker]] &amp; "-" &amp; DATE(YEAR(T_Stocks[[#This Row],[Fecha]]),MONTH(T_Stocks[[#This Row],[Fecha]]),DAY(T_Stocks[[#This Row],[Fecha]]))</f>
        <v>AAPL-43714</v>
      </c>
    </row>
    <row r="154" spans="1:4" ht="14.65" thickBot="1" x14ac:dyDescent="0.5">
      <c r="A154" s="17">
        <v>43717.666666666664</v>
      </c>
      <c r="B154" s="19">
        <v>53.54</v>
      </c>
      <c r="C154" t="s">
        <v>38</v>
      </c>
      <c r="D154" t="str">
        <f>T_Stocks[[#This Row],[Ticker]] &amp; "-" &amp; DATE(YEAR(T_Stocks[[#This Row],[Fecha]]),MONTH(T_Stocks[[#This Row],[Fecha]]),DAY(T_Stocks[[#This Row],[Fecha]]))</f>
        <v>AAPL-43717</v>
      </c>
    </row>
    <row r="155" spans="1:4" ht="14.65" thickBot="1" x14ac:dyDescent="0.5">
      <c r="A155" s="17">
        <v>43718.666666666664</v>
      </c>
      <c r="B155" s="19">
        <v>54.18</v>
      </c>
      <c r="C155" t="s">
        <v>38</v>
      </c>
      <c r="D155" t="str">
        <f>T_Stocks[[#This Row],[Ticker]] &amp; "-" &amp; DATE(YEAR(T_Stocks[[#This Row],[Fecha]]),MONTH(T_Stocks[[#This Row],[Fecha]]),DAY(T_Stocks[[#This Row],[Fecha]]))</f>
        <v>AAPL-43718</v>
      </c>
    </row>
    <row r="156" spans="1:4" ht="14.65" thickBot="1" x14ac:dyDescent="0.5">
      <c r="A156" s="17">
        <v>43719.666666666664</v>
      </c>
      <c r="B156" s="19">
        <v>55.9</v>
      </c>
      <c r="C156" t="s">
        <v>38</v>
      </c>
      <c r="D156" t="str">
        <f>T_Stocks[[#This Row],[Ticker]] &amp; "-" &amp; DATE(YEAR(T_Stocks[[#This Row],[Fecha]]),MONTH(T_Stocks[[#This Row],[Fecha]]),DAY(T_Stocks[[#This Row],[Fecha]]))</f>
        <v>AAPL-43719</v>
      </c>
    </row>
    <row r="157" spans="1:4" ht="14.65" thickBot="1" x14ac:dyDescent="0.5">
      <c r="A157" s="17">
        <v>43720.666666666664</v>
      </c>
      <c r="B157" s="19">
        <v>55.77</v>
      </c>
      <c r="C157" t="s">
        <v>38</v>
      </c>
      <c r="D157" t="str">
        <f>T_Stocks[[#This Row],[Ticker]] &amp; "-" &amp; DATE(YEAR(T_Stocks[[#This Row],[Fecha]]),MONTH(T_Stocks[[#This Row],[Fecha]]),DAY(T_Stocks[[#This Row],[Fecha]]))</f>
        <v>AAPL-43720</v>
      </c>
    </row>
    <row r="158" spans="1:4" ht="14.65" thickBot="1" x14ac:dyDescent="0.5">
      <c r="A158" s="17">
        <v>43721.666666666664</v>
      </c>
      <c r="B158" s="19">
        <v>54.69</v>
      </c>
      <c r="C158" t="s">
        <v>38</v>
      </c>
      <c r="D158" t="str">
        <f>T_Stocks[[#This Row],[Ticker]] &amp; "-" &amp; DATE(YEAR(T_Stocks[[#This Row],[Fecha]]),MONTH(T_Stocks[[#This Row],[Fecha]]),DAY(T_Stocks[[#This Row],[Fecha]]))</f>
        <v>AAPL-43721</v>
      </c>
    </row>
    <row r="159" spans="1:4" ht="14.65" thickBot="1" x14ac:dyDescent="0.5">
      <c r="A159" s="17">
        <v>43724.666666666664</v>
      </c>
      <c r="B159" s="19">
        <v>54.98</v>
      </c>
      <c r="C159" t="s">
        <v>38</v>
      </c>
      <c r="D159" t="str">
        <f>T_Stocks[[#This Row],[Ticker]] &amp; "-" &amp; DATE(YEAR(T_Stocks[[#This Row],[Fecha]]),MONTH(T_Stocks[[#This Row],[Fecha]]),DAY(T_Stocks[[#This Row],[Fecha]]))</f>
        <v>AAPL-43724</v>
      </c>
    </row>
    <row r="160" spans="1:4" ht="14.65" thickBot="1" x14ac:dyDescent="0.5">
      <c r="A160" s="17">
        <v>43725.666666666664</v>
      </c>
      <c r="B160" s="19">
        <v>55.18</v>
      </c>
      <c r="C160" t="s">
        <v>38</v>
      </c>
      <c r="D160" t="str">
        <f>T_Stocks[[#This Row],[Ticker]] &amp; "-" &amp; DATE(YEAR(T_Stocks[[#This Row],[Fecha]]),MONTH(T_Stocks[[#This Row],[Fecha]]),DAY(T_Stocks[[#This Row],[Fecha]]))</f>
        <v>AAPL-43725</v>
      </c>
    </row>
    <row r="161" spans="1:4" ht="14.65" thickBot="1" x14ac:dyDescent="0.5">
      <c r="A161" s="17">
        <v>43726.666666666664</v>
      </c>
      <c r="B161" s="19">
        <v>55.69</v>
      </c>
      <c r="C161" t="s">
        <v>38</v>
      </c>
      <c r="D161" t="str">
        <f>T_Stocks[[#This Row],[Ticker]] &amp; "-" &amp; DATE(YEAR(T_Stocks[[#This Row],[Fecha]]),MONTH(T_Stocks[[#This Row],[Fecha]]),DAY(T_Stocks[[#This Row],[Fecha]]))</f>
        <v>AAPL-43726</v>
      </c>
    </row>
    <row r="162" spans="1:4" ht="14.65" thickBot="1" x14ac:dyDescent="0.5">
      <c r="A162" s="17">
        <v>43727.666666666664</v>
      </c>
      <c r="B162" s="19">
        <v>55.24</v>
      </c>
      <c r="C162" t="s">
        <v>38</v>
      </c>
      <c r="D162" t="str">
        <f>T_Stocks[[#This Row],[Ticker]] &amp; "-" &amp; DATE(YEAR(T_Stocks[[#This Row],[Fecha]]),MONTH(T_Stocks[[#This Row],[Fecha]]),DAY(T_Stocks[[#This Row],[Fecha]]))</f>
        <v>AAPL-43727</v>
      </c>
    </row>
    <row r="163" spans="1:4" ht="14.65" thickBot="1" x14ac:dyDescent="0.5">
      <c r="A163" s="17">
        <v>43728.666666666664</v>
      </c>
      <c r="B163" s="19">
        <v>54.43</v>
      </c>
      <c r="C163" t="s">
        <v>38</v>
      </c>
      <c r="D163" t="str">
        <f>T_Stocks[[#This Row],[Ticker]] &amp; "-" &amp; DATE(YEAR(T_Stocks[[#This Row],[Fecha]]),MONTH(T_Stocks[[#This Row],[Fecha]]),DAY(T_Stocks[[#This Row],[Fecha]]))</f>
        <v>AAPL-43728</v>
      </c>
    </row>
    <row r="164" spans="1:4" ht="14.65" thickBot="1" x14ac:dyDescent="0.5">
      <c r="A164" s="17">
        <v>43731.666666666664</v>
      </c>
      <c r="B164" s="19">
        <v>54.68</v>
      </c>
      <c r="C164" t="s">
        <v>38</v>
      </c>
      <c r="D164" t="str">
        <f>T_Stocks[[#This Row],[Ticker]] &amp; "-" &amp; DATE(YEAR(T_Stocks[[#This Row],[Fecha]]),MONTH(T_Stocks[[#This Row],[Fecha]]),DAY(T_Stocks[[#This Row],[Fecha]]))</f>
        <v>AAPL-43731</v>
      </c>
    </row>
    <row r="165" spans="1:4" ht="14.65" thickBot="1" x14ac:dyDescent="0.5">
      <c r="A165" s="17">
        <v>43732.666666666664</v>
      </c>
      <c r="B165" s="19">
        <v>54.42</v>
      </c>
      <c r="C165" t="s">
        <v>38</v>
      </c>
      <c r="D165" t="str">
        <f>T_Stocks[[#This Row],[Ticker]] &amp; "-" &amp; DATE(YEAR(T_Stocks[[#This Row],[Fecha]]),MONTH(T_Stocks[[#This Row],[Fecha]]),DAY(T_Stocks[[#This Row],[Fecha]]))</f>
        <v>AAPL-43732</v>
      </c>
    </row>
    <row r="166" spans="1:4" ht="14.65" thickBot="1" x14ac:dyDescent="0.5">
      <c r="A166" s="17">
        <v>43733.666666666664</v>
      </c>
      <c r="B166" s="19">
        <v>55.26</v>
      </c>
      <c r="C166" t="s">
        <v>38</v>
      </c>
      <c r="D166" t="str">
        <f>T_Stocks[[#This Row],[Ticker]] &amp; "-" &amp; DATE(YEAR(T_Stocks[[#This Row],[Fecha]]),MONTH(T_Stocks[[#This Row],[Fecha]]),DAY(T_Stocks[[#This Row],[Fecha]]))</f>
        <v>AAPL-43733</v>
      </c>
    </row>
    <row r="167" spans="1:4" ht="14.65" thickBot="1" x14ac:dyDescent="0.5">
      <c r="A167" s="17">
        <v>43734.666666666664</v>
      </c>
      <c r="B167" s="19">
        <v>54.97</v>
      </c>
      <c r="C167" t="s">
        <v>38</v>
      </c>
      <c r="D167" t="str">
        <f>T_Stocks[[#This Row],[Ticker]] &amp; "-" &amp; DATE(YEAR(T_Stocks[[#This Row],[Fecha]]),MONTH(T_Stocks[[#This Row],[Fecha]]),DAY(T_Stocks[[#This Row],[Fecha]]))</f>
        <v>AAPL-43734</v>
      </c>
    </row>
    <row r="168" spans="1:4" ht="14.65" thickBot="1" x14ac:dyDescent="0.5">
      <c r="A168" s="17">
        <v>43735.666666666664</v>
      </c>
      <c r="B168" s="19">
        <v>54.71</v>
      </c>
      <c r="C168" t="s">
        <v>38</v>
      </c>
      <c r="D168" t="str">
        <f>T_Stocks[[#This Row],[Ticker]] &amp; "-" &amp; DATE(YEAR(T_Stocks[[#This Row],[Fecha]]),MONTH(T_Stocks[[#This Row],[Fecha]]),DAY(T_Stocks[[#This Row],[Fecha]]))</f>
        <v>AAPL-43735</v>
      </c>
    </row>
    <row r="169" spans="1:4" ht="14.65" thickBot="1" x14ac:dyDescent="0.5">
      <c r="A169" s="17">
        <v>43738.666666666664</v>
      </c>
      <c r="B169" s="19">
        <v>55.99</v>
      </c>
      <c r="C169" t="s">
        <v>38</v>
      </c>
      <c r="D169" t="str">
        <f>T_Stocks[[#This Row],[Ticker]] &amp; "-" &amp; DATE(YEAR(T_Stocks[[#This Row],[Fecha]]),MONTH(T_Stocks[[#This Row],[Fecha]]),DAY(T_Stocks[[#This Row],[Fecha]]))</f>
        <v>AAPL-43738</v>
      </c>
    </row>
    <row r="170" spans="1:4" ht="14.65" thickBot="1" x14ac:dyDescent="0.5">
      <c r="A170" s="17">
        <v>43739.666666666664</v>
      </c>
      <c r="B170" s="19">
        <v>56.15</v>
      </c>
      <c r="C170" t="s">
        <v>38</v>
      </c>
      <c r="D170" t="str">
        <f>T_Stocks[[#This Row],[Ticker]] &amp; "-" &amp; DATE(YEAR(T_Stocks[[#This Row],[Fecha]]),MONTH(T_Stocks[[#This Row],[Fecha]]),DAY(T_Stocks[[#This Row],[Fecha]]))</f>
        <v>AAPL-43739</v>
      </c>
    </row>
    <row r="171" spans="1:4" ht="14.65" thickBot="1" x14ac:dyDescent="0.5">
      <c r="A171" s="17">
        <v>43740.666666666664</v>
      </c>
      <c r="B171" s="19">
        <v>54.74</v>
      </c>
      <c r="C171" t="s">
        <v>38</v>
      </c>
      <c r="D171" t="str">
        <f>T_Stocks[[#This Row],[Ticker]] &amp; "-" &amp; DATE(YEAR(T_Stocks[[#This Row],[Fecha]]),MONTH(T_Stocks[[#This Row],[Fecha]]),DAY(T_Stocks[[#This Row],[Fecha]]))</f>
        <v>AAPL-43740</v>
      </c>
    </row>
    <row r="172" spans="1:4" ht="14.65" thickBot="1" x14ac:dyDescent="0.5">
      <c r="A172" s="17">
        <v>43741.666666666664</v>
      </c>
      <c r="B172" s="19">
        <v>55.21</v>
      </c>
      <c r="C172" t="s">
        <v>38</v>
      </c>
      <c r="D172" t="str">
        <f>T_Stocks[[#This Row],[Ticker]] &amp; "-" &amp; DATE(YEAR(T_Stocks[[#This Row],[Fecha]]),MONTH(T_Stocks[[#This Row],[Fecha]]),DAY(T_Stocks[[#This Row],[Fecha]]))</f>
        <v>AAPL-43741</v>
      </c>
    </row>
    <row r="173" spans="1:4" ht="14.65" thickBot="1" x14ac:dyDescent="0.5">
      <c r="A173" s="17">
        <v>43742.666666666664</v>
      </c>
      <c r="B173" s="19">
        <v>56.75</v>
      </c>
      <c r="C173" t="s">
        <v>38</v>
      </c>
      <c r="D173" t="str">
        <f>T_Stocks[[#This Row],[Ticker]] &amp; "-" &amp; DATE(YEAR(T_Stocks[[#This Row],[Fecha]]),MONTH(T_Stocks[[#This Row],[Fecha]]),DAY(T_Stocks[[#This Row],[Fecha]]))</f>
        <v>AAPL-43742</v>
      </c>
    </row>
    <row r="174" spans="1:4" ht="14.65" thickBot="1" x14ac:dyDescent="0.5">
      <c r="A174" s="17">
        <v>43745.666666666664</v>
      </c>
      <c r="B174" s="19">
        <v>56.77</v>
      </c>
      <c r="C174" t="s">
        <v>38</v>
      </c>
      <c r="D174" t="str">
        <f>T_Stocks[[#This Row],[Ticker]] &amp; "-" &amp; DATE(YEAR(T_Stocks[[#This Row],[Fecha]]),MONTH(T_Stocks[[#This Row],[Fecha]]),DAY(T_Stocks[[#This Row],[Fecha]]))</f>
        <v>AAPL-43745</v>
      </c>
    </row>
    <row r="175" spans="1:4" ht="14.65" thickBot="1" x14ac:dyDescent="0.5">
      <c r="A175" s="17">
        <v>43746.666666666664</v>
      </c>
      <c r="B175" s="19">
        <v>56.1</v>
      </c>
      <c r="C175" t="s">
        <v>38</v>
      </c>
      <c r="D175" t="str">
        <f>T_Stocks[[#This Row],[Ticker]] &amp; "-" &amp; DATE(YEAR(T_Stocks[[#This Row],[Fecha]]),MONTH(T_Stocks[[#This Row],[Fecha]]),DAY(T_Stocks[[#This Row],[Fecha]]))</f>
        <v>AAPL-43746</v>
      </c>
    </row>
    <row r="176" spans="1:4" ht="14.65" thickBot="1" x14ac:dyDescent="0.5">
      <c r="A176" s="17">
        <v>43747.666666666664</v>
      </c>
      <c r="B176" s="19">
        <v>56.76</v>
      </c>
      <c r="C176" t="s">
        <v>38</v>
      </c>
      <c r="D176" t="str">
        <f>T_Stocks[[#This Row],[Ticker]] &amp; "-" &amp; DATE(YEAR(T_Stocks[[#This Row],[Fecha]]),MONTH(T_Stocks[[#This Row],[Fecha]]),DAY(T_Stocks[[#This Row],[Fecha]]))</f>
        <v>AAPL-43747</v>
      </c>
    </row>
    <row r="177" spans="1:4" ht="14.65" thickBot="1" x14ac:dyDescent="0.5">
      <c r="A177" s="17">
        <v>43748.666666666664</v>
      </c>
      <c r="B177" s="19">
        <v>57.52</v>
      </c>
      <c r="C177" t="s">
        <v>38</v>
      </c>
      <c r="D177" t="str">
        <f>T_Stocks[[#This Row],[Ticker]] &amp; "-" &amp; DATE(YEAR(T_Stocks[[#This Row],[Fecha]]),MONTH(T_Stocks[[#This Row],[Fecha]]),DAY(T_Stocks[[#This Row],[Fecha]]))</f>
        <v>AAPL-43748</v>
      </c>
    </row>
    <row r="178" spans="1:4" ht="14.65" thickBot="1" x14ac:dyDescent="0.5">
      <c r="A178" s="17">
        <v>43749.666666666664</v>
      </c>
      <c r="B178" s="19">
        <v>59.05</v>
      </c>
      <c r="C178" t="s">
        <v>38</v>
      </c>
      <c r="D178" t="str">
        <f>T_Stocks[[#This Row],[Ticker]] &amp; "-" &amp; DATE(YEAR(T_Stocks[[#This Row],[Fecha]]),MONTH(T_Stocks[[#This Row],[Fecha]]),DAY(T_Stocks[[#This Row],[Fecha]]))</f>
        <v>AAPL-43749</v>
      </c>
    </row>
    <row r="179" spans="1:4" ht="14.65" thickBot="1" x14ac:dyDescent="0.5">
      <c r="A179" s="17">
        <v>43752.666666666664</v>
      </c>
      <c r="B179" s="19">
        <v>58.97</v>
      </c>
      <c r="C179" t="s">
        <v>38</v>
      </c>
      <c r="D179" t="str">
        <f>T_Stocks[[#This Row],[Ticker]] &amp; "-" &amp; DATE(YEAR(T_Stocks[[#This Row],[Fecha]]),MONTH(T_Stocks[[#This Row],[Fecha]]),DAY(T_Stocks[[#This Row],[Fecha]]))</f>
        <v>AAPL-43752</v>
      </c>
    </row>
    <row r="180" spans="1:4" ht="14.65" thickBot="1" x14ac:dyDescent="0.5">
      <c r="A180" s="17">
        <v>43753.666666666664</v>
      </c>
      <c r="B180" s="19">
        <v>58.83</v>
      </c>
      <c r="C180" t="s">
        <v>38</v>
      </c>
      <c r="D180" t="str">
        <f>T_Stocks[[#This Row],[Ticker]] &amp; "-" &amp; DATE(YEAR(T_Stocks[[#This Row],[Fecha]]),MONTH(T_Stocks[[#This Row],[Fecha]]),DAY(T_Stocks[[#This Row],[Fecha]]))</f>
        <v>AAPL-43753</v>
      </c>
    </row>
    <row r="181" spans="1:4" ht="14.65" thickBot="1" x14ac:dyDescent="0.5">
      <c r="A181" s="17">
        <v>43754.666666666664</v>
      </c>
      <c r="B181" s="19">
        <v>58.59</v>
      </c>
      <c r="C181" t="s">
        <v>38</v>
      </c>
      <c r="D181" t="str">
        <f>T_Stocks[[#This Row],[Ticker]] &amp; "-" &amp; DATE(YEAR(T_Stocks[[#This Row],[Fecha]]),MONTH(T_Stocks[[#This Row],[Fecha]]),DAY(T_Stocks[[#This Row],[Fecha]]))</f>
        <v>AAPL-43754</v>
      </c>
    </row>
    <row r="182" spans="1:4" ht="14.65" thickBot="1" x14ac:dyDescent="0.5">
      <c r="A182" s="17">
        <v>43755.666666666664</v>
      </c>
      <c r="B182" s="19">
        <v>58.82</v>
      </c>
      <c r="C182" t="s">
        <v>38</v>
      </c>
      <c r="D182" t="str">
        <f>T_Stocks[[#This Row],[Ticker]] &amp; "-" &amp; DATE(YEAR(T_Stocks[[#This Row],[Fecha]]),MONTH(T_Stocks[[#This Row],[Fecha]]),DAY(T_Stocks[[#This Row],[Fecha]]))</f>
        <v>AAPL-43755</v>
      </c>
    </row>
    <row r="183" spans="1:4" ht="14.65" thickBot="1" x14ac:dyDescent="0.5">
      <c r="A183" s="17">
        <v>43756.666666666664</v>
      </c>
      <c r="B183" s="19">
        <v>59.1</v>
      </c>
      <c r="C183" t="s">
        <v>38</v>
      </c>
      <c r="D183" t="str">
        <f>T_Stocks[[#This Row],[Ticker]] &amp; "-" &amp; DATE(YEAR(T_Stocks[[#This Row],[Fecha]]),MONTH(T_Stocks[[#This Row],[Fecha]]),DAY(T_Stocks[[#This Row],[Fecha]]))</f>
        <v>AAPL-43756</v>
      </c>
    </row>
    <row r="184" spans="1:4" ht="14.65" thickBot="1" x14ac:dyDescent="0.5">
      <c r="A184" s="17">
        <v>43759.666666666664</v>
      </c>
      <c r="B184" s="19">
        <v>60.13</v>
      </c>
      <c r="C184" t="s">
        <v>38</v>
      </c>
      <c r="D184" t="str">
        <f>T_Stocks[[#This Row],[Ticker]] &amp; "-" &amp; DATE(YEAR(T_Stocks[[#This Row],[Fecha]]),MONTH(T_Stocks[[#This Row],[Fecha]]),DAY(T_Stocks[[#This Row],[Fecha]]))</f>
        <v>AAPL-43759</v>
      </c>
    </row>
    <row r="185" spans="1:4" ht="14.65" thickBot="1" x14ac:dyDescent="0.5">
      <c r="A185" s="17">
        <v>43760.666666666664</v>
      </c>
      <c r="B185" s="19">
        <v>59.99</v>
      </c>
      <c r="C185" t="s">
        <v>38</v>
      </c>
      <c r="D185" t="str">
        <f>T_Stocks[[#This Row],[Ticker]] &amp; "-" &amp; DATE(YEAR(T_Stocks[[#This Row],[Fecha]]),MONTH(T_Stocks[[#This Row],[Fecha]]),DAY(T_Stocks[[#This Row],[Fecha]]))</f>
        <v>AAPL-43760</v>
      </c>
    </row>
    <row r="186" spans="1:4" ht="14.65" thickBot="1" x14ac:dyDescent="0.5">
      <c r="A186" s="17">
        <v>43761.666666666664</v>
      </c>
      <c r="B186" s="19">
        <v>60.8</v>
      </c>
      <c r="C186" t="s">
        <v>38</v>
      </c>
      <c r="D186" t="str">
        <f>T_Stocks[[#This Row],[Ticker]] &amp; "-" &amp; DATE(YEAR(T_Stocks[[#This Row],[Fecha]]),MONTH(T_Stocks[[#This Row],[Fecha]]),DAY(T_Stocks[[#This Row],[Fecha]]))</f>
        <v>AAPL-43761</v>
      </c>
    </row>
    <row r="187" spans="1:4" ht="14.65" thickBot="1" x14ac:dyDescent="0.5">
      <c r="A187" s="17">
        <v>43762.666666666664</v>
      </c>
      <c r="B187" s="19">
        <v>60.9</v>
      </c>
      <c r="C187" t="s">
        <v>38</v>
      </c>
      <c r="D187" t="str">
        <f>T_Stocks[[#This Row],[Ticker]] &amp; "-" &amp; DATE(YEAR(T_Stocks[[#This Row],[Fecha]]),MONTH(T_Stocks[[#This Row],[Fecha]]),DAY(T_Stocks[[#This Row],[Fecha]]))</f>
        <v>AAPL-43762</v>
      </c>
    </row>
    <row r="188" spans="1:4" ht="14.65" thickBot="1" x14ac:dyDescent="0.5">
      <c r="A188" s="17">
        <v>43763.666666666664</v>
      </c>
      <c r="B188" s="19">
        <v>61.65</v>
      </c>
      <c r="C188" t="s">
        <v>38</v>
      </c>
      <c r="D188" t="str">
        <f>T_Stocks[[#This Row],[Ticker]] &amp; "-" &amp; DATE(YEAR(T_Stocks[[#This Row],[Fecha]]),MONTH(T_Stocks[[#This Row],[Fecha]]),DAY(T_Stocks[[#This Row],[Fecha]]))</f>
        <v>AAPL-43763</v>
      </c>
    </row>
    <row r="189" spans="1:4" ht="14.65" thickBot="1" x14ac:dyDescent="0.5">
      <c r="A189" s="17">
        <v>43766.666666666664</v>
      </c>
      <c r="B189" s="19">
        <v>62.26</v>
      </c>
      <c r="C189" t="s">
        <v>38</v>
      </c>
      <c r="D189" t="str">
        <f>T_Stocks[[#This Row],[Ticker]] &amp; "-" &amp; DATE(YEAR(T_Stocks[[#This Row],[Fecha]]),MONTH(T_Stocks[[#This Row],[Fecha]]),DAY(T_Stocks[[#This Row],[Fecha]]))</f>
        <v>AAPL-43766</v>
      </c>
    </row>
    <row r="190" spans="1:4" ht="14.65" thickBot="1" x14ac:dyDescent="0.5">
      <c r="A190" s="17">
        <v>43767.666666666664</v>
      </c>
      <c r="B190" s="19">
        <v>60.82</v>
      </c>
      <c r="C190" t="s">
        <v>38</v>
      </c>
      <c r="D190" t="str">
        <f>T_Stocks[[#This Row],[Ticker]] &amp; "-" &amp; DATE(YEAR(T_Stocks[[#This Row],[Fecha]]),MONTH(T_Stocks[[#This Row],[Fecha]]),DAY(T_Stocks[[#This Row],[Fecha]]))</f>
        <v>AAPL-43767</v>
      </c>
    </row>
    <row r="191" spans="1:4" ht="14.65" thickBot="1" x14ac:dyDescent="0.5">
      <c r="A191" s="17">
        <v>43768.666666666664</v>
      </c>
      <c r="B191" s="19">
        <v>60.82</v>
      </c>
      <c r="C191" t="s">
        <v>38</v>
      </c>
      <c r="D191" t="str">
        <f>T_Stocks[[#This Row],[Ticker]] &amp; "-" &amp; DATE(YEAR(T_Stocks[[#This Row],[Fecha]]),MONTH(T_Stocks[[#This Row],[Fecha]]),DAY(T_Stocks[[#This Row],[Fecha]]))</f>
        <v>AAPL-43768</v>
      </c>
    </row>
    <row r="192" spans="1:4" ht="14.65" thickBot="1" x14ac:dyDescent="0.5">
      <c r="A192" s="17">
        <v>43769.666666666664</v>
      </c>
      <c r="B192" s="19">
        <v>62.19</v>
      </c>
      <c r="C192" t="s">
        <v>38</v>
      </c>
      <c r="D192" t="str">
        <f>T_Stocks[[#This Row],[Ticker]] &amp; "-" &amp; DATE(YEAR(T_Stocks[[#This Row],[Fecha]]),MONTH(T_Stocks[[#This Row],[Fecha]]),DAY(T_Stocks[[#This Row],[Fecha]]))</f>
        <v>AAPL-43769</v>
      </c>
    </row>
    <row r="193" spans="1:4" ht="14.65" thickBot="1" x14ac:dyDescent="0.5">
      <c r="A193" s="17">
        <v>43770.666666666664</v>
      </c>
      <c r="B193" s="19">
        <v>63.96</v>
      </c>
      <c r="C193" t="s">
        <v>38</v>
      </c>
      <c r="D193" t="str">
        <f>T_Stocks[[#This Row],[Ticker]] &amp; "-" &amp; DATE(YEAR(T_Stocks[[#This Row],[Fecha]]),MONTH(T_Stocks[[#This Row],[Fecha]]),DAY(T_Stocks[[#This Row],[Fecha]]))</f>
        <v>AAPL-43770</v>
      </c>
    </row>
    <row r="194" spans="1:4" ht="14.65" thickBot="1" x14ac:dyDescent="0.5">
      <c r="A194" s="17">
        <v>43773.666666666664</v>
      </c>
      <c r="B194" s="19">
        <v>64.38</v>
      </c>
      <c r="C194" t="s">
        <v>38</v>
      </c>
      <c r="D194" t="str">
        <f>T_Stocks[[#This Row],[Ticker]] &amp; "-" &amp; DATE(YEAR(T_Stocks[[#This Row],[Fecha]]),MONTH(T_Stocks[[#This Row],[Fecha]]),DAY(T_Stocks[[#This Row],[Fecha]]))</f>
        <v>AAPL-43773</v>
      </c>
    </row>
    <row r="195" spans="1:4" ht="14.65" thickBot="1" x14ac:dyDescent="0.5">
      <c r="A195" s="17">
        <v>43774.666666666664</v>
      </c>
      <c r="B195" s="19">
        <v>64.28</v>
      </c>
      <c r="C195" t="s">
        <v>38</v>
      </c>
      <c r="D195" t="str">
        <f>T_Stocks[[#This Row],[Ticker]] &amp; "-" &amp; DATE(YEAR(T_Stocks[[#This Row],[Fecha]]),MONTH(T_Stocks[[#This Row],[Fecha]]),DAY(T_Stocks[[#This Row],[Fecha]]))</f>
        <v>AAPL-43774</v>
      </c>
    </row>
    <row r="196" spans="1:4" ht="14.65" thickBot="1" x14ac:dyDescent="0.5">
      <c r="A196" s="17">
        <v>43775.666666666664</v>
      </c>
      <c r="B196" s="19">
        <v>64.31</v>
      </c>
      <c r="C196" t="s">
        <v>38</v>
      </c>
      <c r="D196" t="str">
        <f>T_Stocks[[#This Row],[Ticker]] &amp; "-" &amp; DATE(YEAR(T_Stocks[[#This Row],[Fecha]]),MONTH(T_Stocks[[#This Row],[Fecha]]),DAY(T_Stocks[[#This Row],[Fecha]]))</f>
        <v>AAPL-43775</v>
      </c>
    </row>
    <row r="197" spans="1:4" ht="14.65" thickBot="1" x14ac:dyDescent="0.5">
      <c r="A197" s="17">
        <v>43776.666666666664</v>
      </c>
      <c r="B197" s="19">
        <v>64.86</v>
      </c>
      <c r="C197" t="s">
        <v>38</v>
      </c>
      <c r="D197" t="str">
        <f>T_Stocks[[#This Row],[Ticker]] &amp; "-" &amp; DATE(YEAR(T_Stocks[[#This Row],[Fecha]]),MONTH(T_Stocks[[#This Row],[Fecha]]),DAY(T_Stocks[[#This Row],[Fecha]]))</f>
        <v>AAPL-43776</v>
      </c>
    </row>
    <row r="198" spans="1:4" ht="14.65" thickBot="1" x14ac:dyDescent="0.5">
      <c r="A198" s="17">
        <v>43777.666666666664</v>
      </c>
      <c r="B198" s="19">
        <v>65.040000000000006</v>
      </c>
      <c r="C198" t="s">
        <v>38</v>
      </c>
      <c r="D198" t="str">
        <f>T_Stocks[[#This Row],[Ticker]] &amp; "-" &amp; DATE(YEAR(T_Stocks[[#This Row],[Fecha]]),MONTH(T_Stocks[[#This Row],[Fecha]]),DAY(T_Stocks[[#This Row],[Fecha]]))</f>
        <v>AAPL-43777</v>
      </c>
    </row>
    <row r="199" spans="1:4" ht="14.65" thickBot="1" x14ac:dyDescent="0.5">
      <c r="A199" s="17">
        <v>43780.666666666664</v>
      </c>
      <c r="B199" s="19">
        <v>65.55</v>
      </c>
      <c r="C199" t="s">
        <v>38</v>
      </c>
      <c r="D199" t="str">
        <f>T_Stocks[[#This Row],[Ticker]] &amp; "-" &amp; DATE(YEAR(T_Stocks[[#This Row],[Fecha]]),MONTH(T_Stocks[[#This Row],[Fecha]]),DAY(T_Stocks[[#This Row],[Fecha]]))</f>
        <v>AAPL-43780</v>
      </c>
    </row>
    <row r="200" spans="1:4" ht="14.65" thickBot="1" x14ac:dyDescent="0.5">
      <c r="A200" s="17">
        <v>43781.666666666664</v>
      </c>
      <c r="B200" s="19">
        <v>65.489999999999995</v>
      </c>
      <c r="C200" t="s">
        <v>38</v>
      </c>
      <c r="D200" t="str">
        <f>T_Stocks[[#This Row],[Ticker]] &amp; "-" &amp; DATE(YEAR(T_Stocks[[#This Row],[Fecha]]),MONTH(T_Stocks[[#This Row],[Fecha]]),DAY(T_Stocks[[#This Row],[Fecha]]))</f>
        <v>AAPL-43781</v>
      </c>
    </row>
    <row r="201" spans="1:4" ht="14.65" thickBot="1" x14ac:dyDescent="0.5">
      <c r="A201" s="17">
        <v>43782.666666666664</v>
      </c>
      <c r="B201" s="19">
        <v>66.12</v>
      </c>
      <c r="C201" t="s">
        <v>38</v>
      </c>
      <c r="D201" t="str">
        <f>T_Stocks[[#This Row],[Ticker]] &amp; "-" &amp; DATE(YEAR(T_Stocks[[#This Row],[Fecha]]),MONTH(T_Stocks[[#This Row],[Fecha]]),DAY(T_Stocks[[#This Row],[Fecha]]))</f>
        <v>AAPL-43782</v>
      </c>
    </row>
    <row r="202" spans="1:4" ht="14.65" thickBot="1" x14ac:dyDescent="0.5">
      <c r="A202" s="17">
        <v>43783.666666666664</v>
      </c>
      <c r="B202" s="19">
        <v>65.66</v>
      </c>
      <c r="C202" t="s">
        <v>38</v>
      </c>
      <c r="D202" t="str">
        <f>T_Stocks[[#This Row],[Ticker]] &amp; "-" &amp; DATE(YEAR(T_Stocks[[#This Row],[Fecha]]),MONTH(T_Stocks[[#This Row],[Fecha]]),DAY(T_Stocks[[#This Row],[Fecha]]))</f>
        <v>AAPL-43783</v>
      </c>
    </row>
    <row r="203" spans="1:4" ht="14.65" thickBot="1" x14ac:dyDescent="0.5">
      <c r="A203" s="17">
        <v>43784.666666666664</v>
      </c>
      <c r="B203" s="19">
        <v>66.44</v>
      </c>
      <c r="C203" t="s">
        <v>38</v>
      </c>
      <c r="D203" t="str">
        <f>T_Stocks[[#This Row],[Ticker]] &amp; "-" &amp; DATE(YEAR(T_Stocks[[#This Row],[Fecha]]),MONTH(T_Stocks[[#This Row],[Fecha]]),DAY(T_Stocks[[#This Row],[Fecha]]))</f>
        <v>AAPL-43784</v>
      </c>
    </row>
    <row r="204" spans="1:4" ht="14.65" thickBot="1" x14ac:dyDescent="0.5">
      <c r="A204" s="17">
        <v>43787.666666666664</v>
      </c>
      <c r="B204" s="19">
        <v>66.78</v>
      </c>
      <c r="C204" t="s">
        <v>38</v>
      </c>
      <c r="D204" t="str">
        <f>T_Stocks[[#This Row],[Ticker]] &amp; "-" &amp; DATE(YEAR(T_Stocks[[#This Row],[Fecha]]),MONTH(T_Stocks[[#This Row],[Fecha]]),DAY(T_Stocks[[#This Row],[Fecha]]))</f>
        <v>AAPL-43787</v>
      </c>
    </row>
    <row r="205" spans="1:4" ht="14.65" thickBot="1" x14ac:dyDescent="0.5">
      <c r="A205" s="17">
        <v>43788.666666666664</v>
      </c>
      <c r="B205" s="19">
        <v>66.569999999999993</v>
      </c>
      <c r="C205" t="s">
        <v>38</v>
      </c>
      <c r="D205" t="str">
        <f>T_Stocks[[#This Row],[Ticker]] &amp; "-" &amp; DATE(YEAR(T_Stocks[[#This Row],[Fecha]]),MONTH(T_Stocks[[#This Row],[Fecha]]),DAY(T_Stocks[[#This Row],[Fecha]]))</f>
        <v>AAPL-43788</v>
      </c>
    </row>
    <row r="206" spans="1:4" ht="14.65" thickBot="1" x14ac:dyDescent="0.5">
      <c r="A206" s="17">
        <v>43789.666666666664</v>
      </c>
      <c r="B206" s="19">
        <v>65.8</v>
      </c>
      <c r="C206" t="s">
        <v>38</v>
      </c>
      <c r="D206" t="str">
        <f>T_Stocks[[#This Row],[Ticker]] &amp; "-" &amp; DATE(YEAR(T_Stocks[[#This Row],[Fecha]]),MONTH(T_Stocks[[#This Row],[Fecha]]),DAY(T_Stocks[[#This Row],[Fecha]]))</f>
        <v>AAPL-43789</v>
      </c>
    </row>
    <row r="207" spans="1:4" ht="14.65" thickBot="1" x14ac:dyDescent="0.5">
      <c r="A207" s="17">
        <v>43790.666666666664</v>
      </c>
      <c r="B207" s="19">
        <v>65.5</v>
      </c>
      <c r="C207" t="s">
        <v>38</v>
      </c>
      <c r="D207" t="str">
        <f>T_Stocks[[#This Row],[Ticker]] &amp; "-" &amp; DATE(YEAR(T_Stocks[[#This Row],[Fecha]]),MONTH(T_Stocks[[#This Row],[Fecha]]),DAY(T_Stocks[[#This Row],[Fecha]]))</f>
        <v>AAPL-43790</v>
      </c>
    </row>
    <row r="208" spans="1:4" ht="14.65" thickBot="1" x14ac:dyDescent="0.5">
      <c r="A208" s="17">
        <v>43791.666666666664</v>
      </c>
      <c r="B208" s="19">
        <v>65.44</v>
      </c>
      <c r="C208" t="s">
        <v>38</v>
      </c>
      <c r="D208" t="str">
        <f>T_Stocks[[#This Row],[Ticker]] &amp; "-" &amp; DATE(YEAR(T_Stocks[[#This Row],[Fecha]]),MONTH(T_Stocks[[#This Row],[Fecha]]),DAY(T_Stocks[[#This Row],[Fecha]]))</f>
        <v>AAPL-43791</v>
      </c>
    </row>
    <row r="209" spans="1:4" ht="14.65" thickBot="1" x14ac:dyDescent="0.5">
      <c r="A209" s="17">
        <v>43794.666666666664</v>
      </c>
      <c r="B209" s="19">
        <v>66.59</v>
      </c>
      <c r="C209" t="s">
        <v>38</v>
      </c>
      <c r="D209" t="str">
        <f>T_Stocks[[#This Row],[Ticker]] &amp; "-" &amp; DATE(YEAR(T_Stocks[[#This Row],[Fecha]]),MONTH(T_Stocks[[#This Row],[Fecha]]),DAY(T_Stocks[[#This Row],[Fecha]]))</f>
        <v>AAPL-43794</v>
      </c>
    </row>
    <row r="210" spans="1:4" ht="14.65" thickBot="1" x14ac:dyDescent="0.5">
      <c r="A210" s="17">
        <v>43795.666666666664</v>
      </c>
      <c r="B210" s="19">
        <v>66.069999999999993</v>
      </c>
      <c r="C210" t="s">
        <v>38</v>
      </c>
      <c r="D210" t="str">
        <f>T_Stocks[[#This Row],[Ticker]] &amp; "-" &amp; DATE(YEAR(T_Stocks[[#This Row],[Fecha]]),MONTH(T_Stocks[[#This Row],[Fecha]]),DAY(T_Stocks[[#This Row],[Fecha]]))</f>
        <v>AAPL-43795</v>
      </c>
    </row>
    <row r="211" spans="1:4" ht="14.65" thickBot="1" x14ac:dyDescent="0.5">
      <c r="A211" s="17">
        <v>43796.666666666664</v>
      </c>
      <c r="B211" s="19">
        <v>66.959999999999994</v>
      </c>
      <c r="C211" t="s">
        <v>38</v>
      </c>
      <c r="D211" t="str">
        <f>T_Stocks[[#This Row],[Ticker]] &amp; "-" &amp; DATE(YEAR(T_Stocks[[#This Row],[Fecha]]),MONTH(T_Stocks[[#This Row],[Fecha]]),DAY(T_Stocks[[#This Row],[Fecha]]))</f>
        <v>AAPL-43796</v>
      </c>
    </row>
    <row r="212" spans="1:4" ht="14.65" thickBot="1" x14ac:dyDescent="0.5">
      <c r="A212" s="17">
        <v>43798.541666666664</v>
      </c>
      <c r="B212" s="19">
        <v>66.81</v>
      </c>
      <c r="C212" t="s">
        <v>38</v>
      </c>
      <c r="D212" t="str">
        <f>T_Stocks[[#This Row],[Ticker]] &amp; "-" &amp; DATE(YEAR(T_Stocks[[#This Row],[Fecha]]),MONTH(T_Stocks[[#This Row],[Fecha]]),DAY(T_Stocks[[#This Row],[Fecha]]))</f>
        <v>AAPL-43798</v>
      </c>
    </row>
    <row r="213" spans="1:4" ht="14.65" thickBot="1" x14ac:dyDescent="0.5">
      <c r="A213" s="17">
        <v>43801.666666666664</v>
      </c>
      <c r="B213" s="19">
        <v>66.040000000000006</v>
      </c>
      <c r="C213" t="s">
        <v>38</v>
      </c>
      <c r="D213" t="str">
        <f>T_Stocks[[#This Row],[Ticker]] &amp; "-" &amp; DATE(YEAR(T_Stocks[[#This Row],[Fecha]]),MONTH(T_Stocks[[#This Row],[Fecha]]),DAY(T_Stocks[[#This Row],[Fecha]]))</f>
        <v>AAPL-43801</v>
      </c>
    </row>
    <row r="214" spans="1:4" ht="14.65" thickBot="1" x14ac:dyDescent="0.5">
      <c r="A214" s="17">
        <v>43802.666666666664</v>
      </c>
      <c r="B214" s="19">
        <v>64.86</v>
      </c>
      <c r="C214" t="s">
        <v>38</v>
      </c>
      <c r="D214" t="str">
        <f>T_Stocks[[#This Row],[Ticker]] &amp; "-" &amp; DATE(YEAR(T_Stocks[[#This Row],[Fecha]]),MONTH(T_Stocks[[#This Row],[Fecha]]),DAY(T_Stocks[[#This Row],[Fecha]]))</f>
        <v>AAPL-43802</v>
      </c>
    </row>
    <row r="215" spans="1:4" ht="14.65" thickBot="1" x14ac:dyDescent="0.5">
      <c r="A215" s="17">
        <v>43803.666666666664</v>
      </c>
      <c r="B215" s="19">
        <v>65.44</v>
      </c>
      <c r="C215" t="s">
        <v>38</v>
      </c>
      <c r="D215" t="str">
        <f>T_Stocks[[#This Row],[Ticker]] &amp; "-" &amp; DATE(YEAR(T_Stocks[[#This Row],[Fecha]]),MONTH(T_Stocks[[#This Row],[Fecha]]),DAY(T_Stocks[[#This Row],[Fecha]]))</f>
        <v>AAPL-43803</v>
      </c>
    </row>
    <row r="216" spans="1:4" ht="14.65" thickBot="1" x14ac:dyDescent="0.5">
      <c r="A216" s="17">
        <v>43804.666666666664</v>
      </c>
      <c r="B216" s="19">
        <v>66.400000000000006</v>
      </c>
      <c r="C216" t="s">
        <v>38</v>
      </c>
      <c r="D216" t="str">
        <f>T_Stocks[[#This Row],[Ticker]] &amp; "-" &amp; DATE(YEAR(T_Stocks[[#This Row],[Fecha]]),MONTH(T_Stocks[[#This Row],[Fecha]]),DAY(T_Stocks[[#This Row],[Fecha]]))</f>
        <v>AAPL-43804</v>
      </c>
    </row>
    <row r="217" spans="1:4" ht="14.65" thickBot="1" x14ac:dyDescent="0.5">
      <c r="A217" s="17">
        <v>43805.666666666664</v>
      </c>
      <c r="B217" s="19">
        <v>67.680000000000007</v>
      </c>
      <c r="C217" t="s">
        <v>38</v>
      </c>
      <c r="D217" t="str">
        <f>T_Stocks[[#This Row],[Ticker]] &amp; "-" &amp; DATE(YEAR(T_Stocks[[#This Row],[Fecha]]),MONTH(T_Stocks[[#This Row],[Fecha]]),DAY(T_Stocks[[#This Row],[Fecha]]))</f>
        <v>AAPL-43805</v>
      </c>
    </row>
    <row r="218" spans="1:4" ht="14.65" thickBot="1" x14ac:dyDescent="0.5">
      <c r="A218" s="17">
        <v>43808.666666666664</v>
      </c>
      <c r="B218" s="19">
        <v>66.73</v>
      </c>
      <c r="C218" t="s">
        <v>38</v>
      </c>
      <c r="D218" t="str">
        <f>T_Stocks[[#This Row],[Ticker]] &amp; "-" &amp; DATE(YEAR(T_Stocks[[#This Row],[Fecha]]),MONTH(T_Stocks[[#This Row],[Fecha]]),DAY(T_Stocks[[#This Row],[Fecha]]))</f>
        <v>AAPL-43808</v>
      </c>
    </row>
    <row r="219" spans="1:4" ht="14.65" thickBot="1" x14ac:dyDescent="0.5">
      <c r="A219" s="17">
        <v>43809.666666666664</v>
      </c>
      <c r="B219" s="19">
        <v>67.12</v>
      </c>
      <c r="C219" t="s">
        <v>38</v>
      </c>
      <c r="D219" t="str">
        <f>T_Stocks[[#This Row],[Ticker]] &amp; "-" &amp; DATE(YEAR(T_Stocks[[#This Row],[Fecha]]),MONTH(T_Stocks[[#This Row],[Fecha]]),DAY(T_Stocks[[#This Row],[Fecha]]))</f>
        <v>AAPL-43809</v>
      </c>
    </row>
    <row r="220" spans="1:4" ht="14.65" thickBot="1" x14ac:dyDescent="0.5">
      <c r="A220" s="17">
        <v>43810.666666666664</v>
      </c>
      <c r="B220" s="19">
        <v>67.69</v>
      </c>
      <c r="C220" t="s">
        <v>38</v>
      </c>
      <c r="D220" t="str">
        <f>T_Stocks[[#This Row],[Ticker]] &amp; "-" &amp; DATE(YEAR(T_Stocks[[#This Row],[Fecha]]),MONTH(T_Stocks[[#This Row],[Fecha]]),DAY(T_Stocks[[#This Row],[Fecha]]))</f>
        <v>AAPL-43810</v>
      </c>
    </row>
    <row r="221" spans="1:4" ht="14.65" thickBot="1" x14ac:dyDescent="0.5">
      <c r="A221" s="17">
        <v>43811.666666666664</v>
      </c>
      <c r="B221" s="19">
        <v>67.86</v>
      </c>
      <c r="C221" t="s">
        <v>38</v>
      </c>
      <c r="D221" t="str">
        <f>T_Stocks[[#This Row],[Ticker]] &amp; "-" &amp; DATE(YEAR(T_Stocks[[#This Row],[Fecha]]),MONTH(T_Stocks[[#This Row],[Fecha]]),DAY(T_Stocks[[#This Row],[Fecha]]))</f>
        <v>AAPL-43811</v>
      </c>
    </row>
    <row r="222" spans="1:4" ht="14.65" thickBot="1" x14ac:dyDescent="0.5">
      <c r="A222" s="17">
        <v>43812.666666666664</v>
      </c>
      <c r="B222" s="19">
        <v>68.790000000000006</v>
      </c>
      <c r="C222" t="s">
        <v>38</v>
      </c>
      <c r="D222" t="str">
        <f>T_Stocks[[#This Row],[Ticker]] &amp; "-" &amp; DATE(YEAR(T_Stocks[[#This Row],[Fecha]]),MONTH(T_Stocks[[#This Row],[Fecha]]),DAY(T_Stocks[[#This Row],[Fecha]]))</f>
        <v>AAPL-43812</v>
      </c>
    </row>
    <row r="223" spans="1:4" ht="14.65" thickBot="1" x14ac:dyDescent="0.5">
      <c r="A223" s="17">
        <v>43815.666666666664</v>
      </c>
      <c r="B223" s="19">
        <v>69.97</v>
      </c>
      <c r="C223" t="s">
        <v>38</v>
      </c>
      <c r="D223" t="str">
        <f>T_Stocks[[#This Row],[Ticker]] &amp; "-" &amp; DATE(YEAR(T_Stocks[[#This Row],[Fecha]]),MONTH(T_Stocks[[#This Row],[Fecha]]),DAY(T_Stocks[[#This Row],[Fecha]]))</f>
        <v>AAPL-43815</v>
      </c>
    </row>
    <row r="224" spans="1:4" ht="14.65" thickBot="1" x14ac:dyDescent="0.5">
      <c r="A224" s="17">
        <v>43816.666666666664</v>
      </c>
      <c r="B224" s="19">
        <v>70.099999999999994</v>
      </c>
      <c r="C224" t="s">
        <v>38</v>
      </c>
      <c r="D224" t="str">
        <f>T_Stocks[[#This Row],[Ticker]] &amp; "-" &amp; DATE(YEAR(T_Stocks[[#This Row],[Fecha]]),MONTH(T_Stocks[[#This Row],[Fecha]]),DAY(T_Stocks[[#This Row],[Fecha]]))</f>
        <v>AAPL-43816</v>
      </c>
    </row>
    <row r="225" spans="1:4" ht="14.65" thickBot="1" x14ac:dyDescent="0.5">
      <c r="A225" s="17">
        <v>43817.666666666664</v>
      </c>
      <c r="B225" s="19">
        <v>69.94</v>
      </c>
      <c r="C225" t="s">
        <v>38</v>
      </c>
      <c r="D225" t="str">
        <f>T_Stocks[[#This Row],[Ticker]] &amp; "-" &amp; DATE(YEAR(T_Stocks[[#This Row],[Fecha]]),MONTH(T_Stocks[[#This Row],[Fecha]]),DAY(T_Stocks[[#This Row],[Fecha]]))</f>
        <v>AAPL-43817</v>
      </c>
    </row>
    <row r="226" spans="1:4" ht="14.65" thickBot="1" x14ac:dyDescent="0.5">
      <c r="A226" s="17">
        <v>43818.666666666664</v>
      </c>
      <c r="B226" s="19">
        <v>70.010000000000005</v>
      </c>
      <c r="C226" t="s">
        <v>38</v>
      </c>
      <c r="D226" t="str">
        <f>T_Stocks[[#This Row],[Ticker]] &amp; "-" &amp; DATE(YEAR(T_Stocks[[#This Row],[Fecha]]),MONTH(T_Stocks[[#This Row],[Fecha]]),DAY(T_Stocks[[#This Row],[Fecha]]))</f>
        <v>AAPL-43818</v>
      </c>
    </row>
    <row r="227" spans="1:4" ht="14.65" thickBot="1" x14ac:dyDescent="0.5">
      <c r="A227" s="17">
        <v>43819.666666666664</v>
      </c>
      <c r="B227" s="19">
        <v>69.86</v>
      </c>
      <c r="C227" t="s">
        <v>38</v>
      </c>
      <c r="D227" t="str">
        <f>T_Stocks[[#This Row],[Ticker]] &amp; "-" &amp; DATE(YEAR(T_Stocks[[#This Row],[Fecha]]),MONTH(T_Stocks[[#This Row],[Fecha]]),DAY(T_Stocks[[#This Row],[Fecha]]))</f>
        <v>AAPL-43819</v>
      </c>
    </row>
    <row r="228" spans="1:4" ht="14.65" thickBot="1" x14ac:dyDescent="0.5">
      <c r="A228" s="17">
        <v>43822.666666666664</v>
      </c>
      <c r="B228" s="19">
        <v>71</v>
      </c>
      <c r="C228" t="s">
        <v>38</v>
      </c>
      <c r="D228" t="str">
        <f>T_Stocks[[#This Row],[Ticker]] &amp; "-" &amp; DATE(YEAR(T_Stocks[[#This Row],[Fecha]]),MONTH(T_Stocks[[#This Row],[Fecha]]),DAY(T_Stocks[[#This Row],[Fecha]]))</f>
        <v>AAPL-43822</v>
      </c>
    </row>
    <row r="229" spans="1:4" ht="14.65" thickBot="1" x14ac:dyDescent="0.5">
      <c r="A229" s="17">
        <v>43823.541666666664</v>
      </c>
      <c r="B229" s="19">
        <v>71.069999999999993</v>
      </c>
      <c r="C229" t="s">
        <v>38</v>
      </c>
      <c r="D229" t="str">
        <f>T_Stocks[[#This Row],[Ticker]] &amp; "-" &amp; DATE(YEAR(T_Stocks[[#This Row],[Fecha]]),MONTH(T_Stocks[[#This Row],[Fecha]]),DAY(T_Stocks[[#This Row],[Fecha]]))</f>
        <v>AAPL-43823</v>
      </c>
    </row>
    <row r="230" spans="1:4" ht="14.65" thickBot="1" x14ac:dyDescent="0.5">
      <c r="A230" s="17">
        <v>43825.666666666664</v>
      </c>
      <c r="B230" s="19">
        <v>72.48</v>
      </c>
      <c r="C230" t="s">
        <v>38</v>
      </c>
      <c r="D230" t="str">
        <f>T_Stocks[[#This Row],[Ticker]] &amp; "-" &amp; DATE(YEAR(T_Stocks[[#This Row],[Fecha]]),MONTH(T_Stocks[[#This Row],[Fecha]]),DAY(T_Stocks[[#This Row],[Fecha]]))</f>
        <v>AAPL-43825</v>
      </c>
    </row>
    <row r="231" spans="1:4" ht="14.65" thickBot="1" x14ac:dyDescent="0.5">
      <c r="A231" s="17">
        <v>43826.666666666664</v>
      </c>
      <c r="B231" s="19">
        <v>72.45</v>
      </c>
      <c r="C231" t="s">
        <v>38</v>
      </c>
      <c r="D231" t="str">
        <f>T_Stocks[[#This Row],[Ticker]] &amp; "-" &amp; DATE(YEAR(T_Stocks[[#This Row],[Fecha]]),MONTH(T_Stocks[[#This Row],[Fecha]]),DAY(T_Stocks[[#This Row],[Fecha]]))</f>
        <v>AAPL-43826</v>
      </c>
    </row>
    <row r="232" spans="1:4" ht="14.65" thickBot="1" x14ac:dyDescent="0.5">
      <c r="A232" s="17">
        <v>43829.666666666664</v>
      </c>
      <c r="B232" s="19">
        <v>72.88</v>
      </c>
      <c r="C232" t="s">
        <v>38</v>
      </c>
      <c r="D232" t="str">
        <f>T_Stocks[[#This Row],[Ticker]] &amp; "-" &amp; DATE(YEAR(T_Stocks[[#This Row],[Fecha]]),MONTH(T_Stocks[[#This Row],[Fecha]]),DAY(T_Stocks[[#This Row],[Fecha]]))</f>
        <v>AAPL-43829</v>
      </c>
    </row>
    <row r="233" spans="1:4" ht="14.65" thickBot="1" x14ac:dyDescent="0.5">
      <c r="A233" s="17">
        <v>43830.666666666664</v>
      </c>
      <c r="B233" s="19">
        <v>73.41</v>
      </c>
      <c r="C233" t="s">
        <v>38</v>
      </c>
      <c r="D233" t="str">
        <f>T_Stocks[[#This Row],[Ticker]] &amp; "-" &amp; DATE(YEAR(T_Stocks[[#This Row],[Fecha]]),MONTH(T_Stocks[[#This Row],[Fecha]]),DAY(T_Stocks[[#This Row],[Fecha]]))</f>
        <v>AAPL-43830</v>
      </c>
    </row>
    <row r="234" spans="1:4" ht="14.65" thickBot="1" x14ac:dyDescent="0.5">
      <c r="A234" s="17">
        <v>43832.666666666664</v>
      </c>
      <c r="B234" s="19">
        <v>75.09</v>
      </c>
      <c r="C234" t="s">
        <v>38</v>
      </c>
      <c r="D234" t="str">
        <f>T_Stocks[[#This Row],[Ticker]] &amp; "-" &amp; DATE(YEAR(T_Stocks[[#This Row],[Fecha]]),MONTH(T_Stocks[[#This Row],[Fecha]]),DAY(T_Stocks[[#This Row],[Fecha]]))</f>
        <v>AAPL-43832</v>
      </c>
    </row>
    <row r="235" spans="1:4" ht="14.65" thickBot="1" x14ac:dyDescent="0.5">
      <c r="A235" s="17">
        <v>43833.666666666664</v>
      </c>
      <c r="B235" s="19">
        <v>74.36</v>
      </c>
      <c r="C235" t="s">
        <v>38</v>
      </c>
      <c r="D235" t="str">
        <f>T_Stocks[[#This Row],[Ticker]] &amp; "-" &amp; DATE(YEAR(T_Stocks[[#This Row],[Fecha]]),MONTH(T_Stocks[[#This Row],[Fecha]]),DAY(T_Stocks[[#This Row],[Fecha]]))</f>
        <v>AAPL-43833</v>
      </c>
    </row>
    <row r="236" spans="1:4" ht="14.65" thickBot="1" x14ac:dyDescent="0.5">
      <c r="A236" s="17">
        <v>43836.666666666664</v>
      </c>
      <c r="B236" s="19">
        <v>74.95</v>
      </c>
      <c r="C236" t="s">
        <v>38</v>
      </c>
      <c r="D236" t="str">
        <f>T_Stocks[[#This Row],[Ticker]] &amp; "-" &amp; DATE(YEAR(T_Stocks[[#This Row],[Fecha]]),MONTH(T_Stocks[[#This Row],[Fecha]]),DAY(T_Stocks[[#This Row],[Fecha]]))</f>
        <v>AAPL-43836</v>
      </c>
    </row>
    <row r="237" spans="1:4" ht="14.65" thickBot="1" x14ac:dyDescent="0.5">
      <c r="A237" s="17">
        <v>43837.666666666664</v>
      </c>
      <c r="B237" s="19">
        <v>74.599999999999994</v>
      </c>
      <c r="C237" t="s">
        <v>38</v>
      </c>
      <c r="D237" t="str">
        <f>T_Stocks[[#This Row],[Ticker]] &amp; "-" &amp; DATE(YEAR(T_Stocks[[#This Row],[Fecha]]),MONTH(T_Stocks[[#This Row],[Fecha]]),DAY(T_Stocks[[#This Row],[Fecha]]))</f>
        <v>AAPL-43837</v>
      </c>
    </row>
    <row r="238" spans="1:4" ht="14.65" thickBot="1" x14ac:dyDescent="0.5">
      <c r="A238" s="17">
        <v>43838.666666666664</v>
      </c>
      <c r="B238" s="19">
        <v>75.8</v>
      </c>
      <c r="C238" t="s">
        <v>38</v>
      </c>
      <c r="D238" t="str">
        <f>T_Stocks[[#This Row],[Ticker]] &amp; "-" &amp; DATE(YEAR(T_Stocks[[#This Row],[Fecha]]),MONTH(T_Stocks[[#This Row],[Fecha]]),DAY(T_Stocks[[#This Row],[Fecha]]))</f>
        <v>AAPL-43838</v>
      </c>
    </row>
    <row r="239" spans="1:4" ht="14.65" thickBot="1" x14ac:dyDescent="0.5">
      <c r="A239" s="17">
        <v>43839.666666666664</v>
      </c>
      <c r="B239" s="19">
        <v>77.41</v>
      </c>
      <c r="C239" t="s">
        <v>38</v>
      </c>
      <c r="D239" t="str">
        <f>T_Stocks[[#This Row],[Ticker]] &amp; "-" &amp; DATE(YEAR(T_Stocks[[#This Row],[Fecha]]),MONTH(T_Stocks[[#This Row],[Fecha]]),DAY(T_Stocks[[#This Row],[Fecha]]))</f>
        <v>AAPL-43839</v>
      </c>
    </row>
    <row r="240" spans="1:4" ht="14.65" thickBot="1" x14ac:dyDescent="0.5">
      <c r="A240" s="17">
        <v>43840.666666666664</v>
      </c>
      <c r="B240" s="19">
        <v>77.58</v>
      </c>
      <c r="C240" t="s">
        <v>38</v>
      </c>
      <c r="D240" t="str">
        <f>T_Stocks[[#This Row],[Ticker]] &amp; "-" &amp; DATE(YEAR(T_Stocks[[#This Row],[Fecha]]),MONTH(T_Stocks[[#This Row],[Fecha]]),DAY(T_Stocks[[#This Row],[Fecha]]))</f>
        <v>AAPL-43840</v>
      </c>
    </row>
    <row r="241" spans="1:4" ht="14.65" thickBot="1" x14ac:dyDescent="0.5">
      <c r="A241" s="17">
        <v>43843.666666666664</v>
      </c>
      <c r="B241" s="19">
        <v>79.239999999999995</v>
      </c>
      <c r="C241" t="s">
        <v>38</v>
      </c>
      <c r="D241" t="str">
        <f>T_Stocks[[#This Row],[Ticker]] &amp; "-" &amp; DATE(YEAR(T_Stocks[[#This Row],[Fecha]]),MONTH(T_Stocks[[#This Row],[Fecha]]),DAY(T_Stocks[[#This Row],[Fecha]]))</f>
        <v>AAPL-43843</v>
      </c>
    </row>
    <row r="242" spans="1:4" ht="14.65" thickBot="1" x14ac:dyDescent="0.5">
      <c r="A242" s="17">
        <v>43844.666666666664</v>
      </c>
      <c r="B242" s="19">
        <v>78.17</v>
      </c>
      <c r="C242" t="s">
        <v>38</v>
      </c>
      <c r="D242" t="str">
        <f>T_Stocks[[#This Row],[Ticker]] &amp; "-" &amp; DATE(YEAR(T_Stocks[[#This Row],[Fecha]]),MONTH(T_Stocks[[#This Row],[Fecha]]),DAY(T_Stocks[[#This Row],[Fecha]]))</f>
        <v>AAPL-43844</v>
      </c>
    </row>
    <row r="243" spans="1:4" ht="14.65" thickBot="1" x14ac:dyDescent="0.5">
      <c r="A243" s="17">
        <v>43845.666666666664</v>
      </c>
      <c r="B243" s="19">
        <v>77.83</v>
      </c>
      <c r="C243" t="s">
        <v>38</v>
      </c>
      <c r="D243" t="str">
        <f>T_Stocks[[#This Row],[Ticker]] &amp; "-" &amp; DATE(YEAR(T_Stocks[[#This Row],[Fecha]]),MONTH(T_Stocks[[#This Row],[Fecha]]),DAY(T_Stocks[[#This Row],[Fecha]]))</f>
        <v>AAPL-43845</v>
      </c>
    </row>
    <row r="244" spans="1:4" ht="14.65" thickBot="1" x14ac:dyDescent="0.5">
      <c r="A244" s="17">
        <v>43846.666666666664</v>
      </c>
      <c r="B244" s="19">
        <v>78.81</v>
      </c>
      <c r="C244" t="s">
        <v>38</v>
      </c>
      <c r="D244" t="str">
        <f>T_Stocks[[#This Row],[Ticker]] &amp; "-" &amp; DATE(YEAR(T_Stocks[[#This Row],[Fecha]]),MONTH(T_Stocks[[#This Row],[Fecha]]),DAY(T_Stocks[[#This Row],[Fecha]]))</f>
        <v>AAPL-43846</v>
      </c>
    </row>
    <row r="245" spans="1:4" ht="14.65" thickBot="1" x14ac:dyDescent="0.5">
      <c r="A245" s="17">
        <v>43847.666666666664</v>
      </c>
      <c r="B245" s="19">
        <v>79.680000000000007</v>
      </c>
      <c r="C245" t="s">
        <v>38</v>
      </c>
      <c r="D245" t="str">
        <f>T_Stocks[[#This Row],[Ticker]] &amp; "-" &amp; DATE(YEAR(T_Stocks[[#This Row],[Fecha]]),MONTH(T_Stocks[[#This Row],[Fecha]]),DAY(T_Stocks[[#This Row],[Fecha]]))</f>
        <v>AAPL-43847</v>
      </c>
    </row>
    <row r="246" spans="1:4" ht="14.65" thickBot="1" x14ac:dyDescent="0.5">
      <c r="A246" s="17">
        <v>43851.666666666664</v>
      </c>
      <c r="B246" s="19">
        <v>79.14</v>
      </c>
      <c r="C246" t="s">
        <v>38</v>
      </c>
      <c r="D246" t="str">
        <f>T_Stocks[[#This Row],[Ticker]] &amp; "-" &amp; DATE(YEAR(T_Stocks[[#This Row],[Fecha]]),MONTH(T_Stocks[[#This Row],[Fecha]]),DAY(T_Stocks[[#This Row],[Fecha]]))</f>
        <v>AAPL-43851</v>
      </c>
    </row>
    <row r="247" spans="1:4" ht="14.65" thickBot="1" x14ac:dyDescent="0.5">
      <c r="A247" s="17">
        <v>43852.666666666664</v>
      </c>
      <c r="B247" s="19">
        <v>79.430000000000007</v>
      </c>
      <c r="C247" t="s">
        <v>38</v>
      </c>
      <c r="D247" t="str">
        <f>T_Stocks[[#This Row],[Ticker]] &amp; "-" &amp; DATE(YEAR(T_Stocks[[#This Row],[Fecha]]),MONTH(T_Stocks[[#This Row],[Fecha]]),DAY(T_Stocks[[#This Row],[Fecha]]))</f>
        <v>AAPL-43852</v>
      </c>
    </row>
    <row r="248" spans="1:4" ht="14.65" thickBot="1" x14ac:dyDescent="0.5">
      <c r="A248" s="17">
        <v>43853.666666666664</v>
      </c>
      <c r="B248" s="19">
        <v>79.81</v>
      </c>
      <c r="C248" t="s">
        <v>38</v>
      </c>
      <c r="D248" t="str">
        <f>T_Stocks[[#This Row],[Ticker]] &amp; "-" &amp; DATE(YEAR(T_Stocks[[#This Row],[Fecha]]),MONTH(T_Stocks[[#This Row],[Fecha]]),DAY(T_Stocks[[#This Row],[Fecha]]))</f>
        <v>AAPL-43853</v>
      </c>
    </row>
    <row r="249" spans="1:4" ht="14.65" thickBot="1" x14ac:dyDescent="0.5">
      <c r="A249" s="17">
        <v>43854.666666666664</v>
      </c>
      <c r="B249" s="19">
        <v>79.58</v>
      </c>
      <c r="C249" t="s">
        <v>38</v>
      </c>
      <c r="D249" t="str">
        <f>T_Stocks[[#This Row],[Ticker]] &amp; "-" &amp; DATE(YEAR(T_Stocks[[#This Row],[Fecha]]),MONTH(T_Stocks[[#This Row],[Fecha]]),DAY(T_Stocks[[#This Row],[Fecha]]))</f>
        <v>AAPL-43854</v>
      </c>
    </row>
    <row r="250" spans="1:4" ht="14.65" thickBot="1" x14ac:dyDescent="0.5">
      <c r="A250" s="17">
        <v>43857.666666666664</v>
      </c>
      <c r="B250" s="19">
        <v>77.239999999999995</v>
      </c>
      <c r="C250" t="s">
        <v>38</v>
      </c>
      <c r="D250" t="str">
        <f>T_Stocks[[#This Row],[Ticker]] &amp; "-" &amp; DATE(YEAR(T_Stocks[[#This Row],[Fecha]]),MONTH(T_Stocks[[#This Row],[Fecha]]),DAY(T_Stocks[[#This Row],[Fecha]]))</f>
        <v>AAPL-43857</v>
      </c>
    </row>
    <row r="251" spans="1:4" ht="14.65" thickBot="1" x14ac:dyDescent="0.5">
      <c r="A251" s="17">
        <v>43858.666666666664</v>
      </c>
      <c r="B251" s="19">
        <v>79.42</v>
      </c>
      <c r="C251" t="s">
        <v>38</v>
      </c>
      <c r="D251" t="str">
        <f>T_Stocks[[#This Row],[Ticker]] &amp; "-" &amp; DATE(YEAR(T_Stocks[[#This Row],[Fecha]]),MONTH(T_Stocks[[#This Row],[Fecha]]),DAY(T_Stocks[[#This Row],[Fecha]]))</f>
        <v>AAPL-43858</v>
      </c>
    </row>
    <row r="252" spans="1:4" ht="14.65" thickBot="1" x14ac:dyDescent="0.5">
      <c r="A252" s="17">
        <v>43859.666666666664</v>
      </c>
      <c r="B252" s="19">
        <v>81.08</v>
      </c>
      <c r="C252" t="s">
        <v>38</v>
      </c>
      <c r="D252" t="str">
        <f>T_Stocks[[#This Row],[Ticker]] &amp; "-" &amp; DATE(YEAR(T_Stocks[[#This Row],[Fecha]]),MONTH(T_Stocks[[#This Row],[Fecha]]),DAY(T_Stocks[[#This Row],[Fecha]]))</f>
        <v>AAPL-43859</v>
      </c>
    </row>
    <row r="253" spans="1:4" ht="14.65" thickBot="1" x14ac:dyDescent="0.5">
      <c r="A253" s="17">
        <v>43860.666666666664</v>
      </c>
      <c r="B253" s="19">
        <v>80.97</v>
      </c>
      <c r="C253" t="s">
        <v>38</v>
      </c>
      <c r="D253" t="str">
        <f>T_Stocks[[#This Row],[Ticker]] &amp; "-" &amp; DATE(YEAR(T_Stocks[[#This Row],[Fecha]]),MONTH(T_Stocks[[#This Row],[Fecha]]),DAY(T_Stocks[[#This Row],[Fecha]]))</f>
        <v>AAPL-43860</v>
      </c>
    </row>
    <row r="254" spans="1:4" ht="14.65" thickBot="1" x14ac:dyDescent="0.5">
      <c r="A254" s="17">
        <v>43861.666666666664</v>
      </c>
      <c r="B254" s="19">
        <v>77.38</v>
      </c>
      <c r="C254" t="s">
        <v>38</v>
      </c>
      <c r="D254" t="str">
        <f>T_Stocks[[#This Row],[Ticker]] &amp; "-" &amp; DATE(YEAR(T_Stocks[[#This Row],[Fecha]]),MONTH(T_Stocks[[#This Row],[Fecha]]),DAY(T_Stocks[[#This Row],[Fecha]]))</f>
        <v>AAPL-43861</v>
      </c>
    </row>
    <row r="255" spans="1:4" ht="14.65" thickBot="1" x14ac:dyDescent="0.5">
      <c r="A255" s="17">
        <v>43864.666666666664</v>
      </c>
      <c r="B255" s="19">
        <v>77.17</v>
      </c>
      <c r="C255" t="s">
        <v>38</v>
      </c>
      <c r="D255" t="str">
        <f>T_Stocks[[#This Row],[Ticker]] &amp; "-" &amp; DATE(YEAR(T_Stocks[[#This Row],[Fecha]]),MONTH(T_Stocks[[#This Row],[Fecha]]),DAY(T_Stocks[[#This Row],[Fecha]]))</f>
        <v>AAPL-43864</v>
      </c>
    </row>
    <row r="256" spans="1:4" ht="14.65" thickBot="1" x14ac:dyDescent="0.5">
      <c r="A256" s="17">
        <v>43865.666666666664</v>
      </c>
      <c r="B256" s="19">
        <v>79.709999999999994</v>
      </c>
      <c r="C256" t="s">
        <v>38</v>
      </c>
      <c r="D256" t="str">
        <f>T_Stocks[[#This Row],[Ticker]] &amp; "-" &amp; DATE(YEAR(T_Stocks[[#This Row],[Fecha]]),MONTH(T_Stocks[[#This Row],[Fecha]]),DAY(T_Stocks[[#This Row],[Fecha]]))</f>
        <v>AAPL-43865</v>
      </c>
    </row>
    <row r="257" spans="1:4" ht="14.65" thickBot="1" x14ac:dyDescent="0.5">
      <c r="A257" s="17">
        <v>43866.666666666664</v>
      </c>
      <c r="B257" s="19">
        <v>80.36</v>
      </c>
      <c r="C257" t="s">
        <v>38</v>
      </c>
      <c r="D257" t="str">
        <f>T_Stocks[[#This Row],[Ticker]] &amp; "-" &amp; DATE(YEAR(T_Stocks[[#This Row],[Fecha]]),MONTH(T_Stocks[[#This Row],[Fecha]]),DAY(T_Stocks[[#This Row],[Fecha]]))</f>
        <v>AAPL-43866</v>
      </c>
    </row>
    <row r="258" spans="1:4" ht="14.65" thickBot="1" x14ac:dyDescent="0.5">
      <c r="A258" s="17">
        <v>43867.666666666664</v>
      </c>
      <c r="B258" s="19">
        <v>81.3</v>
      </c>
      <c r="C258" t="s">
        <v>38</v>
      </c>
      <c r="D258" t="str">
        <f>T_Stocks[[#This Row],[Ticker]] &amp; "-" &amp; DATE(YEAR(T_Stocks[[#This Row],[Fecha]]),MONTH(T_Stocks[[#This Row],[Fecha]]),DAY(T_Stocks[[#This Row],[Fecha]]))</f>
        <v>AAPL-43867</v>
      </c>
    </row>
    <row r="259" spans="1:4" ht="14.65" thickBot="1" x14ac:dyDescent="0.5">
      <c r="A259" s="17">
        <v>43868.666666666664</v>
      </c>
      <c r="B259" s="19">
        <v>80.010000000000005</v>
      </c>
      <c r="C259" t="s">
        <v>38</v>
      </c>
      <c r="D259" t="str">
        <f>T_Stocks[[#This Row],[Ticker]] &amp; "-" &amp; DATE(YEAR(T_Stocks[[#This Row],[Fecha]]),MONTH(T_Stocks[[#This Row],[Fecha]]),DAY(T_Stocks[[#This Row],[Fecha]]))</f>
        <v>AAPL-43868</v>
      </c>
    </row>
    <row r="260" spans="1:4" ht="14.65" thickBot="1" x14ac:dyDescent="0.5">
      <c r="A260" s="17">
        <v>43871.666666666664</v>
      </c>
      <c r="B260" s="19">
        <v>80.39</v>
      </c>
      <c r="C260" t="s">
        <v>38</v>
      </c>
      <c r="D260" t="str">
        <f>T_Stocks[[#This Row],[Ticker]] &amp; "-" &amp; DATE(YEAR(T_Stocks[[#This Row],[Fecha]]),MONTH(T_Stocks[[#This Row],[Fecha]]),DAY(T_Stocks[[#This Row],[Fecha]]))</f>
        <v>AAPL-43871</v>
      </c>
    </row>
    <row r="261" spans="1:4" ht="14.65" thickBot="1" x14ac:dyDescent="0.5">
      <c r="A261" s="17">
        <v>43872.666666666664</v>
      </c>
      <c r="B261" s="19">
        <v>79.900000000000006</v>
      </c>
      <c r="C261" t="s">
        <v>38</v>
      </c>
      <c r="D261" t="str">
        <f>T_Stocks[[#This Row],[Ticker]] &amp; "-" &amp; DATE(YEAR(T_Stocks[[#This Row],[Fecha]]),MONTH(T_Stocks[[#This Row],[Fecha]]),DAY(T_Stocks[[#This Row],[Fecha]]))</f>
        <v>AAPL-43872</v>
      </c>
    </row>
    <row r="262" spans="1:4" ht="14.65" thickBot="1" x14ac:dyDescent="0.5">
      <c r="A262" s="17">
        <v>43873.666666666664</v>
      </c>
      <c r="B262" s="19">
        <v>81.8</v>
      </c>
      <c r="C262" t="s">
        <v>38</v>
      </c>
      <c r="D262" t="str">
        <f>T_Stocks[[#This Row],[Ticker]] &amp; "-" &amp; DATE(YEAR(T_Stocks[[#This Row],[Fecha]]),MONTH(T_Stocks[[#This Row],[Fecha]]),DAY(T_Stocks[[#This Row],[Fecha]]))</f>
        <v>AAPL-43873</v>
      </c>
    </row>
    <row r="263" spans="1:4" ht="14.65" thickBot="1" x14ac:dyDescent="0.5">
      <c r="A263" s="17">
        <v>43874.666666666664</v>
      </c>
      <c r="B263" s="19">
        <v>81.22</v>
      </c>
      <c r="C263" t="s">
        <v>38</v>
      </c>
      <c r="D263" t="str">
        <f>T_Stocks[[#This Row],[Ticker]] &amp; "-" &amp; DATE(YEAR(T_Stocks[[#This Row],[Fecha]]),MONTH(T_Stocks[[#This Row],[Fecha]]),DAY(T_Stocks[[#This Row],[Fecha]]))</f>
        <v>AAPL-43874</v>
      </c>
    </row>
    <row r="264" spans="1:4" ht="14.65" thickBot="1" x14ac:dyDescent="0.5">
      <c r="A264" s="17">
        <v>43875.666666666664</v>
      </c>
      <c r="B264" s="19">
        <v>81.239999999999995</v>
      </c>
      <c r="C264" t="s">
        <v>38</v>
      </c>
      <c r="D264" t="str">
        <f>T_Stocks[[#This Row],[Ticker]] &amp; "-" &amp; DATE(YEAR(T_Stocks[[#This Row],[Fecha]]),MONTH(T_Stocks[[#This Row],[Fecha]]),DAY(T_Stocks[[#This Row],[Fecha]]))</f>
        <v>AAPL-43875</v>
      </c>
    </row>
    <row r="265" spans="1:4" ht="14.65" thickBot="1" x14ac:dyDescent="0.5">
      <c r="A265" s="17">
        <v>43879.666666666664</v>
      </c>
      <c r="B265" s="19">
        <v>79.75</v>
      </c>
      <c r="C265" t="s">
        <v>38</v>
      </c>
      <c r="D265" t="str">
        <f>T_Stocks[[#This Row],[Ticker]] &amp; "-" &amp; DATE(YEAR(T_Stocks[[#This Row],[Fecha]]),MONTH(T_Stocks[[#This Row],[Fecha]]),DAY(T_Stocks[[#This Row],[Fecha]]))</f>
        <v>AAPL-43879</v>
      </c>
    </row>
    <row r="266" spans="1:4" ht="14.65" thickBot="1" x14ac:dyDescent="0.5">
      <c r="A266" s="17">
        <v>43880.666666666664</v>
      </c>
      <c r="B266" s="19">
        <v>80.91</v>
      </c>
      <c r="C266" t="s">
        <v>38</v>
      </c>
      <c r="D266" t="str">
        <f>T_Stocks[[#This Row],[Ticker]] &amp; "-" &amp; DATE(YEAR(T_Stocks[[#This Row],[Fecha]]),MONTH(T_Stocks[[#This Row],[Fecha]]),DAY(T_Stocks[[#This Row],[Fecha]]))</f>
        <v>AAPL-43880</v>
      </c>
    </row>
    <row r="267" spans="1:4" ht="14.65" thickBot="1" x14ac:dyDescent="0.5">
      <c r="A267" s="17">
        <v>43881.666666666664</v>
      </c>
      <c r="B267" s="19">
        <v>80.08</v>
      </c>
      <c r="C267" t="s">
        <v>38</v>
      </c>
      <c r="D267" t="str">
        <f>T_Stocks[[#This Row],[Ticker]] &amp; "-" &amp; DATE(YEAR(T_Stocks[[#This Row],[Fecha]]),MONTH(T_Stocks[[#This Row],[Fecha]]),DAY(T_Stocks[[#This Row],[Fecha]]))</f>
        <v>AAPL-43881</v>
      </c>
    </row>
    <row r="268" spans="1:4" ht="14.65" thickBot="1" x14ac:dyDescent="0.5">
      <c r="A268" s="17">
        <v>43882.666666666664</v>
      </c>
      <c r="B268" s="19">
        <v>78.260000000000005</v>
      </c>
      <c r="C268" t="s">
        <v>38</v>
      </c>
      <c r="D268" t="str">
        <f>T_Stocks[[#This Row],[Ticker]] &amp; "-" &amp; DATE(YEAR(T_Stocks[[#This Row],[Fecha]]),MONTH(T_Stocks[[#This Row],[Fecha]]),DAY(T_Stocks[[#This Row],[Fecha]]))</f>
        <v>AAPL-43882</v>
      </c>
    </row>
    <row r="269" spans="1:4" ht="14.65" thickBot="1" x14ac:dyDescent="0.5">
      <c r="A269" s="17">
        <v>43885.666666666664</v>
      </c>
      <c r="B269" s="19">
        <v>74.55</v>
      </c>
      <c r="C269" t="s">
        <v>38</v>
      </c>
      <c r="D269" t="str">
        <f>T_Stocks[[#This Row],[Ticker]] &amp; "-" &amp; DATE(YEAR(T_Stocks[[#This Row],[Fecha]]),MONTH(T_Stocks[[#This Row],[Fecha]]),DAY(T_Stocks[[#This Row],[Fecha]]))</f>
        <v>AAPL-43885</v>
      </c>
    </row>
    <row r="270" spans="1:4" ht="14.65" thickBot="1" x14ac:dyDescent="0.5">
      <c r="A270" s="17">
        <v>43886.666666666664</v>
      </c>
      <c r="B270" s="19">
        <v>72.02</v>
      </c>
      <c r="C270" t="s">
        <v>38</v>
      </c>
      <c r="D270" t="str">
        <f>T_Stocks[[#This Row],[Ticker]] &amp; "-" &amp; DATE(YEAR(T_Stocks[[#This Row],[Fecha]]),MONTH(T_Stocks[[#This Row],[Fecha]]),DAY(T_Stocks[[#This Row],[Fecha]]))</f>
        <v>AAPL-43886</v>
      </c>
    </row>
    <row r="271" spans="1:4" ht="14.65" thickBot="1" x14ac:dyDescent="0.5">
      <c r="A271" s="17">
        <v>43887.666666666664</v>
      </c>
      <c r="B271" s="19">
        <v>73.16</v>
      </c>
      <c r="C271" t="s">
        <v>38</v>
      </c>
      <c r="D271" t="str">
        <f>T_Stocks[[#This Row],[Ticker]] &amp; "-" &amp; DATE(YEAR(T_Stocks[[#This Row],[Fecha]]),MONTH(T_Stocks[[#This Row],[Fecha]]),DAY(T_Stocks[[#This Row],[Fecha]]))</f>
        <v>AAPL-43887</v>
      </c>
    </row>
    <row r="272" spans="1:4" ht="14.65" thickBot="1" x14ac:dyDescent="0.5">
      <c r="A272" s="17">
        <v>43888.666666666664</v>
      </c>
      <c r="B272" s="19">
        <v>68.38</v>
      </c>
      <c r="C272" t="s">
        <v>38</v>
      </c>
      <c r="D272" t="str">
        <f>T_Stocks[[#This Row],[Ticker]] &amp; "-" &amp; DATE(YEAR(T_Stocks[[#This Row],[Fecha]]),MONTH(T_Stocks[[#This Row],[Fecha]]),DAY(T_Stocks[[#This Row],[Fecha]]))</f>
        <v>AAPL-43888</v>
      </c>
    </row>
    <row r="273" spans="1:4" ht="14.65" thickBot="1" x14ac:dyDescent="0.5">
      <c r="A273" s="17">
        <v>43889.666666666664</v>
      </c>
      <c r="B273" s="19">
        <v>68.34</v>
      </c>
      <c r="C273" t="s">
        <v>38</v>
      </c>
      <c r="D273" t="str">
        <f>T_Stocks[[#This Row],[Ticker]] &amp; "-" &amp; DATE(YEAR(T_Stocks[[#This Row],[Fecha]]),MONTH(T_Stocks[[#This Row],[Fecha]]),DAY(T_Stocks[[#This Row],[Fecha]]))</f>
        <v>AAPL-43889</v>
      </c>
    </row>
    <row r="274" spans="1:4" ht="14.65" thickBot="1" x14ac:dyDescent="0.5">
      <c r="A274" s="17">
        <v>43892.666666666664</v>
      </c>
      <c r="B274" s="19">
        <v>74.7</v>
      </c>
      <c r="C274" t="s">
        <v>38</v>
      </c>
      <c r="D274" t="str">
        <f>T_Stocks[[#This Row],[Ticker]] &amp; "-" &amp; DATE(YEAR(T_Stocks[[#This Row],[Fecha]]),MONTH(T_Stocks[[#This Row],[Fecha]]),DAY(T_Stocks[[#This Row],[Fecha]]))</f>
        <v>AAPL-43892</v>
      </c>
    </row>
    <row r="275" spans="1:4" ht="14.65" thickBot="1" x14ac:dyDescent="0.5">
      <c r="A275" s="17">
        <v>43893.666666666664</v>
      </c>
      <c r="B275" s="19">
        <v>72.33</v>
      </c>
      <c r="C275" t="s">
        <v>38</v>
      </c>
      <c r="D275" t="str">
        <f>T_Stocks[[#This Row],[Ticker]] &amp; "-" &amp; DATE(YEAR(T_Stocks[[#This Row],[Fecha]]),MONTH(T_Stocks[[#This Row],[Fecha]]),DAY(T_Stocks[[#This Row],[Fecha]]))</f>
        <v>AAPL-43893</v>
      </c>
    </row>
    <row r="276" spans="1:4" ht="14.65" thickBot="1" x14ac:dyDescent="0.5">
      <c r="A276" s="17">
        <v>43894.666666666664</v>
      </c>
      <c r="B276" s="19">
        <v>75.69</v>
      </c>
      <c r="C276" t="s">
        <v>38</v>
      </c>
      <c r="D276" t="str">
        <f>T_Stocks[[#This Row],[Ticker]] &amp; "-" &amp; DATE(YEAR(T_Stocks[[#This Row],[Fecha]]),MONTH(T_Stocks[[#This Row],[Fecha]]),DAY(T_Stocks[[#This Row],[Fecha]]))</f>
        <v>AAPL-43894</v>
      </c>
    </row>
    <row r="277" spans="1:4" ht="14.65" thickBot="1" x14ac:dyDescent="0.5">
      <c r="A277" s="17">
        <v>43895.666666666664</v>
      </c>
      <c r="B277" s="19">
        <v>73.23</v>
      </c>
      <c r="C277" t="s">
        <v>38</v>
      </c>
      <c r="D277" t="str">
        <f>T_Stocks[[#This Row],[Ticker]] &amp; "-" &amp; DATE(YEAR(T_Stocks[[#This Row],[Fecha]]),MONTH(T_Stocks[[#This Row],[Fecha]]),DAY(T_Stocks[[#This Row],[Fecha]]))</f>
        <v>AAPL-43895</v>
      </c>
    </row>
    <row r="278" spans="1:4" ht="14.65" thickBot="1" x14ac:dyDescent="0.5">
      <c r="A278" s="17">
        <v>43896.666666666664</v>
      </c>
      <c r="B278" s="19">
        <v>72.260000000000005</v>
      </c>
      <c r="C278" t="s">
        <v>38</v>
      </c>
      <c r="D278" t="str">
        <f>T_Stocks[[#This Row],[Ticker]] &amp; "-" &amp; DATE(YEAR(T_Stocks[[#This Row],[Fecha]]),MONTH(T_Stocks[[#This Row],[Fecha]]),DAY(T_Stocks[[#This Row],[Fecha]]))</f>
        <v>AAPL-43896</v>
      </c>
    </row>
    <row r="279" spans="1:4" ht="14.65" thickBot="1" x14ac:dyDescent="0.5">
      <c r="A279" s="17">
        <v>43899.666666666664</v>
      </c>
      <c r="B279" s="19">
        <v>66.540000000000006</v>
      </c>
      <c r="C279" t="s">
        <v>38</v>
      </c>
      <c r="D279" t="str">
        <f>T_Stocks[[#This Row],[Ticker]] &amp; "-" &amp; DATE(YEAR(T_Stocks[[#This Row],[Fecha]]),MONTH(T_Stocks[[#This Row],[Fecha]]),DAY(T_Stocks[[#This Row],[Fecha]]))</f>
        <v>AAPL-43899</v>
      </c>
    </row>
    <row r="280" spans="1:4" ht="14.65" thickBot="1" x14ac:dyDescent="0.5">
      <c r="A280" s="17">
        <v>43900.666666666664</v>
      </c>
      <c r="B280" s="19">
        <v>71.33</v>
      </c>
      <c r="C280" t="s">
        <v>38</v>
      </c>
      <c r="D280" t="str">
        <f>T_Stocks[[#This Row],[Ticker]] &amp; "-" &amp; DATE(YEAR(T_Stocks[[#This Row],[Fecha]]),MONTH(T_Stocks[[#This Row],[Fecha]]),DAY(T_Stocks[[#This Row],[Fecha]]))</f>
        <v>AAPL-43900</v>
      </c>
    </row>
    <row r="281" spans="1:4" ht="14.65" thickBot="1" x14ac:dyDescent="0.5">
      <c r="A281" s="17">
        <v>43901.666666666664</v>
      </c>
      <c r="B281" s="19">
        <v>68.86</v>
      </c>
      <c r="C281" t="s">
        <v>38</v>
      </c>
      <c r="D281" t="str">
        <f>T_Stocks[[#This Row],[Ticker]] &amp; "-" &amp; DATE(YEAR(T_Stocks[[#This Row],[Fecha]]),MONTH(T_Stocks[[#This Row],[Fecha]]),DAY(T_Stocks[[#This Row],[Fecha]]))</f>
        <v>AAPL-43901</v>
      </c>
    </row>
    <row r="282" spans="1:4" ht="14.65" thickBot="1" x14ac:dyDescent="0.5">
      <c r="A282" s="17">
        <v>43902.666666666664</v>
      </c>
      <c r="B282" s="19">
        <v>62.06</v>
      </c>
      <c r="C282" t="s">
        <v>38</v>
      </c>
      <c r="D282" t="str">
        <f>T_Stocks[[#This Row],[Ticker]] &amp; "-" &amp; DATE(YEAR(T_Stocks[[#This Row],[Fecha]]),MONTH(T_Stocks[[#This Row],[Fecha]]),DAY(T_Stocks[[#This Row],[Fecha]]))</f>
        <v>AAPL-43902</v>
      </c>
    </row>
    <row r="283" spans="1:4" ht="14.65" thickBot="1" x14ac:dyDescent="0.5">
      <c r="A283" s="17">
        <v>43903.666666666664</v>
      </c>
      <c r="B283" s="19">
        <v>69.489999999999995</v>
      </c>
      <c r="C283" t="s">
        <v>38</v>
      </c>
      <c r="D283" t="str">
        <f>T_Stocks[[#This Row],[Ticker]] &amp; "-" &amp; DATE(YEAR(T_Stocks[[#This Row],[Fecha]]),MONTH(T_Stocks[[#This Row],[Fecha]]),DAY(T_Stocks[[#This Row],[Fecha]]))</f>
        <v>AAPL-43903</v>
      </c>
    </row>
    <row r="284" spans="1:4" ht="14.65" thickBot="1" x14ac:dyDescent="0.5">
      <c r="A284" s="17">
        <v>43906.666666666664</v>
      </c>
      <c r="B284" s="19">
        <v>60.55</v>
      </c>
      <c r="C284" t="s">
        <v>38</v>
      </c>
      <c r="D284" t="str">
        <f>T_Stocks[[#This Row],[Ticker]] &amp; "-" &amp; DATE(YEAR(T_Stocks[[#This Row],[Fecha]]),MONTH(T_Stocks[[#This Row],[Fecha]]),DAY(T_Stocks[[#This Row],[Fecha]]))</f>
        <v>AAPL-43906</v>
      </c>
    </row>
    <row r="285" spans="1:4" ht="14.65" thickBot="1" x14ac:dyDescent="0.5">
      <c r="A285" s="17">
        <v>43907.666666666664</v>
      </c>
      <c r="B285" s="19">
        <v>63.22</v>
      </c>
      <c r="C285" t="s">
        <v>38</v>
      </c>
      <c r="D285" t="str">
        <f>T_Stocks[[#This Row],[Ticker]] &amp; "-" &amp; DATE(YEAR(T_Stocks[[#This Row],[Fecha]]),MONTH(T_Stocks[[#This Row],[Fecha]]),DAY(T_Stocks[[#This Row],[Fecha]]))</f>
        <v>AAPL-43907</v>
      </c>
    </row>
    <row r="286" spans="1:4" ht="14.65" thickBot="1" x14ac:dyDescent="0.5">
      <c r="A286" s="17">
        <v>43908.666666666664</v>
      </c>
      <c r="B286" s="19">
        <v>61.67</v>
      </c>
      <c r="C286" t="s">
        <v>38</v>
      </c>
      <c r="D286" t="str">
        <f>T_Stocks[[#This Row],[Ticker]] &amp; "-" &amp; DATE(YEAR(T_Stocks[[#This Row],[Fecha]]),MONTH(T_Stocks[[#This Row],[Fecha]]),DAY(T_Stocks[[#This Row],[Fecha]]))</f>
        <v>AAPL-43908</v>
      </c>
    </row>
    <row r="287" spans="1:4" ht="14.65" thickBot="1" x14ac:dyDescent="0.5">
      <c r="A287" s="17">
        <v>43909.666666666664</v>
      </c>
      <c r="B287" s="19">
        <v>61.2</v>
      </c>
      <c r="C287" t="s">
        <v>38</v>
      </c>
      <c r="D287" t="str">
        <f>T_Stocks[[#This Row],[Ticker]] &amp; "-" &amp; DATE(YEAR(T_Stocks[[#This Row],[Fecha]]),MONTH(T_Stocks[[#This Row],[Fecha]]),DAY(T_Stocks[[#This Row],[Fecha]]))</f>
        <v>AAPL-43909</v>
      </c>
    </row>
    <row r="288" spans="1:4" ht="14.65" thickBot="1" x14ac:dyDescent="0.5">
      <c r="A288" s="17">
        <v>43910.666666666664</v>
      </c>
      <c r="B288" s="19">
        <v>57.31</v>
      </c>
      <c r="C288" t="s">
        <v>38</v>
      </c>
      <c r="D288" t="str">
        <f>T_Stocks[[#This Row],[Ticker]] &amp; "-" &amp; DATE(YEAR(T_Stocks[[#This Row],[Fecha]]),MONTH(T_Stocks[[#This Row],[Fecha]]),DAY(T_Stocks[[#This Row],[Fecha]]))</f>
        <v>AAPL-43910</v>
      </c>
    </row>
    <row r="289" spans="1:4" ht="14.65" thickBot="1" x14ac:dyDescent="0.5">
      <c r="A289" s="17">
        <v>43913.666666666664</v>
      </c>
      <c r="B289" s="19">
        <v>56.09</v>
      </c>
      <c r="C289" t="s">
        <v>38</v>
      </c>
      <c r="D289" t="str">
        <f>T_Stocks[[#This Row],[Ticker]] &amp; "-" &amp; DATE(YEAR(T_Stocks[[#This Row],[Fecha]]),MONTH(T_Stocks[[#This Row],[Fecha]]),DAY(T_Stocks[[#This Row],[Fecha]]))</f>
        <v>AAPL-43913</v>
      </c>
    </row>
    <row r="290" spans="1:4" ht="14.65" thickBot="1" x14ac:dyDescent="0.5">
      <c r="A290" s="17">
        <v>43914.666666666664</v>
      </c>
      <c r="B290" s="19">
        <v>61.72</v>
      </c>
      <c r="C290" t="s">
        <v>38</v>
      </c>
      <c r="D290" t="str">
        <f>T_Stocks[[#This Row],[Ticker]] &amp; "-" &amp; DATE(YEAR(T_Stocks[[#This Row],[Fecha]]),MONTH(T_Stocks[[#This Row],[Fecha]]),DAY(T_Stocks[[#This Row],[Fecha]]))</f>
        <v>AAPL-43914</v>
      </c>
    </row>
    <row r="291" spans="1:4" ht="14.65" thickBot="1" x14ac:dyDescent="0.5">
      <c r="A291" s="17">
        <v>43915.666666666664</v>
      </c>
      <c r="B291" s="19">
        <v>61.38</v>
      </c>
      <c r="C291" t="s">
        <v>38</v>
      </c>
      <c r="D291" t="str">
        <f>T_Stocks[[#This Row],[Ticker]] &amp; "-" &amp; DATE(YEAR(T_Stocks[[#This Row],[Fecha]]),MONTH(T_Stocks[[#This Row],[Fecha]]),DAY(T_Stocks[[#This Row],[Fecha]]))</f>
        <v>AAPL-43915</v>
      </c>
    </row>
    <row r="292" spans="1:4" ht="14.65" thickBot="1" x14ac:dyDescent="0.5">
      <c r="A292" s="17">
        <v>43916.666666666664</v>
      </c>
      <c r="B292" s="19">
        <v>64.61</v>
      </c>
      <c r="C292" t="s">
        <v>38</v>
      </c>
      <c r="D292" t="str">
        <f>T_Stocks[[#This Row],[Ticker]] &amp; "-" &amp; DATE(YEAR(T_Stocks[[#This Row],[Fecha]]),MONTH(T_Stocks[[#This Row],[Fecha]]),DAY(T_Stocks[[#This Row],[Fecha]]))</f>
        <v>AAPL-43916</v>
      </c>
    </row>
    <row r="293" spans="1:4" ht="14.65" thickBot="1" x14ac:dyDescent="0.5">
      <c r="A293" s="17">
        <v>43917.666666666664</v>
      </c>
      <c r="B293" s="19">
        <v>61.94</v>
      </c>
      <c r="C293" t="s">
        <v>38</v>
      </c>
      <c r="D293" t="str">
        <f>T_Stocks[[#This Row],[Ticker]] &amp; "-" &amp; DATE(YEAR(T_Stocks[[#This Row],[Fecha]]),MONTH(T_Stocks[[#This Row],[Fecha]]),DAY(T_Stocks[[#This Row],[Fecha]]))</f>
        <v>AAPL-43917</v>
      </c>
    </row>
    <row r="294" spans="1:4" ht="14.65" thickBot="1" x14ac:dyDescent="0.5">
      <c r="A294" s="17">
        <v>43920.666666666664</v>
      </c>
      <c r="B294" s="19">
        <v>63.7</v>
      </c>
      <c r="C294" t="s">
        <v>38</v>
      </c>
      <c r="D294" t="str">
        <f>T_Stocks[[#This Row],[Ticker]] &amp; "-" &amp; DATE(YEAR(T_Stocks[[#This Row],[Fecha]]),MONTH(T_Stocks[[#This Row],[Fecha]]),DAY(T_Stocks[[#This Row],[Fecha]]))</f>
        <v>AAPL-43920</v>
      </c>
    </row>
    <row r="295" spans="1:4" ht="14.65" thickBot="1" x14ac:dyDescent="0.5">
      <c r="A295" s="17">
        <v>43921.666666666664</v>
      </c>
      <c r="B295" s="19">
        <v>63.57</v>
      </c>
      <c r="C295" t="s">
        <v>38</v>
      </c>
      <c r="D295" t="str">
        <f>T_Stocks[[#This Row],[Ticker]] &amp; "-" &amp; DATE(YEAR(T_Stocks[[#This Row],[Fecha]]),MONTH(T_Stocks[[#This Row],[Fecha]]),DAY(T_Stocks[[#This Row],[Fecha]]))</f>
        <v>AAPL-43921</v>
      </c>
    </row>
    <row r="296" spans="1:4" ht="14.65" thickBot="1" x14ac:dyDescent="0.5">
      <c r="A296" s="17">
        <v>43922.666666666664</v>
      </c>
      <c r="B296" s="19">
        <v>60.23</v>
      </c>
      <c r="C296" t="s">
        <v>38</v>
      </c>
      <c r="D296" t="str">
        <f>T_Stocks[[#This Row],[Ticker]] &amp; "-" &amp; DATE(YEAR(T_Stocks[[#This Row],[Fecha]]),MONTH(T_Stocks[[#This Row],[Fecha]]),DAY(T_Stocks[[#This Row],[Fecha]]))</f>
        <v>AAPL-43922</v>
      </c>
    </row>
    <row r="297" spans="1:4" ht="14.65" thickBot="1" x14ac:dyDescent="0.5">
      <c r="A297" s="17">
        <v>43923.666666666664</v>
      </c>
      <c r="B297" s="19">
        <v>61.23</v>
      </c>
      <c r="C297" t="s">
        <v>38</v>
      </c>
      <c r="D297" t="str">
        <f>T_Stocks[[#This Row],[Ticker]] &amp; "-" &amp; DATE(YEAR(T_Stocks[[#This Row],[Fecha]]),MONTH(T_Stocks[[#This Row],[Fecha]]),DAY(T_Stocks[[#This Row],[Fecha]]))</f>
        <v>AAPL-43923</v>
      </c>
    </row>
    <row r="298" spans="1:4" ht="14.65" thickBot="1" x14ac:dyDescent="0.5">
      <c r="A298" s="17">
        <v>43924.666666666664</v>
      </c>
      <c r="B298" s="19">
        <v>60.35</v>
      </c>
      <c r="C298" t="s">
        <v>38</v>
      </c>
      <c r="D298" t="str">
        <f>T_Stocks[[#This Row],[Ticker]] &amp; "-" &amp; DATE(YEAR(T_Stocks[[#This Row],[Fecha]]),MONTH(T_Stocks[[#This Row],[Fecha]]),DAY(T_Stocks[[#This Row],[Fecha]]))</f>
        <v>AAPL-43924</v>
      </c>
    </row>
    <row r="299" spans="1:4" ht="14.65" thickBot="1" x14ac:dyDescent="0.5">
      <c r="A299" s="17">
        <v>43927.666666666664</v>
      </c>
      <c r="B299" s="19">
        <v>65.62</v>
      </c>
      <c r="C299" t="s">
        <v>38</v>
      </c>
      <c r="D299" t="str">
        <f>T_Stocks[[#This Row],[Ticker]] &amp; "-" &amp; DATE(YEAR(T_Stocks[[#This Row],[Fecha]]),MONTH(T_Stocks[[#This Row],[Fecha]]),DAY(T_Stocks[[#This Row],[Fecha]]))</f>
        <v>AAPL-43927</v>
      </c>
    </row>
    <row r="300" spans="1:4" ht="14.65" thickBot="1" x14ac:dyDescent="0.5">
      <c r="A300" s="17">
        <v>43928.666666666664</v>
      </c>
      <c r="B300" s="19">
        <v>64.86</v>
      </c>
      <c r="C300" t="s">
        <v>38</v>
      </c>
      <c r="D300" t="str">
        <f>T_Stocks[[#This Row],[Ticker]] &amp; "-" &amp; DATE(YEAR(T_Stocks[[#This Row],[Fecha]]),MONTH(T_Stocks[[#This Row],[Fecha]]),DAY(T_Stocks[[#This Row],[Fecha]]))</f>
        <v>AAPL-43928</v>
      </c>
    </row>
    <row r="301" spans="1:4" ht="14.65" thickBot="1" x14ac:dyDescent="0.5">
      <c r="A301" s="17">
        <v>43929.666666666664</v>
      </c>
      <c r="B301" s="19">
        <v>66.52</v>
      </c>
      <c r="C301" t="s">
        <v>38</v>
      </c>
      <c r="D301" t="str">
        <f>T_Stocks[[#This Row],[Ticker]] &amp; "-" &amp; DATE(YEAR(T_Stocks[[#This Row],[Fecha]]),MONTH(T_Stocks[[#This Row],[Fecha]]),DAY(T_Stocks[[#This Row],[Fecha]]))</f>
        <v>AAPL-43929</v>
      </c>
    </row>
    <row r="302" spans="1:4" ht="14.65" thickBot="1" x14ac:dyDescent="0.5">
      <c r="A302" s="17">
        <v>43930.666666666664</v>
      </c>
      <c r="B302" s="19">
        <v>67</v>
      </c>
      <c r="C302" t="s">
        <v>38</v>
      </c>
      <c r="D302" t="str">
        <f>T_Stocks[[#This Row],[Ticker]] &amp; "-" &amp; DATE(YEAR(T_Stocks[[#This Row],[Fecha]]),MONTH(T_Stocks[[#This Row],[Fecha]]),DAY(T_Stocks[[#This Row],[Fecha]]))</f>
        <v>AAPL-43930</v>
      </c>
    </row>
    <row r="303" spans="1:4" ht="14.65" thickBot="1" x14ac:dyDescent="0.5">
      <c r="A303" s="17">
        <v>43934.666666666664</v>
      </c>
      <c r="B303" s="19">
        <v>68.31</v>
      </c>
      <c r="C303" t="s">
        <v>38</v>
      </c>
      <c r="D303" t="str">
        <f>T_Stocks[[#This Row],[Ticker]] &amp; "-" &amp; DATE(YEAR(T_Stocks[[#This Row],[Fecha]]),MONTH(T_Stocks[[#This Row],[Fecha]]),DAY(T_Stocks[[#This Row],[Fecha]]))</f>
        <v>AAPL-43934</v>
      </c>
    </row>
    <row r="304" spans="1:4" ht="14.65" thickBot="1" x14ac:dyDescent="0.5">
      <c r="A304" s="17">
        <v>43935.666666666664</v>
      </c>
      <c r="B304" s="19">
        <v>71.760000000000005</v>
      </c>
      <c r="C304" t="s">
        <v>38</v>
      </c>
      <c r="D304" t="str">
        <f>T_Stocks[[#This Row],[Ticker]] &amp; "-" &amp; DATE(YEAR(T_Stocks[[#This Row],[Fecha]]),MONTH(T_Stocks[[#This Row],[Fecha]]),DAY(T_Stocks[[#This Row],[Fecha]]))</f>
        <v>AAPL-43935</v>
      </c>
    </row>
    <row r="305" spans="1:4" ht="14.65" thickBot="1" x14ac:dyDescent="0.5">
      <c r="A305" s="17">
        <v>43936.666666666664</v>
      </c>
      <c r="B305" s="19">
        <v>71.11</v>
      </c>
      <c r="C305" t="s">
        <v>38</v>
      </c>
      <c r="D305" t="str">
        <f>T_Stocks[[#This Row],[Ticker]] &amp; "-" &amp; DATE(YEAR(T_Stocks[[#This Row],[Fecha]]),MONTH(T_Stocks[[#This Row],[Fecha]]),DAY(T_Stocks[[#This Row],[Fecha]]))</f>
        <v>AAPL-43936</v>
      </c>
    </row>
    <row r="306" spans="1:4" ht="14.65" thickBot="1" x14ac:dyDescent="0.5">
      <c r="A306" s="17">
        <v>43937.666666666664</v>
      </c>
      <c r="B306" s="19">
        <v>71.67</v>
      </c>
      <c r="C306" t="s">
        <v>38</v>
      </c>
      <c r="D306" t="str">
        <f>T_Stocks[[#This Row],[Ticker]] &amp; "-" &amp; DATE(YEAR(T_Stocks[[#This Row],[Fecha]]),MONTH(T_Stocks[[#This Row],[Fecha]]),DAY(T_Stocks[[#This Row],[Fecha]]))</f>
        <v>AAPL-43937</v>
      </c>
    </row>
    <row r="307" spans="1:4" ht="14.65" thickBot="1" x14ac:dyDescent="0.5">
      <c r="A307" s="17">
        <v>43938.666666666664</v>
      </c>
      <c r="B307" s="19">
        <v>70.7</v>
      </c>
      <c r="C307" t="s">
        <v>38</v>
      </c>
      <c r="D307" t="str">
        <f>T_Stocks[[#This Row],[Ticker]] &amp; "-" &amp; DATE(YEAR(T_Stocks[[#This Row],[Fecha]]),MONTH(T_Stocks[[#This Row],[Fecha]]),DAY(T_Stocks[[#This Row],[Fecha]]))</f>
        <v>AAPL-43938</v>
      </c>
    </row>
    <row r="308" spans="1:4" ht="14.65" thickBot="1" x14ac:dyDescent="0.5">
      <c r="A308" s="17">
        <v>43941.666666666664</v>
      </c>
      <c r="B308" s="19">
        <v>69.23</v>
      </c>
      <c r="C308" t="s">
        <v>38</v>
      </c>
      <c r="D308" t="str">
        <f>T_Stocks[[#This Row],[Ticker]] &amp; "-" &amp; DATE(YEAR(T_Stocks[[#This Row],[Fecha]]),MONTH(T_Stocks[[#This Row],[Fecha]]),DAY(T_Stocks[[#This Row],[Fecha]]))</f>
        <v>AAPL-43941</v>
      </c>
    </row>
    <row r="309" spans="1:4" ht="14.65" thickBot="1" x14ac:dyDescent="0.5">
      <c r="A309" s="17">
        <v>43942.666666666664</v>
      </c>
      <c r="B309" s="19">
        <v>67.09</v>
      </c>
      <c r="C309" t="s">
        <v>38</v>
      </c>
      <c r="D309" t="str">
        <f>T_Stocks[[#This Row],[Ticker]] &amp; "-" &amp; DATE(YEAR(T_Stocks[[#This Row],[Fecha]]),MONTH(T_Stocks[[#This Row],[Fecha]]),DAY(T_Stocks[[#This Row],[Fecha]]))</f>
        <v>AAPL-43942</v>
      </c>
    </row>
    <row r="310" spans="1:4" ht="14.65" thickBot="1" x14ac:dyDescent="0.5">
      <c r="A310" s="17">
        <v>43943.666666666664</v>
      </c>
      <c r="B310" s="19">
        <v>69.03</v>
      </c>
      <c r="C310" t="s">
        <v>38</v>
      </c>
      <c r="D310" t="str">
        <f>T_Stocks[[#This Row],[Ticker]] &amp; "-" &amp; DATE(YEAR(T_Stocks[[#This Row],[Fecha]]),MONTH(T_Stocks[[#This Row],[Fecha]]),DAY(T_Stocks[[#This Row],[Fecha]]))</f>
        <v>AAPL-43943</v>
      </c>
    </row>
    <row r="311" spans="1:4" ht="14.65" thickBot="1" x14ac:dyDescent="0.5">
      <c r="A311" s="17">
        <v>43944.666666666664</v>
      </c>
      <c r="B311" s="19">
        <v>68.760000000000005</v>
      </c>
      <c r="C311" t="s">
        <v>38</v>
      </c>
      <c r="D311" t="str">
        <f>T_Stocks[[#This Row],[Ticker]] &amp; "-" &amp; DATE(YEAR(T_Stocks[[#This Row],[Fecha]]),MONTH(T_Stocks[[#This Row],[Fecha]]),DAY(T_Stocks[[#This Row],[Fecha]]))</f>
        <v>AAPL-43944</v>
      </c>
    </row>
    <row r="312" spans="1:4" ht="14.65" thickBot="1" x14ac:dyDescent="0.5">
      <c r="A312" s="17">
        <v>43945.666666666664</v>
      </c>
      <c r="B312" s="19">
        <v>70.739999999999995</v>
      </c>
      <c r="C312" t="s">
        <v>38</v>
      </c>
      <c r="D312" t="str">
        <f>T_Stocks[[#This Row],[Ticker]] &amp; "-" &amp; DATE(YEAR(T_Stocks[[#This Row],[Fecha]]),MONTH(T_Stocks[[#This Row],[Fecha]]),DAY(T_Stocks[[#This Row],[Fecha]]))</f>
        <v>AAPL-43945</v>
      </c>
    </row>
    <row r="313" spans="1:4" ht="14.65" thickBot="1" x14ac:dyDescent="0.5">
      <c r="A313" s="17">
        <v>43948.666666666664</v>
      </c>
      <c r="B313" s="19">
        <v>70.790000000000006</v>
      </c>
      <c r="C313" t="s">
        <v>38</v>
      </c>
      <c r="D313" t="str">
        <f>T_Stocks[[#This Row],[Ticker]] &amp; "-" &amp; DATE(YEAR(T_Stocks[[#This Row],[Fecha]]),MONTH(T_Stocks[[#This Row],[Fecha]]),DAY(T_Stocks[[#This Row],[Fecha]]))</f>
        <v>AAPL-43948</v>
      </c>
    </row>
    <row r="314" spans="1:4" ht="14.65" thickBot="1" x14ac:dyDescent="0.5">
      <c r="A314" s="17">
        <v>43949.666666666664</v>
      </c>
      <c r="B314" s="19">
        <v>69.650000000000006</v>
      </c>
      <c r="C314" t="s">
        <v>38</v>
      </c>
      <c r="D314" t="str">
        <f>T_Stocks[[#This Row],[Ticker]] &amp; "-" &amp; DATE(YEAR(T_Stocks[[#This Row],[Fecha]]),MONTH(T_Stocks[[#This Row],[Fecha]]),DAY(T_Stocks[[#This Row],[Fecha]]))</f>
        <v>AAPL-43949</v>
      </c>
    </row>
    <row r="315" spans="1:4" ht="14.65" thickBot="1" x14ac:dyDescent="0.5">
      <c r="A315" s="17">
        <v>43950.666666666664</v>
      </c>
      <c r="B315" s="19">
        <v>71.930000000000007</v>
      </c>
      <c r="C315" t="s">
        <v>38</v>
      </c>
      <c r="D315" t="str">
        <f>T_Stocks[[#This Row],[Ticker]] &amp; "-" &amp; DATE(YEAR(T_Stocks[[#This Row],[Fecha]]),MONTH(T_Stocks[[#This Row],[Fecha]]),DAY(T_Stocks[[#This Row],[Fecha]]))</f>
        <v>AAPL-43950</v>
      </c>
    </row>
    <row r="316" spans="1:4" ht="14.65" thickBot="1" x14ac:dyDescent="0.5">
      <c r="A316" s="17">
        <v>43951.666666666664</v>
      </c>
      <c r="B316" s="19">
        <v>73.45</v>
      </c>
      <c r="C316" t="s">
        <v>38</v>
      </c>
      <c r="D316" t="str">
        <f>T_Stocks[[#This Row],[Ticker]] &amp; "-" &amp; DATE(YEAR(T_Stocks[[#This Row],[Fecha]]),MONTH(T_Stocks[[#This Row],[Fecha]]),DAY(T_Stocks[[#This Row],[Fecha]]))</f>
        <v>AAPL-43951</v>
      </c>
    </row>
    <row r="317" spans="1:4" ht="14.65" thickBot="1" x14ac:dyDescent="0.5">
      <c r="A317" s="17">
        <v>43952.666666666664</v>
      </c>
      <c r="B317" s="19">
        <v>72.27</v>
      </c>
      <c r="C317" t="s">
        <v>38</v>
      </c>
      <c r="D317" t="str">
        <f>T_Stocks[[#This Row],[Ticker]] &amp; "-" &amp; DATE(YEAR(T_Stocks[[#This Row],[Fecha]]),MONTH(T_Stocks[[#This Row],[Fecha]]),DAY(T_Stocks[[#This Row],[Fecha]]))</f>
        <v>AAPL-43952</v>
      </c>
    </row>
    <row r="318" spans="1:4" ht="14.65" thickBot="1" x14ac:dyDescent="0.5">
      <c r="A318" s="17">
        <v>43955.666666666664</v>
      </c>
      <c r="B318" s="19">
        <v>73.290000000000006</v>
      </c>
      <c r="C318" t="s">
        <v>38</v>
      </c>
      <c r="D318" t="str">
        <f>T_Stocks[[#This Row],[Ticker]] &amp; "-" &amp; DATE(YEAR(T_Stocks[[#This Row],[Fecha]]),MONTH(T_Stocks[[#This Row],[Fecha]]),DAY(T_Stocks[[#This Row],[Fecha]]))</f>
        <v>AAPL-43955</v>
      </c>
    </row>
    <row r="319" spans="1:4" ht="14.65" thickBot="1" x14ac:dyDescent="0.5">
      <c r="A319" s="17">
        <v>43956.666666666664</v>
      </c>
      <c r="B319" s="19">
        <v>74.39</v>
      </c>
      <c r="C319" t="s">
        <v>38</v>
      </c>
      <c r="D319" t="str">
        <f>T_Stocks[[#This Row],[Ticker]] &amp; "-" &amp; DATE(YEAR(T_Stocks[[#This Row],[Fecha]]),MONTH(T_Stocks[[#This Row],[Fecha]]),DAY(T_Stocks[[#This Row],[Fecha]]))</f>
        <v>AAPL-43956</v>
      </c>
    </row>
    <row r="320" spans="1:4" ht="14.65" thickBot="1" x14ac:dyDescent="0.5">
      <c r="A320" s="17">
        <v>43957.666666666664</v>
      </c>
      <c r="B320" s="19">
        <v>75.16</v>
      </c>
      <c r="C320" t="s">
        <v>38</v>
      </c>
      <c r="D320" t="str">
        <f>T_Stocks[[#This Row],[Ticker]] &amp; "-" &amp; DATE(YEAR(T_Stocks[[#This Row],[Fecha]]),MONTH(T_Stocks[[#This Row],[Fecha]]),DAY(T_Stocks[[#This Row],[Fecha]]))</f>
        <v>AAPL-43957</v>
      </c>
    </row>
    <row r="321" spans="1:4" ht="14.65" thickBot="1" x14ac:dyDescent="0.5">
      <c r="A321" s="17">
        <v>43958.666666666664</v>
      </c>
      <c r="B321" s="19">
        <v>75.94</v>
      </c>
      <c r="C321" t="s">
        <v>38</v>
      </c>
      <c r="D321" t="str">
        <f>T_Stocks[[#This Row],[Ticker]] &amp; "-" &amp; DATE(YEAR(T_Stocks[[#This Row],[Fecha]]),MONTH(T_Stocks[[#This Row],[Fecha]]),DAY(T_Stocks[[#This Row],[Fecha]]))</f>
        <v>AAPL-43958</v>
      </c>
    </row>
    <row r="322" spans="1:4" ht="14.65" thickBot="1" x14ac:dyDescent="0.5">
      <c r="A322" s="17">
        <v>43959.666666666664</v>
      </c>
      <c r="B322" s="19">
        <v>77.53</v>
      </c>
      <c r="C322" t="s">
        <v>38</v>
      </c>
      <c r="D322" t="str">
        <f>T_Stocks[[#This Row],[Ticker]] &amp; "-" &amp; DATE(YEAR(T_Stocks[[#This Row],[Fecha]]),MONTH(T_Stocks[[#This Row],[Fecha]]),DAY(T_Stocks[[#This Row],[Fecha]]))</f>
        <v>AAPL-43959</v>
      </c>
    </row>
    <row r="323" spans="1:4" ht="14.65" thickBot="1" x14ac:dyDescent="0.5">
      <c r="A323" s="17">
        <v>43962.666666666664</v>
      </c>
      <c r="B323" s="19">
        <v>78.75</v>
      </c>
      <c r="C323" t="s">
        <v>38</v>
      </c>
      <c r="D323" t="str">
        <f>T_Stocks[[#This Row],[Ticker]] &amp; "-" &amp; DATE(YEAR(T_Stocks[[#This Row],[Fecha]]),MONTH(T_Stocks[[#This Row],[Fecha]]),DAY(T_Stocks[[#This Row],[Fecha]]))</f>
        <v>AAPL-43962</v>
      </c>
    </row>
    <row r="324" spans="1:4" ht="14.65" thickBot="1" x14ac:dyDescent="0.5">
      <c r="A324" s="17">
        <v>43963.666666666664</v>
      </c>
      <c r="B324" s="19">
        <v>77.849999999999994</v>
      </c>
      <c r="C324" t="s">
        <v>38</v>
      </c>
      <c r="D324" t="str">
        <f>T_Stocks[[#This Row],[Ticker]] &amp; "-" &amp; DATE(YEAR(T_Stocks[[#This Row],[Fecha]]),MONTH(T_Stocks[[#This Row],[Fecha]]),DAY(T_Stocks[[#This Row],[Fecha]]))</f>
        <v>AAPL-43963</v>
      </c>
    </row>
    <row r="325" spans="1:4" ht="14.65" thickBot="1" x14ac:dyDescent="0.5">
      <c r="A325" s="17">
        <v>43964.666666666664</v>
      </c>
      <c r="B325" s="19">
        <v>76.91</v>
      </c>
      <c r="C325" t="s">
        <v>38</v>
      </c>
      <c r="D325" t="str">
        <f>T_Stocks[[#This Row],[Ticker]] &amp; "-" &amp; DATE(YEAR(T_Stocks[[#This Row],[Fecha]]),MONTH(T_Stocks[[#This Row],[Fecha]]),DAY(T_Stocks[[#This Row],[Fecha]]))</f>
        <v>AAPL-43964</v>
      </c>
    </row>
    <row r="326" spans="1:4" ht="14.65" thickBot="1" x14ac:dyDescent="0.5">
      <c r="A326" s="17">
        <v>43965.666666666664</v>
      </c>
      <c r="B326" s="19">
        <v>77.39</v>
      </c>
      <c r="C326" t="s">
        <v>38</v>
      </c>
      <c r="D326" t="str">
        <f>T_Stocks[[#This Row],[Ticker]] &amp; "-" &amp; DATE(YEAR(T_Stocks[[#This Row],[Fecha]]),MONTH(T_Stocks[[#This Row],[Fecha]]),DAY(T_Stocks[[#This Row],[Fecha]]))</f>
        <v>AAPL-43965</v>
      </c>
    </row>
    <row r="327" spans="1:4" ht="14.65" thickBot="1" x14ac:dyDescent="0.5">
      <c r="A327" s="17">
        <v>43966.666666666664</v>
      </c>
      <c r="B327" s="19">
        <v>76.930000000000007</v>
      </c>
      <c r="C327" t="s">
        <v>38</v>
      </c>
      <c r="D327" t="str">
        <f>T_Stocks[[#This Row],[Ticker]] &amp; "-" &amp; DATE(YEAR(T_Stocks[[#This Row],[Fecha]]),MONTH(T_Stocks[[#This Row],[Fecha]]),DAY(T_Stocks[[#This Row],[Fecha]]))</f>
        <v>AAPL-43966</v>
      </c>
    </row>
    <row r="328" spans="1:4" ht="14.65" thickBot="1" x14ac:dyDescent="0.5">
      <c r="A328" s="17">
        <v>43969.666666666664</v>
      </c>
      <c r="B328" s="19">
        <v>78.739999999999995</v>
      </c>
      <c r="C328" t="s">
        <v>38</v>
      </c>
      <c r="D328" t="str">
        <f>T_Stocks[[#This Row],[Ticker]] &amp; "-" &amp; DATE(YEAR(T_Stocks[[#This Row],[Fecha]]),MONTH(T_Stocks[[#This Row],[Fecha]]),DAY(T_Stocks[[#This Row],[Fecha]]))</f>
        <v>AAPL-43969</v>
      </c>
    </row>
    <row r="329" spans="1:4" ht="14.65" thickBot="1" x14ac:dyDescent="0.5">
      <c r="A329" s="17">
        <v>43970.666666666664</v>
      </c>
      <c r="B329" s="19">
        <v>78.290000000000006</v>
      </c>
      <c r="C329" t="s">
        <v>38</v>
      </c>
      <c r="D329" t="str">
        <f>T_Stocks[[#This Row],[Ticker]] &amp; "-" &amp; DATE(YEAR(T_Stocks[[#This Row],[Fecha]]),MONTH(T_Stocks[[#This Row],[Fecha]]),DAY(T_Stocks[[#This Row],[Fecha]]))</f>
        <v>AAPL-43970</v>
      </c>
    </row>
    <row r="330" spans="1:4" ht="14.65" thickBot="1" x14ac:dyDescent="0.5">
      <c r="A330" s="17">
        <v>43971.666666666664</v>
      </c>
      <c r="B330" s="19">
        <v>79.81</v>
      </c>
      <c r="C330" t="s">
        <v>38</v>
      </c>
      <c r="D330" t="str">
        <f>T_Stocks[[#This Row],[Ticker]] &amp; "-" &amp; DATE(YEAR(T_Stocks[[#This Row],[Fecha]]),MONTH(T_Stocks[[#This Row],[Fecha]]),DAY(T_Stocks[[#This Row],[Fecha]]))</f>
        <v>AAPL-43971</v>
      </c>
    </row>
    <row r="331" spans="1:4" ht="14.65" thickBot="1" x14ac:dyDescent="0.5">
      <c r="A331" s="17">
        <v>43972.666666666664</v>
      </c>
      <c r="B331" s="19">
        <v>79.209999999999994</v>
      </c>
      <c r="C331" t="s">
        <v>38</v>
      </c>
      <c r="D331" t="str">
        <f>T_Stocks[[#This Row],[Ticker]] &amp; "-" &amp; DATE(YEAR(T_Stocks[[#This Row],[Fecha]]),MONTH(T_Stocks[[#This Row],[Fecha]]),DAY(T_Stocks[[#This Row],[Fecha]]))</f>
        <v>AAPL-43972</v>
      </c>
    </row>
    <row r="332" spans="1:4" ht="14.65" thickBot="1" x14ac:dyDescent="0.5">
      <c r="A332" s="17">
        <v>43973.666666666664</v>
      </c>
      <c r="B332" s="19">
        <v>79.72</v>
      </c>
      <c r="C332" t="s">
        <v>38</v>
      </c>
      <c r="D332" t="str">
        <f>T_Stocks[[#This Row],[Ticker]] &amp; "-" &amp; DATE(YEAR(T_Stocks[[#This Row],[Fecha]]),MONTH(T_Stocks[[#This Row],[Fecha]]),DAY(T_Stocks[[#This Row],[Fecha]]))</f>
        <v>AAPL-43973</v>
      </c>
    </row>
    <row r="333" spans="1:4" ht="14.65" thickBot="1" x14ac:dyDescent="0.5">
      <c r="A333" s="17">
        <v>43977.666666666664</v>
      </c>
      <c r="B333" s="19">
        <v>79.180000000000007</v>
      </c>
      <c r="C333" t="s">
        <v>38</v>
      </c>
      <c r="D333" t="str">
        <f>T_Stocks[[#This Row],[Ticker]] &amp; "-" &amp; DATE(YEAR(T_Stocks[[#This Row],[Fecha]]),MONTH(T_Stocks[[#This Row],[Fecha]]),DAY(T_Stocks[[#This Row],[Fecha]]))</f>
        <v>AAPL-43977</v>
      </c>
    </row>
    <row r="334" spans="1:4" ht="14.65" thickBot="1" x14ac:dyDescent="0.5">
      <c r="A334" s="17">
        <v>43978.666666666664</v>
      </c>
      <c r="B334" s="19">
        <v>79.53</v>
      </c>
      <c r="C334" t="s">
        <v>38</v>
      </c>
      <c r="D334" t="str">
        <f>T_Stocks[[#This Row],[Ticker]] &amp; "-" &amp; DATE(YEAR(T_Stocks[[#This Row],[Fecha]]),MONTH(T_Stocks[[#This Row],[Fecha]]),DAY(T_Stocks[[#This Row],[Fecha]]))</f>
        <v>AAPL-43978</v>
      </c>
    </row>
    <row r="335" spans="1:4" ht="14.65" thickBot="1" x14ac:dyDescent="0.5">
      <c r="A335" s="17">
        <v>43979.666666666664</v>
      </c>
      <c r="B335" s="19">
        <v>79.56</v>
      </c>
      <c r="C335" t="s">
        <v>38</v>
      </c>
      <c r="D335" t="str">
        <f>T_Stocks[[#This Row],[Ticker]] &amp; "-" &amp; DATE(YEAR(T_Stocks[[#This Row],[Fecha]]),MONTH(T_Stocks[[#This Row],[Fecha]]),DAY(T_Stocks[[#This Row],[Fecha]]))</f>
        <v>AAPL-43979</v>
      </c>
    </row>
    <row r="336" spans="1:4" ht="14.65" thickBot="1" x14ac:dyDescent="0.5">
      <c r="A336" s="17">
        <v>43980.666666666664</v>
      </c>
      <c r="B336" s="19">
        <v>79.489999999999995</v>
      </c>
      <c r="C336" t="s">
        <v>38</v>
      </c>
      <c r="D336" t="str">
        <f>T_Stocks[[#This Row],[Ticker]] &amp; "-" &amp; DATE(YEAR(T_Stocks[[#This Row],[Fecha]]),MONTH(T_Stocks[[#This Row],[Fecha]]),DAY(T_Stocks[[#This Row],[Fecha]]))</f>
        <v>AAPL-43980</v>
      </c>
    </row>
    <row r="337" spans="1:4" ht="14.65" thickBot="1" x14ac:dyDescent="0.5">
      <c r="A337" s="17">
        <v>43983.666666666664</v>
      </c>
      <c r="B337" s="19">
        <v>80.459999999999994</v>
      </c>
      <c r="C337" t="s">
        <v>38</v>
      </c>
      <c r="D337" t="str">
        <f>T_Stocks[[#This Row],[Ticker]] &amp; "-" &amp; DATE(YEAR(T_Stocks[[#This Row],[Fecha]]),MONTH(T_Stocks[[#This Row],[Fecha]]),DAY(T_Stocks[[#This Row],[Fecha]]))</f>
        <v>AAPL-43983</v>
      </c>
    </row>
    <row r="338" spans="1:4" ht="14.65" thickBot="1" x14ac:dyDescent="0.5">
      <c r="A338" s="17">
        <v>43984.666666666664</v>
      </c>
      <c r="B338" s="19">
        <v>80.83</v>
      </c>
      <c r="C338" t="s">
        <v>38</v>
      </c>
      <c r="D338" t="str">
        <f>T_Stocks[[#This Row],[Ticker]] &amp; "-" &amp; DATE(YEAR(T_Stocks[[#This Row],[Fecha]]),MONTH(T_Stocks[[#This Row],[Fecha]]),DAY(T_Stocks[[#This Row],[Fecha]]))</f>
        <v>AAPL-43984</v>
      </c>
    </row>
    <row r="339" spans="1:4" ht="14.65" thickBot="1" x14ac:dyDescent="0.5">
      <c r="A339" s="17">
        <v>43985.666666666664</v>
      </c>
      <c r="B339" s="19">
        <v>81.28</v>
      </c>
      <c r="C339" t="s">
        <v>38</v>
      </c>
      <c r="D339" t="str">
        <f>T_Stocks[[#This Row],[Ticker]] &amp; "-" &amp; DATE(YEAR(T_Stocks[[#This Row],[Fecha]]),MONTH(T_Stocks[[#This Row],[Fecha]]),DAY(T_Stocks[[#This Row],[Fecha]]))</f>
        <v>AAPL-43985</v>
      </c>
    </row>
    <row r="340" spans="1:4" ht="14.65" thickBot="1" x14ac:dyDescent="0.5">
      <c r="A340" s="17">
        <v>43986.666666666664</v>
      </c>
      <c r="B340" s="19">
        <v>80.58</v>
      </c>
      <c r="C340" t="s">
        <v>38</v>
      </c>
      <c r="D340" t="str">
        <f>T_Stocks[[#This Row],[Ticker]] &amp; "-" &amp; DATE(YEAR(T_Stocks[[#This Row],[Fecha]]),MONTH(T_Stocks[[#This Row],[Fecha]]),DAY(T_Stocks[[#This Row],[Fecha]]))</f>
        <v>AAPL-43986</v>
      </c>
    </row>
    <row r="341" spans="1:4" ht="14.65" thickBot="1" x14ac:dyDescent="0.5">
      <c r="A341" s="17">
        <v>43987.666666666664</v>
      </c>
      <c r="B341" s="19">
        <v>82.88</v>
      </c>
      <c r="C341" t="s">
        <v>38</v>
      </c>
      <c r="D341" t="str">
        <f>T_Stocks[[#This Row],[Ticker]] &amp; "-" &amp; DATE(YEAR(T_Stocks[[#This Row],[Fecha]]),MONTH(T_Stocks[[#This Row],[Fecha]]),DAY(T_Stocks[[#This Row],[Fecha]]))</f>
        <v>AAPL-43987</v>
      </c>
    </row>
    <row r="342" spans="1:4" ht="14.65" thickBot="1" x14ac:dyDescent="0.5">
      <c r="A342" s="17">
        <v>43990.666666666664</v>
      </c>
      <c r="B342" s="19">
        <v>83.37</v>
      </c>
      <c r="C342" t="s">
        <v>38</v>
      </c>
      <c r="D342" t="str">
        <f>T_Stocks[[#This Row],[Ticker]] &amp; "-" &amp; DATE(YEAR(T_Stocks[[#This Row],[Fecha]]),MONTH(T_Stocks[[#This Row],[Fecha]]),DAY(T_Stocks[[#This Row],[Fecha]]))</f>
        <v>AAPL-43990</v>
      </c>
    </row>
    <row r="343" spans="1:4" ht="14.65" thickBot="1" x14ac:dyDescent="0.5">
      <c r="A343" s="17">
        <v>43991.666666666664</v>
      </c>
      <c r="B343" s="19">
        <v>86</v>
      </c>
      <c r="C343" t="s">
        <v>38</v>
      </c>
      <c r="D343" t="str">
        <f>T_Stocks[[#This Row],[Ticker]] &amp; "-" &amp; DATE(YEAR(T_Stocks[[#This Row],[Fecha]]),MONTH(T_Stocks[[#This Row],[Fecha]]),DAY(T_Stocks[[#This Row],[Fecha]]))</f>
        <v>AAPL-43991</v>
      </c>
    </row>
    <row r="344" spans="1:4" ht="14.65" thickBot="1" x14ac:dyDescent="0.5">
      <c r="A344" s="17">
        <v>43992.666666666664</v>
      </c>
      <c r="B344" s="19">
        <v>88.21</v>
      </c>
      <c r="C344" t="s">
        <v>38</v>
      </c>
      <c r="D344" t="str">
        <f>T_Stocks[[#This Row],[Ticker]] &amp; "-" &amp; DATE(YEAR(T_Stocks[[#This Row],[Fecha]]),MONTH(T_Stocks[[#This Row],[Fecha]]),DAY(T_Stocks[[#This Row],[Fecha]]))</f>
        <v>AAPL-43992</v>
      </c>
    </row>
    <row r="345" spans="1:4" ht="14.65" thickBot="1" x14ac:dyDescent="0.5">
      <c r="A345" s="17">
        <v>43993.666666666664</v>
      </c>
      <c r="B345" s="19">
        <v>83.98</v>
      </c>
      <c r="C345" t="s">
        <v>38</v>
      </c>
      <c r="D345" t="str">
        <f>T_Stocks[[#This Row],[Ticker]] &amp; "-" &amp; DATE(YEAR(T_Stocks[[#This Row],[Fecha]]),MONTH(T_Stocks[[#This Row],[Fecha]]),DAY(T_Stocks[[#This Row],[Fecha]]))</f>
        <v>AAPL-43993</v>
      </c>
    </row>
    <row r="346" spans="1:4" ht="14.65" thickBot="1" x14ac:dyDescent="0.5">
      <c r="A346" s="17">
        <v>43994.666666666664</v>
      </c>
      <c r="B346" s="19">
        <v>84.7</v>
      </c>
      <c r="C346" t="s">
        <v>38</v>
      </c>
      <c r="D346" t="str">
        <f>T_Stocks[[#This Row],[Ticker]] &amp; "-" &amp; DATE(YEAR(T_Stocks[[#This Row],[Fecha]]),MONTH(T_Stocks[[#This Row],[Fecha]]),DAY(T_Stocks[[#This Row],[Fecha]]))</f>
        <v>AAPL-43994</v>
      </c>
    </row>
    <row r="347" spans="1:4" ht="14.65" thickBot="1" x14ac:dyDescent="0.5">
      <c r="A347" s="17">
        <v>43997.666666666664</v>
      </c>
      <c r="B347" s="19">
        <v>85.75</v>
      </c>
      <c r="C347" t="s">
        <v>38</v>
      </c>
      <c r="D347" t="str">
        <f>T_Stocks[[#This Row],[Ticker]] &amp; "-" &amp; DATE(YEAR(T_Stocks[[#This Row],[Fecha]]),MONTH(T_Stocks[[#This Row],[Fecha]]),DAY(T_Stocks[[#This Row],[Fecha]]))</f>
        <v>AAPL-43997</v>
      </c>
    </row>
    <row r="348" spans="1:4" ht="14.65" thickBot="1" x14ac:dyDescent="0.5">
      <c r="A348" s="17">
        <v>43998.666666666664</v>
      </c>
      <c r="B348" s="19">
        <v>88.02</v>
      </c>
      <c r="C348" t="s">
        <v>38</v>
      </c>
      <c r="D348" t="str">
        <f>T_Stocks[[#This Row],[Ticker]] &amp; "-" &amp; DATE(YEAR(T_Stocks[[#This Row],[Fecha]]),MONTH(T_Stocks[[#This Row],[Fecha]]),DAY(T_Stocks[[#This Row],[Fecha]]))</f>
        <v>AAPL-43998</v>
      </c>
    </row>
    <row r="349" spans="1:4" ht="14.65" thickBot="1" x14ac:dyDescent="0.5">
      <c r="A349" s="17">
        <v>43999.666666666664</v>
      </c>
      <c r="B349" s="19">
        <v>87.9</v>
      </c>
      <c r="C349" t="s">
        <v>38</v>
      </c>
      <c r="D349" t="str">
        <f>T_Stocks[[#This Row],[Ticker]] &amp; "-" &amp; DATE(YEAR(T_Stocks[[#This Row],[Fecha]]),MONTH(T_Stocks[[#This Row],[Fecha]]),DAY(T_Stocks[[#This Row],[Fecha]]))</f>
        <v>AAPL-43999</v>
      </c>
    </row>
    <row r="350" spans="1:4" ht="14.65" thickBot="1" x14ac:dyDescent="0.5">
      <c r="A350" s="17">
        <v>44000.666666666664</v>
      </c>
      <c r="B350" s="19">
        <v>87.93</v>
      </c>
      <c r="C350" t="s">
        <v>38</v>
      </c>
      <c r="D350" t="str">
        <f>T_Stocks[[#This Row],[Ticker]] &amp; "-" &amp; DATE(YEAR(T_Stocks[[#This Row],[Fecha]]),MONTH(T_Stocks[[#This Row],[Fecha]]),DAY(T_Stocks[[#This Row],[Fecha]]))</f>
        <v>AAPL-44000</v>
      </c>
    </row>
    <row r="351" spans="1:4" ht="14.65" thickBot="1" x14ac:dyDescent="0.5">
      <c r="A351" s="17">
        <v>44001.666666666664</v>
      </c>
      <c r="B351" s="19">
        <v>87.43</v>
      </c>
      <c r="C351" t="s">
        <v>38</v>
      </c>
      <c r="D351" t="str">
        <f>T_Stocks[[#This Row],[Ticker]] &amp; "-" &amp; DATE(YEAR(T_Stocks[[#This Row],[Fecha]]),MONTH(T_Stocks[[#This Row],[Fecha]]),DAY(T_Stocks[[#This Row],[Fecha]]))</f>
        <v>AAPL-44001</v>
      </c>
    </row>
    <row r="352" spans="1:4" ht="14.65" thickBot="1" x14ac:dyDescent="0.5">
      <c r="A352" s="17">
        <v>44004.666666666664</v>
      </c>
      <c r="B352" s="19">
        <v>89.72</v>
      </c>
      <c r="C352" t="s">
        <v>38</v>
      </c>
      <c r="D352" t="str">
        <f>T_Stocks[[#This Row],[Ticker]] &amp; "-" &amp; DATE(YEAR(T_Stocks[[#This Row],[Fecha]]),MONTH(T_Stocks[[#This Row],[Fecha]]),DAY(T_Stocks[[#This Row],[Fecha]]))</f>
        <v>AAPL-44004</v>
      </c>
    </row>
    <row r="353" spans="1:4" ht="14.65" thickBot="1" x14ac:dyDescent="0.5">
      <c r="A353" s="17">
        <v>44005.666666666664</v>
      </c>
      <c r="B353" s="19">
        <v>91.63</v>
      </c>
      <c r="C353" t="s">
        <v>38</v>
      </c>
      <c r="D353" t="str">
        <f>T_Stocks[[#This Row],[Ticker]] &amp; "-" &amp; DATE(YEAR(T_Stocks[[#This Row],[Fecha]]),MONTH(T_Stocks[[#This Row],[Fecha]]),DAY(T_Stocks[[#This Row],[Fecha]]))</f>
        <v>AAPL-44005</v>
      </c>
    </row>
    <row r="354" spans="1:4" ht="14.65" thickBot="1" x14ac:dyDescent="0.5">
      <c r="A354" s="17">
        <v>44006.666666666664</v>
      </c>
      <c r="B354" s="19">
        <v>90.02</v>
      </c>
      <c r="C354" t="s">
        <v>38</v>
      </c>
      <c r="D354" t="str">
        <f>T_Stocks[[#This Row],[Ticker]] &amp; "-" &amp; DATE(YEAR(T_Stocks[[#This Row],[Fecha]]),MONTH(T_Stocks[[#This Row],[Fecha]]),DAY(T_Stocks[[#This Row],[Fecha]]))</f>
        <v>AAPL-44006</v>
      </c>
    </row>
    <row r="355" spans="1:4" ht="14.65" thickBot="1" x14ac:dyDescent="0.5">
      <c r="A355" s="17">
        <v>44007.666666666664</v>
      </c>
      <c r="B355" s="19">
        <v>91.21</v>
      </c>
      <c r="C355" t="s">
        <v>38</v>
      </c>
      <c r="D355" t="str">
        <f>T_Stocks[[#This Row],[Ticker]] &amp; "-" &amp; DATE(YEAR(T_Stocks[[#This Row],[Fecha]]),MONTH(T_Stocks[[#This Row],[Fecha]]),DAY(T_Stocks[[#This Row],[Fecha]]))</f>
        <v>AAPL-44007</v>
      </c>
    </row>
    <row r="356" spans="1:4" ht="14.65" thickBot="1" x14ac:dyDescent="0.5">
      <c r="A356" s="17">
        <v>44008.666666666664</v>
      </c>
      <c r="B356" s="19">
        <v>88.41</v>
      </c>
      <c r="C356" t="s">
        <v>38</v>
      </c>
      <c r="D356" t="str">
        <f>T_Stocks[[#This Row],[Ticker]] &amp; "-" &amp; DATE(YEAR(T_Stocks[[#This Row],[Fecha]]),MONTH(T_Stocks[[#This Row],[Fecha]]),DAY(T_Stocks[[#This Row],[Fecha]]))</f>
        <v>AAPL-44008</v>
      </c>
    </row>
    <row r="357" spans="1:4" ht="14.65" thickBot="1" x14ac:dyDescent="0.5">
      <c r="A357" s="17">
        <v>44011.666666666664</v>
      </c>
      <c r="B357" s="19">
        <v>90.45</v>
      </c>
      <c r="C357" t="s">
        <v>38</v>
      </c>
      <c r="D357" t="str">
        <f>T_Stocks[[#This Row],[Ticker]] &amp; "-" &amp; DATE(YEAR(T_Stocks[[#This Row],[Fecha]]),MONTH(T_Stocks[[#This Row],[Fecha]]),DAY(T_Stocks[[#This Row],[Fecha]]))</f>
        <v>AAPL-44011</v>
      </c>
    </row>
    <row r="358" spans="1:4" ht="14.65" thickBot="1" x14ac:dyDescent="0.5">
      <c r="A358" s="17">
        <v>44012.666666666664</v>
      </c>
      <c r="B358" s="19">
        <v>91.2</v>
      </c>
      <c r="C358" t="s">
        <v>38</v>
      </c>
      <c r="D358" t="str">
        <f>T_Stocks[[#This Row],[Ticker]] &amp; "-" &amp; DATE(YEAR(T_Stocks[[#This Row],[Fecha]]),MONTH(T_Stocks[[#This Row],[Fecha]]),DAY(T_Stocks[[#This Row],[Fecha]]))</f>
        <v>AAPL-44012</v>
      </c>
    </row>
    <row r="359" spans="1:4" ht="14.65" thickBot="1" x14ac:dyDescent="0.5">
      <c r="A359" s="17">
        <v>44013.666666666664</v>
      </c>
      <c r="B359" s="19">
        <v>91.03</v>
      </c>
      <c r="C359" t="s">
        <v>38</v>
      </c>
      <c r="D359" t="str">
        <f>T_Stocks[[#This Row],[Ticker]] &amp; "-" &amp; DATE(YEAR(T_Stocks[[#This Row],[Fecha]]),MONTH(T_Stocks[[#This Row],[Fecha]]),DAY(T_Stocks[[#This Row],[Fecha]]))</f>
        <v>AAPL-44013</v>
      </c>
    </row>
    <row r="360" spans="1:4" ht="14.65" thickBot="1" x14ac:dyDescent="0.5">
      <c r="A360" s="17">
        <v>44014.666666666664</v>
      </c>
      <c r="B360" s="19">
        <v>91.03</v>
      </c>
      <c r="C360" t="s">
        <v>38</v>
      </c>
      <c r="D360" t="str">
        <f>T_Stocks[[#This Row],[Ticker]] &amp; "-" &amp; DATE(YEAR(T_Stocks[[#This Row],[Fecha]]),MONTH(T_Stocks[[#This Row],[Fecha]]),DAY(T_Stocks[[#This Row],[Fecha]]))</f>
        <v>AAPL-44014</v>
      </c>
    </row>
    <row r="361" spans="1:4" ht="14.65" thickBot="1" x14ac:dyDescent="0.5">
      <c r="A361" s="17">
        <v>44018.666666666664</v>
      </c>
      <c r="B361" s="19">
        <v>93.46</v>
      </c>
      <c r="C361" t="s">
        <v>38</v>
      </c>
      <c r="D361" t="str">
        <f>T_Stocks[[#This Row],[Ticker]] &amp; "-" &amp; DATE(YEAR(T_Stocks[[#This Row],[Fecha]]),MONTH(T_Stocks[[#This Row],[Fecha]]),DAY(T_Stocks[[#This Row],[Fecha]]))</f>
        <v>AAPL-44018</v>
      </c>
    </row>
    <row r="362" spans="1:4" ht="14.65" thickBot="1" x14ac:dyDescent="0.5">
      <c r="A362" s="17">
        <v>44019.666666666664</v>
      </c>
      <c r="B362" s="19">
        <v>93.17</v>
      </c>
      <c r="C362" t="s">
        <v>38</v>
      </c>
      <c r="D362" t="str">
        <f>T_Stocks[[#This Row],[Ticker]] &amp; "-" &amp; DATE(YEAR(T_Stocks[[#This Row],[Fecha]]),MONTH(T_Stocks[[#This Row],[Fecha]]),DAY(T_Stocks[[#This Row],[Fecha]]))</f>
        <v>AAPL-44019</v>
      </c>
    </row>
    <row r="363" spans="1:4" ht="14.65" thickBot="1" x14ac:dyDescent="0.5">
      <c r="A363" s="17">
        <v>44020.666666666664</v>
      </c>
      <c r="B363" s="19">
        <v>95.34</v>
      </c>
      <c r="C363" t="s">
        <v>38</v>
      </c>
      <c r="D363" t="str">
        <f>T_Stocks[[#This Row],[Ticker]] &amp; "-" &amp; DATE(YEAR(T_Stocks[[#This Row],[Fecha]]),MONTH(T_Stocks[[#This Row],[Fecha]]),DAY(T_Stocks[[#This Row],[Fecha]]))</f>
        <v>AAPL-44020</v>
      </c>
    </row>
    <row r="364" spans="1:4" ht="14.65" thickBot="1" x14ac:dyDescent="0.5">
      <c r="A364" s="17">
        <v>44021.666666666664</v>
      </c>
      <c r="B364" s="19">
        <v>95.68</v>
      </c>
      <c r="C364" t="s">
        <v>38</v>
      </c>
      <c r="D364" t="str">
        <f>T_Stocks[[#This Row],[Ticker]] &amp; "-" &amp; DATE(YEAR(T_Stocks[[#This Row],[Fecha]]),MONTH(T_Stocks[[#This Row],[Fecha]]),DAY(T_Stocks[[#This Row],[Fecha]]))</f>
        <v>AAPL-44021</v>
      </c>
    </row>
    <row r="365" spans="1:4" ht="14.65" thickBot="1" x14ac:dyDescent="0.5">
      <c r="A365" s="17">
        <v>44022.666666666664</v>
      </c>
      <c r="B365" s="19">
        <v>95.92</v>
      </c>
      <c r="C365" t="s">
        <v>38</v>
      </c>
      <c r="D365" t="str">
        <f>T_Stocks[[#This Row],[Ticker]] &amp; "-" &amp; DATE(YEAR(T_Stocks[[#This Row],[Fecha]]),MONTH(T_Stocks[[#This Row],[Fecha]]),DAY(T_Stocks[[#This Row],[Fecha]]))</f>
        <v>AAPL-44022</v>
      </c>
    </row>
    <row r="366" spans="1:4" ht="14.65" thickBot="1" x14ac:dyDescent="0.5">
      <c r="A366" s="17">
        <v>44025.666666666664</v>
      </c>
      <c r="B366" s="19">
        <v>95.48</v>
      </c>
      <c r="C366" t="s">
        <v>38</v>
      </c>
      <c r="D366" t="str">
        <f>T_Stocks[[#This Row],[Ticker]] &amp; "-" &amp; DATE(YEAR(T_Stocks[[#This Row],[Fecha]]),MONTH(T_Stocks[[#This Row],[Fecha]]),DAY(T_Stocks[[#This Row],[Fecha]]))</f>
        <v>AAPL-44025</v>
      </c>
    </row>
    <row r="367" spans="1:4" ht="14.65" thickBot="1" x14ac:dyDescent="0.5">
      <c r="A367" s="17">
        <v>44026.666666666664</v>
      </c>
      <c r="B367" s="19">
        <v>97.06</v>
      </c>
      <c r="C367" t="s">
        <v>38</v>
      </c>
      <c r="D367" t="str">
        <f>T_Stocks[[#This Row],[Ticker]] &amp; "-" &amp; DATE(YEAR(T_Stocks[[#This Row],[Fecha]]),MONTH(T_Stocks[[#This Row],[Fecha]]),DAY(T_Stocks[[#This Row],[Fecha]]))</f>
        <v>AAPL-44026</v>
      </c>
    </row>
    <row r="368" spans="1:4" ht="14.65" thickBot="1" x14ac:dyDescent="0.5">
      <c r="A368" s="17">
        <v>44027.666666666664</v>
      </c>
      <c r="B368" s="19">
        <v>97.73</v>
      </c>
      <c r="C368" t="s">
        <v>38</v>
      </c>
      <c r="D368" t="str">
        <f>T_Stocks[[#This Row],[Ticker]] &amp; "-" &amp; DATE(YEAR(T_Stocks[[#This Row],[Fecha]]),MONTH(T_Stocks[[#This Row],[Fecha]]),DAY(T_Stocks[[#This Row],[Fecha]]))</f>
        <v>AAPL-44027</v>
      </c>
    </row>
    <row r="369" spans="1:4" ht="14.65" thickBot="1" x14ac:dyDescent="0.5">
      <c r="A369" s="17">
        <v>44028.666666666664</v>
      </c>
      <c r="B369" s="19">
        <v>96.52</v>
      </c>
      <c r="C369" t="s">
        <v>38</v>
      </c>
      <c r="D369" t="str">
        <f>T_Stocks[[#This Row],[Ticker]] &amp; "-" &amp; DATE(YEAR(T_Stocks[[#This Row],[Fecha]]),MONTH(T_Stocks[[#This Row],[Fecha]]),DAY(T_Stocks[[#This Row],[Fecha]]))</f>
        <v>AAPL-44028</v>
      </c>
    </row>
    <row r="370" spans="1:4" ht="14.65" thickBot="1" x14ac:dyDescent="0.5">
      <c r="A370" s="17">
        <v>44029.666666666664</v>
      </c>
      <c r="B370" s="19">
        <v>96.33</v>
      </c>
      <c r="C370" t="s">
        <v>38</v>
      </c>
      <c r="D370" t="str">
        <f>T_Stocks[[#This Row],[Ticker]] &amp; "-" &amp; DATE(YEAR(T_Stocks[[#This Row],[Fecha]]),MONTH(T_Stocks[[#This Row],[Fecha]]),DAY(T_Stocks[[#This Row],[Fecha]]))</f>
        <v>AAPL-44029</v>
      </c>
    </row>
    <row r="371" spans="1:4" ht="14.65" thickBot="1" x14ac:dyDescent="0.5">
      <c r="A371" s="17">
        <v>44032.666666666664</v>
      </c>
      <c r="B371" s="19">
        <v>98.36</v>
      </c>
      <c r="C371" t="s">
        <v>38</v>
      </c>
      <c r="D371" t="str">
        <f>T_Stocks[[#This Row],[Ticker]] &amp; "-" &amp; DATE(YEAR(T_Stocks[[#This Row],[Fecha]]),MONTH(T_Stocks[[#This Row],[Fecha]]),DAY(T_Stocks[[#This Row],[Fecha]]))</f>
        <v>AAPL-44032</v>
      </c>
    </row>
    <row r="372" spans="1:4" ht="14.65" thickBot="1" x14ac:dyDescent="0.5">
      <c r="A372" s="17">
        <v>44033.666666666664</v>
      </c>
      <c r="B372" s="19">
        <v>97</v>
      </c>
      <c r="C372" t="s">
        <v>38</v>
      </c>
      <c r="D372" t="str">
        <f>T_Stocks[[#This Row],[Ticker]] &amp; "-" &amp; DATE(YEAR(T_Stocks[[#This Row],[Fecha]]),MONTH(T_Stocks[[#This Row],[Fecha]]),DAY(T_Stocks[[#This Row],[Fecha]]))</f>
        <v>AAPL-44033</v>
      </c>
    </row>
    <row r="373" spans="1:4" ht="14.65" thickBot="1" x14ac:dyDescent="0.5">
      <c r="A373" s="17">
        <v>44034.666666666664</v>
      </c>
      <c r="B373" s="19">
        <v>97.27</v>
      </c>
      <c r="C373" t="s">
        <v>38</v>
      </c>
      <c r="D373" t="str">
        <f>T_Stocks[[#This Row],[Ticker]] &amp; "-" &amp; DATE(YEAR(T_Stocks[[#This Row],[Fecha]]),MONTH(T_Stocks[[#This Row],[Fecha]]),DAY(T_Stocks[[#This Row],[Fecha]]))</f>
        <v>AAPL-44034</v>
      </c>
    </row>
    <row r="374" spans="1:4" ht="14.65" thickBot="1" x14ac:dyDescent="0.5">
      <c r="A374" s="17">
        <v>44035.666666666664</v>
      </c>
      <c r="B374" s="19">
        <v>92.85</v>
      </c>
      <c r="C374" t="s">
        <v>38</v>
      </c>
      <c r="D374" t="str">
        <f>T_Stocks[[#This Row],[Ticker]] &amp; "-" &amp; DATE(YEAR(T_Stocks[[#This Row],[Fecha]]),MONTH(T_Stocks[[#This Row],[Fecha]]),DAY(T_Stocks[[#This Row],[Fecha]]))</f>
        <v>AAPL-44035</v>
      </c>
    </row>
    <row r="375" spans="1:4" ht="14.65" thickBot="1" x14ac:dyDescent="0.5">
      <c r="A375" s="17">
        <v>44036.666666666664</v>
      </c>
      <c r="B375" s="19">
        <v>92.62</v>
      </c>
      <c r="C375" t="s">
        <v>38</v>
      </c>
      <c r="D375" t="str">
        <f>T_Stocks[[#This Row],[Ticker]] &amp; "-" &amp; DATE(YEAR(T_Stocks[[#This Row],[Fecha]]),MONTH(T_Stocks[[#This Row],[Fecha]]),DAY(T_Stocks[[#This Row],[Fecha]]))</f>
        <v>AAPL-44036</v>
      </c>
    </row>
    <row r="376" spans="1:4" ht="14.65" thickBot="1" x14ac:dyDescent="0.5">
      <c r="A376" s="17">
        <v>44039.666666666664</v>
      </c>
      <c r="B376" s="19">
        <v>94.81</v>
      </c>
      <c r="C376" t="s">
        <v>38</v>
      </c>
      <c r="D376" t="str">
        <f>T_Stocks[[#This Row],[Ticker]] &amp; "-" &amp; DATE(YEAR(T_Stocks[[#This Row],[Fecha]]),MONTH(T_Stocks[[#This Row],[Fecha]]),DAY(T_Stocks[[#This Row],[Fecha]]))</f>
        <v>AAPL-44039</v>
      </c>
    </row>
    <row r="377" spans="1:4" ht="14.65" thickBot="1" x14ac:dyDescent="0.5">
      <c r="A377" s="17">
        <v>44040.666666666664</v>
      </c>
      <c r="B377" s="19">
        <v>93.25</v>
      </c>
      <c r="C377" t="s">
        <v>38</v>
      </c>
      <c r="D377" t="str">
        <f>T_Stocks[[#This Row],[Ticker]] &amp; "-" &amp; DATE(YEAR(T_Stocks[[#This Row],[Fecha]]),MONTH(T_Stocks[[#This Row],[Fecha]]),DAY(T_Stocks[[#This Row],[Fecha]]))</f>
        <v>AAPL-44040</v>
      </c>
    </row>
    <row r="378" spans="1:4" ht="14.65" thickBot="1" x14ac:dyDescent="0.5">
      <c r="A378" s="17">
        <v>44041.666666666664</v>
      </c>
      <c r="B378" s="19">
        <v>95.04</v>
      </c>
      <c r="C378" t="s">
        <v>38</v>
      </c>
      <c r="D378" t="str">
        <f>T_Stocks[[#This Row],[Ticker]] &amp; "-" &amp; DATE(YEAR(T_Stocks[[#This Row],[Fecha]]),MONTH(T_Stocks[[#This Row],[Fecha]]),DAY(T_Stocks[[#This Row],[Fecha]]))</f>
        <v>AAPL-44041</v>
      </c>
    </row>
    <row r="379" spans="1:4" ht="14.65" thickBot="1" x14ac:dyDescent="0.5">
      <c r="A379" s="17">
        <v>44042.666666666664</v>
      </c>
      <c r="B379" s="19">
        <v>96.19</v>
      </c>
      <c r="C379" t="s">
        <v>38</v>
      </c>
      <c r="D379" t="str">
        <f>T_Stocks[[#This Row],[Ticker]] &amp; "-" &amp; DATE(YEAR(T_Stocks[[#This Row],[Fecha]]),MONTH(T_Stocks[[#This Row],[Fecha]]),DAY(T_Stocks[[#This Row],[Fecha]]))</f>
        <v>AAPL-44042</v>
      </c>
    </row>
    <row r="380" spans="1:4" ht="14.65" thickBot="1" x14ac:dyDescent="0.5">
      <c r="A380" s="17">
        <v>44043.666666666664</v>
      </c>
      <c r="B380" s="19">
        <v>106.26</v>
      </c>
      <c r="C380" t="s">
        <v>38</v>
      </c>
      <c r="D380" t="str">
        <f>T_Stocks[[#This Row],[Ticker]] &amp; "-" &amp; DATE(YEAR(T_Stocks[[#This Row],[Fecha]]),MONTH(T_Stocks[[#This Row],[Fecha]]),DAY(T_Stocks[[#This Row],[Fecha]]))</f>
        <v>AAPL-44043</v>
      </c>
    </row>
    <row r="381" spans="1:4" ht="14.65" thickBot="1" x14ac:dyDescent="0.5">
      <c r="A381" s="17">
        <v>44046.666666666664</v>
      </c>
      <c r="B381" s="19">
        <v>108.94</v>
      </c>
      <c r="C381" t="s">
        <v>38</v>
      </c>
      <c r="D381" t="str">
        <f>T_Stocks[[#This Row],[Ticker]] &amp; "-" &amp; DATE(YEAR(T_Stocks[[#This Row],[Fecha]]),MONTH(T_Stocks[[#This Row],[Fecha]]),DAY(T_Stocks[[#This Row],[Fecha]]))</f>
        <v>AAPL-44046</v>
      </c>
    </row>
    <row r="382" spans="1:4" ht="14.65" thickBot="1" x14ac:dyDescent="0.5">
      <c r="A382" s="17">
        <v>44047.666666666664</v>
      </c>
      <c r="B382" s="19">
        <v>109.67</v>
      </c>
      <c r="C382" t="s">
        <v>38</v>
      </c>
      <c r="D382" t="str">
        <f>T_Stocks[[#This Row],[Ticker]] &amp; "-" &amp; DATE(YEAR(T_Stocks[[#This Row],[Fecha]]),MONTH(T_Stocks[[#This Row],[Fecha]]),DAY(T_Stocks[[#This Row],[Fecha]]))</f>
        <v>AAPL-44047</v>
      </c>
    </row>
    <row r="383" spans="1:4" ht="14.65" thickBot="1" x14ac:dyDescent="0.5">
      <c r="A383" s="17">
        <v>44048.666666666664</v>
      </c>
      <c r="B383" s="19">
        <v>110.06</v>
      </c>
      <c r="C383" t="s">
        <v>38</v>
      </c>
      <c r="D383" t="str">
        <f>T_Stocks[[#This Row],[Ticker]] &amp; "-" &amp; DATE(YEAR(T_Stocks[[#This Row],[Fecha]]),MONTH(T_Stocks[[#This Row],[Fecha]]),DAY(T_Stocks[[#This Row],[Fecha]]))</f>
        <v>AAPL-44048</v>
      </c>
    </row>
    <row r="384" spans="1:4" ht="14.65" thickBot="1" x14ac:dyDescent="0.5">
      <c r="A384" s="17">
        <v>44049.666666666664</v>
      </c>
      <c r="B384" s="19">
        <v>113.9</v>
      </c>
      <c r="C384" t="s">
        <v>38</v>
      </c>
      <c r="D384" t="str">
        <f>T_Stocks[[#This Row],[Ticker]] &amp; "-" &amp; DATE(YEAR(T_Stocks[[#This Row],[Fecha]]),MONTH(T_Stocks[[#This Row],[Fecha]]),DAY(T_Stocks[[#This Row],[Fecha]]))</f>
        <v>AAPL-44049</v>
      </c>
    </row>
    <row r="385" spans="1:4" ht="14.65" thickBot="1" x14ac:dyDescent="0.5">
      <c r="A385" s="17">
        <v>44050.666666666664</v>
      </c>
      <c r="B385" s="19">
        <v>111.11</v>
      </c>
      <c r="C385" t="s">
        <v>38</v>
      </c>
      <c r="D385" t="str">
        <f>T_Stocks[[#This Row],[Ticker]] &amp; "-" &amp; DATE(YEAR(T_Stocks[[#This Row],[Fecha]]),MONTH(T_Stocks[[#This Row],[Fecha]]),DAY(T_Stocks[[#This Row],[Fecha]]))</f>
        <v>AAPL-44050</v>
      </c>
    </row>
    <row r="386" spans="1:4" ht="14.65" thickBot="1" x14ac:dyDescent="0.5">
      <c r="A386" s="17">
        <v>44053.666666666664</v>
      </c>
      <c r="B386" s="19">
        <v>112.73</v>
      </c>
      <c r="C386" t="s">
        <v>38</v>
      </c>
      <c r="D386" t="str">
        <f>T_Stocks[[#This Row],[Ticker]] &amp; "-" &amp; DATE(YEAR(T_Stocks[[#This Row],[Fecha]]),MONTH(T_Stocks[[#This Row],[Fecha]]),DAY(T_Stocks[[#This Row],[Fecha]]))</f>
        <v>AAPL-44053</v>
      </c>
    </row>
    <row r="387" spans="1:4" ht="14.65" thickBot="1" x14ac:dyDescent="0.5">
      <c r="A387" s="17">
        <v>44054.666666666664</v>
      </c>
      <c r="B387" s="19">
        <v>109.38</v>
      </c>
      <c r="C387" t="s">
        <v>38</v>
      </c>
      <c r="D387" t="str">
        <f>T_Stocks[[#This Row],[Ticker]] &amp; "-" &amp; DATE(YEAR(T_Stocks[[#This Row],[Fecha]]),MONTH(T_Stocks[[#This Row],[Fecha]]),DAY(T_Stocks[[#This Row],[Fecha]]))</f>
        <v>AAPL-44054</v>
      </c>
    </row>
    <row r="388" spans="1:4" ht="14.65" thickBot="1" x14ac:dyDescent="0.5">
      <c r="A388" s="17">
        <v>44055.666666666664</v>
      </c>
      <c r="B388" s="19">
        <v>113.01</v>
      </c>
      <c r="C388" t="s">
        <v>38</v>
      </c>
      <c r="D388" t="str">
        <f>T_Stocks[[#This Row],[Ticker]] &amp; "-" &amp; DATE(YEAR(T_Stocks[[#This Row],[Fecha]]),MONTH(T_Stocks[[#This Row],[Fecha]]),DAY(T_Stocks[[#This Row],[Fecha]]))</f>
        <v>AAPL-44055</v>
      </c>
    </row>
    <row r="389" spans="1:4" ht="14.65" thickBot="1" x14ac:dyDescent="0.5">
      <c r="A389" s="17">
        <v>44056.666666666664</v>
      </c>
      <c r="B389" s="19">
        <v>115.01</v>
      </c>
      <c r="C389" t="s">
        <v>38</v>
      </c>
      <c r="D389" t="str">
        <f>T_Stocks[[#This Row],[Ticker]] &amp; "-" &amp; DATE(YEAR(T_Stocks[[#This Row],[Fecha]]),MONTH(T_Stocks[[#This Row],[Fecha]]),DAY(T_Stocks[[#This Row],[Fecha]]))</f>
        <v>AAPL-44056</v>
      </c>
    </row>
    <row r="390" spans="1:4" ht="14.65" thickBot="1" x14ac:dyDescent="0.5">
      <c r="A390" s="17">
        <v>44057.666666666664</v>
      </c>
      <c r="B390" s="19">
        <v>114.91</v>
      </c>
      <c r="C390" t="s">
        <v>38</v>
      </c>
      <c r="D390" t="str">
        <f>T_Stocks[[#This Row],[Ticker]] &amp; "-" &amp; DATE(YEAR(T_Stocks[[#This Row],[Fecha]]),MONTH(T_Stocks[[#This Row],[Fecha]]),DAY(T_Stocks[[#This Row],[Fecha]]))</f>
        <v>AAPL-44057</v>
      </c>
    </row>
    <row r="391" spans="1:4" ht="14.65" thickBot="1" x14ac:dyDescent="0.5">
      <c r="A391" s="17">
        <v>44060.666666666664</v>
      </c>
      <c r="B391" s="19">
        <v>114.61</v>
      </c>
      <c r="C391" t="s">
        <v>38</v>
      </c>
      <c r="D391" t="str">
        <f>T_Stocks[[#This Row],[Ticker]] &amp; "-" &amp; DATE(YEAR(T_Stocks[[#This Row],[Fecha]]),MONTH(T_Stocks[[#This Row],[Fecha]]),DAY(T_Stocks[[#This Row],[Fecha]]))</f>
        <v>AAPL-44060</v>
      </c>
    </row>
    <row r="392" spans="1:4" ht="14.65" thickBot="1" x14ac:dyDescent="0.5">
      <c r="A392" s="17">
        <v>44061.666666666664</v>
      </c>
      <c r="B392" s="19">
        <v>115.56</v>
      </c>
      <c r="C392" t="s">
        <v>38</v>
      </c>
      <c r="D392" t="str">
        <f>T_Stocks[[#This Row],[Ticker]] &amp; "-" &amp; DATE(YEAR(T_Stocks[[#This Row],[Fecha]]),MONTH(T_Stocks[[#This Row],[Fecha]]),DAY(T_Stocks[[#This Row],[Fecha]]))</f>
        <v>AAPL-44061</v>
      </c>
    </row>
    <row r="393" spans="1:4" ht="14.65" thickBot="1" x14ac:dyDescent="0.5">
      <c r="A393" s="17">
        <v>44062.666666666664</v>
      </c>
      <c r="B393" s="19">
        <v>115.71</v>
      </c>
      <c r="C393" t="s">
        <v>38</v>
      </c>
      <c r="D393" t="str">
        <f>T_Stocks[[#This Row],[Ticker]] &amp; "-" &amp; DATE(YEAR(T_Stocks[[#This Row],[Fecha]]),MONTH(T_Stocks[[#This Row],[Fecha]]),DAY(T_Stocks[[#This Row],[Fecha]]))</f>
        <v>AAPL-44062</v>
      </c>
    </row>
    <row r="394" spans="1:4" ht="14.65" thickBot="1" x14ac:dyDescent="0.5">
      <c r="A394" s="17">
        <v>44063.666666666664</v>
      </c>
      <c r="B394" s="19">
        <v>118.28</v>
      </c>
      <c r="C394" t="s">
        <v>38</v>
      </c>
      <c r="D394" t="str">
        <f>T_Stocks[[#This Row],[Ticker]] &amp; "-" &amp; DATE(YEAR(T_Stocks[[#This Row],[Fecha]]),MONTH(T_Stocks[[#This Row],[Fecha]]),DAY(T_Stocks[[#This Row],[Fecha]]))</f>
        <v>AAPL-44063</v>
      </c>
    </row>
    <row r="395" spans="1:4" ht="14.65" thickBot="1" x14ac:dyDescent="0.5">
      <c r="A395" s="17">
        <v>44064.666666666664</v>
      </c>
      <c r="B395" s="19">
        <v>124.37</v>
      </c>
      <c r="C395" t="s">
        <v>38</v>
      </c>
      <c r="D395" t="str">
        <f>T_Stocks[[#This Row],[Ticker]] &amp; "-" &amp; DATE(YEAR(T_Stocks[[#This Row],[Fecha]]),MONTH(T_Stocks[[#This Row],[Fecha]]),DAY(T_Stocks[[#This Row],[Fecha]]))</f>
        <v>AAPL-44064</v>
      </c>
    </row>
    <row r="396" spans="1:4" ht="14.65" thickBot="1" x14ac:dyDescent="0.5">
      <c r="A396" s="17">
        <v>44067.666666666664</v>
      </c>
      <c r="B396" s="19">
        <v>125.86</v>
      </c>
      <c r="C396" t="s">
        <v>38</v>
      </c>
      <c r="D396" t="str">
        <f>T_Stocks[[#This Row],[Ticker]] &amp; "-" &amp; DATE(YEAR(T_Stocks[[#This Row],[Fecha]]),MONTH(T_Stocks[[#This Row],[Fecha]]),DAY(T_Stocks[[#This Row],[Fecha]]))</f>
        <v>AAPL-44067</v>
      </c>
    </row>
    <row r="397" spans="1:4" ht="14.65" thickBot="1" x14ac:dyDescent="0.5">
      <c r="A397" s="17">
        <v>44068.666666666664</v>
      </c>
      <c r="B397" s="19">
        <v>124.83</v>
      </c>
      <c r="C397" t="s">
        <v>38</v>
      </c>
      <c r="D397" t="str">
        <f>T_Stocks[[#This Row],[Ticker]] &amp; "-" &amp; DATE(YEAR(T_Stocks[[#This Row],[Fecha]]),MONTH(T_Stocks[[#This Row],[Fecha]]),DAY(T_Stocks[[#This Row],[Fecha]]))</f>
        <v>AAPL-44068</v>
      </c>
    </row>
    <row r="398" spans="1:4" ht="14.65" thickBot="1" x14ac:dyDescent="0.5">
      <c r="A398" s="17">
        <v>44069.666666666664</v>
      </c>
      <c r="B398" s="19">
        <v>126.52</v>
      </c>
      <c r="C398" t="s">
        <v>38</v>
      </c>
      <c r="D398" t="str">
        <f>T_Stocks[[#This Row],[Ticker]] &amp; "-" &amp; DATE(YEAR(T_Stocks[[#This Row],[Fecha]]),MONTH(T_Stocks[[#This Row],[Fecha]]),DAY(T_Stocks[[#This Row],[Fecha]]))</f>
        <v>AAPL-44069</v>
      </c>
    </row>
    <row r="399" spans="1:4" ht="14.65" thickBot="1" x14ac:dyDescent="0.5">
      <c r="A399" s="17">
        <v>44070.666666666664</v>
      </c>
      <c r="B399" s="19">
        <v>125.01</v>
      </c>
      <c r="C399" t="s">
        <v>38</v>
      </c>
      <c r="D399" t="str">
        <f>T_Stocks[[#This Row],[Ticker]] &amp; "-" &amp; DATE(YEAR(T_Stocks[[#This Row],[Fecha]]),MONTH(T_Stocks[[#This Row],[Fecha]]),DAY(T_Stocks[[#This Row],[Fecha]]))</f>
        <v>AAPL-44070</v>
      </c>
    </row>
    <row r="400" spans="1:4" ht="14.65" thickBot="1" x14ac:dyDescent="0.5">
      <c r="A400" s="17">
        <v>44071.666666666664</v>
      </c>
      <c r="B400" s="19">
        <v>124.81</v>
      </c>
      <c r="C400" t="s">
        <v>38</v>
      </c>
      <c r="D400" t="str">
        <f>T_Stocks[[#This Row],[Ticker]] &amp; "-" &amp; DATE(YEAR(T_Stocks[[#This Row],[Fecha]]),MONTH(T_Stocks[[#This Row],[Fecha]]),DAY(T_Stocks[[#This Row],[Fecha]]))</f>
        <v>AAPL-44071</v>
      </c>
    </row>
    <row r="401" spans="1:4" ht="14.65" thickBot="1" x14ac:dyDescent="0.5">
      <c r="A401" s="17">
        <v>44074.666666666664</v>
      </c>
      <c r="B401" s="19">
        <v>129.04</v>
      </c>
      <c r="C401" t="s">
        <v>38</v>
      </c>
      <c r="D401" t="str">
        <f>T_Stocks[[#This Row],[Ticker]] &amp; "-" &amp; DATE(YEAR(T_Stocks[[#This Row],[Fecha]]),MONTH(T_Stocks[[#This Row],[Fecha]]),DAY(T_Stocks[[#This Row],[Fecha]]))</f>
        <v>AAPL-44074</v>
      </c>
    </row>
    <row r="402" spans="1:4" ht="14.65" thickBot="1" x14ac:dyDescent="0.5">
      <c r="A402" s="17">
        <v>44075.666666666664</v>
      </c>
      <c r="B402" s="19">
        <v>134.18</v>
      </c>
      <c r="C402" t="s">
        <v>38</v>
      </c>
      <c r="D402" t="str">
        <f>T_Stocks[[#This Row],[Ticker]] &amp; "-" &amp; DATE(YEAR(T_Stocks[[#This Row],[Fecha]]),MONTH(T_Stocks[[#This Row],[Fecha]]),DAY(T_Stocks[[#This Row],[Fecha]]))</f>
        <v>AAPL-44075</v>
      </c>
    </row>
    <row r="403" spans="1:4" ht="14.65" thickBot="1" x14ac:dyDescent="0.5">
      <c r="A403" s="17">
        <v>44076.666666666664</v>
      </c>
      <c r="B403" s="19">
        <v>131.4</v>
      </c>
      <c r="C403" t="s">
        <v>38</v>
      </c>
      <c r="D403" t="str">
        <f>T_Stocks[[#This Row],[Ticker]] &amp; "-" &amp; DATE(YEAR(T_Stocks[[#This Row],[Fecha]]),MONTH(T_Stocks[[#This Row],[Fecha]]),DAY(T_Stocks[[#This Row],[Fecha]]))</f>
        <v>AAPL-44076</v>
      </c>
    </row>
    <row r="404" spans="1:4" ht="14.65" thickBot="1" x14ac:dyDescent="0.5">
      <c r="A404" s="17">
        <v>44077.666666666664</v>
      </c>
      <c r="B404" s="19">
        <v>120.88</v>
      </c>
      <c r="C404" t="s">
        <v>38</v>
      </c>
      <c r="D404" t="str">
        <f>T_Stocks[[#This Row],[Ticker]] &amp; "-" &amp; DATE(YEAR(T_Stocks[[#This Row],[Fecha]]),MONTH(T_Stocks[[#This Row],[Fecha]]),DAY(T_Stocks[[#This Row],[Fecha]]))</f>
        <v>AAPL-44077</v>
      </c>
    </row>
    <row r="405" spans="1:4" ht="14.65" thickBot="1" x14ac:dyDescent="0.5">
      <c r="A405" s="17">
        <v>44078.666666666664</v>
      </c>
      <c r="B405" s="19">
        <v>120.96</v>
      </c>
      <c r="C405" t="s">
        <v>38</v>
      </c>
      <c r="D405" t="str">
        <f>T_Stocks[[#This Row],[Ticker]] &amp; "-" &amp; DATE(YEAR(T_Stocks[[#This Row],[Fecha]]),MONTH(T_Stocks[[#This Row],[Fecha]]),DAY(T_Stocks[[#This Row],[Fecha]]))</f>
        <v>AAPL-44078</v>
      </c>
    </row>
    <row r="406" spans="1:4" ht="14.65" thickBot="1" x14ac:dyDescent="0.5">
      <c r="A406" s="17">
        <v>44082.666666666664</v>
      </c>
      <c r="B406" s="19">
        <v>112.82</v>
      </c>
      <c r="C406" t="s">
        <v>38</v>
      </c>
      <c r="D406" t="str">
        <f>T_Stocks[[#This Row],[Ticker]] &amp; "-" &amp; DATE(YEAR(T_Stocks[[#This Row],[Fecha]]),MONTH(T_Stocks[[#This Row],[Fecha]]),DAY(T_Stocks[[#This Row],[Fecha]]))</f>
        <v>AAPL-44082</v>
      </c>
    </row>
    <row r="407" spans="1:4" ht="14.65" thickBot="1" x14ac:dyDescent="0.5">
      <c r="A407" s="17">
        <v>44083.666666666664</v>
      </c>
      <c r="B407" s="19">
        <v>117.32</v>
      </c>
      <c r="C407" t="s">
        <v>38</v>
      </c>
      <c r="D407" t="str">
        <f>T_Stocks[[#This Row],[Ticker]] &amp; "-" &amp; DATE(YEAR(T_Stocks[[#This Row],[Fecha]]),MONTH(T_Stocks[[#This Row],[Fecha]]),DAY(T_Stocks[[#This Row],[Fecha]]))</f>
        <v>AAPL-44083</v>
      </c>
    </row>
    <row r="408" spans="1:4" ht="14.65" thickBot="1" x14ac:dyDescent="0.5">
      <c r="A408" s="17">
        <v>44084.666666666664</v>
      </c>
      <c r="B408" s="19">
        <v>113.49</v>
      </c>
      <c r="C408" t="s">
        <v>38</v>
      </c>
      <c r="D408" t="str">
        <f>T_Stocks[[#This Row],[Ticker]] &amp; "-" &amp; DATE(YEAR(T_Stocks[[#This Row],[Fecha]]),MONTH(T_Stocks[[#This Row],[Fecha]]),DAY(T_Stocks[[#This Row],[Fecha]]))</f>
        <v>AAPL-44084</v>
      </c>
    </row>
    <row r="409" spans="1:4" ht="14.65" thickBot="1" x14ac:dyDescent="0.5">
      <c r="A409" s="17">
        <v>44085.666666666664</v>
      </c>
      <c r="B409" s="19">
        <v>112</v>
      </c>
      <c r="C409" t="s">
        <v>38</v>
      </c>
      <c r="D409" t="str">
        <f>T_Stocks[[#This Row],[Ticker]] &amp; "-" &amp; DATE(YEAR(T_Stocks[[#This Row],[Fecha]]),MONTH(T_Stocks[[#This Row],[Fecha]]),DAY(T_Stocks[[#This Row],[Fecha]]))</f>
        <v>AAPL-44085</v>
      </c>
    </row>
    <row r="410" spans="1:4" ht="14.65" thickBot="1" x14ac:dyDescent="0.5">
      <c r="A410" s="17">
        <v>44088.666666666664</v>
      </c>
      <c r="B410" s="19">
        <v>115.36</v>
      </c>
      <c r="C410" t="s">
        <v>38</v>
      </c>
      <c r="D410" t="str">
        <f>T_Stocks[[#This Row],[Ticker]] &amp; "-" &amp; DATE(YEAR(T_Stocks[[#This Row],[Fecha]]),MONTH(T_Stocks[[#This Row],[Fecha]]),DAY(T_Stocks[[#This Row],[Fecha]]))</f>
        <v>AAPL-44088</v>
      </c>
    </row>
    <row r="411" spans="1:4" ht="14.65" thickBot="1" x14ac:dyDescent="0.5">
      <c r="A411" s="17">
        <v>44089.666666666664</v>
      </c>
      <c r="B411" s="19">
        <v>115.54</v>
      </c>
      <c r="C411" t="s">
        <v>38</v>
      </c>
      <c r="D411" t="str">
        <f>T_Stocks[[#This Row],[Ticker]] &amp; "-" &amp; DATE(YEAR(T_Stocks[[#This Row],[Fecha]]),MONTH(T_Stocks[[#This Row],[Fecha]]),DAY(T_Stocks[[#This Row],[Fecha]]))</f>
        <v>AAPL-44089</v>
      </c>
    </row>
    <row r="412" spans="1:4" ht="14.65" thickBot="1" x14ac:dyDescent="0.5">
      <c r="A412" s="17">
        <v>44090.666666666664</v>
      </c>
      <c r="B412" s="19">
        <v>112.13</v>
      </c>
      <c r="C412" t="s">
        <v>38</v>
      </c>
      <c r="D412" t="str">
        <f>T_Stocks[[#This Row],[Ticker]] &amp; "-" &amp; DATE(YEAR(T_Stocks[[#This Row],[Fecha]]),MONTH(T_Stocks[[#This Row],[Fecha]]),DAY(T_Stocks[[#This Row],[Fecha]]))</f>
        <v>AAPL-44090</v>
      </c>
    </row>
    <row r="413" spans="1:4" ht="14.65" thickBot="1" x14ac:dyDescent="0.5">
      <c r="A413" s="17">
        <v>44091.666666666664</v>
      </c>
      <c r="B413" s="19">
        <v>110.34</v>
      </c>
      <c r="C413" t="s">
        <v>38</v>
      </c>
      <c r="D413" t="str">
        <f>T_Stocks[[#This Row],[Ticker]] &amp; "-" &amp; DATE(YEAR(T_Stocks[[#This Row],[Fecha]]),MONTH(T_Stocks[[#This Row],[Fecha]]),DAY(T_Stocks[[#This Row],[Fecha]]))</f>
        <v>AAPL-44091</v>
      </c>
    </row>
    <row r="414" spans="1:4" ht="14.65" thickBot="1" x14ac:dyDescent="0.5">
      <c r="A414" s="17">
        <v>44092.666666666664</v>
      </c>
      <c r="B414" s="19">
        <v>106.84</v>
      </c>
      <c r="C414" t="s">
        <v>38</v>
      </c>
      <c r="D414" t="str">
        <f>T_Stocks[[#This Row],[Ticker]] &amp; "-" &amp; DATE(YEAR(T_Stocks[[#This Row],[Fecha]]),MONTH(T_Stocks[[#This Row],[Fecha]]),DAY(T_Stocks[[#This Row],[Fecha]]))</f>
        <v>AAPL-44092</v>
      </c>
    </row>
    <row r="415" spans="1:4" ht="14.65" thickBot="1" x14ac:dyDescent="0.5">
      <c r="A415" s="17">
        <v>44095.666666666664</v>
      </c>
      <c r="B415" s="19">
        <v>110.08</v>
      </c>
      <c r="C415" t="s">
        <v>38</v>
      </c>
      <c r="D415" t="str">
        <f>T_Stocks[[#This Row],[Ticker]] &amp; "-" &amp; DATE(YEAR(T_Stocks[[#This Row],[Fecha]]),MONTH(T_Stocks[[#This Row],[Fecha]]),DAY(T_Stocks[[#This Row],[Fecha]]))</f>
        <v>AAPL-44095</v>
      </c>
    </row>
    <row r="416" spans="1:4" ht="14.65" thickBot="1" x14ac:dyDescent="0.5">
      <c r="A416" s="17">
        <v>44096.666666666664</v>
      </c>
      <c r="B416" s="19">
        <v>111.81</v>
      </c>
      <c r="C416" t="s">
        <v>38</v>
      </c>
      <c r="D416" t="str">
        <f>T_Stocks[[#This Row],[Ticker]] &amp; "-" &amp; DATE(YEAR(T_Stocks[[#This Row],[Fecha]]),MONTH(T_Stocks[[#This Row],[Fecha]]),DAY(T_Stocks[[#This Row],[Fecha]]))</f>
        <v>AAPL-44096</v>
      </c>
    </row>
    <row r="417" spans="1:4" ht="14.65" thickBot="1" x14ac:dyDescent="0.5">
      <c r="A417" s="17">
        <v>44097.666666666664</v>
      </c>
      <c r="B417" s="19">
        <v>107.12</v>
      </c>
      <c r="C417" t="s">
        <v>38</v>
      </c>
      <c r="D417" t="str">
        <f>T_Stocks[[#This Row],[Ticker]] &amp; "-" &amp; DATE(YEAR(T_Stocks[[#This Row],[Fecha]]),MONTH(T_Stocks[[#This Row],[Fecha]]),DAY(T_Stocks[[#This Row],[Fecha]]))</f>
        <v>AAPL-44097</v>
      </c>
    </row>
    <row r="418" spans="1:4" ht="14.65" thickBot="1" x14ac:dyDescent="0.5">
      <c r="A418" s="17">
        <v>44098.666666666664</v>
      </c>
      <c r="B418" s="19">
        <v>108.22</v>
      </c>
      <c r="C418" t="s">
        <v>38</v>
      </c>
      <c r="D418" t="str">
        <f>T_Stocks[[#This Row],[Ticker]] &amp; "-" &amp; DATE(YEAR(T_Stocks[[#This Row],[Fecha]]),MONTH(T_Stocks[[#This Row],[Fecha]]),DAY(T_Stocks[[#This Row],[Fecha]]))</f>
        <v>AAPL-44098</v>
      </c>
    </row>
    <row r="419" spans="1:4" ht="14.65" thickBot="1" x14ac:dyDescent="0.5">
      <c r="A419" s="17">
        <v>44099.666666666664</v>
      </c>
      <c r="B419" s="19">
        <v>112.28</v>
      </c>
      <c r="C419" t="s">
        <v>38</v>
      </c>
      <c r="D419" t="str">
        <f>T_Stocks[[#This Row],[Ticker]] &amp; "-" &amp; DATE(YEAR(T_Stocks[[#This Row],[Fecha]]),MONTH(T_Stocks[[#This Row],[Fecha]]),DAY(T_Stocks[[#This Row],[Fecha]]))</f>
        <v>AAPL-44099</v>
      </c>
    </row>
    <row r="420" spans="1:4" ht="14.65" thickBot="1" x14ac:dyDescent="0.5">
      <c r="A420" s="17">
        <v>44102.666666666664</v>
      </c>
      <c r="B420" s="19">
        <v>114.96</v>
      </c>
      <c r="C420" t="s">
        <v>38</v>
      </c>
      <c r="D420" t="str">
        <f>T_Stocks[[#This Row],[Ticker]] &amp; "-" &amp; DATE(YEAR(T_Stocks[[#This Row],[Fecha]]),MONTH(T_Stocks[[#This Row],[Fecha]]),DAY(T_Stocks[[#This Row],[Fecha]]))</f>
        <v>AAPL-44102</v>
      </c>
    </row>
    <row r="421" spans="1:4" ht="14.65" thickBot="1" x14ac:dyDescent="0.5">
      <c r="A421" s="17">
        <v>44103.666666666664</v>
      </c>
      <c r="B421" s="19">
        <v>114.09</v>
      </c>
      <c r="C421" t="s">
        <v>38</v>
      </c>
      <c r="D421" t="str">
        <f>T_Stocks[[#This Row],[Ticker]] &amp; "-" &amp; DATE(YEAR(T_Stocks[[#This Row],[Fecha]]),MONTH(T_Stocks[[#This Row],[Fecha]]),DAY(T_Stocks[[#This Row],[Fecha]]))</f>
        <v>AAPL-44103</v>
      </c>
    </row>
    <row r="422" spans="1:4" ht="14.65" thickBot="1" x14ac:dyDescent="0.5">
      <c r="A422" s="17">
        <v>44104.666666666664</v>
      </c>
      <c r="B422" s="19">
        <v>115.81</v>
      </c>
      <c r="C422" t="s">
        <v>38</v>
      </c>
      <c r="D422" t="str">
        <f>T_Stocks[[#This Row],[Ticker]] &amp; "-" &amp; DATE(YEAR(T_Stocks[[#This Row],[Fecha]]),MONTH(T_Stocks[[#This Row],[Fecha]]),DAY(T_Stocks[[#This Row],[Fecha]]))</f>
        <v>AAPL-44104</v>
      </c>
    </row>
    <row r="423" spans="1:4" ht="14.65" thickBot="1" x14ac:dyDescent="0.5">
      <c r="A423" s="17">
        <v>44105.666666666664</v>
      </c>
      <c r="B423" s="19">
        <v>116.79</v>
      </c>
      <c r="C423" t="s">
        <v>38</v>
      </c>
      <c r="D423" t="str">
        <f>T_Stocks[[#This Row],[Ticker]] &amp; "-" &amp; DATE(YEAR(T_Stocks[[#This Row],[Fecha]]),MONTH(T_Stocks[[#This Row],[Fecha]]),DAY(T_Stocks[[#This Row],[Fecha]]))</f>
        <v>AAPL-44105</v>
      </c>
    </row>
    <row r="424" spans="1:4" ht="14.65" thickBot="1" x14ac:dyDescent="0.5">
      <c r="A424" s="17">
        <v>44106.666666666664</v>
      </c>
      <c r="B424" s="19">
        <v>113.02</v>
      </c>
      <c r="C424" t="s">
        <v>38</v>
      </c>
      <c r="D424" t="str">
        <f>T_Stocks[[#This Row],[Ticker]] &amp; "-" &amp; DATE(YEAR(T_Stocks[[#This Row],[Fecha]]),MONTH(T_Stocks[[#This Row],[Fecha]]),DAY(T_Stocks[[#This Row],[Fecha]]))</f>
        <v>AAPL-44106</v>
      </c>
    </row>
    <row r="425" spans="1:4" ht="14.65" thickBot="1" x14ac:dyDescent="0.5">
      <c r="A425" s="17">
        <v>44109.666666666664</v>
      </c>
      <c r="B425" s="19">
        <v>116.5</v>
      </c>
      <c r="C425" t="s">
        <v>38</v>
      </c>
      <c r="D425" t="str">
        <f>T_Stocks[[#This Row],[Ticker]] &amp; "-" &amp; DATE(YEAR(T_Stocks[[#This Row],[Fecha]]),MONTH(T_Stocks[[#This Row],[Fecha]]),DAY(T_Stocks[[#This Row],[Fecha]]))</f>
        <v>AAPL-44109</v>
      </c>
    </row>
    <row r="426" spans="1:4" ht="14.65" thickBot="1" x14ac:dyDescent="0.5">
      <c r="A426" s="17">
        <v>44110.666666666664</v>
      </c>
      <c r="B426" s="19">
        <v>113.16</v>
      </c>
      <c r="C426" t="s">
        <v>38</v>
      </c>
      <c r="D426" t="str">
        <f>T_Stocks[[#This Row],[Ticker]] &amp; "-" &amp; DATE(YEAR(T_Stocks[[#This Row],[Fecha]]),MONTH(T_Stocks[[#This Row],[Fecha]]),DAY(T_Stocks[[#This Row],[Fecha]]))</f>
        <v>AAPL-44110</v>
      </c>
    </row>
    <row r="427" spans="1:4" ht="14.65" thickBot="1" x14ac:dyDescent="0.5">
      <c r="A427" s="17">
        <v>44111.666666666664</v>
      </c>
      <c r="B427" s="19">
        <v>115.08</v>
      </c>
      <c r="C427" t="s">
        <v>38</v>
      </c>
      <c r="D427" t="str">
        <f>T_Stocks[[#This Row],[Ticker]] &amp; "-" &amp; DATE(YEAR(T_Stocks[[#This Row],[Fecha]]),MONTH(T_Stocks[[#This Row],[Fecha]]),DAY(T_Stocks[[#This Row],[Fecha]]))</f>
        <v>AAPL-44111</v>
      </c>
    </row>
    <row r="428" spans="1:4" ht="14.65" thickBot="1" x14ac:dyDescent="0.5">
      <c r="A428" s="17">
        <v>44112.666666666664</v>
      </c>
      <c r="B428" s="19">
        <v>114.97</v>
      </c>
      <c r="C428" t="s">
        <v>38</v>
      </c>
      <c r="D428" t="str">
        <f>T_Stocks[[#This Row],[Ticker]] &amp; "-" &amp; DATE(YEAR(T_Stocks[[#This Row],[Fecha]]),MONTH(T_Stocks[[#This Row],[Fecha]]),DAY(T_Stocks[[#This Row],[Fecha]]))</f>
        <v>AAPL-44112</v>
      </c>
    </row>
    <row r="429" spans="1:4" ht="14.65" thickBot="1" x14ac:dyDescent="0.5">
      <c r="A429" s="17">
        <v>44113.666666666664</v>
      </c>
      <c r="B429" s="19">
        <v>116.97</v>
      </c>
      <c r="C429" t="s">
        <v>38</v>
      </c>
      <c r="D429" t="str">
        <f>T_Stocks[[#This Row],[Ticker]] &amp; "-" &amp; DATE(YEAR(T_Stocks[[#This Row],[Fecha]]),MONTH(T_Stocks[[#This Row],[Fecha]]),DAY(T_Stocks[[#This Row],[Fecha]]))</f>
        <v>AAPL-44113</v>
      </c>
    </row>
    <row r="430" spans="1:4" ht="14.65" thickBot="1" x14ac:dyDescent="0.5">
      <c r="A430" s="17">
        <v>44116.666666666664</v>
      </c>
      <c r="B430" s="19">
        <v>124.4</v>
      </c>
      <c r="C430" t="s">
        <v>38</v>
      </c>
      <c r="D430" t="str">
        <f>T_Stocks[[#This Row],[Ticker]] &amp; "-" &amp; DATE(YEAR(T_Stocks[[#This Row],[Fecha]]),MONTH(T_Stocks[[#This Row],[Fecha]]),DAY(T_Stocks[[#This Row],[Fecha]]))</f>
        <v>AAPL-44116</v>
      </c>
    </row>
    <row r="431" spans="1:4" ht="14.65" thickBot="1" x14ac:dyDescent="0.5">
      <c r="A431" s="17">
        <v>44117.666666666664</v>
      </c>
      <c r="B431" s="19">
        <v>121.1</v>
      </c>
      <c r="C431" t="s">
        <v>38</v>
      </c>
      <c r="D431" t="str">
        <f>T_Stocks[[#This Row],[Ticker]] &amp; "-" &amp; DATE(YEAR(T_Stocks[[#This Row],[Fecha]]),MONTH(T_Stocks[[#This Row],[Fecha]]),DAY(T_Stocks[[#This Row],[Fecha]]))</f>
        <v>AAPL-44117</v>
      </c>
    </row>
    <row r="432" spans="1:4" ht="14.65" thickBot="1" x14ac:dyDescent="0.5">
      <c r="A432" s="17">
        <v>44118.666666666664</v>
      </c>
      <c r="B432" s="19">
        <v>121.19</v>
      </c>
      <c r="C432" t="s">
        <v>38</v>
      </c>
      <c r="D432" t="str">
        <f>T_Stocks[[#This Row],[Ticker]] &amp; "-" &amp; DATE(YEAR(T_Stocks[[#This Row],[Fecha]]),MONTH(T_Stocks[[#This Row],[Fecha]]),DAY(T_Stocks[[#This Row],[Fecha]]))</f>
        <v>AAPL-44118</v>
      </c>
    </row>
    <row r="433" spans="1:4" ht="14.65" thickBot="1" x14ac:dyDescent="0.5">
      <c r="A433" s="17">
        <v>44119.666666666664</v>
      </c>
      <c r="B433" s="19">
        <v>120.71</v>
      </c>
      <c r="C433" t="s">
        <v>38</v>
      </c>
      <c r="D433" t="str">
        <f>T_Stocks[[#This Row],[Ticker]] &amp; "-" &amp; DATE(YEAR(T_Stocks[[#This Row],[Fecha]]),MONTH(T_Stocks[[#This Row],[Fecha]]),DAY(T_Stocks[[#This Row],[Fecha]]))</f>
        <v>AAPL-44119</v>
      </c>
    </row>
    <row r="434" spans="1:4" ht="14.65" thickBot="1" x14ac:dyDescent="0.5">
      <c r="A434" s="17">
        <v>44120.666666666664</v>
      </c>
      <c r="B434" s="19">
        <v>119.02</v>
      </c>
      <c r="C434" t="s">
        <v>38</v>
      </c>
      <c r="D434" t="str">
        <f>T_Stocks[[#This Row],[Ticker]] &amp; "-" &amp; DATE(YEAR(T_Stocks[[#This Row],[Fecha]]),MONTH(T_Stocks[[#This Row],[Fecha]]),DAY(T_Stocks[[#This Row],[Fecha]]))</f>
        <v>AAPL-44120</v>
      </c>
    </row>
    <row r="435" spans="1:4" ht="14.65" thickBot="1" x14ac:dyDescent="0.5">
      <c r="A435" s="17">
        <v>44123.666666666664</v>
      </c>
      <c r="B435" s="19">
        <v>115.98</v>
      </c>
      <c r="C435" t="s">
        <v>38</v>
      </c>
      <c r="D435" t="str">
        <f>T_Stocks[[#This Row],[Ticker]] &amp; "-" &amp; DATE(YEAR(T_Stocks[[#This Row],[Fecha]]),MONTH(T_Stocks[[#This Row],[Fecha]]),DAY(T_Stocks[[#This Row],[Fecha]]))</f>
        <v>AAPL-44123</v>
      </c>
    </row>
    <row r="436" spans="1:4" ht="14.65" thickBot="1" x14ac:dyDescent="0.5">
      <c r="A436" s="17">
        <v>44124.666666666664</v>
      </c>
      <c r="B436" s="19">
        <v>117.51</v>
      </c>
      <c r="C436" t="s">
        <v>38</v>
      </c>
      <c r="D436" t="str">
        <f>T_Stocks[[#This Row],[Ticker]] &amp; "-" &amp; DATE(YEAR(T_Stocks[[#This Row],[Fecha]]),MONTH(T_Stocks[[#This Row],[Fecha]]),DAY(T_Stocks[[#This Row],[Fecha]]))</f>
        <v>AAPL-44124</v>
      </c>
    </row>
    <row r="437" spans="1:4" ht="14.65" thickBot="1" x14ac:dyDescent="0.5">
      <c r="A437" s="17">
        <v>44125.666666666664</v>
      </c>
      <c r="B437" s="19">
        <v>116.87</v>
      </c>
      <c r="C437" t="s">
        <v>38</v>
      </c>
      <c r="D437" t="str">
        <f>T_Stocks[[#This Row],[Ticker]] &amp; "-" &amp; DATE(YEAR(T_Stocks[[#This Row],[Fecha]]),MONTH(T_Stocks[[#This Row],[Fecha]]),DAY(T_Stocks[[#This Row],[Fecha]]))</f>
        <v>AAPL-44125</v>
      </c>
    </row>
    <row r="438" spans="1:4" ht="14.65" thickBot="1" x14ac:dyDescent="0.5">
      <c r="A438" s="17">
        <v>44126.666666666664</v>
      </c>
      <c r="B438" s="19">
        <v>115.75</v>
      </c>
      <c r="C438" t="s">
        <v>38</v>
      </c>
      <c r="D438" t="str">
        <f>T_Stocks[[#This Row],[Ticker]] &amp; "-" &amp; DATE(YEAR(T_Stocks[[#This Row],[Fecha]]),MONTH(T_Stocks[[#This Row],[Fecha]]),DAY(T_Stocks[[#This Row],[Fecha]]))</f>
        <v>AAPL-44126</v>
      </c>
    </row>
    <row r="439" spans="1:4" ht="14.65" thickBot="1" x14ac:dyDescent="0.5">
      <c r="A439" s="17">
        <v>44127.666666666664</v>
      </c>
      <c r="B439" s="19">
        <v>115.04</v>
      </c>
      <c r="C439" t="s">
        <v>38</v>
      </c>
      <c r="D439" t="str">
        <f>T_Stocks[[#This Row],[Ticker]] &amp; "-" &amp; DATE(YEAR(T_Stocks[[#This Row],[Fecha]]),MONTH(T_Stocks[[#This Row],[Fecha]]),DAY(T_Stocks[[#This Row],[Fecha]]))</f>
        <v>AAPL-44127</v>
      </c>
    </row>
    <row r="440" spans="1:4" ht="14.65" thickBot="1" x14ac:dyDescent="0.5">
      <c r="A440" s="17">
        <v>44130.666666666664</v>
      </c>
      <c r="B440" s="19">
        <v>115.05</v>
      </c>
      <c r="C440" t="s">
        <v>38</v>
      </c>
      <c r="D440" t="str">
        <f>T_Stocks[[#This Row],[Ticker]] &amp; "-" &amp; DATE(YEAR(T_Stocks[[#This Row],[Fecha]]),MONTH(T_Stocks[[#This Row],[Fecha]]),DAY(T_Stocks[[#This Row],[Fecha]]))</f>
        <v>AAPL-44130</v>
      </c>
    </row>
    <row r="441" spans="1:4" ht="14.65" thickBot="1" x14ac:dyDescent="0.5">
      <c r="A441" s="17">
        <v>44131.666666666664</v>
      </c>
      <c r="B441" s="19">
        <v>116.6</v>
      </c>
      <c r="C441" t="s">
        <v>38</v>
      </c>
      <c r="D441" t="str">
        <f>T_Stocks[[#This Row],[Ticker]] &amp; "-" &amp; DATE(YEAR(T_Stocks[[#This Row],[Fecha]]),MONTH(T_Stocks[[#This Row],[Fecha]]),DAY(T_Stocks[[#This Row],[Fecha]]))</f>
        <v>AAPL-44131</v>
      </c>
    </row>
    <row r="442" spans="1:4" ht="14.65" thickBot="1" x14ac:dyDescent="0.5">
      <c r="A442" s="17">
        <v>44132.666666666664</v>
      </c>
      <c r="B442" s="19">
        <v>111.2</v>
      </c>
      <c r="C442" t="s">
        <v>38</v>
      </c>
      <c r="D442" t="str">
        <f>T_Stocks[[#This Row],[Ticker]] &amp; "-" &amp; DATE(YEAR(T_Stocks[[#This Row],[Fecha]]),MONTH(T_Stocks[[#This Row],[Fecha]]),DAY(T_Stocks[[#This Row],[Fecha]]))</f>
        <v>AAPL-44132</v>
      </c>
    </row>
    <row r="443" spans="1:4" ht="14.65" thickBot="1" x14ac:dyDescent="0.5">
      <c r="A443" s="17">
        <v>44133.666666666664</v>
      </c>
      <c r="B443" s="19">
        <v>115.32</v>
      </c>
      <c r="C443" t="s">
        <v>38</v>
      </c>
      <c r="D443" t="str">
        <f>T_Stocks[[#This Row],[Ticker]] &amp; "-" &amp; DATE(YEAR(T_Stocks[[#This Row],[Fecha]]),MONTH(T_Stocks[[#This Row],[Fecha]]),DAY(T_Stocks[[#This Row],[Fecha]]))</f>
        <v>AAPL-44133</v>
      </c>
    </row>
    <row r="444" spans="1:4" ht="14.65" thickBot="1" x14ac:dyDescent="0.5">
      <c r="A444" s="17">
        <v>44134.666666666664</v>
      </c>
      <c r="B444" s="19">
        <v>108.86</v>
      </c>
      <c r="C444" t="s">
        <v>38</v>
      </c>
      <c r="D444" t="str">
        <f>T_Stocks[[#This Row],[Ticker]] &amp; "-" &amp; DATE(YEAR(T_Stocks[[#This Row],[Fecha]]),MONTH(T_Stocks[[#This Row],[Fecha]]),DAY(T_Stocks[[#This Row],[Fecha]]))</f>
        <v>AAPL-44134</v>
      </c>
    </row>
    <row r="445" spans="1:4" ht="14.65" thickBot="1" x14ac:dyDescent="0.5">
      <c r="A445" s="17">
        <v>44137.666666666664</v>
      </c>
      <c r="B445" s="19">
        <v>108.77</v>
      </c>
      <c r="C445" t="s">
        <v>38</v>
      </c>
      <c r="D445" t="str">
        <f>T_Stocks[[#This Row],[Ticker]] &amp; "-" &amp; DATE(YEAR(T_Stocks[[#This Row],[Fecha]]),MONTH(T_Stocks[[#This Row],[Fecha]]),DAY(T_Stocks[[#This Row],[Fecha]]))</f>
        <v>AAPL-44137</v>
      </c>
    </row>
    <row r="446" spans="1:4" ht="14.65" thickBot="1" x14ac:dyDescent="0.5">
      <c r="A446" s="17">
        <v>44138.666666666664</v>
      </c>
      <c r="B446" s="19">
        <v>110.44</v>
      </c>
      <c r="C446" t="s">
        <v>38</v>
      </c>
      <c r="D446" t="str">
        <f>T_Stocks[[#This Row],[Ticker]] &amp; "-" &amp; DATE(YEAR(T_Stocks[[#This Row],[Fecha]]),MONTH(T_Stocks[[#This Row],[Fecha]]),DAY(T_Stocks[[#This Row],[Fecha]]))</f>
        <v>AAPL-44138</v>
      </c>
    </row>
    <row r="447" spans="1:4" ht="14.65" thickBot="1" x14ac:dyDescent="0.5">
      <c r="A447" s="17">
        <v>44139.666666666664</v>
      </c>
      <c r="B447" s="19">
        <v>114.95</v>
      </c>
      <c r="C447" t="s">
        <v>38</v>
      </c>
      <c r="D447" t="str">
        <f>T_Stocks[[#This Row],[Ticker]] &amp; "-" &amp; DATE(YEAR(T_Stocks[[#This Row],[Fecha]]),MONTH(T_Stocks[[#This Row],[Fecha]]),DAY(T_Stocks[[#This Row],[Fecha]]))</f>
        <v>AAPL-44139</v>
      </c>
    </row>
    <row r="448" spans="1:4" ht="14.65" thickBot="1" x14ac:dyDescent="0.5">
      <c r="A448" s="17">
        <v>44140.666666666664</v>
      </c>
      <c r="B448" s="19">
        <v>119.03</v>
      </c>
      <c r="C448" t="s">
        <v>38</v>
      </c>
      <c r="D448" t="str">
        <f>T_Stocks[[#This Row],[Ticker]] &amp; "-" &amp; DATE(YEAR(T_Stocks[[#This Row],[Fecha]]),MONTH(T_Stocks[[#This Row],[Fecha]]),DAY(T_Stocks[[#This Row],[Fecha]]))</f>
        <v>AAPL-44140</v>
      </c>
    </row>
    <row r="449" spans="1:4" ht="14.65" thickBot="1" x14ac:dyDescent="0.5">
      <c r="A449" s="17">
        <v>44141.666666666664</v>
      </c>
      <c r="B449" s="19">
        <v>118.69</v>
      </c>
      <c r="C449" t="s">
        <v>38</v>
      </c>
      <c r="D449" t="str">
        <f>T_Stocks[[#This Row],[Ticker]] &amp; "-" &amp; DATE(YEAR(T_Stocks[[#This Row],[Fecha]]),MONTH(T_Stocks[[#This Row],[Fecha]]),DAY(T_Stocks[[#This Row],[Fecha]]))</f>
        <v>AAPL-44141</v>
      </c>
    </row>
    <row r="450" spans="1:4" ht="14.65" thickBot="1" x14ac:dyDescent="0.5">
      <c r="A450" s="17">
        <v>44144.666666666664</v>
      </c>
      <c r="B450" s="19">
        <v>116.32</v>
      </c>
      <c r="C450" t="s">
        <v>38</v>
      </c>
      <c r="D450" t="str">
        <f>T_Stocks[[#This Row],[Ticker]] &amp; "-" &amp; DATE(YEAR(T_Stocks[[#This Row],[Fecha]]),MONTH(T_Stocks[[#This Row],[Fecha]]),DAY(T_Stocks[[#This Row],[Fecha]]))</f>
        <v>AAPL-44144</v>
      </c>
    </row>
    <row r="451" spans="1:4" ht="14.65" thickBot="1" x14ac:dyDescent="0.5">
      <c r="A451" s="17">
        <v>44145.666666666664</v>
      </c>
      <c r="B451" s="19">
        <v>115.97</v>
      </c>
      <c r="C451" t="s">
        <v>38</v>
      </c>
      <c r="D451" t="str">
        <f>T_Stocks[[#This Row],[Ticker]] &amp; "-" &amp; DATE(YEAR(T_Stocks[[#This Row],[Fecha]]),MONTH(T_Stocks[[#This Row],[Fecha]]),DAY(T_Stocks[[#This Row],[Fecha]]))</f>
        <v>AAPL-44145</v>
      </c>
    </row>
    <row r="452" spans="1:4" ht="14.65" thickBot="1" x14ac:dyDescent="0.5">
      <c r="A452" s="17">
        <v>44146.666666666664</v>
      </c>
      <c r="B452" s="19">
        <v>119.49</v>
      </c>
      <c r="C452" t="s">
        <v>38</v>
      </c>
      <c r="D452" t="str">
        <f>T_Stocks[[#This Row],[Ticker]] &amp; "-" &amp; DATE(YEAR(T_Stocks[[#This Row],[Fecha]]),MONTH(T_Stocks[[#This Row],[Fecha]]),DAY(T_Stocks[[#This Row],[Fecha]]))</f>
        <v>AAPL-44146</v>
      </c>
    </row>
    <row r="453" spans="1:4" ht="14.65" thickBot="1" x14ac:dyDescent="0.5">
      <c r="A453" s="17">
        <v>44147.666666666664</v>
      </c>
      <c r="B453" s="19">
        <v>119.21</v>
      </c>
      <c r="C453" t="s">
        <v>38</v>
      </c>
      <c r="D453" t="str">
        <f>T_Stocks[[#This Row],[Ticker]] &amp; "-" &amp; DATE(YEAR(T_Stocks[[#This Row],[Fecha]]),MONTH(T_Stocks[[#This Row],[Fecha]]),DAY(T_Stocks[[#This Row],[Fecha]]))</f>
        <v>AAPL-44147</v>
      </c>
    </row>
    <row r="454" spans="1:4" ht="14.65" thickBot="1" x14ac:dyDescent="0.5">
      <c r="A454" s="17">
        <v>44148.666666666664</v>
      </c>
      <c r="B454" s="19">
        <v>119.26</v>
      </c>
      <c r="C454" t="s">
        <v>38</v>
      </c>
      <c r="D454" t="str">
        <f>T_Stocks[[#This Row],[Ticker]] &amp; "-" &amp; DATE(YEAR(T_Stocks[[#This Row],[Fecha]]),MONTH(T_Stocks[[#This Row],[Fecha]]),DAY(T_Stocks[[#This Row],[Fecha]]))</f>
        <v>AAPL-44148</v>
      </c>
    </row>
    <row r="455" spans="1:4" ht="14.65" thickBot="1" x14ac:dyDescent="0.5">
      <c r="A455" s="17">
        <v>44151.666666666664</v>
      </c>
      <c r="B455" s="19">
        <v>120.3</v>
      </c>
      <c r="C455" t="s">
        <v>38</v>
      </c>
      <c r="D455" t="str">
        <f>T_Stocks[[#This Row],[Ticker]] &amp; "-" &amp; DATE(YEAR(T_Stocks[[#This Row],[Fecha]]),MONTH(T_Stocks[[#This Row],[Fecha]]),DAY(T_Stocks[[#This Row],[Fecha]]))</f>
        <v>AAPL-44151</v>
      </c>
    </row>
    <row r="456" spans="1:4" ht="14.65" thickBot="1" x14ac:dyDescent="0.5">
      <c r="A456" s="17">
        <v>44152.666666666664</v>
      </c>
      <c r="B456" s="19">
        <v>119.39</v>
      </c>
      <c r="C456" t="s">
        <v>38</v>
      </c>
      <c r="D456" t="str">
        <f>T_Stocks[[#This Row],[Ticker]] &amp; "-" &amp; DATE(YEAR(T_Stocks[[#This Row],[Fecha]]),MONTH(T_Stocks[[#This Row],[Fecha]]),DAY(T_Stocks[[#This Row],[Fecha]]))</f>
        <v>AAPL-44152</v>
      </c>
    </row>
    <row r="457" spans="1:4" ht="14.65" thickBot="1" x14ac:dyDescent="0.5">
      <c r="A457" s="17">
        <v>44153.666666666664</v>
      </c>
      <c r="B457" s="19">
        <v>118.03</v>
      </c>
      <c r="C457" t="s">
        <v>38</v>
      </c>
      <c r="D457" t="str">
        <f>T_Stocks[[#This Row],[Ticker]] &amp; "-" &amp; DATE(YEAR(T_Stocks[[#This Row],[Fecha]]),MONTH(T_Stocks[[#This Row],[Fecha]]),DAY(T_Stocks[[#This Row],[Fecha]]))</f>
        <v>AAPL-44153</v>
      </c>
    </row>
    <row r="458" spans="1:4" ht="14.65" thickBot="1" x14ac:dyDescent="0.5">
      <c r="A458" s="17">
        <v>44154.666666666664</v>
      </c>
      <c r="B458" s="19">
        <v>118.64</v>
      </c>
      <c r="C458" t="s">
        <v>38</v>
      </c>
      <c r="D458" t="str">
        <f>T_Stocks[[#This Row],[Ticker]] &amp; "-" &amp; DATE(YEAR(T_Stocks[[#This Row],[Fecha]]),MONTH(T_Stocks[[#This Row],[Fecha]]),DAY(T_Stocks[[#This Row],[Fecha]]))</f>
        <v>AAPL-44154</v>
      </c>
    </row>
    <row r="459" spans="1:4" ht="14.65" thickBot="1" x14ac:dyDescent="0.5">
      <c r="A459" s="17">
        <v>44155.666666666664</v>
      </c>
      <c r="B459" s="19">
        <v>117.34</v>
      </c>
      <c r="C459" t="s">
        <v>38</v>
      </c>
      <c r="D459" t="str">
        <f>T_Stocks[[#This Row],[Ticker]] &amp; "-" &amp; DATE(YEAR(T_Stocks[[#This Row],[Fecha]]),MONTH(T_Stocks[[#This Row],[Fecha]]),DAY(T_Stocks[[#This Row],[Fecha]]))</f>
        <v>AAPL-44155</v>
      </c>
    </row>
    <row r="460" spans="1:4" ht="14.65" thickBot="1" x14ac:dyDescent="0.5">
      <c r="A460" s="17">
        <v>44158.666666666664</v>
      </c>
      <c r="B460" s="19">
        <v>113.85</v>
      </c>
      <c r="C460" t="s">
        <v>38</v>
      </c>
      <c r="D460" t="str">
        <f>T_Stocks[[#This Row],[Ticker]] &amp; "-" &amp; DATE(YEAR(T_Stocks[[#This Row],[Fecha]]),MONTH(T_Stocks[[#This Row],[Fecha]]),DAY(T_Stocks[[#This Row],[Fecha]]))</f>
        <v>AAPL-44158</v>
      </c>
    </row>
    <row r="461" spans="1:4" ht="14.65" thickBot="1" x14ac:dyDescent="0.5">
      <c r="A461" s="17">
        <v>44159.666666666664</v>
      </c>
      <c r="B461" s="19">
        <v>115.17</v>
      </c>
      <c r="C461" t="s">
        <v>38</v>
      </c>
      <c r="D461" t="str">
        <f>T_Stocks[[#This Row],[Ticker]] &amp; "-" &amp; DATE(YEAR(T_Stocks[[#This Row],[Fecha]]),MONTH(T_Stocks[[#This Row],[Fecha]]),DAY(T_Stocks[[#This Row],[Fecha]]))</f>
        <v>AAPL-44159</v>
      </c>
    </row>
    <row r="462" spans="1:4" ht="14.65" thickBot="1" x14ac:dyDescent="0.5">
      <c r="A462" s="17">
        <v>44160.666666666664</v>
      </c>
      <c r="B462" s="19">
        <v>116.03</v>
      </c>
      <c r="C462" t="s">
        <v>38</v>
      </c>
      <c r="D462" t="str">
        <f>T_Stocks[[#This Row],[Ticker]] &amp; "-" &amp; DATE(YEAR(T_Stocks[[#This Row],[Fecha]]),MONTH(T_Stocks[[#This Row],[Fecha]]),DAY(T_Stocks[[#This Row],[Fecha]]))</f>
        <v>AAPL-44160</v>
      </c>
    </row>
    <row r="463" spans="1:4" ht="14.65" thickBot="1" x14ac:dyDescent="0.5">
      <c r="A463" s="17">
        <v>44162.541666666664</v>
      </c>
      <c r="B463" s="19">
        <v>116.59</v>
      </c>
      <c r="C463" t="s">
        <v>38</v>
      </c>
      <c r="D463" t="str">
        <f>T_Stocks[[#This Row],[Ticker]] &amp; "-" &amp; DATE(YEAR(T_Stocks[[#This Row],[Fecha]]),MONTH(T_Stocks[[#This Row],[Fecha]]),DAY(T_Stocks[[#This Row],[Fecha]]))</f>
        <v>AAPL-44162</v>
      </c>
    </row>
    <row r="464" spans="1:4" ht="14.65" thickBot="1" x14ac:dyDescent="0.5">
      <c r="A464" s="17">
        <v>44165.666666666664</v>
      </c>
      <c r="B464" s="19">
        <v>119.05</v>
      </c>
      <c r="C464" t="s">
        <v>38</v>
      </c>
      <c r="D464" t="str">
        <f>T_Stocks[[#This Row],[Ticker]] &amp; "-" &amp; DATE(YEAR(T_Stocks[[#This Row],[Fecha]]),MONTH(T_Stocks[[#This Row],[Fecha]]),DAY(T_Stocks[[#This Row],[Fecha]]))</f>
        <v>AAPL-44165</v>
      </c>
    </row>
    <row r="465" spans="1:4" ht="14.65" thickBot="1" x14ac:dyDescent="0.5">
      <c r="A465" s="17">
        <v>44166.666666666664</v>
      </c>
      <c r="B465" s="19">
        <v>122.72</v>
      </c>
      <c r="C465" t="s">
        <v>38</v>
      </c>
      <c r="D465" t="str">
        <f>T_Stocks[[#This Row],[Ticker]] &amp; "-" &amp; DATE(YEAR(T_Stocks[[#This Row],[Fecha]]),MONTH(T_Stocks[[#This Row],[Fecha]]),DAY(T_Stocks[[#This Row],[Fecha]]))</f>
        <v>AAPL-44166</v>
      </c>
    </row>
    <row r="466" spans="1:4" ht="14.65" thickBot="1" x14ac:dyDescent="0.5">
      <c r="A466" s="17">
        <v>44167.666666666664</v>
      </c>
      <c r="B466" s="19">
        <v>123.08</v>
      </c>
      <c r="C466" t="s">
        <v>38</v>
      </c>
      <c r="D466" t="str">
        <f>T_Stocks[[#This Row],[Ticker]] &amp; "-" &amp; DATE(YEAR(T_Stocks[[#This Row],[Fecha]]),MONTH(T_Stocks[[#This Row],[Fecha]]),DAY(T_Stocks[[#This Row],[Fecha]]))</f>
        <v>AAPL-44167</v>
      </c>
    </row>
    <row r="467" spans="1:4" ht="14.65" thickBot="1" x14ac:dyDescent="0.5">
      <c r="A467" s="17">
        <v>44168.666666666664</v>
      </c>
      <c r="B467" s="19">
        <v>122.94</v>
      </c>
      <c r="C467" t="s">
        <v>38</v>
      </c>
      <c r="D467" t="str">
        <f>T_Stocks[[#This Row],[Ticker]] &amp; "-" &amp; DATE(YEAR(T_Stocks[[#This Row],[Fecha]]),MONTH(T_Stocks[[#This Row],[Fecha]]),DAY(T_Stocks[[#This Row],[Fecha]]))</f>
        <v>AAPL-44168</v>
      </c>
    </row>
    <row r="468" spans="1:4" ht="14.65" thickBot="1" x14ac:dyDescent="0.5">
      <c r="A468" s="17">
        <v>44169.666666666664</v>
      </c>
      <c r="B468" s="19">
        <v>122.25</v>
      </c>
      <c r="C468" t="s">
        <v>38</v>
      </c>
      <c r="D468" t="str">
        <f>T_Stocks[[#This Row],[Ticker]] &amp; "-" &amp; DATE(YEAR(T_Stocks[[#This Row],[Fecha]]),MONTH(T_Stocks[[#This Row],[Fecha]]),DAY(T_Stocks[[#This Row],[Fecha]]))</f>
        <v>AAPL-44169</v>
      </c>
    </row>
    <row r="469" spans="1:4" ht="14.65" thickBot="1" x14ac:dyDescent="0.5">
      <c r="A469" s="17">
        <v>44172.666666666664</v>
      </c>
      <c r="B469" s="19">
        <v>123.75</v>
      </c>
      <c r="C469" t="s">
        <v>38</v>
      </c>
      <c r="D469" t="str">
        <f>T_Stocks[[#This Row],[Ticker]] &amp; "-" &amp; DATE(YEAR(T_Stocks[[#This Row],[Fecha]]),MONTH(T_Stocks[[#This Row],[Fecha]]),DAY(T_Stocks[[#This Row],[Fecha]]))</f>
        <v>AAPL-44172</v>
      </c>
    </row>
    <row r="470" spans="1:4" ht="14.65" thickBot="1" x14ac:dyDescent="0.5">
      <c r="A470" s="17">
        <v>44173.666666666664</v>
      </c>
      <c r="B470" s="19">
        <v>124.38</v>
      </c>
      <c r="C470" t="s">
        <v>38</v>
      </c>
      <c r="D470" t="str">
        <f>T_Stocks[[#This Row],[Ticker]] &amp; "-" &amp; DATE(YEAR(T_Stocks[[#This Row],[Fecha]]),MONTH(T_Stocks[[#This Row],[Fecha]]),DAY(T_Stocks[[#This Row],[Fecha]]))</f>
        <v>AAPL-44173</v>
      </c>
    </row>
    <row r="471" spans="1:4" ht="14.65" thickBot="1" x14ac:dyDescent="0.5">
      <c r="A471" s="17">
        <v>44174.666666666664</v>
      </c>
      <c r="B471" s="19">
        <v>121.78</v>
      </c>
      <c r="C471" t="s">
        <v>38</v>
      </c>
      <c r="D471" t="str">
        <f>T_Stocks[[#This Row],[Ticker]] &amp; "-" &amp; DATE(YEAR(T_Stocks[[#This Row],[Fecha]]),MONTH(T_Stocks[[#This Row],[Fecha]]),DAY(T_Stocks[[#This Row],[Fecha]]))</f>
        <v>AAPL-44174</v>
      </c>
    </row>
    <row r="472" spans="1:4" ht="14.65" thickBot="1" x14ac:dyDescent="0.5">
      <c r="A472" s="17">
        <v>44175.666666666664</v>
      </c>
      <c r="B472" s="19">
        <v>123.24</v>
      </c>
      <c r="C472" t="s">
        <v>38</v>
      </c>
      <c r="D472" t="str">
        <f>T_Stocks[[#This Row],[Ticker]] &amp; "-" &amp; DATE(YEAR(T_Stocks[[#This Row],[Fecha]]),MONTH(T_Stocks[[#This Row],[Fecha]]),DAY(T_Stocks[[#This Row],[Fecha]]))</f>
        <v>AAPL-44175</v>
      </c>
    </row>
    <row r="473" spans="1:4" ht="14.65" thickBot="1" x14ac:dyDescent="0.5">
      <c r="A473" s="17">
        <v>44176.666666666664</v>
      </c>
      <c r="B473" s="19">
        <v>122.41</v>
      </c>
      <c r="C473" t="s">
        <v>38</v>
      </c>
      <c r="D473" t="str">
        <f>T_Stocks[[#This Row],[Ticker]] &amp; "-" &amp; DATE(YEAR(T_Stocks[[#This Row],[Fecha]]),MONTH(T_Stocks[[#This Row],[Fecha]]),DAY(T_Stocks[[#This Row],[Fecha]]))</f>
        <v>AAPL-44176</v>
      </c>
    </row>
    <row r="474" spans="1:4" ht="14.65" thickBot="1" x14ac:dyDescent="0.5">
      <c r="A474" s="17">
        <v>44179.666666666664</v>
      </c>
      <c r="B474" s="19">
        <v>121.78</v>
      </c>
      <c r="C474" t="s">
        <v>38</v>
      </c>
      <c r="D474" t="str">
        <f>T_Stocks[[#This Row],[Ticker]] &amp; "-" &amp; DATE(YEAR(T_Stocks[[#This Row],[Fecha]]),MONTH(T_Stocks[[#This Row],[Fecha]]),DAY(T_Stocks[[#This Row],[Fecha]]))</f>
        <v>AAPL-44179</v>
      </c>
    </row>
    <row r="475" spans="1:4" ht="14.65" thickBot="1" x14ac:dyDescent="0.5">
      <c r="A475" s="17">
        <v>44180.666666666664</v>
      </c>
      <c r="B475" s="19">
        <v>127.88</v>
      </c>
      <c r="C475" t="s">
        <v>38</v>
      </c>
      <c r="D475" t="str">
        <f>T_Stocks[[#This Row],[Ticker]] &amp; "-" &amp; DATE(YEAR(T_Stocks[[#This Row],[Fecha]]),MONTH(T_Stocks[[#This Row],[Fecha]]),DAY(T_Stocks[[#This Row],[Fecha]]))</f>
        <v>AAPL-44180</v>
      </c>
    </row>
    <row r="476" spans="1:4" ht="14.65" thickBot="1" x14ac:dyDescent="0.5">
      <c r="A476" s="17">
        <v>44181.666666666664</v>
      </c>
      <c r="B476" s="19">
        <v>127.81</v>
      </c>
      <c r="C476" t="s">
        <v>38</v>
      </c>
      <c r="D476" t="str">
        <f>T_Stocks[[#This Row],[Ticker]] &amp; "-" &amp; DATE(YEAR(T_Stocks[[#This Row],[Fecha]]),MONTH(T_Stocks[[#This Row],[Fecha]]),DAY(T_Stocks[[#This Row],[Fecha]]))</f>
        <v>AAPL-44181</v>
      </c>
    </row>
    <row r="477" spans="1:4" ht="14.65" thickBot="1" x14ac:dyDescent="0.5">
      <c r="A477" s="17">
        <v>44182.666666666664</v>
      </c>
      <c r="B477" s="19">
        <v>128.69999999999999</v>
      </c>
      <c r="C477" t="s">
        <v>38</v>
      </c>
      <c r="D477" t="str">
        <f>T_Stocks[[#This Row],[Ticker]] &amp; "-" &amp; DATE(YEAR(T_Stocks[[#This Row],[Fecha]]),MONTH(T_Stocks[[#This Row],[Fecha]]),DAY(T_Stocks[[#This Row],[Fecha]]))</f>
        <v>AAPL-44182</v>
      </c>
    </row>
    <row r="478" spans="1:4" ht="14.65" thickBot="1" x14ac:dyDescent="0.5">
      <c r="A478" s="17">
        <v>44183.666666666664</v>
      </c>
      <c r="B478" s="19">
        <v>126.66</v>
      </c>
      <c r="C478" t="s">
        <v>38</v>
      </c>
      <c r="D478" t="str">
        <f>T_Stocks[[#This Row],[Ticker]] &amp; "-" &amp; DATE(YEAR(T_Stocks[[#This Row],[Fecha]]),MONTH(T_Stocks[[#This Row],[Fecha]]),DAY(T_Stocks[[#This Row],[Fecha]]))</f>
        <v>AAPL-44183</v>
      </c>
    </row>
    <row r="479" spans="1:4" ht="14.65" thickBot="1" x14ac:dyDescent="0.5">
      <c r="A479" s="17">
        <v>44186.666666666664</v>
      </c>
      <c r="B479" s="19">
        <v>128.22999999999999</v>
      </c>
      <c r="C479" t="s">
        <v>38</v>
      </c>
      <c r="D479" t="str">
        <f>T_Stocks[[#This Row],[Ticker]] &amp; "-" &amp; DATE(YEAR(T_Stocks[[#This Row],[Fecha]]),MONTH(T_Stocks[[#This Row],[Fecha]]),DAY(T_Stocks[[#This Row],[Fecha]]))</f>
        <v>AAPL-44186</v>
      </c>
    </row>
    <row r="480" spans="1:4" ht="14.65" thickBot="1" x14ac:dyDescent="0.5">
      <c r="A480" s="17">
        <v>44187.666666666664</v>
      </c>
      <c r="B480" s="19">
        <v>131.88</v>
      </c>
      <c r="C480" t="s">
        <v>38</v>
      </c>
      <c r="D480" t="str">
        <f>T_Stocks[[#This Row],[Ticker]] &amp; "-" &amp; DATE(YEAR(T_Stocks[[#This Row],[Fecha]]),MONTH(T_Stocks[[#This Row],[Fecha]]),DAY(T_Stocks[[#This Row],[Fecha]]))</f>
        <v>AAPL-44187</v>
      </c>
    </row>
    <row r="481" spans="1:4" ht="14.65" thickBot="1" x14ac:dyDescent="0.5">
      <c r="A481" s="17">
        <v>44188.666666666664</v>
      </c>
      <c r="B481" s="19">
        <v>130.96</v>
      </c>
      <c r="C481" t="s">
        <v>38</v>
      </c>
      <c r="D481" t="str">
        <f>T_Stocks[[#This Row],[Ticker]] &amp; "-" &amp; DATE(YEAR(T_Stocks[[#This Row],[Fecha]]),MONTH(T_Stocks[[#This Row],[Fecha]]),DAY(T_Stocks[[#This Row],[Fecha]]))</f>
        <v>AAPL-44188</v>
      </c>
    </row>
    <row r="482" spans="1:4" ht="14.65" thickBot="1" x14ac:dyDescent="0.5">
      <c r="A482" s="17">
        <v>44189.541666666664</v>
      </c>
      <c r="B482" s="19">
        <v>131.97</v>
      </c>
      <c r="C482" t="s">
        <v>38</v>
      </c>
      <c r="D482" t="str">
        <f>T_Stocks[[#This Row],[Ticker]] &amp; "-" &amp; DATE(YEAR(T_Stocks[[#This Row],[Fecha]]),MONTH(T_Stocks[[#This Row],[Fecha]]),DAY(T_Stocks[[#This Row],[Fecha]]))</f>
        <v>AAPL-44189</v>
      </c>
    </row>
    <row r="483" spans="1:4" ht="14.65" thickBot="1" x14ac:dyDescent="0.5">
      <c r="A483" s="17">
        <v>44193.666666666664</v>
      </c>
      <c r="B483" s="19">
        <v>136.69</v>
      </c>
      <c r="C483" t="s">
        <v>38</v>
      </c>
      <c r="D483" t="str">
        <f>T_Stocks[[#This Row],[Ticker]] &amp; "-" &amp; DATE(YEAR(T_Stocks[[#This Row],[Fecha]]),MONTH(T_Stocks[[#This Row],[Fecha]]),DAY(T_Stocks[[#This Row],[Fecha]]))</f>
        <v>AAPL-44193</v>
      </c>
    </row>
    <row r="484" spans="1:4" ht="14.65" thickBot="1" x14ac:dyDescent="0.5">
      <c r="A484" s="17">
        <v>44194.666666666664</v>
      </c>
      <c r="B484" s="19">
        <v>134.87</v>
      </c>
      <c r="C484" t="s">
        <v>38</v>
      </c>
      <c r="D484" t="str">
        <f>T_Stocks[[#This Row],[Ticker]] &amp; "-" &amp; DATE(YEAR(T_Stocks[[#This Row],[Fecha]]),MONTH(T_Stocks[[#This Row],[Fecha]]),DAY(T_Stocks[[#This Row],[Fecha]]))</f>
        <v>AAPL-44194</v>
      </c>
    </row>
    <row r="485" spans="1:4" ht="14.65" thickBot="1" x14ac:dyDescent="0.5">
      <c r="A485" s="17">
        <v>44195.666666666664</v>
      </c>
      <c r="B485" s="19">
        <v>133.72</v>
      </c>
      <c r="C485" t="s">
        <v>38</v>
      </c>
      <c r="D485" t="str">
        <f>T_Stocks[[#This Row],[Ticker]] &amp; "-" &amp; DATE(YEAR(T_Stocks[[#This Row],[Fecha]]),MONTH(T_Stocks[[#This Row],[Fecha]]),DAY(T_Stocks[[#This Row],[Fecha]]))</f>
        <v>AAPL-44195</v>
      </c>
    </row>
    <row r="486" spans="1:4" ht="14.65" thickBot="1" x14ac:dyDescent="0.5">
      <c r="A486" s="17">
        <v>44196.666666666664</v>
      </c>
      <c r="B486" s="19">
        <v>132.69</v>
      </c>
      <c r="C486" t="s">
        <v>38</v>
      </c>
      <c r="D486" t="str">
        <f>T_Stocks[[#This Row],[Ticker]] &amp; "-" &amp; DATE(YEAR(T_Stocks[[#This Row],[Fecha]]),MONTH(T_Stocks[[#This Row],[Fecha]]),DAY(T_Stocks[[#This Row],[Fecha]]))</f>
        <v>AAPL-44196</v>
      </c>
    </row>
    <row r="487" spans="1:4" ht="14.65" thickBot="1" x14ac:dyDescent="0.5">
      <c r="A487" s="17">
        <v>44200.666666666664</v>
      </c>
      <c r="B487" s="19">
        <v>129.41</v>
      </c>
      <c r="C487" t="s">
        <v>38</v>
      </c>
      <c r="D487" t="str">
        <f>T_Stocks[[#This Row],[Ticker]] &amp; "-" &amp; DATE(YEAR(T_Stocks[[#This Row],[Fecha]]),MONTH(T_Stocks[[#This Row],[Fecha]]),DAY(T_Stocks[[#This Row],[Fecha]]))</f>
        <v>AAPL-44200</v>
      </c>
    </row>
    <row r="488" spans="1:4" ht="14.65" thickBot="1" x14ac:dyDescent="0.5">
      <c r="A488" s="17">
        <v>44201.666666666664</v>
      </c>
      <c r="B488" s="19">
        <v>131.01</v>
      </c>
      <c r="C488" t="s">
        <v>38</v>
      </c>
      <c r="D488" t="str">
        <f>T_Stocks[[#This Row],[Ticker]] &amp; "-" &amp; DATE(YEAR(T_Stocks[[#This Row],[Fecha]]),MONTH(T_Stocks[[#This Row],[Fecha]]),DAY(T_Stocks[[#This Row],[Fecha]]))</f>
        <v>AAPL-44201</v>
      </c>
    </row>
    <row r="489" spans="1:4" ht="14.65" thickBot="1" x14ac:dyDescent="0.5">
      <c r="A489" s="17">
        <v>44202.666666666664</v>
      </c>
      <c r="B489" s="19">
        <v>126.6</v>
      </c>
      <c r="C489" t="s">
        <v>38</v>
      </c>
      <c r="D489" t="str">
        <f>T_Stocks[[#This Row],[Ticker]] &amp; "-" &amp; DATE(YEAR(T_Stocks[[#This Row],[Fecha]]),MONTH(T_Stocks[[#This Row],[Fecha]]),DAY(T_Stocks[[#This Row],[Fecha]]))</f>
        <v>AAPL-44202</v>
      </c>
    </row>
    <row r="490" spans="1:4" ht="14.65" thickBot="1" x14ac:dyDescent="0.5">
      <c r="A490" s="17">
        <v>44203.666666666664</v>
      </c>
      <c r="B490" s="19">
        <v>130.91999999999999</v>
      </c>
      <c r="C490" t="s">
        <v>38</v>
      </c>
      <c r="D490" t="str">
        <f>T_Stocks[[#This Row],[Ticker]] &amp; "-" &amp; DATE(YEAR(T_Stocks[[#This Row],[Fecha]]),MONTH(T_Stocks[[#This Row],[Fecha]]),DAY(T_Stocks[[#This Row],[Fecha]]))</f>
        <v>AAPL-44203</v>
      </c>
    </row>
    <row r="491" spans="1:4" ht="14.65" thickBot="1" x14ac:dyDescent="0.5">
      <c r="A491" s="17">
        <v>44204.666666666664</v>
      </c>
      <c r="B491" s="19">
        <v>132.05000000000001</v>
      </c>
      <c r="C491" t="s">
        <v>38</v>
      </c>
      <c r="D491" t="str">
        <f>T_Stocks[[#This Row],[Ticker]] &amp; "-" &amp; DATE(YEAR(T_Stocks[[#This Row],[Fecha]]),MONTH(T_Stocks[[#This Row],[Fecha]]),DAY(T_Stocks[[#This Row],[Fecha]]))</f>
        <v>AAPL-44204</v>
      </c>
    </row>
    <row r="492" spans="1:4" ht="14.65" thickBot="1" x14ac:dyDescent="0.5">
      <c r="A492" s="17">
        <v>44207.666666666664</v>
      </c>
      <c r="B492" s="19">
        <v>128.97999999999999</v>
      </c>
      <c r="C492" t="s">
        <v>38</v>
      </c>
      <c r="D492" t="str">
        <f>T_Stocks[[#This Row],[Ticker]] &amp; "-" &amp; DATE(YEAR(T_Stocks[[#This Row],[Fecha]]),MONTH(T_Stocks[[#This Row],[Fecha]]),DAY(T_Stocks[[#This Row],[Fecha]]))</f>
        <v>AAPL-44207</v>
      </c>
    </row>
    <row r="493" spans="1:4" ht="14.65" thickBot="1" x14ac:dyDescent="0.5">
      <c r="A493" s="17">
        <v>44208.666666666664</v>
      </c>
      <c r="B493" s="19">
        <v>128.80000000000001</v>
      </c>
      <c r="C493" t="s">
        <v>38</v>
      </c>
      <c r="D493" t="str">
        <f>T_Stocks[[#This Row],[Ticker]] &amp; "-" &amp; DATE(YEAR(T_Stocks[[#This Row],[Fecha]]),MONTH(T_Stocks[[#This Row],[Fecha]]),DAY(T_Stocks[[#This Row],[Fecha]]))</f>
        <v>AAPL-44208</v>
      </c>
    </row>
    <row r="494" spans="1:4" ht="14.65" thickBot="1" x14ac:dyDescent="0.5">
      <c r="A494" s="17">
        <v>44209.666666666664</v>
      </c>
      <c r="B494" s="19">
        <v>130.88999999999999</v>
      </c>
      <c r="C494" t="s">
        <v>38</v>
      </c>
      <c r="D494" t="str">
        <f>T_Stocks[[#This Row],[Ticker]] &amp; "-" &amp; DATE(YEAR(T_Stocks[[#This Row],[Fecha]]),MONTH(T_Stocks[[#This Row],[Fecha]]),DAY(T_Stocks[[#This Row],[Fecha]]))</f>
        <v>AAPL-44209</v>
      </c>
    </row>
    <row r="495" spans="1:4" ht="14.65" thickBot="1" x14ac:dyDescent="0.5">
      <c r="A495" s="17">
        <v>44210.666666666664</v>
      </c>
      <c r="B495" s="19">
        <v>128.91</v>
      </c>
      <c r="C495" t="s">
        <v>38</v>
      </c>
      <c r="D495" t="str">
        <f>T_Stocks[[#This Row],[Ticker]] &amp; "-" &amp; DATE(YEAR(T_Stocks[[#This Row],[Fecha]]),MONTH(T_Stocks[[#This Row],[Fecha]]),DAY(T_Stocks[[#This Row],[Fecha]]))</f>
        <v>AAPL-44210</v>
      </c>
    </row>
    <row r="496" spans="1:4" ht="14.65" thickBot="1" x14ac:dyDescent="0.5">
      <c r="A496" s="17">
        <v>44211.666666666664</v>
      </c>
      <c r="B496" s="19">
        <v>127.14</v>
      </c>
      <c r="C496" t="s">
        <v>38</v>
      </c>
      <c r="D496" t="str">
        <f>T_Stocks[[#This Row],[Ticker]] &amp; "-" &amp; DATE(YEAR(T_Stocks[[#This Row],[Fecha]]),MONTH(T_Stocks[[#This Row],[Fecha]]),DAY(T_Stocks[[#This Row],[Fecha]]))</f>
        <v>AAPL-44211</v>
      </c>
    </row>
    <row r="497" spans="1:4" ht="14.65" thickBot="1" x14ac:dyDescent="0.5">
      <c r="A497" s="17">
        <v>44215.666666666664</v>
      </c>
      <c r="B497" s="19">
        <v>127.83</v>
      </c>
      <c r="C497" t="s">
        <v>38</v>
      </c>
      <c r="D497" t="str">
        <f>T_Stocks[[#This Row],[Ticker]] &amp; "-" &amp; DATE(YEAR(T_Stocks[[#This Row],[Fecha]]),MONTH(T_Stocks[[#This Row],[Fecha]]),DAY(T_Stocks[[#This Row],[Fecha]]))</f>
        <v>AAPL-44215</v>
      </c>
    </row>
    <row r="498" spans="1:4" ht="14.65" thickBot="1" x14ac:dyDescent="0.5">
      <c r="A498" s="17">
        <v>44216.666666666664</v>
      </c>
      <c r="B498" s="19">
        <v>132.03</v>
      </c>
      <c r="C498" t="s">
        <v>38</v>
      </c>
      <c r="D498" t="str">
        <f>T_Stocks[[#This Row],[Ticker]] &amp; "-" &amp; DATE(YEAR(T_Stocks[[#This Row],[Fecha]]),MONTH(T_Stocks[[#This Row],[Fecha]]),DAY(T_Stocks[[#This Row],[Fecha]]))</f>
        <v>AAPL-44216</v>
      </c>
    </row>
    <row r="499" spans="1:4" ht="14.65" thickBot="1" x14ac:dyDescent="0.5">
      <c r="A499" s="17">
        <v>44217.666666666664</v>
      </c>
      <c r="B499" s="19">
        <v>136.87</v>
      </c>
      <c r="C499" t="s">
        <v>38</v>
      </c>
      <c r="D499" t="str">
        <f>T_Stocks[[#This Row],[Ticker]] &amp; "-" &amp; DATE(YEAR(T_Stocks[[#This Row],[Fecha]]),MONTH(T_Stocks[[#This Row],[Fecha]]),DAY(T_Stocks[[#This Row],[Fecha]]))</f>
        <v>AAPL-44217</v>
      </c>
    </row>
    <row r="500" spans="1:4" ht="14.65" thickBot="1" x14ac:dyDescent="0.5">
      <c r="A500" s="17">
        <v>44218.666666666664</v>
      </c>
      <c r="B500" s="19">
        <v>139.07</v>
      </c>
      <c r="C500" t="s">
        <v>38</v>
      </c>
      <c r="D500" t="str">
        <f>T_Stocks[[#This Row],[Ticker]] &amp; "-" &amp; DATE(YEAR(T_Stocks[[#This Row],[Fecha]]),MONTH(T_Stocks[[#This Row],[Fecha]]),DAY(T_Stocks[[#This Row],[Fecha]]))</f>
        <v>AAPL-44218</v>
      </c>
    </row>
    <row r="501" spans="1:4" ht="14.65" thickBot="1" x14ac:dyDescent="0.5">
      <c r="A501" s="17">
        <v>44221.666666666664</v>
      </c>
      <c r="B501" s="19">
        <v>142.91999999999999</v>
      </c>
      <c r="C501" t="s">
        <v>38</v>
      </c>
      <c r="D501" t="str">
        <f>T_Stocks[[#This Row],[Ticker]] &amp; "-" &amp; DATE(YEAR(T_Stocks[[#This Row],[Fecha]]),MONTH(T_Stocks[[#This Row],[Fecha]]),DAY(T_Stocks[[#This Row],[Fecha]]))</f>
        <v>AAPL-44221</v>
      </c>
    </row>
    <row r="502" spans="1:4" ht="14.65" thickBot="1" x14ac:dyDescent="0.5">
      <c r="A502" s="17">
        <v>44222.666666666664</v>
      </c>
      <c r="B502" s="19">
        <v>143.16</v>
      </c>
      <c r="C502" t="s">
        <v>38</v>
      </c>
      <c r="D502" t="str">
        <f>T_Stocks[[#This Row],[Ticker]] &amp; "-" &amp; DATE(YEAR(T_Stocks[[#This Row],[Fecha]]),MONTH(T_Stocks[[#This Row],[Fecha]]),DAY(T_Stocks[[#This Row],[Fecha]]))</f>
        <v>AAPL-44222</v>
      </c>
    </row>
    <row r="503" spans="1:4" ht="14.65" thickBot="1" x14ac:dyDescent="0.5">
      <c r="A503" s="17">
        <v>44223.666666666664</v>
      </c>
      <c r="B503" s="19">
        <v>142.06</v>
      </c>
      <c r="C503" t="s">
        <v>38</v>
      </c>
      <c r="D503" t="str">
        <f>T_Stocks[[#This Row],[Ticker]] &amp; "-" &amp; DATE(YEAR(T_Stocks[[#This Row],[Fecha]]),MONTH(T_Stocks[[#This Row],[Fecha]]),DAY(T_Stocks[[#This Row],[Fecha]]))</f>
        <v>AAPL-44223</v>
      </c>
    </row>
    <row r="504" spans="1:4" ht="14.65" thickBot="1" x14ac:dyDescent="0.5">
      <c r="A504" s="17">
        <v>44224.666666666664</v>
      </c>
      <c r="B504" s="19">
        <v>137.09</v>
      </c>
      <c r="C504" t="s">
        <v>38</v>
      </c>
      <c r="D504" t="str">
        <f>T_Stocks[[#This Row],[Ticker]] &amp; "-" &amp; DATE(YEAR(T_Stocks[[#This Row],[Fecha]]),MONTH(T_Stocks[[#This Row],[Fecha]]),DAY(T_Stocks[[#This Row],[Fecha]]))</f>
        <v>AAPL-44224</v>
      </c>
    </row>
    <row r="505" spans="1:4" ht="14.65" thickBot="1" x14ac:dyDescent="0.5">
      <c r="A505" s="17">
        <v>44225.666666666664</v>
      </c>
      <c r="B505" s="19">
        <v>131.96</v>
      </c>
      <c r="C505" t="s">
        <v>38</v>
      </c>
      <c r="D505" t="str">
        <f>T_Stocks[[#This Row],[Ticker]] &amp; "-" &amp; DATE(YEAR(T_Stocks[[#This Row],[Fecha]]),MONTH(T_Stocks[[#This Row],[Fecha]]),DAY(T_Stocks[[#This Row],[Fecha]]))</f>
        <v>AAPL-44225</v>
      </c>
    </row>
    <row r="506" spans="1:4" ht="14.65" thickBot="1" x14ac:dyDescent="0.5">
      <c r="A506" s="17">
        <v>44228.666666666664</v>
      </c>
      <c r="B506" s="19">
        <v>134.13999999999999</v>
      </c>
      <c r="C506" t="s">
        <v>38</v>
      </c>
      <c r="D506" t="str">
        <f>T_Stocks[[#This Row],[Ticker]] &amp; "-" &amp; DATE(YEAR(T_Stocks[[#This Row],[Fecha]]),MONTH(T_Stocks[[#This Row],[Fecha]]),DAY(T_Stocks[[#This Row],[Fecha]]))</f>
        <v>AAPL-44228</v>
      </c>
    </row>
    <row r="507" spans="1:4" ht="14.65" thickBot="1" x14ac:dyDescent="0.5">
      <c r="A507" s="17">
        <v>44229.666666666664</v>
      </c>
      <c r="B507" s="19">
        <v>134.99</v>
      </c>
      <c r="C507" t="s">
        <v>38</v>
      </c>
      <c r="D507" t="str">
        <f>T_Stocks[[#This Row],[Ticker]] &amp; "-" &amp; DATE(YEAR(T_Stocks[[#This Row],[Fecha]]),MONTH(T_Stocks[[#This Row],[Fecha]]),DAY(T_Stocks[[#This Row],[Fecha]]))</f>
        <v>AAPL-44229</v>
      </c>
    </row>
    <row r="508" spans="1:4" ht="14.65" thickBot="1" x14ac:dyDescent="0.5">
      <c r="A508" s="17">
        <v>44230.666666666664</v>
      </c>
      <c r="B508" s="19">
        <v>133.94</v>
      </c>
      <c r="C508" t="s">
        <v>38</v>
      </c>
      <c r="D508" t="str">
        <f>T_Stocks[[#This Row],[Ticker]] &amp; "-" &amp; DATE(YEAR(T_Stocks[[#This Row],[Fecha]]),MONTH(T_Stocks[[#This Row],[Fecha]]),DAY(T_Stocks[[#This Row],[Fecha]]))</f>
        <v>AAPL-44230</v>
      </c>
    </row>
    <row r="509" spans="1:4" ht="14.65" thickBot="1" x14ac:dyDescent="0.5">
      <c r="A509" s="17">
        <v>44231.666666666664</v>
      </c>
      <c r="B509" s="19">
        <v>137.38999999999999</v>
      </c>
      <c r="C509" t="s">
        <v>38</v>
      </c>
      <c r="D509" t="str">
        <f>T_Stocks[[#This Row],[Ticker]] &amp; "-" &amp; DATE(YEAR(T_Stocks[[#This Row],[Fecha]]),MONTH(T_Stocks[[#This Row],[Fecha]]),DAY(T_Stocks[[#This Row],[Fecha]]))</f>
        <v>AAPL-44231</v>
      </c>
    </row>
    <row r="510" spans="1:4" ht="14.65" thickBot="1" x14ac:dyDescent="0.5">
      <c r="A510" s="17">
        <v>44232.666666666664</v>
      </c>
      <c r="B510" s="19">
        <v>136.76</v>
      </c>
      <c r="C510" t="s">
        <v>38</v>
      </c>
      <c r="D510" t="str">
        <f>T_Stocks[[#This Row],[Ticker]] &amp; "-" &amp; DATE(YEAR(T_Stocks[[#This Row],[Fecha]]),MONTH(T_Stocks[[#This Row],[Fecha]]),DAY(T_Stocks[[#This Row],[Fecha]]))</f>
        <v>AAPL-44232</v>
      </c>
    </row>
    <row r="511" spans="1:4" ht="14.65" thickBot="1" x14ac:dyDescent="0.5">
      <c r="A511" s="17">
        <v>44235.666666666664</v>
      </c>
      <c r="B511" s="19">
        <v>136.91</v>
      </c>
      <c r="C511" t="s">
        <v>38</v>
      </c>
      <c r="D511" t="str">
        <f>T_Stocks[[#This Row],[Ticker]] &amp; "-" &amp; DATE(YEAR(T_Stocks[[#This Row],[Fecha]]),MONTH(T_Stocks[[#This Row],[Fecha]]),DAY(T_Stocks[[#This Row],[Fecha]]))</f>
        <v>AAPL-44235</v>
      </c>
    </row>
    <row r="512" spans="1:4" ht="14.65" thickBot="1" x14ac:dyDescent="0.5">
      <c r="A512" s="17">
        <v>44236.666666666664</v>
      </c>
      <c r="B512" s="19">
        <v>136.01</v>
      </c>
      <c r="C512" t="s">
        <v>38</v>
      </c>
      <c r="D512" t="str">
        <f>T_Stocks[[#This Row],[Ticker]] &amp; "-" &amp; DATE(YEAR(T_Stocks[[#This Row],[Fecha]]),MONTH(T_Stocks[[#This Row],[Fecha]]),DAY(T_Stocks[[#This Row],[Fecha]]))</f>
        <v>AAPL-44236</v>
      </c>
    </row>
    <row r="513" spans="1:4" ht="14.65" thickBot="1" x14ac:dyDescent="0.5">
      <c r="A513" s="17">
        <v>44237.666666666664</v>
      </c>
      <c r="B513" s="19">
        <v>135.38999999999999</v>
      </c>
      <c r="C513" t="s">
        <v>38</v>
      </c>
      <c r="D513" t="str">
        <f>T_Stocks[[#This Row],[Ticker]] &amp; "-" &amp; DATE(YEAR(T_Stocks[[#This Row],[Fecha]]),MONTH(T_Stocks[[#This Row],[Fecha]]),DAY(T_Stocks[[#This Row],[Fecha]]))</f>
        <v>AAPL-44237</v>
      </c>
    </row>
    <row r="514" spans="1:4" ht="14.65" thickBot="1" x14ac:dyDescent="0.5">
      <c r="A514" s="17">
        <v>44238.666666666664</v>
      </c>
      <c r="B514" s="19">
        <v>135.13</v>
      </c>
      <c r="C514" t="s">
        <v>38</v>
      </c>
      <c r="D514" t="str">
        <f>T_Stocks[[#This Row],[Ticker]] &amp; "-" &amp; DATE(YEAR(T_Stocks[[#This Row],[Fecha]]),MONTH(T_Stocks[[#This Row],[Fecha]]),DAY(T_Stocks[[#This Row],[Fecha]]))</f>
        <v>AAPL-44238</v>
      </c>
    </row>
    <row r="515" spans="1:4" ht="14.65" thickBot="1" x14ac:dyDescent="0.5">
      <c r="A515" s="17">
        <v>44239.666666666664</v>
      </c>
      <c r="B515" s="19">
        <v>135.37</v>
      </c>
      <c r="C515" t="s">
        <v>38</v>
      </c>
      <c r="D515" t="str">
        <f>T_Stocks[[#This Row],[Ticker]] &amp; "-" &amp; DATE(YEAR(T_Stocks[[#This Row],[Fecha]]),MONTH(T_Stocks[[#This Row],[Fecha]]),DAY(T_Stocks[[#This Row],[Fecha]]))</f>
        <v>AAPL-44239</v>
      </c>
    </row>
    <row r="516" spans="1:4" ht="14.65" thickBot="1" x14ac:dyDescent="0.5">
      <c r="A516" s="17">
        <v>44243.666666666664</v>
      </c>
      <c r="B516" s="19">
        <v>133.19</v>
      </c>
      <c r="C516" t="s">
        <v>38</v>
      </c>
      <c r="D516" t="str">
        <f>T_Stocks[[#This Row],[Ticker]] &amp; "-" &amp; DATE(YEAR(T_Stocks[[#This Row],[Fecha]]),MONTH(T_Stocks[[#This Row],[Fecha]]),DAY(T_Stocks[[#This Row],[Fecha]]))</f>
        <v>AAPL-44243</v>
      </c>
    </row>
    <row r="517" spans="1:4" ht="14.65" thickBot="1" x14ac:dyDescent="0.5">
      <c r="A517" s="17">
        <v>44244.666666666664</v>
      </c>
      <c r="B517" s="19">
        <v>130.84</v>
      </c>
      <c r="C517" t="s">
        <v>38</v>
      </c>
      <c r="D517" t="str">
        <f>T_Stocks[[#This Row],[Ticker]] &amp; "-" &amp; DATE(YEAR(T_Stocks[[#This Row],[Fecha]]),MONTH(T_Stocks[[#This Row],[Fecha]]),DAY(T_Stocks[[#This Row],[Fecha]]))</f>
        <v>AAPL-44244</v>
      </c>
    </row>
    <row r="518" spans="1:4" ht="14.65" thickBot="1" x14ac:dyDescent="0.5">
      <c r="A518" s="17">
        <v>44245.666666666664</v>
      </c>
      <c r="B518" s="19">
        <v>129.71</v>
      </c>
      <c r="C518" t="s">
        <v>38</v>
      </c>
      <c r="D518" t="str">
        <f>T_Stocks[[#This Row],[Ticker]] &amp; "-" &amp; DATE(YEAR(T_Stocks[[#This Row],[Fecha]]),MONTH(T_Stocks[[#This Row],[Fecha]]),DAY(T_Stocks[[#This Row],[Fecha]]))</f>
        <v>AAPL-44245</v>
      </c>
    </row>
    <row r="519" spans="1:4" ht="14.65" thickBot="1" x14ac:dyDescent="0.5">
      <c r="A519" s="17">
        <v>44246.666666666664</v>
      </c>
      <c r="B519" s="19">
        <v>129.87</v>
      </c>
      <c r="C519" t="s">
        <v>38</v>
      </c>
      <c r="D519" t="str">
        <f>T_Stocks[[#This Row],[Ticker]] &amp; "-" &amp; DATE(YEAR(T_Stocks[[#This Row],[Fecha]]),MONTH(T_Stocks[[#This Row],[Fecha]]),DAY(T_Stocks[[#This Row],[Fecha]]))</f>
        <v>AAPL-44246</v>
      </c>
    </row>
    <row r="520" spans="1:4" ht="14.65" thickBot="1" x14ac:dyDescent="0.5">
      <c r="A520" s="17">
        <v>44249.666666666664</v>
      </c>
      <c r="B520" s="19">
        <v>126</v>
      </c>
      <c r="C520" t="s">
        <v>38</v>
      </c>
      <c r="D520" t="str">
        <f>T_Stocks[[#This Row],[Ticker]] &amp; "-" &amp; DATE(YEAR(T_Stocks[[#This Row],[Fecha]]),MONTH(T_Stocks[[#This Row],[Fecha]]),DAY(T_Stocks[[#This Row],[Fecha]]))</f>
        <v>AAPL-44249</v>
      </c>
    </row>
    <row r="521" spans="1:4" ht="14.65" thickBot="1" x14ac:dyDescent="0.5">
      <c r="A521" s="17">
        <v>44250.666666666664</v>
      </c>
      <c r="B521" s="19">
        <v>125.86</v>
      </c>
      <c r="C521" t="s">
        <v>38</v>
      </c>
      <c r="D521" t="str">
        <f>T_Stocks[[#This Row],[Ticker]] &amp; "-" &amp; DATE(YEAR(T_Stocks[[#This Row],[Fecha]]),MONTH(T_Stocks[[#This Row],[Fecha]]),DAY(T_Stocks[[#This Row],[Fecha]]))</f>
        <v>AAPL-44250</v>
      </c>
    </row>
    <row r="522" spans="1:4" ht="14.65" thickBot="1" x14ac:dyDescent="0.5">
      <c r="A522" s="17">
        <v>44251.666666666664</v>
      </c>
      <c r="B522" s="19">
        <v>125.35</v>
      </c>
      <c r="C522" t="s">
        <v>38</v>
      </c>
      <c r="D522" t="str">
        <f>T_Stocks[[#This Row],[Ticker]] &amp; "-" &amp; DATE(YEAR(T_Stocks[[#This Row],[Fecha]]),MONTH(T_Stocks[[#This Row],[Fecha]]),DAY(T_Stocks[[#This Row],[Fecha]]))</f>
        <v>AAPL-44251</v>
      </c>
    </row>
    <row r="523" spans="1:4" ht="14.65" thickBot="1" x14ac:dyDescent="0.5">
      <c r="A523" s="17">
        <v>44252.666666666664</v>
      </c>
      <c r="B523" s="19">
        <v>120.99</v>
      </c>
      <c r="C523" t="s">
        <v>38</v>
      </c>
      <c r="D523" t="str">
        <f>T_Stocks[[#This Row],[Ticker]] &amp; "-" &amp; DATE(YEAR(T_Stocks[[#This Row],[Fecha]]),MONTH(T_Stocks[[#This Row],[Fecha]]),DAY(T_Stocks[[#This Row],[Fecha]]))</f>
        <v>AAPL-44252</v>
      </c>
    </row>
    <row r="524" spans="1:4" ht="14.65" thickBot="1" x14ac:dyDescent="0.5">
      <c r="A524" s="17">
        <v>44253.666666666664</v>
      </c>
      <c r="B524" s="19">
        <v>121.26</v>
      </c>
      <c r="C524" t="s">
        <v>38</v>
      </c>
      <c r="D524" t="str">
        <f>T_Stocks[[#This Row],[Ticker]] &amp; "-" &amp; DATE(YEAR(T_Stocks[[#This Row],[Fecha]]),MONTH(T_Stocks[[#This Row],[Fecha]]),DAY(T_Stocks[[#This Row],[Fecha]]))</f>
        <v>AAPL-44253</v>
      </c>
    </row>
    <row r="525" spans="1:4" ht="14.65" thickBot="1" x14ac:dyDescent="0.5">
      <c r="A525" s="17">
        <v>44256.666666666664</v>
      </c>
      <c r="B525" s="19">
        <v>127.79</v>
      </c>
      <c r="C525" t="s">
        <v>38</v>
      </c>
      <c r="D525" t="str">
        <f>T_Stocks[[#This Row],[Ticker]] &amp; "-" &amp; DATE(YEAR(T_Stocks[[#This Row],[Fecha]]),MONTH(T_Stocks[[#This Row],[Fecha]]),DAY(T_Stocks[[#This Row],[Fecha]]))</f>
        <v>AAPL-44256</v>
      </c>
    </row>
    <row r="526" spans="1:4" ht="14.65" thickBot="1" x14ac:dyDescent="0.5">
      <c r="A526" s="17">
        <v>44257.666666666664</v>
      </c>
      <c r="B526" s="19">
        <v>125.12</v>
      </c>
      <c r="C526" t="s">
        <v>38</v>
      </c>
      <c r="D526" t="str">
        <f>T_Stocks[[#This Row],[Ticker]] &amp; "-" &amp; DATE(YEAR(T_Stocks[[#This Row],[Fecha]]),MONTH(T_Stocks[[#This Row],[Fecha]]),DAY(T_Stocks[[#This Row],[Fecha]]))</f>
        <v>AAPL-44257</v>
      </c>
    </row>
    <row r="527" spans="1:4" ht="14.65" thickBot="1" x14ac:dyDescent="0.5">
      <c r="A527" s="17">
        <v>44258.666666666664</v>
      </c>
      <c r="B527" s="19">
        <v>122.06</v>
      </c>
      <c r="C527" t="s">
        <v>38</v>
      </c>
      <c r="D527" t="str">
        <f>T_Stocks[[#This Row],[Ticker]] &amp; "-" &amp; DATE(YEAR(T_Stocks[[#This Row],[Fecha]]),MONTH(T_Stocks[[#This Row],[Fecha]]),DAY(T_Stocks[[#This Row],[Fecha]]))</f>
        <v>AAPL-44258</v>
      </c>
    </row>
    <row r="528" spans="1:4" ht="14.65" thickBot="1" x14ac:dyDescent="0.5">
      <c r="A528" s="17">
        <v>44259.666666666664</v>
      </c>
      <c r="B528" s="19">
        <v>120.13</v>
      </c>
      <c r="C528" t="s">
        <v>38</v>
      </c>
      <c r="D528" t="str">
        <f>T_Stocks[[#This Row],[Ticker]] &amp; "-" &amp; DATE(YEAR(T_Stocks[[#This Row],[Fecha]]),MONTH(T_Stocks[[#This Row],[Fecha]]),DAY(T_Stocks[[#This Row],[Fecha]]))</f>
        <v>AAPL-44259</v>
      </c>
    </row>
    <row r="529" spans="1:4" ht="14.65" thickBot="1" x14ac:dyDescent="0.5">
      <c r="A529" s="17">
        <v>44260.666666666664</v>
      </c>
      <c r="B529" s="19">
        <v>121.42</v>
      </c>
      <c r="C529" t="s">
        <v>38</v>
      </c>
      <c r="D529" t="str">
        <f>T_Stocks[[#This Row],[Ticker]] &amp; "-" &amp; DATE(YEAR(T_Stocks[[#This Row],[Fecha]]),MONTH(T_Stocks[[#This Row],[Fecha]]),DAY(T_Stocks[[#This Row],[Fecha]]))</f>
        <v>AAPL-44260</v>
      </c>
    </row>
    <row r="530" spans="1:4" ht="14.65" thickBot="1" x14ac:dyDescent="0.5">
      <c r="A530" s="17">
        <v>44263.666666666664</v>
      </c>
      <c r="B530" s="19">
        <v>116.36</v>
      </c>
      <c r="C530" t="s">
        <v>38</v>
      </c>
      <c r="D530" t="str">
        <f>T_Stocks[[#This Row],[Ticker]] &amp; "-" &amp; DATE(YEAR(T_Stocks[[#This Row],[Fecha]]),MONTH(T_Stocks[[#This Row],[Fecha]]),DAY(T_Stocks[[#This Row],[Fecha]]))</f>
        <v>AAPL-44263</v>
      </c>
    </row>
    <row r="531" spans="1:4" ht="14.65" thickBot="1" x14ac:dyDescent="0.5">
      <c r="A531" s="17">
        <v>44264.666666666664</v>
      </c>
      <c r="B531" s="19">
        <v>121.09</v>
      </c>
      <c r="C531" t="s">
        <v>38</v>
      </c>
      <c r="D531" t="str">
        <f>T_Stocks[[#This Row],[Ticker]] &amp; "-" &amp; DATE(YEAR(T_Stocks[[#This Row],[Fecha]]),MONTH(T_Stocks[[#This Row],[Fecha]]),DAY(T_Stocks[[#This Row],[Fecha]]))</f>
        <v>AAPL-44264</v>
      </c>
    </row>
    <row r="532" spans="1:4" ht="14.65" thickBot="1" x14ac:dyDescent="0.5">
      <c r="A532" s="17">
        <v>44265.666666666664</v>
      </c>
      <c r="B532" s="19">
        <v>119.98</v>
      </c>
      <c r="C532" t="s">
        <v>38</v>
      </c>
      <c r="D532" t="str">
        <f>T_Stocks[[#This Row],[Ticker]] &amp; "-" &amp; DATE(YEAR(T_Stocks[[#This Row],[Fecha]]),MONTH(T_Stocks[[#This Row],[Fecha]]),DAY(T_Stocks[[#This Row],[Fecha]]))</f>
        <v>AAPL-44265</v>
      </c>
    </row>
    <row r="533" spans="1:4" ht="14.65" thickBot="1" x14ac:dyDescent="0.5">
      <c r="A533" s="17">
        <v>44266.666666666664</v>
      </c>
      <c r="B533" s="19">
        <v>121.96</v>
      </c>
      <c r="C533" t="s">
        <v>38</v>
      </c>
      <c r="D533" t="str">
        <f>T_Stocks[[#This Row],[Ticker]] &amp; "-" &amp; DATE(YEAR(T_Stocks[[#This Row],[Fecha]]),MONTH(T_Stocks[[#This Row],[Fecha]]),DAY(T_Stocks[[#This Row],[Fecha]]))</f>
        <v>AAPL-44266</v>
      </c>
    </row>
    <row r="534" spans="1:4" ht="14.65" thickBot="1" x14ac:dyDescent="0.5">
      <c r="A534" s="17">
        <v>44267.666666666664</v>
      </c>
      <c r="B534" s="19">
        <v>121.03</v>
      </c>
      <c r="C534" t="s">
        <v>38</v>
      </c>
      <c r="D534" t="str">
        <f>T_Stocks[[#This Row],[Ticker]] &amp; "-" &amp; DATE(YEAR(T_Stocks[[#This Row],[Fecha]]),MONTH(T_Stocks[[#This Row],[Fecha]]),DAY(T_Stocks[[#This Row],[Fecha]]))</f>
        <v>AAPL-44267</v>
      </c>
    </row>
    <row r="535" spans="1:4" ht="14.65" thickBot="1" x14ac:dyDescent="0.5">
      <c r="A535" s="17">
        <v>44270.666666666664</v>
      </c>
      <c r="B535" s="19">
        <v>123.99</v>
      </c>
      <c r="C535" t="s">
        <v>38</v>
      </c>
      <c r="D535" t="str">
        <f>T_Stocks[[#This Row],[Ticker]] &amp; "-" &amp; DATE(YEAR(T_Stocks[[#This Row],[Fecha]]),MONTH(T_Stocks[[#This Row],[Fecha]]),DAY(T_Stocks[[#This Row],[Fecha]]))</f>
        <v>AAPL-44270</v>
      </c>
    </row>
    <row r="536" spans="1:4" ht="14.65" thickBot="1" x14ac:dyDescent="0.5">
      <c r="A536" s="17">
        <v>44271.666666666664</v>
      </c>
      <c r="B536" s="19">
        <v>125.57</v>
      </c>
      <c r="C536" t="s">
        <v>38</v>
      </c>
      <c r="D536" t="str">
        <f>T_Stocks[[#This Row],[Ticker]] &amp; "-" &amp; DATE(YEAR(T_Stocks[[#This Row],[Fecha]]),MONTH(T_Stocks[[#This Row],[Fecha]]),DAY(T_Stocks[[#This Row],[Fecha]]))</f>
        <v>AAPL-44271</v>
      </c>
    </row>
    <row r="537" spans="1:4" ht="14.65" thickBot="1" x14ac:dyDescent="0.5">
      <c r="A537" s="17">
        <v>44272.666666666664</v>
      </c>
      <c r="B537" s="19">
        <v>124.76</v>
      </c>
      <c r="C537" t="s">
        <v>38</v>
      </c>
      <c r="D537" t="str">
        <f>T_Stocks[[#This Row],[Ticker]] &amp; "-" &amp; DATE(YEAR(T_Stocks[[#This Row],[Fecha]]),MONTH(T_Stocks[[#This Row],[Fecha]]),DAY(T_Stocks[[#This Row],[Fecha]]))</f>
        <v>AAPL-44272</v>
      </c>
    </row>
    <row r="538" spans="1:4" ht="14.65" thickBot="1" x14ac:dyDescent="0.5">
      <c r="A538" s="17">
        <v>44273.666666666664</v>
      </c>
      <c r="B538" s="19">
        <v>120.53</v>
      </c>
      <c r="C538" t="s">
        <v>38</v>
      </c>
      <c r="D538" t="str">
        <f>T_Stocks[[#This Row],[Ticker]] &amp; "-" &amp; DATE(YEAR(T_Stocks[[#This Row],[Fecha]]),MONTH(T_Stocks[[#This Row],[Fecha]]),DAY(T_Stocks[[#This Row],[Fecha]]))</f>
        <v>AAPL-44273</v>
      </c>
    </row>
    <row r="539" spans="1:4" ht="14.65" thickBot="1" x14ac:dyDescent="0.5">
      <c r="A539" s="17">
        <v>44274.666666666664</v>
      </c>
      <c r="B539" s="19">
        <v>119.99</v>
      </c>
      <c r="C539" t="s">
        <v>38</v>
      </c>
      <c r="D539" t="str">
        <f>T_Stocks[[#This Row],[Ticker]] &amp; "-" &amp; DATE(YEAR(T_Stocks[[#This Row],[Fecha]]),MONTH(T_Stocks[[#This Row],[Fecha]]),DAY(T_Stocks[[#This Row],[Fecha]]))</f>
        <v>AAPL-44274</v>
      </c>
    </row>
    <row r="540" spans="1:4" ht="14.65" thickBot="1" x14ac:dyDescent="0.5">
      <c r="A540" s="17">
        <v>44277.666666666664</v>
      </c>
      <c r="B540" s="19">
        <v>123.39</v>
      </c>
      <c r="C540" t="s">
        <v>38</v>
      </c>
      <c r="D540" t="str">
        <f>T_Stocks[[#This Row],[Ticker]] &amp; "-" &amp; DATE(YEAR(T_Stocks[[#This Row],[Fecha]]),MONTH(T_Stocks[[#This Row],[Fecha]]),DAY(T_Stocks[[#This Row],[Fecha]]))</f>
        <v>AAPL-44277</v>
      </c>
    </row>
    <row r="541" spans="1:4" ht="14.65" thickBot="1" x14ac:dyDescent="0.5">
      <c r="A541" s="17">
        <v>44278.666666666664</v>
      </c>
      <c r="B541" s="19">
        <v>122.54</v>
      </c>
      <c r="C541" t="s">
        <v>38</v>
      </c>
      <c r="D541" t="str">
        <f>T_Stocks[[#This Row],[Ticker]] &amp; "-" &amp; DATE(YEAR(T_Stocks[[#This Row],[Fecha]]),MONTH(T_Stocks[[#This Row],[Fecha]]),DAY(T_Stocks[[#This Row],[Fecha]]))</f>
        <v>AAPL-44278</v>
      </c>
    </row>
    <row r="542" spans="1:4" ht="14.65" thickBot="1" x14ac:dyDescent="0.5">
      <c r="A542" s="17">
        <v>44279.666666666664</v>
      </c>
      <c r="B542" s="19">
        <v>120.09</v>
      </c>
      <c r="C542" t="s">
        <v>38</v>
      </c>
      <c r="D542" t="str">
        <f>T_Stocks[[#This Row],[Ticker]] &amp; "-" &amp; DATE(YEAR(T_Stocks[[#This Row],[Fecha]]),MONTH(T_Stocks[[#This Row],[Fecha]]),DAY(T_Stocks[[#This Row],[Fecha]]))</f>
        <v>AAPL-44279</v>
      </c>
    </row>
    <row r="543" spans="1:4" ht="14.65" thickBot="1" x14ac:dyDescent="0.5">
      <c r="A543" s="17">
        <v>44280.666666666664</v>
      </c>
      <c r="B543" s="19">
        <v>120.59</v>
      </c>
      <c r="C543" t="s">
        <v>38</v>
      </c>
      <c r="D543" t="str">
        <f>T_Stocks[[#This Row],[Ticker]] &amp; "-" &amp; DATE(YEAR(T_Stocks[[#This Row],[Fecha]]),MONTH(T_Stocks[[#This Row],[Fecha]]),DAY(T_Stocks[[#This Row],[Fecha]]))</f>
        <v>AAPL-44280</v>
      </c>
    </row>
    <row r="544" spans="1:4" ht="14.65" thickBot="1" x14ac:dyDescent="0.5">
      <c r="A544" s="17">
        <v>44281.666666666664</v>
      </c>
      <c r="B544" s="19">
        <v>121.21</v>
      </c>
      <c r="C544" t="s">
        <v>38</v>
      </c>
      <c r="D544" t="str">
        <f>T_Stocks[[#This Row],[Ticker]] &amp; "-" &amp; DATE(YEAR(T_Stocks[[#This Row],[Fecha]]),MONTH(T_Stocks[[#This Row],[Fecha]]),DAY(T_Stocks[[#This Row],[Fecha]]))</f>
        <v>AAPL-44281</v>
      </c>
    </row>
    <row r="545" spans="1:4" ht="14.65" thickBot="1" x14ac:dyDescent="0.5">
      <c r="A545" s="17">
        <v>44284.666666666664</v>
      </c>
      <c r="B545" s="19">
        <v>121.39</v>
      </c>
      <c r="C545" t="s">
        <v>38</v>
      </c>
      <c r="D545" t="str">
        <f>T_Stocks[[#This Row],[Ticker]] &amp; "-" &amp; DATE(YEAR(T_Stocks[[#This Row],[Fecha]]),MONTH(T_Stocks[[#This Row],[Fecha]]),DAY(T_Stocks[[#This Row],[Fecha]]))</f>
        <v>AAPL-44284</v>
      </c>
    </row>
    <row r="546" spans="1:4" ht="14.65" thickBot="1" x14ac:dyDescent="0.5">
      <c r="A546" s="17">
        <v>44285.666666666664</v>
      </c>
      <c r="B546" s="19">
        <v>119.9</v>
      </c>
      <c r="C546" t="s">
        <v>38</v>
      </c>
      <c r="D546" t="str">
        <f>T_Stocks[[#This Row],[Ticker]] &amp; "-" &amp; DATE(YEAR(T_Stocks[[#This Row],[Fecha]]),MONTH(T_Stocks[[#This Row],[Fecha]]),DAY(T_Stocks[[#This Row],[Fecha]]))</f>
        <v>AAPL-44285</v>
      </c>
    </row>
    <row r="547" spans="1:4" ht="14.65" thickBot="1" x14ac:dyDescent="0.5">
      <c r="A547" s="17">
        <v>44286.666666666664</v>
      </c>
      <c r="B547" s="19">
        <v>122.15</v>
      </c>
      <c r="C547" t="s">
        <v>38</v>
      </c>
      <c r="D547" t="str">
        <f>T_Stocks[[#This Row],[Ticker]] &amp; "-" &amp; DATE(YEAR(T_Stocks[[#This Row],[Fecha]]),MONTH(T_Stocks[[#This Row],[Fecha]]),DAY(T_Stocks[[#This Row],[Fecha]]))</f>
        <v>AAPL-44286</v>
      </c>
    </row>
    <row r="548" spans="1:4" ht="14.65" thickBot="1" x14ac:dyDescent="0.5">
      <c r="A548" s="17">
        <v>44287.666666666664</v>
      </c>
      <c r="B548" s="19">
        <v>123</v>
      </c>
      <c r="C548" t="s">
        <v>38</v>
      </c>
      <c r="D548" t="str">
        <f>T_Stocks[[#This Row],[Ticker]] &amp; "-" &amp; DATE(YEAR(T_Stocks[[#This Row],[Fecha]]),MONTH(T_Stocks[[#This Row],[Fecha]]),DAY(T_Stocks[[#This Row],[Fecha]]))</f>
        <v>AAPL-44287</v>
      </c>
    </row>
    <row r="549" spans="1:4" ht="14.65" thickBot="1" x14ac:dyDescent="0.5">
      <c r="A549" s="17">
        <v>44291.666666666664</v>
      </c>
      <c r="B549" s="19">
        <v>125.9</v>
      </c>
      <c r="C549" t="s">
        <v>38</v>
      </c>
      <c r="D549" t="str">
        <f>T_Stocks[[#This Row],[Ticker]] &amp; "-" &amp; DATE(YEAR(T_Stocks[[#This Row],[Fecha]]),MONTH(T_Stocks[[#This Row],[Fecha]]),DAY(T_Stocks[[#This Row],[Fecha]]))</f>
        <v>AAPL-44291</v>
      </c>
    </row>
    <row r="550" spans="1:4" ht="14.65" thickBot="1" x14ac:dyDescent="0.5">
      <c r="A550" s="17">
        <v>44292.666666666664</v>
      </c>
      <c r="B550" s="19">
        <v>126.21</v>
      </c>
      <c r="C550" t="s">
        <v>38</v>
      </c>
      <c r="D550" t="str">
        <f>T_Stocks[[#This Row],[Ticker]] &amp; "-" &amp; DATE(YEAR(T_Stocks[[#This Row],[Fecha]]),MONTH(T_Stocks[[#This Row],[Fecha]]),DAY(T_Stocks[[#This Row],[Fecha]]))</f>
        <v>AAPL-44292</v>
      </c>
    </row>
    <row r="551" spans="1:4" ht="14.65" thickBot="1" x14ac:dyDescent="0.5">
      <c r="A551" s="17">
        <v>44293.666666666664</v>
      </c>
      <c r="B551" s="19">
        <v>127.9</v>
      </c>
      <c r="C551" t="s">
        <v>38</v>
      </c>
      <c r="D551" t="str">
        <f>T_Stocks[[#This Row],[Ticker]] &amp; "-" &amp; DATE(YEAR(T_Stocks[[#This Row],[Fecha]]),MONTH(T_Stocks[[#This Row],[Fecha]]),DAY(T_Stocks[[#This Row],[Fecha]]))</f>
        <v>AAPL-44293</v>
      </c>
    </row>
    <row r="552" spans="1:4" ht="14.65" thickBot="1" x14ac:dyDescent="0.5">
      <c r="A552" s="17">
        <v>44294.666666666664</v>
      </c>
      <c r="B552" s="19">
        <v>130.36000000000001</v>
      </c>
      <c r="C552" t="s">
        <v>38</v>
      </c>
      <c r="D552" t="str">
        <f>T_Stocks[[#This Row],[Ticker]] &amp; "-" &amp; DATE(YEAR(T_Stocks[[#This Row],[Fecha]]),MONTH(T_Stocks[[#This Row],[Fecha]]),DAY(T_Stocks[[#This Row],[Fecha]]))</f>
        <v>AAPL-44294</v>
      </c>
    </row>
    <row r="553" spans="1:4" ht="14.65" thickBot="1" x14ac:dyDescent="0.5">
      <c r="A553" s="17">
        <v>44295.666666666664</v>
      </c>
      <c r="B553" s="19">
        <v>133</v>
      </c>
      <c r="C553" t="s">
        <v>38</v>
      </c>
      <c r="D553" t="str">
        <f>T_Stocks[[#This Row],[Ticker]] &amp; "-" &amp; DATE(YEAR(T_Stocks[[#This Row],[Fecha]]),MONTH(T_Stocks[[#This Row],[Fecha]]),DAY(T_Stocks[[#This Row],[Fecha]]))</f>
        <v>AAPL-44295</v>
      </c>
    </row>
    <row r="554" spans="1:4" ht="14.65" thickBot="1" x14ac:dyDescent="0.5">
      <c r="A554" s="17">
        <v>44298.666666666664</v>
      </c>
      <c r="B554" s="19">
        <v>131.24</v>
      </c>
      <c r="C554" t="s">
        <v>38</v>
      </c>
      <c r="D554" t="str">
        <f>T_Stocks[[#This Row],[Ticker]] &amp; "-" &amp; DATE(YEAR(T_Stocks[[#This Row],[Fecha]]),MONTH(T_Stocks[[#This Row],[Fecha]]),DAY(T_Stocks[[#This Row],[Fecha]]))</f>
        <v>AAPL-44298</v>
      </c>
    </row>
    <row r="555" spans="1:4" ht="14.65" thickBot="1" x14ac:dyDescent="0.5">
      <c r="A555" s="17">
        <v>44299.666666666664</v>
      </c>
      <c r="B555" s="19">
        <v>134.43</v>
      </c>
      <c r="C555" t="s">
        <v>38</v>
      </c>
      <c r="D555" t="str">
        <f>T_Stocks[[#This Row],[Ticker]] &amp; "-" &amp; DATE(YEAR(T_Stocks[[#This Row],[Fecha]]),MONTH(T_Stocks[[#This Row],[Fecha]]),DAY(T_Stocks[[#This Row],[Fecha]]))</f>
        <v>AAPL-44299</v>
      </c>
    </row>
    <row r="556" spans="1:4" ht="14.65" thickBot="1" x14ac:dyDescent="0.5">
      <c r="A556" s="17">
        <v>44300.666666666664</v>
      </c>
      <c r="B556" s="19">
        <v>132.03</v>
      </c>
      <c r="C556" t="s">
        <v>38</v>
      </c>
      <c r="D556" t="str">
        <f>T_Stocks[[#This Row],[Ticker]] &amp; "-" &amp; DATE(YEAR(T_Stocks[[#This Row],[Fecha]]),MONTH(T_Stocks[[#This Row],[Fecha]]),DAY(T_Stocks[[#This Row],[Fecha]]))</f>
        <v>AAPL-44300</v>
      </c>
    </row>
    <row r="557" spans="1:4" ht="14.65" thickBot="1" x14ac:dyDescent="0.5">
      <c r="A557" s="17">
        <v>44301.666666666664</v>
      </c>
      <c r="B557" s="19">
        <v>134.5</v>
      </c>
      <c r="C557" t="s">
        <v>38</v>
      </c>
      <c r="D557" t="str">
        <f>T_Stocks[[#This Row],[Ticker]] &amp; "-" &amp; DATE(YEAR(T_Stocks[[#This Row],[Fecha]]),MONTH(T_Stocks[[#This Row],[Fecha]]),DAY(T_Stocks[[#This Row],[Fecha]]))</f>
        <v>AAPL-44301</v>
      </c>
    </row>
    <row r="558" spans="1:4" ht="14.65" thickBot="1" x14ac:dyDescent="0.5">
      <c r="A558" s="17">
        <v>44302.666666666664</v>
      </c>
      <c r="B558" s="19">
        <v>134.16</v>
      </c>
      <c r="C558" t="s">
        <v>38</v>
      </c>
      <c r="D558" t="str">
        <f>T_Stocks[[#This Row],[Ticker]] &amp; "-" &amp; DATE(YEAR(T_Stocks[[#This Row],[Fecha]]),MONTH(T_Stocks[[#This Row],[Fecha]]),DAY(T_Stocks[[#This Row],[Fecha]]))</f>
        <v>AAPL-44302</v>
      </c>
    </row>
    <row r="559" spans="1:4" ht="14.65" thickBot="1" x14ac:dyDescent="0.5">
      <c r="A559" s="17">
        <v>44305.666666666664</v>
      </c>
      <c r="B559" s="19">
        <v>134.84</v>
      </c>
      <c r="C559" t="s">
        <v>38</v>
      </c>
      <c r="D559" t="str">
        <f>T_Stocks[[#This Row],[Ticker]] &amp; "-" &amp; DATE(YEAR(T_Stocks[[#This Row],[Fecha]]),MONTH(T_Stocks[[#This Row],[Fecha]]),DAY(T_Stocks[[#This Row],[Fecha]]))</f>
        <v>AAPL-44305</v>
      </c>
    </row>
    <row r="560" spans="1:4" ht="14.65" thickBot="1" x14ac:dyDescent="0.5">
      <c r="A560" s="17">
        <v>44306.666666666664</v>
      </c>
      <c r="B560" s="19">
        <v>133.11000000000001</v>
      </c>
      <c r="C560" t="s">
        <v>38</v>
      </c>
      <c r="D560" t="str">
        <f>T_Stocks[[#This Row],[Ticker]] &amp; "-" &amp; DATE(YEAR(T_Stocks[[#This Row],[Fecha]]),MONTH(T_Stocks[[#This Row],[Fecha]]),DAY(T_Stocks[[#This Row],[Fecha]]))</f>
        <v>AAPL-44306</v>
      </c>
    </row>
    <row r="561" spans="1:4" ht="14.65" thickBot="1" x14ac:dyDescent="0.5">
      <c r="A561" s="17">
        <v>44307.666666666664</v>
      </c>
      <c r="B561" s="19">
        <v>133.5</v>
      </c>
      <c r="C561" t="s">
        <v>38</v>
      </c>
      <c r="D561" t="str">
        <f>T_Stocks[[#This Row],[Ticker]] &amp; "-" &amp; DATE(YEAR(T_Stocks[[#This Row],[Fecha]]),MONTH(T_Stocks[[#This Row],[Fecha]]),DAY(T_Stocks[[#This Row],[Fecha]]))</f>
        <v>AAPL-44307</v>
      </c>
    </row>
    <row r="562" spans="1:4" ht="14.65" thickBot="1" x14ac:dyDescent="0.5">
      <c r="A562" s="17">
        <v>44308.666666666664</v>
      </c>
      <c r="B562" s="19">
        <v>131.94</v>
      </c>
      <c r="C562" t="s">
        <v>38</v>
      </c>
      <c r="D562" t="str">
        <f>T_Stocks[[#This Row],[Ticker]] &amp; "-" &amp; DATE(YEAR(T_Stocks[[#This Row],[Fecha]]),MONTH(T_Stocks[[#This Row],[Fecha]]),DAY(T_Stocks[[#This Row],[Fecha]]))</f>
        <v>AAPL-44308</v>
      </c>
    </row>
    <row r="563" spans="1:4" ht="14.65" thickBot="1" x14ac:dyDescent="0.5">
      <c r="A563" s="17">
        <v>44309.666666666664</v>
      </c>
      <c r="B563" s="19">
        <v>134.32</v>
      </c>
      <c r="C563" t="s">
        <v>38</v>
      </c>
      <c r="D563" t="str">
        <f>T_Stocks[[#This Row],[Ticker]] &amp; "-" &amp; DATE(YEAR(T_Stocks[[#This Row],[Fecha]]),MONTH(T_Stocks[[#This Row],[Fecha]]),DAY(T_Stocks[[#This Row],[Fecha]]))</f>
        <v>AAPL-44309</v>
      </c>
    </row>
    <row r="564" spans="1:4" ht="14.65" thickBot="1" x14ac:dyDescent="0.5">
      <c r="A564" s="17">
        <v>44312.666666666664</v>
      </c>
      <c r="B564" s="19">
        <v>134.72</v>
      </c>
      <c r="C564" t="s">
        <v>38</v>
      </c>
      <c r="D564" t="str">
        <f>T_Stocks[[#This Row],[Ticker]] &amp; "-" &amp; DATE(YEAR(T_Stocks[[#This Row],[Fecha]]),MONTH(T_Stocks[[#This Row],[Fecha]]),DAY(T_Stocks[[#This Row],[Fecha]]))</f>
        <v>AAPL-44312</v>
      </c>
    </row>
    <row r="565" spans="1:4" ht="14.65" thickBot="1" x14ac:dyDescent="0.5">
      <c r="A565" s="17">
        <v>44313.666666666664</v>
      </c>
      <c r="B565" s="19">
        <v>134.38999999999999</v>
      </c>
      <c r="C565" t="s">
        <v>38</v>
      </c>
      <c r="D565" t="str">
        <f>T_Stocks[[#This Row],[Ticker]] &amp; "-" &amp; DATE(YEAR(T_Stocks[[#This Row],[Fecha]]),MONTH(T_Stocks[[#This Row],[Fecha]]),DAY(T_Stocks[[#This Row],[Fecha]]))</f>
        <v>AAPL-44313</v>
      </c>
    </row>
    <row r="566" spans="1:4" ht="14.65" thickBot="1" x14ac:dyDescent="0.5">
      <c r="A566" s="17">
        <v>44314.666666666664</v>
      </c>
      <c r="B566" s="19">
        <v>133.58000000000001</v>
      </c>
      <c r="C566" t="s">
        <v>38</v>
      </c>
      <c r="D566" t="str">
        <f>T_Stocks[[#This Row],[Ticker]] &amp; "-" &amp; DATE(YEAR(T_Stocks[[#This Row],[Fecha]]),MONTH(T_Stocks[[#This Row],[Fecha]]),DAY(T_Stocks[[#This Row],[Fecha]]))</f>
        <v>AAPL-44314</v>
      </c>
    </row>
    <row r="567" spans="1:4" ht="14.65" thickBot="1" x14ac:dyDescent="0.5">
      <c r="A567" s="17">
        <v>44315.666666666664</v>
      </c>
      <c r="B567" s="19">
        <v>133.47999999999999</v>
      </c>
      <c r="C567" t="s">
        <v>38</v>
      </c>
      <c r="D567" t="str">
        <f>T_Stocks[[#This Row],[Ticker]] &amp; "-" &amp; DATE(YEAR(T_Stocks[[#This Row],[Fecha]]),MONTH(T_Stocks[[#This Row],[Fecha]]),DAY(T_Stocks[[#This Row],[Fecha]]))</f>
        <v>AAPL-44315</v>
      </c>
    </row>
    <row r="568" spans="1:4" ht="14.65" thickBot="1" x14ac:dyDescent="0.5">
      <c r="A568" s="17">
        <v>44316.666666666664</v>
      </c>
      <c r="B568" s="19">
        <v>131.46</v>
      </c>
      <c r="C568" t="s">
        <v>38</v>
      </c>
      <c r="D568" t="str">
        <f>T_Stocks[[#This Row],[Ticker]] &amp; "-" &amp; DATE(YEAR(T_Stocks[[#This Row],[Fecha]]),MONTH(T_Stocks[[#This Row],[Fecha]]),DAY(T_Stocks[[#This Row],[Fecha]]))</f>
        <v>AAPL-44316</v>
      </c>
    </row>
    <row r="569" spans="1:4" ht="14.65" thickBot="1" x14ac:dyDescent="0.5">
      <c r="A569" s="17">
        <v>44319.666666666664</v>
      </c>
      <c r="B569" s="19">
        <v>132.54</v>
      </c>
      <c r="C569" t="s">
        <v>38</v>
      </c>
      <c r="D569" t="str">
        <f>T_Stocks[[#This Row],[Ticker]] &amp; "-" &amp; DATE(YEAR(T_Stocks[[#This Row],[Fecha]]),MONTH(T_Stocks[[#This Row],[Fecha]]),DAY(T_Stocks[[#This Row],[Fecha]]))</f>
        <v>AAPL-44319</v>
      </c>
    </row>
    <row r="570" spans="1:4" ht="14.65" thickBot="1" x14ac:dyDescent="0.5">
      <c r="A570" s="17">
        <v>44320.666666666664</v>
      </c>
      <c r="B570" s="19">
        <v>127.85</v>
      </c>
      <c r="C570" t="s">
        <v>38</v>
      </c>
      <c r="D570" t="str">
        <f>T_Stocks[[#This Row],[Ticker]] &amp; "-" &amp; DATE(YEAR(T_Stocks[[#This Row],[Fecha]]),MONTH(T_Stocks[[#This Row],[Fecha]]),DAY(T_Stocks[[#This Row],[Fecha]]))</f>
        <v>AAPL-44320</v>
      </c>
    </row>
    <row r="571" spans="1:4" ht="14.65" thickBot="1" x14ac:dyDescent="0.5">
      <c r="A571" s="17">
        <v>44321.666666666664</v>
      </c>
      <c r="B571" s="19">
        <v>128.1</v>
      </c>
      <c r="C571" t="s">
        <v>38</v>
      </c>
      <c r="D571" t="str">
        <f>T_Stocks[[#This Row],[Ticker]] &amp; "-" &amp; DATE(YEAR(T_Stocks[[#This Row],[Fecha]]),MONTH(T_Stocks[[#This Row],[Fecha]]),DAY(T_Stocks[[#This Row],[Fecha]]))</f>
        <v>AAPL-44321</v>
      </c>
    </row>
    <row r="572" spans="1:4" ht="14.65" thickBot="1" x14ac:dyDescent="0.5">
      <c r="A572" s="17">
        <v>44322.666666666664</v>
      </c>
      <c r="B572" s="19">
        <v>129.74</v>
      </c>
      <c r="C572" t="s">
        <v>38</v>
      </c>
      <c r="D572" t="str">
        <f>T_Stocks[[#This Row],[Ticker]] &amp; "-" &amp; DATE(YEAR(T_Stocks[[#This Row],[Fecha]]),MONTH(T_Stocks[[#This Row],[Fecha]]),DAY(T_Stocks[[#This Row],[Fecha]]))</f>
        <v>AAPL-44322</v>
      </c>
    </row>
    <row r="573" spans="1:4" ht="14.65" thickBot="1" x14ac:dyDescent="0.5">
      <c r="A573" s="17">
        <v>44323.666666666664</v>
      </c>
      <c r="B573" s="19">
        <v>130.21</v>
      </c>
      <c r="C573" t="s">
        <v>38</v>
      </c>
      <c r="D573" t="str">
        <f>T_Stocks[[#This Row],[Ticker]] &amp; "-" &amp; DATE(YEAR(T_Stocks[[#This Row],[Fecha]]),MONTH(T_Stocks[[#This Row],[Fecha]]),DAY(T_Stocks[[#This Row],[Fecha]]))</f>
        <v>AAPL-44323</v>
      </c>
    </row>
    <row r="574" spans="1:4" ht="14.65" thickBot="1" x14ac:dyDescent="0.5">
      <c r="A574" s="17">
        <v>44326.666666666664</v>
      </c>
      <c r="B574" s="19">
        <v>126.85</v>
      </c>
      <c r="C574" t="s">
        <v>38</v>
      </c>
      <c r="D574" t="str">
        <f>T_Stocks[[#This Row],[Ticker]] &amp; "-" &amp; DATE(YEAR(T_Stocks[[#This Row],[Fecha]]),MONTH(T_Stocks[[#This Row],[Fecha]]),DAY(T_Stocks[[#This Row],[Fecha]]))</f>
        <v>AAPL-44326</v>
      </c>
    </row>
    <row r="575" spans="1:4" ht="14.65" thickBot="1" x14ac:dyDescent="0.5">
      <c r="A575" s="17">
        <v>44327.666666666664</v>
      </c>
      <c r="B575" s="19">
        <v>125.91</v>
      </c>
      <c r="C575" t="s">
        <v>38</v>
      </c>
      <c r="D575" t="str">
        <f>T_Stocks[[#This Row],[Ticker]] &amp; "-" &amp; DATE(YEAR(T_Stocks[[#This Row],[Fecha]]),MONTH(T_Stocks[[#This Row],[Fecha]]),DAY(T_Stocks[[#This Row],[Fecha]]))</f>
        <v>AAPL-44327</v>
      </c>
    </row>
    <row r="576" spans="1:4" ht="14.65" thickBot="1" x14ac:dyDescent="0.5">
      <c r="A576" s="17">
        <v>44328.666666666664</v>
      </c>
      <c r="B576" s="19">
        <v>122.77</v>
      </c>
      <c r="C576" t="s">
        <v>38</v>
      </c>
      <c r="D576" t="str">
        <f>T_Stocks[[#This Row],[Ticker]] &amp; "-" &amp; DATE(YEAR(T_Stocks[[#This Row],[Fecha]]),MONTH(T_Stocks[[#This Row],[Fecha]]),DAY(T_Stocks[[#This Row],[Fecha]]))</f>
        <v>AAPL-44328</v>
      </c>
    </row>
    <row r="577" spans="1:4" ht="14.65" thickBot="1" x14ac:dyDescent="0.5">
      <c r="A577" s="17">
        <v>44329.666666666664</v>
      </c>
      <c r="B577" s="19">
        <v>124.97</v>
      </c>
      <c r="C577" t="s">
        <v>38</v>
      </c>
      <c r="D577" t="str">
        <f>T_Stocks[[#This Row],[Ticker]] &amp; "-" &amp; DATE(YEAR(T_Stocks[[#This Row],[Fecha]]),MONTH(T_Stocks[[#This Row],[Fecha]]),DAY(T_Stocks[[#This Row],[Fecha]]))</f>
        <v>AAPL-44329</v>
      </c>
    </row>
    <row r="578" spans="1:4" ht="14.65" thickBot="1" x14ac:dyDescent="0.5">
      <c r="A578" s="17">
        <v>44330.666666666664</v>
      </c>
      <c r="B578" s="19">
        <v>127.45</v>
      </c>
      <c r="C578" t="s">
        <v>38</v>
      </c>
      <c r="D578" t="str">
        <f>T_Stocks[[#This Row],[Ticker]] &amp; "-" &amp; DATE(YEAR(T_Stocks[[#This Row],[Fecha]]),MONTH(T_Stocks[[#This Row],[Fecha]]),DAY(T_Stocks[[#This Row],[Fecha]]))</f>
        <v>AAPL-44330</v>
      </c>
    </row>
    <row r="579" spans="1:4" ht="14.65" thickBot="1" x14ac:dyDescent="0.5">
      <c r="A579" s="17">
        <v>44333.666666666664</v>
      </c>
      <c r="B579" s="19">
        <v>126.27</v>
      </c>
      <c r="C579" t="s">
        <v>38</v>
      </c>
      <c r="D579" t="str">
        <f>T_Stocks[[#This Row],[Ticker]] &amp; "-" &amp; DATE(YEAR(T_Stocks[[#This Row],[Fecha]]),MONTH(T_Stocks[[#This Row],[Fecha]]),DAY(T_Stocks[[#This Row],[Fecha]]))</f>
        <v>AAPL-44333</v>
      </c>
    </row>
    <row r="580" spans="1:4" ht="14.65" thickBot="1" x14ac:dyDescent="0.5">
      <c r="A580" s="17">
        <v>44334.666666666664</v>
      </c>
      <c r="B580" s="19">
        <v>124.85</v>
      </c>
      <c r="C580" t="s">
        <v>38</v>
      </c>
      <c r="D580" t="str">
        <f>T_Stocks[[#This Row],[Ticker]] &amp; "-" &amp; DATE(YEAR(T_Stocks[[#This Row],[Fecha]]),MONTH(T_Stocks[[#This Row],[Fecha]]),DAY(T_Stocks[[#This Row],[Fecha]]))</f>
        <v>AAPL-44334</v>
      </c>
    </row>
    <row r="581" spans="1:4" ht="14.65" thickBot="1" x14ac:dyDescent="0.5">
      <c r="A581" s="17">
        <v>44335.666666666664</v>
      </c>
      <c r="B581" s="19">
        <v>124.69</v>
      </c>
      <c r="C581" t="s">
        <v>38</v>
      </c>
      <c r="D581" t="str">
        <f>T_Stocks[[#This Row],[Ticker]] &amp; "-" &amp; DATE(YEAR(T_Stocks[[#This Row],[Fecha]]),MONTH(T_Stocks[[#This Row],[Fecha]]),DAY(T_Stocks[[#This Row],[Fecha]]))</f>
        <v>AAPL-44335</v>
      </c>
    </row>
    <row r="582" spans="1:4" ht="14.65" thickBot="1" x14ac:dyDescent="0.5">
      <c r="A582" s="17">
        <v>44336.666666666664</v>
      </c>
      <c r="B582" s="19">
        <v>127.31</v>
      </c>
      <c r="C582" t="s">
        <v>38</v>
      </c>
      <c r="D582" t="str">
        <f>T_Stocks[[#This Row],[Ticker]] &amp; "-" &amp; DATE(YEAR(T_Stocks[[#This Row],[Fecha]]),MONTH(T_Stocks[[#This Row],[Fecha]]),DAY(T_Stocks[[#This Row],[Fecha]]))</f>
        <v>AAPL-44336</v>
      </c>
    </row>
    <row r="583" spans="1:4" ht="14.65" thickBot="1" x14ac:dyDescent="0.5">
      <c r="A583" s="17">
        <v>44337.666666666664</v>
      </c>
      <c r="B583" s="19">
        <v>125.43</v>
      </c>
      <c r="C583" t="s">
        <v>38</v>
      </c>
      <c r="D583" t="str">
        <f>T_Stocks[[#This Row],[Ticker]] &amp; "-" &amp; DATE(YEAR(T_Stocks[[#This Row],[Fecha]]),MONTH(T_Stocks[[#This Row],[Fecha]]),DAY(T_Stocks[[#This Row],[Fecha]]))</f>
        <v>AAPL-44337</v>
      </c>
    </row>
    <row r="584" spans="1:4" ht="14.65" thickBot="1" x14ac:dyDescent="0.5">
      <c r="A584" s="17">
        <v>44340.666666666664</v>
      </c>
      <c r="B584" s="19">
        <v>127.1</v>
      </c>
      <c r="C584" t="s">
        <v>38</v>
      </c>
      <c r="D584" t="str">
        <f>T_Stocks[[#This Row],[Ticker]] &amp; "-" &amp; DATE(YEAR(T_Stocks[[#This Row],[Fecha]]),MONTH(T_Stocks[[#This Row],[Fecha]]),DAY(T_Stocks[[#This Row],[Fecha]]))</f>
        <v>AAPL-44340</v>
      </c>
    </row>
    <row r="585" spans="1:4" ht="14.65" thickBot="1" x14ac:dyDescent="0.5">
      <c r="A585" s="17">
        <v>44341.666666666664</v>
      </c>
      <c r="B585" s="19">
        <v>126.9</v>
      </c>
      <c r="C585" t="s">
        <v>38</v>
      </c>
      <c r="D585" t="str">
        <f>T_Stocks[[#This Row],[Ticker]] &amp; "-" &amp; DATE(YEAR(T_Stocks[[#This Row],[Fecha]]),MONTH(T_Stocks[[#This Row],[Fecha]]),DAY(T_Stocks[[#This Row],[Fecha]]))</f>
        <v>AAPL-44341</v>
      </c>
    </row>
    <row r="586" spans="1:4" ht="14.65" thickBot="1" x14ac:dyDescent="0.5">
      <c r="A586" s="17">
        <v>44342.666666666664</v>
      </c>
      <c r="B586" s="19">
        <v>126.85</v>
      </c>
      <c r="C586" t="s">
        <v>38</v>
      </c>
      <c r="D586" t="str">
        <f>T_Stocks[[#This Row],[Ticker]] &amp; "-" &amp; DATE(YEAR(T_Stocks[[#This Row],[Fecha]]),MONTH(T_Stocks[[#This Row],[Fecha]]),DAY(T_Stocks[[#This Row],[Fecha]]))</f>
        <v>AAPL-44342</v>
      </c>
    </row>
    <row r="587" spans="1:4" ht="14.65" thickBot="1" x14ac:dyDescent="0.5">
      <c r="A587" s="17">
        <v>44343.666666666664</v>
      </c>
      <c r="B587" s="19">
        <v>125.28</v>
      </c>
      <c r="C587" t="s">
        <v>38</v>
      </c>
      <c r="D587" t="str">
        <f>T_Stocks[[#This Row],[Ticker]] &amp; "-" &amp; DATE(YEAR(T_Stocks[[#This Row],[Fecha]]),MONTH(T_Stocks[[#This Row],[Fecha]]),DAY(T_Stocks[[#This Row],[Fecha]]))</f>
        <v>AAPL-44343</v>
      </c>
    </row>
    <row r="588" spans="1:4" ht="14.65" thickBot="1" x14ac:dyDescent="0.5">
      <c r="A588" s="17">
        <v>44344.666666666664</v>
      </c>
      <c r="B588" s="19">
        <v>124.61</v>
      </c>
      <c r="C588" t="s">
        <v>38</v>
      </c>
      <c r="D588" t="str">
        <f>T_Stocks[[#This Row],[Ticker]] &amp; "-" &amp; DATE(YEAR(T_Stocks[[#This Row],[Fecha]]),MONTH(T_Stocks[[#This Row],[Fecha]]),DAY(T_Stocks[[#This Row],[Fecha]]))</f>
        <v>AAPL-44344</v>
      </c>
    </row>
    <row r="589" spans="1:4" ht="14.65" thickBot="1" x14ac:dyDescent="0.5">
      <c r="A589" s="17">
        <v>44348.666666666664</v>
      </c>
      <c r="B589" s="19">
        <v>124.28</v>
      </c>
      <c r="C589" t="s">
        <v>38</v>
      </c>
      <c r="D589" t="str">
        <f>T_Stocks[[#This Row],[Ticker]] &amp; "-" &amp; DATE(YEAR(T_Stocks[[#This Row],[Fecha]]),MONTH(T_Stocks[[#This Row],[Fecha]]),DAY(T_Stocks[[#This Row],[Fecha]]))</f>
        <v>AAPL-44348</v>
      </c>
    </row>
    <row r="590" spans="1:4" ht="14.65" thickBot="1" x14ac:dyDescent="0.5">
      <c r="A590" s="17">
        <v>44349.666666666664</v>
      </c>
      <c r="B590" s="19">
        <v>125.06</v>
      </c>
      <c r="C590" t="s">
        <v>38</v>
      </c>
      <c r="D590" t="str">
        <f>T_Stocks[[#This Row],[Ticker]] &amp; "-" &amp; DATE(YEAR(T_Stocks[[#This Row],[Fecha]]),MONTH(T_Stocks[[#This Row],[Fecha]]),DAY(T_Stocks[[#This Row],[Fecha]]))</f>
        <v>AAPL-44349</v>
      </c>
    </row>
    <row r="591" spans="1:4" ht="14.65" thickBot="1" x14ac:dyDescent="0.5">
      <c r="A591" s="17">
        <v>44350.666666666664</v>
      </c>
      <c r="B591" s="19">
        <v>123.54</v>
      </c>
      <c r="C591" t="s">
        <v>38</v>
      </c>
      <c r="D591" t="str">
        <f>T_Stocks[[#This Row],[Ticker]] &amp; "-" &amp; DATE(YEAR(T_Stocks[[#This Row],[Fecha]]),MONTH(T_Stocks[[#This Row],[Fecha]]),DAY(T_Stocks[[#This Row],[Fecha]]))</f>
        <v>AAPL-44350</v>
      </c>
    </row>
    <row r="592" spans="1:4" ht="14.65" thickBot="1" x14ac:dyDescent="0.5">
      <c r="A592" s="17">
        <v>44351.666666666664</v>
      </c>
      <c r="B592" s="19">
        <v>125.89</v>
      </c>
      <c r="C592" t="s">
        <v>38</v>
      </c>
      <c r="D592" t="str">
        <f>T_Stocks[[#This Row],[Ticker]] &amp; "-" &amp; DATE(YEAR(T_Stocks[[#This Row],[Fecha]]),MONTH(T_Stocks[[#This Row],[Fecha]]),DAY(T_Stocks[[#This Row],[Fecha]]))</f>
        <v>AAPL-44351</v>
      </c>
    </row>
    <row r="593" spans="1:4" ht="14.65" thickBot="1" x14ac:dyDescent="0.5">
      <c r="A593" s="17">
        <v>44354.666666666664</v>
      </c>
      <c r="B593" s="19">
        <v>125.9</v>
      </c>
      <c r="C593" t="s">
        <v>38</v>
      </c>
      <c r="D593" t="str">
        <f>T_Stocks[[#This Row],[Ticker]] &amp; "-" &amp; DATE(YEAR(T_Stocks[[#This Row],[Fecha]]),MONTH(T_Stocks[[#This Row],[Fecha]]),DAY(T_Stocks[[#This Row],[Fecha]]))</f>
        <v>AAPL-44354</v>
      </c>
    </row>
    <row r="594" spans="1:4" ht="14.65" thickBot="1" x14ac:dyDescent="0.5">
      <c r="A594" s="17">
        <v>44355.666666666664</v>
      </c>
      <c r="B594" s="19">
        <v>126.74</v>
      </c>
      <c r="C594" t="s">
        <v>38</v>
      </c>
      <c r="D594" t="str">
        <f>T_Stocks[[#This Row],[Ticker]] &amp; "-" &amp; DATE(YEAR(T_Stocks[[#This Row],[Fecha]]),MONTH(T_Stocks[[#This Row],[Fecha]]),DAY(T_Stocks[[#This Row],[Fecha]]))</f>
        <v>AAPL-44355</v>
      </c>
    </row>
    <row r="595" spans="1:4" ht="14.65" thickBot="1" x14ac:dyDescent="0.5">
      <c r="A595" s="17">
        <v>44356.666666666664</v>
      </c>
      <c r="B595" s="19">
        <v>127.13</v>
      </c>
      <c r="C595" t="s">
        <v>38</v>
      </c>
      <c r="D595" t="str">
        <f>T_Stocks[[#This Row],[Ticker]] &amp; "-" &amp; DATE(YEAR(T_Stocks[[#This Row],[Fecha]]),MONTH(T_Stocks[[#This Row],[Fecha]]),DAY(T_Stocks[[#This Row],[Fecha]]))</f>
        <v>AAPL-44356</v>
      </c>
    </row>
    <row r="596" spans="1:4" ht="14.65" thickBot="1" x14ac:dyDescent="0.5">
      <c r="A596" s="17">
        <v>44357.666666666664</v>
      </c>
      <c r="B596" s="19">
        <v>126.11</v>
      </c>
      <c r="C596" t="s">
        <v>38</v>
      </c>
      <c r="D596" t="str">
        <f>T_Stocks[[#This Row],[Ticker]] &amp; "-" &amp; DATE(YEAR(T_Stocks[[#This Row],[Fecha]]),MONTH(T_Stocks[[#This Row],[Fecha]]),DAY(T_Stocks[[#This Row],[Fecha]]))</f>
        <v>AAPL-44357</v>
      </c>
    </row>
    <row r="597" spans="1:4" ht="14.65" thickBot="1" x14ac:dyDescent="0.5">
      <c r="A597" s="17">
        <v>44358.666666666664</v>
      </c>
      <c r="B597" s="19">
        <v>127.35</v>
      </c>
      <c r="C597" t="s">
        <v>38</v>
      </c>
      <c r="D597" t="str">
        <f>T_Stocks[[#This Row],[Ticker]] &amp; "-" &amp; DATE(YEAR(T_Stocks[[#This Row],[Fecha]]),MONTH(T_Stocks[[#This Row],[Fecha]]),DAY(T_Stocks[[#This Row],[Fecha]]))</f>
        <v>AAPL-44358</v>
      </c>
    </row>
    <row r="598" spans="1:4" ht="14.65" thickBot="1" x14ac:dyDescent="0.5">
      <c r="A598" s="17">
        <v>44361.666666666664</v>
      </c>
      <c r="B598" s="19">
        <v>130.47999999999999</v>
      </c>
      <c r="C598" t="s">
        <v>38</v>
      </c>
      <c r="D598" t="str">
        <f>T_Stocks[[#This Row],[Ticker]] &amp; "-" &amp; DATE(YEAR(T_Stocks[[#This Row],[Fecha]]),MONTH(T_Stocks[[#This Row],[Fecha]]),DAY(T_Stocks[[#This Row],[Fecha]]))</f>
        <v>AAPL-44361</v>
      </c>
    </row>
    <row r="599" spans="1:4" ht="14.65" thickBot="1" x14ac:dyDescent="0.5">
      <c r="A599" s="17">
        <v>44362.666666666664</v>
      </c>
      <c r="B599" s="19">
        <v>129.63999999999999</v>
      </c>
      <c r="C599" t="s">
        <v>38</v>
      </c>
      <c r="D599" t="str">
        <f>T_Stocks[[#This Row],[Ticker]] &amp; "-" &amp; DATE(YEAR(T_Stocks[[#This Row],[Fecha]]),MONTH(T_Stocks[[#This Row],[Fecha]]),DAY(T_Stocks[[#This Row],[Fecha]]))</f>
        <v>AAPL-44362</v>
      </c>
    </row>
    <row r="600" spans="1:4" ht="14.65" thickBot="1" x14ac:dyDescent="0.5">
      <c r="A600" s="17">
        <v>44363.666666666664</v>
      </c>
      <c r="B600" s="19">
        <v>130.15</v>
      </c>
      <c r="C600" t="s">
        <v>38</v>
      </c>
      <c r="D600" t="str">
        <f>T_Stocks[[#This Row],[Ticker]] &amp; "-" &amp; DATE(YEAR(T_Stocks[[#This Row],[Fecha]]),MONTH(T_Stocks[[#This Row],[Fecha]]),DAY(T_Stocks[[#This Row],[Fecha]]))</f>
        <v>AAPL-44363</v>
      </c>
    </row>
    <row r="601" spans="1:4" ht="14.65" thickBot="1" x14ac:dyDescent="0.5">
      <c r="A601" s="17">
        <v>44364.666666666664</v>
      </c>
      <c r="B601" s="19">
        <v>131.79</v>
      </c>
      <c r="C601" t="s">
        <v>38</v>
      </c>
      <c r="D601" t="str">
        <f>T_Stocks[[#This Row],[Ticker]] &amp; "-" &amp; DATE(YEAR(T_Stocks[[#This Row],[Fecha]]),MONTH(T_Stocks[[#This Row],[Fecha]]),DAY(T_Stocks[[#This Row],[Fecha]]))</f>
        <v>AAPL-44364</v>
      </c>
    </row>
    <row r="602" spans="1:4" ht="14.65" thickBot="1" x14ac:dyDescent="0.5">
      <c r="A602" s="17">
        <v>44365.666666666664</v>
      </c>
      <c r="B602" s="19">
        <v>130.46</v>
      </c>
      <c r="C602" t="s">
        <v>38</v>
      </c>
      <c r="D602" t="str">
        <f>T_Stocks[[#This Row],[Ticker]] &amp; "-" &amp; DATE(YEAR(T_Stocks[[#This Row],[Fecha]]),MONTH(T_Stocks[[#This Row],[Fecha]]),DAY(T_Stocks[[#This Row],[Fecha]]))</f>
        <v>AAPL-44365</v>
      </c>
    </row>
    <row r="603" spans="1:4" ht="14.65" thickBot="1" x14ac:dyDescent="0.5">
      <c r="A603" s="17">
        <v>44368.666666666664</v>
      </c>
      <c r="B603" s="19">
        <v>132.30000000000001</v>
      </c>
      <c r="C603" t="s">
        <v>38</v>
      </c>
      <c r="D603" t="str">
        <f>T_Stocks[[#This Row],[Ticker]] &amp; "-" &amp; DATE(YEAR(T_Stocks[[#This Row],[Fecha]]),MONTH(T_Stocks[[#This Row],[Fecha]]),DAY(T_Stocks[[#This Row],[Fecha]]))</f>
        <v>AAPL-44368</v>
      </c>
    </row>
    <row r="604" spans="1:4" ht="14.65" thickBot="1" x14ac:dyDescent="0.5">
      <c r="A604" s="17">
        <v>44369.666666666664</v>
      </c>
      <c r="B604" s="19">
        <v>133.97999999999999</v>
      </c>
      <c r="C604" t="s">
        <v>38</v>
      </c>
      <c r="D604" t="str">
        <f>T_Stocks[[#This Row],[Ticker]] &amp; "-" &amp; DATE(YEAR(T_Stocks[[#This Row],[Fecha]]),MONTH(T_Stocks[[#This Row],[Fecha]]),DAY(T_Stocks[[#This Row],[Fecha]]))</f>
        <v>AAPL-44369</v>
      </c>
    </row>
    <row r="605" spans="1:4" ht="14.65" thickBot="1" x14ac:dyDescent="0.5">
      <c r="A605" s="17">
        <v>44370.666666666664</v>
      </c>
      <c r="B605" s="19">
        <v>133.69999999999999</v>
      </c>
      <c r="C605" t="s">
        <v>38</v>
      </c>
      <c r="D605" t="str">
        <f>T_Stocks[[#This Row],[Ticker]] &amp; "-" &amp; DATE(YEAR(T_Stocks[[#This Row],[Fecha]]),MONTH(T_Stocks[[#This Row],[Fecha]]),DAY(T_Stocks[[#This Row],[Fecha]]))</f>
        <v>AAPL-44370</v>
      </c>
    </row>
    <row r="606" spans="1:4" ht="14.65" thickBot="1" x14ac:dyDescent="0.5">
      <c r="A606" s="17">
        <v>44371.666666666664</v>
      </c>
      <c r="B606" s="19">
        <v>133.41</v>
      </c>
      <c r="C606" t="s">
        <v>38</v>
      </c>
      <c r="D606" t="str">
        <f>T_Stocks[[#This Row],[Ticker]] &amp; "-" &amp; DATE(YEAR(T_Stocks[[#This Row],[Fecha]]),MONTH(T_Stocks[[#This Row],[Fecha]]),DAY(T_Stocks[[#This Row],[Fecha]]))</f>
        <v>AAPL-44371</v>
      </c>
    </row>
    <row r="607" spans="1:4" ht="14.65" thickBot="1" x14ac:dyDescent="0.5">
      <c r="A607" s="17">
        <v>44372.666666666664</v>
      </c>
      <c r="B607" s="19">
        <v>133.11000000000001</v>
      </c>
      <c r="C607" t="s">
        <v>38</v>
      </c>
      <c r="D607" t="str">
        <f>T_Stocks[[#This Row],[Ticker]] &amp; "-" &amp; DATE(YEAR(T_Stocks[[#This Row],[Fecha]]),MONTH(T_Stocks[[#This Row],[Fecha]]),DAY(T_Stocks[[#This Row],[Fecha]]))</f>
        <v>AAPL-44372</v>
      </c>
    </row>
    <row r="608" spans="1:4" ht="14.65" thickBot="1" x14ac:dyDescent="0.5">
      <c r="A608" s="17">
        <v>44375.666666666664</v>
      </c>
      <c r="B608" s="19">
        <v>134.78</v>
      </c>
      <c r="C608" t="s">
        <v>38</v>
      </c>
      <c r="D608" t="str">
        <f>T_Stocks[[#This Row],[Ticker]] &amp; "-" &amp; DATE(YEAR(T_Stocks[[#This Row],[Fecha]]),MONTH(T_Stocks[[#This Row],[Fecha]]),DAY(T_Stocks[[#This Row],[Fecha]]))</f>
        <v>AAPL-44375</v>
      </c>
    </row>
    <row r="609" spans="1:4" ht="14.65" thickBot="1" x14ac:dyDescent="0.5">
      <c r="A609" s="17">
        <v>44376.666666666664</v>
      </c>
      <c r="B609" s="19">
        <v>136.33000000000001</v>
      </c>
      <c r="C609" t="s">
        <v>38</v>
      </c>
      <c r="D609" t="str">
        <f>T_Stocks[[#This Row],[Ticker]] &amp; "-" &amp; DATE(YEAR(T_Stocks[[#This Row],[Fecha]]),MONTH(T_Stocks[[#This Row],[Fecha]]),DAY(T_Stocks[[#This Row],[Fecha]]))</f>
        <v>AAPL-44376</v>
      </c>
    </row>
    <row r="610" spans="1:4" ht="14.65" thickBot="1" x14ac:dyDescent="0.5">
      <c r="A610" s="17">
        <v>44377.666666666664</v>
      </c>
      <c r="B610" s="19">
        <v>136.96</v>
      </c>
      <c r="C610" t="s">
        <v>38</v>
      </c>
      <c r="D610" t="str">
        <f>T_Stocks[[#This Row],[Ticker]] &amp; "-" &amp; DATE(YEAR(T_Stocks[[#This Row],[Fecha]]),MONTH(T_Stocks[[#This Row],[Fecha]]),DAY(T_Stocks[[#This Row],[Fecha]]))</f>
        <v>AAPL-44377</v>
      </c>
    </row>
    <row r="611" spans="1:4" ht="14.65" thickBot="1" x14ac:dyDescent="0.5">
      <c r="A611" s="17">
        <v>44378.666666666664</v>
      </c>
      <c r="B611" s="19">
        <v>137.27000000000001</v>
      </c>
      <c r="C611" t="s">
        <v>38</v>
      </c>
      <c r="D611" t="str">
        <f>T_Stocks[[#This Row],[Ticker]] &amp; "-" &amp; DATE(YEAR(T_Stocks[[#This Row],[Fecha]]),MONTH(T_Stocks[[#This Row],[Fecha]]),DAY(T_Stocks[[#This Row],[Fecha]]))</f>
        <v>AAPL-44378</v>
      </c>
    </row>
    <row r="612" spans="1:4" ht="14.65" thickBot="1" x14ac:dyDescent="0.5">
      <c r="A612" s="17">
        <v>44379.666666666664</v>
      </c>
      <c r="B612" s="19">
        <v>139.96</v>
      </c>
      <c r="C612" t="s">
        <v>38</v>
      </c>
      <c r="D612" t="str">
        <f>T_Stocks[[#This Row],[Ticker]] &amp; "-" &amp; DATE(YEAR(T_Stocks[[#This Row],[Fecha]]),MONTH(T_Stocks[[#This Row],[Fecha]]),DAY(T_Stocks[[#This Row],[Fecha]]))</f>
        <v>AAPL-44379</v>
      </c>
    </row>
    <row r="613" spans="1:4" ht="14.65" thickBot="1" x14ac:dyDescent="0.5">
      <c r="A613" s="17">
        <v>44383.666666666664</v>
      </c>
      <c r="B613" s="19">
        <v>142.02000000000001</v>
      </c>
      <c r="C613" t="s">
        <v>38</v>
      </c>
      <c r="D613" t="str">
        <f>T_Stocks[[#This Row],[Ticker]] &amp; "-" &amp; DATE(YEAR(T_Stocks[[#This Row],[Fecha]]),MONTH(T_Stocks[[#This Row],[Fecha]]),DAY(T_Stocks[[#This Row],[Fecha]]))</f>
        <v>AAPL-44383</v>
      </c>
    </row>
    <row r="614" spans="1:4" ht="14.65" thickBot="1" x14ac:dyDescent="0.5">
      <c r="A614" s="17">
        <v>44384.666666666664</v>
      </c>
      <c r="B614" s="19">
        <v>144.57</v>
      </c>
      <c r="C614" t="s">
        <v>38</v>
      </c>
      <c r="D614" t="str">
        <f>T_Stocks[[#This Row],[Ticker]] &amp; "-" &amp; DATE(YEAR(T_Stocks[[#This Row],[Fecha]]),MONTH(T_Stocks[[#This Row],[Fecha]]),DAY(T_Stocks[[#This Row],[Fecha]]))</f>
        <v>AAPL-44384</v>
      </c>
    </row>
    <row r="615" spans="1:4" ht="14.65" thickBot="1" x14ac:dyDescent="0.5">
      <c r="A615" s="17">
        <v>44385.666666666664</v>
      </c>
      <c r="B615" s="19">
        <v>143.24</v>
      </c>
      <c r="C615" t="s">
        <v>38</v>
      </c>
      <c r="D615" t="str">
        <f>T_Stocks[[#This Row],[Ticker]] &amp; "-" &amp; DATE(YEAR(T_Stocks[[#This Row],[Fecha]]),MONTH(T_Stocks[[#This Row],[Fecha]]),DAY(T_Stocks[[#This Row],[Fecha]]))</f>
        <v>AAPL-44385</v>
      </c>
    </row>
    <row r="616" spans="1:4" ht="14.65" thickBot="1" x14ac:dyDescent="0.5">
      <c r="A616" s="17">
        <v>44386.666666666664</v>
      </c>
      <c r="B616" s="19">
        <v>145.11000000000001</v>
      </c>
      <c r="C616" t="s">
        <v>38</v>
      </c>
      <c r="D616" t="str">
        <f>T_Stocks[[#This Row],[Ticker]] &amp; "-" &amp; DATE(YEAR(T_Stocks[[#This Row],[Fecha]]),MONTH(T_Stocks[[#This Row],[Fecha]]),DAY(T_Stocks[[#This Row],[Fecha]]))</f>
        <v>AAPL-44386</v>
      </c>
    </row>
    <row r="617" spans="1:4" ht="14.65" thickBot="1" x14ac:dyDescent="0.5">
      <c r="A617" s="17">
        <v>44389.666666666664</v>
      </c>
      <c r="B617" s="19">
        <v>144.5</v>
      </c>
      <c r="C617" t="s">
        <v>38</v>
      </c>
      <c r="D617" t="str">
        <f>T_Stocks[[#This Row],[Ticker]] &amp; "-" &amp; DATE(YEAR(T_Stocks[[#This Row],[Fecha]]),MONTH(T_Stocks[[#This Row],[Fecha]]),DAY(T_Stocks[[#This Row],[Fecha]]))</f>
        <v>AAPL-44389</v>
      </c>
    </row>
    <row r="618" spans="1:4" ht="14.65" thickBot="1" x14ac:dyDescent="0.5">
      <c r="A618" s="17">
        <v>44390.666666666664</v>
      </c>
      <c r="B618" s="19">
        <v>145.63999999999999</v>
      </c>
      <c r="C618" t="s">
        <v>38</v>
      </c>
      <c r="D618" t="str">
        <f>T_Stocks[[#This Row],[Ticker]] &amp; "-" &amp; DATE(YEAR(T_Stocks[[#This Row],[Fecha]]),MONTH(T_Stocks[[#This Row],[Fecha]]),DAY(T_Stocks[[#This Row],[Fecha]]))</f>
        <v>AAPL-44390</v>
      </c>
    </row>
    <row r="619" spans="1:4" ht="14.65" thickBot="1" x14ac:dyDescent="0.5">
      <c r="A619" s="17">
        <v>44391.666666666664</v>
      </c>
      <c r="B619" s="19">
        <v>149.15</v>
      </c>
      <c r="C619" t="s">
        <v>38</v>
      </c>
      <c r="D619" t="str">
        <f>T_Stocks[[#This Row],[Ticker]] &amp; "-" &amp; DATE(YEAR(T_Stocks[[#This Row],[Fecha]]),MONTH(T_Stocks[[#This Row],[Fecha]]),DAY(T_Stocks[[#This Row],[Fecha]]))</f>
        <v>AAPL-44391</v>
      </c>
    </row>
    <row r="620" spans="1:4" ht="14.65" thickBot="1" x14ac:dyDescent="0.5">
      <c r="A620" s="17">
        <v>44392.666666666664</v>
      </c>
      <c r="B620" s="19">
        <v>148.47999999999999</v>
      </c>
      <c r="C620" t="s">
        <v>38</v>
      </c>
      <c r="D620" t="str">
        <f>T_Stocks[[#This Row],[Ticker]] &amp; "-" &amp; DATE(YEAR(T_Stocks[[#This Row],[Fecha]]),MONTH(T_Stocks[[#This Row],[Fecha]]),DAY(T_Stocks[[#This Row],[Fecha]]))</f>
        <v>AAPL-44392</v>
      </c>
    </row>
    <row r="621" spans="1:4" ht="14.65" thickBot="1" x14ac:dyDescent="0.5">
      <c r="A621" s="17">
        <v>44393.666666666664</v>
      </c>
      <c r="B621" s="19">
        <v>146.38999999999999</v>
      </c>
      <c r="C621" t="s">
        <v>38</v>
      </c>
      <c r="D621" t="str">
        <f>T_Stocks[[#This Row],[Ticker]] &amp; "-" &amp; DATE(YEAR(T_Stocks[[#This Row],[Fecha]]),MONTH(T_Stocks[[#This Row],[Fecha]]),DAY(T_Stocks[[#This Row],[Fecha]]))</f>
        <v>AAPL-44393</v>
      </c>
    </row>
    <row r="622" spans="1:4" ht="14.65" thickBot="1" x14ac:dyDescent="0.5">
      <c r="A622" s="17">
        <v>44396.666666666664</v>
      </c>
      <c r="B622" s="19">
        <v>142.44999999999999</v>
      </c>
      <c r="C622" t="s">
        <v>38</v>
      </c>
      <c r="D622" t="str">
        <f>T_Stocks[[#This Row],[Ticker]] &amp; "-" &amp; DATE(YEAR(T_Stocks[[#This Row],[Fecha]]),MONTH(T_Stocks[[#This Row],[Fecha]]),DAY(T_Stocks[[#This Row],[Fecha]]))</f>
        <v>AAPL-44396</v>
      </c>
    </row>
    <row r="623" spans="1:4" ht="14.65" thickBot="1" x14ac:dyDescent="0.5">
      <c r="A623" s="17">
        <v>44397.666666666664</v>
      </c>
      <c r="B623" s="19">
        <v>146.15</v>
      </c>
      <c r="C623" t="s">
        <v>38</v>
      </c>
      <c r="D623" t="str">
        <f>T_Stocks[[#This Row],[Ticker]] &amp; "-" &amp; DATE(YEAR(T_Stocks[[#This Row],[Fecha]]),MONTH(T_Stocks[[#This Row],[Fecha]]),DAY(T_Stocks[[#This Row],[Fecha]]))</f>
        <v>AAPL-44397</v>
      </c>
    </row>
    <row r="624" spans="1:4" ht="14.65" thickBot="1" x14ac:dyDescent="0.5">
      <c r="A624" s="17">
        <v>44398.666666666664</v>
      </c>
      <c r="B624" s="19">
        <v>145.4</v>
      </c>
      <c r="C624" t="s">
        <v>38</v>
      </c>
      <c r="D624" t="str">
        <f>T_Stocks[[#This Row],[Ticker]] &amp; "-" &amp; DATE(YEAR(T_Stocks[[#This Row],[Fecha]]),MONTH(T_Stocks[[#This Row],[Fecha]]),DAY(T_Stocks[[#This Row],[Fecha]]))</f>
        <v>AAPL-44398</v>
      </c>
    </row>
    <row r="625" spans="1:4" ht="14.65" thickBot="1" x14ac:dyDescent="0.5">
      <c r="A625" s="17">
        <v>44399.666666666664</v>
      </c>
      <c r="B625" s="19">
        <v>146.80000000000001</v>
      </c>
      <c r="C625" t="s">
        <v>38</v>
      </c>
      <c r="D625" t="str">
        <f>T_Stocks[[#This Row],[Ticker]] &amp; "-" &amp; DATE(YEAR(T_Stocks[[#This Row],[Fecha]]),MONTH(T_Stocks[[#This Row],[Fecha]]),DAY(T_Stocks[[#This Row],[Fecha]]))</f>
        <v>AAPL-44399</v>
      </c>
    </row>
    <row r="626" spans="1:4" ht="14.65" thickBot="1" x14ac:dyDescent="0.5">
      <c r="A626" s="17">
        <v>44400.666666666664</v>
      </c>
      <c r="B626" s="19">
        <v>148.56</v>
      </c>
      <c r="C626" t="s">
        <v>38</v>
      </c>
      <c r="D626" t="str">
        <f>T_Stocks[[#This Row],[Ticker]] &amp; "-" &amp; DATE(YEAR(T_Stocks[[#This Row],[Fecha]]),MONTH(T_Stocks[[#This Row],[Fecha]]),DAY(T_Stocks[[#This Row],[Fecha]]))</f>
        <v>AAPL-44400</v>
      </c>
    </row>
    <row r="627" spans="1:4" ht="14.65" thickBot="1" x14ac:dyDescent="0.5">
      <c r="A627" s="17">
        <v>44403.666666666664</v>
      </c>
      <c r="B627" s="19">
        <v>148.99</v>
      </c>
      <c r="C627" t="s">
        <v>38</v>
      </c>
      <c r="D627" t="str">
        <f>T_Stocks[[#This Row],[Ticker]] &amp; "-" &amp; DATE(YEAR(T_Stocks[[#This Row],[Fecha]]),MONTH(T_Stocks[[#This Row],[Fecha]]),DAY(T_Stocks[[#This Row],[Fecha]]))</f>
        <v>AAPL-44403</v>
      </c>
    </row>
    <row r="628" spans="1:4" ht="14.65" thickBot="1" x14ac:dyDescent="0.5">
      <c r="A628" s="17">
        <v>44404.666666666664</v>
      </c>
      <c r="B628" s="19">
        <v>146.77000000000001</v>
      </c>
      <c r="C628" t="s">
        <v>38</v>
      </c>
      <c r="D628" t="str">
        <f>T_Stocks[[#This Row],[Ticker]] &amp; "-" &amp; DATE(YEAR(T_Stocks[[#This Row],[Fecha]]),MONTH(T_Stocks[[#This Row],[Fecha]]),DAY(T_Stocks[[#This Row],[Fecha]]))</f>
        <v>AAPL-44404</v>
      </c>
    </row>
    <row r="629" spans="1:4" ht="14.65" thickBot="1" x14ac:dyDescent="0.5">
      <c r="A629" s="17">
        <v>44405.666666666664</v>
      </c>
      <c r="B629" s="19">
        <v>144.97999999999999</v>
      </c>
      <c r="C629" t="s">
        <v>38</v>
      </c>
      <c r="D629" t="str">
        <f>T_Stocks[[#This Row],[Ticker]] &amp; "-" &amp; DATE(YEAR(T_Stocks[[#This Row],[Fecha]]),MONTH(T_Stocks[[#This Row],[Fecha]]),DAY(T_Stocks[[#This Row],[Fecha]]))</f>
        <v>AAPL-44405</v>
      </c>
    </row>
    <row r="630" spans="1:4" ht="14.65" thickBot="1" x14ac:dyDescent="0.5">
      <c r="A630" s="17">
        <v>44406.666666666664</v>
      </c>
      <c r="B630" s="19">
        <v>145.63999999999999</v>
      </c>
      <c r="C630" t="s">
        <v>38</v>
      </c>
      <c r="D630" t="str">
        <f>T_Stocks[[#This Row],[Ticker]] &amp; "-" &amp; DATE(YEAR(T_Stocks[[#This Row],[Fecha]]),MONTH(T_Stocks[[#This Row],[Fecha]]),DAY(T_Stocks[[#This Row],[Fecha]]))</f>
        <v>AAPL-44406</v>
      </c>
    </row>
    <row r="631" spans="1:4" ht="14.65" thickBot="1" x14ac:dyDescent="0.5">
      <c r="A631" s="17">
        <v>44407.666666666664</v>
      </c>
      <c r="B631" s="19">
        <v>145.86000000000001</v>
      </c>
      <c r="C631" t="s">
        <v>38</v>
      </c>
      <c r="D631" t="str">
        <f>T_Stocks[[#This Row],[Ticker]] &amp; "-" &amp; DATE(YEAR(T_Stocks[[#This Row],[Fecha]]),MONTH(T_Stocks[[#This Row],[Fecha]]),DAY(T_Stocks[[#This Row],[Fecha]]))</f>
        <v>AAPL-44407</v>
      </c>
    </row>
    <row r="632" spans="1:4" ht="14.65" thickBot="1" x14ac:dyDescent="0.5">
      <c r="A632" s="17">
        <v>44410.666666666664</v>
      </c>
      <c r="B632" s="19">
        <v>145.52000000000001</v>
      </c>
      <c r="C632" t="s">
        <v>38</v>
      </c>
      <c r="D632" t="str">
        <f>T_Stocks[[#This Row],[Ticker]] &amp; "-" &amp; DATE(YEAR(T_Stocks[[#This Row],[Fecha]]),MONTH(T_Stocks[[#This Row],[Fecha]]),DAY(T_Stocks[[#This Row],[Fecha]]))</f>
        <v>AAPL-44410</v>
      </c>
    </row>
    <row r="633" spans="1:4" ht="14.65" thickBot="1" x14ac:dyDescent="0.5">
      <c r="A633" s="17">
        <v>44411.666666666664</v>
      </c>
      <c r="B633" s="19">
        <v>147.36000000000001</v>
      </c>
      <c r="C633" t="s">
        <v>38</v>
      </c>
      <c r="D633" t="str">
        <f>T_Stocks[[#This Row],[Ticker]] &amp; "-" &amp; DATE(YEAR(T_Stocks[[#This Row],[Fecha]]),MONTH(T_Stocks[[#This Row],[Fecha]]),DAY(T_Stocks[[#This Row],[Fecha]]))</f>
        <v>AAPL-44411</v>
      </c>
    </row>
    <row r="634" spans="1:4" ht="14.65" thickBot="1" x14ac:dyDescent="0.5">
      <c r="A634" s="17">
        <v>44412.666666666664</v>
      </c>
      <c r="B634" s="19">
        <v>146.94999999999999</v>
      </c>
      <c r="C634" t="s">
        <v>38</v>
      </c>
      <c r="D634" t="str">
        <f>T_Stocks[[#This Row],[Ticker]] &amp; "-" &amp; DATE(YEAR(T_Stocks[[#This Row],[Fecha]]),MONTH(T_Stocks[[#This Row],[Fecha]]),DAY(T_Stocks[[#This Row],[Fecha]]))</f>
        <v>AAPL-44412</v>
      </c>
    </row>
    <row r="635" spans="1:4" ht="14.65" thickBot="1" x14ac:dyDescent="0.5">
      <c r="A635" s="17">
        <v>44413.666666666664</v>
      </c>
      <c r="B635" s="19">
        <v>147.06</v>
      </c>
      <c r="C635" t="s">
        <v>38</v>
      </c>
      <c r="D635" t="str">
        <f>T_Stocks[[#This Row],[Ticker]] &amp; "-" &amp; DATE(YEAR(T_Stocks[[#This Row],[Fecha]]),MONTH(T_Stocks[[#This Row],[Fecha]]),DAY(T_Stocks[[#This Row],[Fecha]]))</f>
        <v>AAPL-44413</v>
      </c>
    </row>
    <row r="636" spans="1:4" ht="14.65" thickBot="1" x14ac:dyDescent="0.5">
      <c r="A636" s="17">
        <v>44414.666666666664</v>
      </c>
      <c r="B636" s="19">
        <v>146.13999999999999</v>
      </c>
      <c r="C636" t="s">
        <v>38</v>
      </c>
      <c r="D636" t="str">
        <f>T_Stocks[[#This Row],[Ticker]] &amp; "-" &amp; DATE(YEAR(T_Stocks[[#This Row],[Fecha]]),MONTH(T_Stocks[[#This Row],[Fecha]]),DAY(T_Stocks[[#This Row],[Fecha]]))</f>
        <v>AAPL-44414</v>
      </c>
    </row>
    <row r="637" spans="1:4" ht="14.65" thickBot="1" x14ac:dyDescent="0.5">
      <c r="A637" s="17">
        <v>44417.666666666664</v>
      </c>
      <c r="B637" s="19">
        <v>146.09</v>
      </c>
      <c r="C637" t="s">
        <v>38</v>
      </c>
      <c r="D637" t="str">
        <f>T_Stocks[[#This Row],[Ticker]] &amp; "-" &amp; DATE(YEAR(T_Stocks[[#This Row],[Fecha]]),MONTH(T_Stocks[[#This Row],[Fecha]]),DAY(T_Stocks[[#This Row],[Fecha]]))</f>
        <v>AAPL-44417</v>
      </c>
    </row>
    <row r="638" spans="1:4" ht="14.65" thickBot="1" x14ac:dyDescent="0.5">
      <c r="A638" s="17">
        <v>44418.666666666664</v>
      </c>
      <c r="B638" s="19">
        <v>145.6</v>
      </c>
      <c r="C638" t="s">
        <v>38</v>
      </c>
      <c r="D638" t="str">
        <f>T_Stocks[[#This Row],[Ticker]] &amp; "-" &amp; DATE(YEAR(T_Stocks[[#This Row],[Fecha]]),MONTH(T_Stocks[[#This Row],[Fecha]]),DAY(T_Stocks[[#This Row],[Fecha]]))</f>
        <v>AAPL-44418</v>
      </c>
    </row>
    <row r="639" spans="1:4" ht="14.65" thickBot="1" x14ac:dyDescent="0.5">
      <c r="A639" s="17">
        <v>44419.666666666664</v>
      </c>
      <c r="B639" s="19">
        <v>145.86000000000001</v>
      </c>
      <c r="C639" t="s">
        <v>38</v>
      </c>
      <c r="D639" t="str">
        <f>T_Stocks[[#This Row],[Ticker]] &amp; "-" &amp; DATE(YEAR(T_Stocks[[#This Row],[Fecha]]),MONTH(T_Stocks[[#This Row],[Fecha]]),DAY(T_Stocks[[#This Row],[Fecha]]))</f>
        <v>AAPL-44419</v>
      </c>
    </row>
    <row r="640" spans="1:4" ht="14.65" thickBot="1" x14ac:dyDescent="0.5">
      <c r="A640" s="17">
        <v>44420.666666666664</v>
      </c>
      <c r="B640" s="19">
        <v>148.88999999999999</v>
      </c>
      <c r="C640" t="s">
        <v>38</v>
      </c>
      <c r="D640" t="str">
        <f>T_Stocks[[#This Row],[Ticker]] &amp; "-" &amp; DATE(YEAR(T_Stocks[[#This Row],[Fecha]]),MONTH(T_Stocks[[#This Row],[Fecha]]),DAY(T_Stocks[[#This Row],[Fecha]]))</f>
        <v>AAPL-44420</v>
      </c>
    </row>
    <row r="641" spans="1:4" ht="14.65" thickBot="1" x14ac:dyDescent="0.5">
      <c r="A641" s="17">
        <v>44421.666666666664</v>
      </c>
      <c r="B641" s="19">
        <v>149.1</v>
      </c>
      <c r="C641" t="s">
        <v>38</v>
      </c>
      <c r="D641" t="str">
        <f>T_Stocks[[#This Row],[Ticker]] &amp; "-" &amp; DATE(YEAR(T_Stocks[[#This Row],[Fecha]]),MONTH(T_Stocks[[#This Row],[Fecha]]),DAY(T_Stocks[[#This Row],[Fecha]]))</f>
        <v>AAPL-44421</v>
      </c>
    </row>
    <row r="642" spans="1:4" ht="14.65" thickBot="1" x14ac:dyDescent="0.5">
      <c r="A642" s="17">
        <v>44424.666666666664</v>
      </c>
      <c r="B642" s="19">
        <v>151.12</v>
      </c>
      <c r="C642" t="s">
        <v>38</v>
      </c>
      <c r="D642" t="str">
        <f>T_Stocks[[#This Row],[Ticker]] &amp; "-" &amp; DATE(YEAR(T_Stocks[[#This Row],[Fecha]]),MONTH(T_Stocks[[#This Row],[Fecha]]),DAY(T_Stocks[[#This Row],[Fecha]]))</f>
        <v>AAPL-44424</v>
      </c>
    </row>
    <row r="643" spans="1:4" ht="14.65" thickBot="1" x14ac:dyDescent="0.5">
      <c r="A643" s="17">
        <v>44425.666666666664</v>
      </c>
      <c r="B643" s="19">
        <v>150.19</v>
      </c>
      <c r="C643" t="s">
        <v>38</v>
      </c>
      <c r="D643" t="str">
        <f>T_Stocks[[#This Row],[Ticker]] &amp; "-" &amp; DATE(YEAR(T_Stocks[[#This Row],[Fecha]]),MONTH(T_Stocks[[#This Row],[Fecha]]),DAY(T_Stocks[[#This Row],[Fecha]]))</f>
        <v>AAPL-44425</v>
      </c>
    </row>
    <row r="644" spans="1:4" ht="14.65" thickBot="1" x14ac:dyDescent="0.5">
      <c r="A644" s="17">
        <v>44426.666666666664</v>
      </c>
      <c r="B644" s="19">
        <v>146.36000000000001</v>
      </c>
      <c r="C644" t="s">
        <v>38</v>
      </c>
      <c r="D644" t="str">
        <f>T_Stocks[[#This Row],[Ticker]] &amp; "-" &amp; DATE(YEAR(T_Stocks[[#This Row],[Fecha]]),MONTH(T_Stocks[[#This Row],[Fecha]]),DAY(T_Stocks[[#This Row],[Fecha]]))</f>
        <v>AAPL-44426</v>
      </c>
    </row>
    <row r="645" spans="1:4" ht="14.65" thickBot="1" x14ac:dyDescent="0.5">
      <c r="A645" s="17">
        <v>44427.666666666664</v>
      </c>
      <c r="B645" s="19">
        <v>146.69999999999999</v>
      </c>
      <c r="C645" t="s">
        <v>38</v>
      </c>
      <c r="D645" t="str">
        <f>T_Stocks[[#This Row],[Ticker]] &amp; "-" &amp; DATE(YEAR(T_Stocks[[#This Row],[Fecha]]),MONTH(T_Stocks[[#This Row],[Fecha]]),DAY(T_Stocks[[#This Row],[Fecha]]))</f>
        <v>AAPL-44427</v>
      </c>
    </row>
    <row r="646" spans="1:4" ht="14.65" thickBot="1" x14ac:dyDescent="0.5">
      <c r="A646" s="17">
        <v>44428.666666666664</v>
      </c>
      <c r="B646" s="19">
        <v>148.19</v>
      </c>
      <c r="C646" t="s">
        <v>38</v>
      </c>
      <c r="D646" t="str">
        <f>T_Stocks[[#This Row],[Ticker]] &amp; "-" &amp; DATE(YEAR(T_Stocks[[#This Row],[Fecha]]),MONTH(T_Stocks[[#This Row],[Fecha]]),DAY(T_Stocks[[#This Row],[Fecha]]))</f>
        <v>AAPL-44428</v>
      </c>
    </row>
    <row r="647" spans="1:4" ht="14.65" thickBot="1" x14ac:dyDescent="0.5">
      <c r="A647" s="17">
        <v>44431.666666666664</v>
      </c>
      <c r="B647" s="19">
        <v>149.71</v>
      </c>
      <c r="C647" t="s">
        <v>38</v>
      </c>
      <c r="D647" t="str">
        <f>T_Stocks[[#This Row],[Ticker]] &amp; "-" &amp; DATE(YEAR(T_Stocks[[#This Row],[Fecha]]),MONTH(T_Stocks[[#This Row],[Fecha]]),DAY(T_Stocks[[#This Row],[Fecha]]))</f>
        <v>AAPL-44431</v>
      </c>
    </row>
    <row r="648" spans="1:4" ht="14.65" thickBot="1" x14ac:dyDescent="0.5">
      <c r="A648" s="17">
        <v>44432.666666666664</v>
      </c>
      <c r="B648" s="19">
        <v>149.62</v>
      </c>
      <c r="C648" t="s">
        <v>38</v>
      </c>
      <c r="D648" t="str">
        <f>T_Stocks[[#This Row],[Ticker]] &amp; "-" &amp; DATE(YEAR(T_Stocks[[#This Row],[Fecha]]),MONTH(T_Stocks[[#This Row],[Fecha]]),DAY(T_Stocks[[#This Row],[Fecha]]))</f>
        <v>AAPL-44432</v>
      </c>
    </row>
    <row r="649" spans="1:4" ht="14.65" thickBot="1" x14ac:dyDescent="0.5">
      <c r="A649" s="17">
        <v>44433.666666666664</v>
      </c>
      <c r="B649" s="19">
        <v>148.36000000000001</v>
      </c>
      <c r="C649" t="s">
        <v>38</v>
      </c>
      <c r="D649" t="str">
        <f>T_Stocks[[#This Row],[Ticker]] &amp; "-" &amp; DATE(YEAR(T_Stocks[[#This Row],[Fecha]]),MONTH(T_Stocks[[#This Row],[Fecha]]),DAY(T_Stocks[[#This Row],[Fecha]]))</f>
        <v>AAPL-44433</v>
      </c>
    </row>
    <row r="650" spans="1:4" ht="14.65" thickBot="1" x14ac:dyDescent="0.5">
      <c r="A650" s="17">
        <v>44434.666666666664</v>
      </c>
      <c r="B650" s="19">
        <v>147.54</v>
      </c>
      <c r="C650" t="s">
        <v>38</v>
      </c>
      <c r="D650" t="str">
        <f>T_Stocks[[#This Row],[Ticker]] &amp; "-" &amp; DATE(YEAR(T_Stocks[[#This Row],[Fecha]]),MONTH(T_Stocks[[#This Row],[Fecha]]),DAY(T_Stocks[[#This Row],[Fecha]]))</f>
        <v>AAPL-44434</v>
      </c>
    </row>
    <row r="651" spans="1:4" ht="14.65" thickBot="1" x14ac:dyDescent="0.5">
      <c r="A651" s="17">
        <v>44435.666666666664</v>
      </c>
      <c r="B651" s="19">
        <v>148.6</v>
      </c>
      <c r="C651" t="s">
        <v>38</v>
      </c>
      <c r="D651" t="str">
        <f>T_Stocks[[#This Row],[Ticker]] &amp; "-" &amp; DATE(YEAR(T_Stocks[[#This Row],[Fecha]]),MONTH(T_Stocks[[#This Row],[Fecha]]),DAY(T_Stocks[[#This Row],[Fecha]]))</f>
        <v>AAPL-44435</v>
      </c>
    </row>
    <row r="652" spans="1:4" ht="14.65" thickBot="1" x14ac:dyDescent="0.5">
      <c r="A652" s="17">
        <v>44438.666666666664</v>
      </c>
      <c r="B652" s="19">
        <v>153.12</v>
      </c>
      <c r="C652" t="s">
        <v>38</v>
      </c>
      <c r="D652" t="str">
        <f>T_Stocks[[#This Row],[Ticker]] &amp; "-" &amp; DATE(YEAR(T_Stocks[[#This Row],[Fecha]]),MONTH(T_Stocks[[#This Row],[Fecha]]),DAY(T_Stocks[[#This Row],[Fecha]]))</f>
        <v>AAPL-44438</v>
      </c>
    </row>
    <row r="653" spans="1:4" ht="14.65" thickBot="1" x14ac:dyDescent="0.5">
      <c r="A653" s="17">
        <v>44439.666666666664</v>
      </c>
      <c r="B653" s="19">
        <v>151.83000000000001</v>
      </c>
      <c r="C653" t="s">
        <v>38</v>
      </c>
      <c r="D653" t="str">
        <f>T_Stocks[[#This Row],[Ticker]] &amp; "-" &amp; DATE(YEAR(T_Stocks[[#This Row],[Fecha]]),MONTH(T_Stocks[[#This Row],[Fecha]]),DAY(T_Stocks[[#This Row],[Fecha]]))</f>
        <v>AAPL-44439</v>
      </c>
    </row>
    <row r="654" spans="1:4" ht="14.65" thickBot="1" x14ac:dyDescent="0.5">
      <c r="A654" s="17">
        <v>44440.666666666664</v>
      </c>
      <c r="B654" s="19">
        <v>152.51</v>
      </c>
      <c r="C654" t="s">
        <v>38</v>
      </c>
      <c r="D654" t="str">
        <f>T_Stocks[[#This Row],[Ticker]] &amp; "-" &amp; DATE(YEAR(T_Stocks[[#This Row],[Fecha]]),MONTH(T_Stocks[[#This Row],[Fecha]]),DAY(T_Stocks[[#This Row],[Fecha]]))</f>
        <v>AAPL-44440</v>
      </c>
    </row>
    <row r="655" spans="1:4" ht="14.65" thickBot="1" x14ac:dyDescent="0.5">
      <c r="A655" s="17">
        <v>44441.666666666664</v>
      </c>
      <c r="B655" s="19">
        <v>153.65</v>
      </c>
      <c r="C655" t="s">
        <v>38</v>
      </c>
      <c r="D655" t="str">
        <f>T_Stocks[[#This Row],[Ticker]] &amp; "-" &amp; DATE(YEAR(T_Stocks[[#This Row],[Fecha]]),MONTH(T_Stocks[[#This Row],[Fecha]]),DAY(T_Stocks[[#This Row],[Fecha]]))</f>
        <v>AAPL-44441</v>
      </c>
    </row>
    <row r="656" spans="1:4" ht="14.65" thickBot="1" x14ac:dyDescent="0.5">
      <c r="A656" s="17">
        <v>44442.666666666664</v>
      </c>
      <c r="B656" s="19">
        <v>154.30000000000001</v>
      </c>
      <c r="C656" t="s">
        <v>38</v>
      </c>
      <c r="D656" t="str">
        <f>T_Stocks[[#This Row],[Ticker]] &amp; "-" &amp; DATE(YEAR(T_Stocks[[#This Row],[Fecha]]),MONTH(T_Stocks[[#This Row],[Fecha]]),DAY(T_Stocks[[#This Row],[Fecha]]))</f>
        <v>AAPL-44442</v>
      </c>
    </row>
    <row r="657" spans="1:4" ht="14.65" thickBot="1" x14ac:dyDescent="0.5">
      <c r="A657" s="17">
        <v>44446.666666666664</v>
      </c>
      <c r="B657" s="19">
        <v>156.69</v>
      </c>
      <c r="C657" t="s">
        <v>38</v>
      </c>
      <c r="D657" t="str">
        <f>T_Stocks[[#This Row],[Ticker]] &amp; "-" &amp; DATE(YEAR(T_Stocks[[#This Row],[Fecha]]),MONTH(T_Stocks[[#This Row],[Fecha]]),DAY(T_Stocks[[#This Row],[Fecha]]))</f>
        <v>AAPL-44446</v>
      </c>
    </row>
    <row r="658" spans="1:4" ht="14.65" thickBot="1" x14ac:dyDescent="0.5">
      <c r="A658" s="17">
        <v>44447.666666666664</v>
      </c>
      <c r="B658" s="19">
        <v>155.11000000000001</v>
      </c>
      <c r="C658" t="s">
        <v>38</v>
      </c>
      <c r="D658" t="str">
        <f>T_Stocks[[#This Row],[Ticker]] &amp; "-" &amp; DATE(YEAR(T_Stocks[[#This Row],[Fecha]]),MONTH(T_Stocks[[#This Row],[Fecha]]),DAY(T_Stocks[[#This Row],[Fecha]]))</f>
        <v>AAPL-44447</v>
      </c>
    </row>
    <row r="659" spans="1:4" ht="14.65" thickBot="1" x14ac:dyDescent="0.5">
      <c r="A659" s="17">
        <v>44448.666666666664</v>
      </c>
      <c r="B659" s="19">
        <v>154.07</v>
      </c>
      <c r="C659" t="s">
        <v>38</v>
      </c>
      <c r="D659" t="str">
        <f>T_Stocks[[#This Row],[Ticker]] &amp; "-" &amp; DATE(YEAR(T_Stocks[[#This Row],[Fecha]]),MONTH(T_Stocks[[#This Row],[Fecha]]),DAY(T_Stocks[[#This Row],[Fecha]]))</f>
        <v>AAPL-44448</v>
      </c>
    </row>
    <row r="660" spans="1:4" ht="14.65" thickBot="1" x14ac:dyDescent="0.5">
      <c r="A660" s="17">
        <v>44449.666666666664</v>
      </c>
      <c r="B660" s="19">
        <v>148.97</v>
      </c>
      <c r="C660" t="s">
        <v>38</v>
      </c>
      <c r="D660" t="str">
        <f>T_Stocks[[#This Row],[Ticker]] &amp; "-" &amp; DATE(YEAR(T_Stocks[[#This Row],[Fecha]]),MONTH(T_Stocks[[#This Row],[Fecha]]),DAY(T_Stocks[[#This Row],[Fecha]]))</f>
        <v>AAPL-44449</v>
      </c>
    </row>
    <row r="661" spans="1:4" ht="14.65" thickBot="1" x14ac:dyDescent="0.5">
      <c r="A661" s="17">
        <v>44452.666666666664</v>
      </c>
      <c r="B661" s="19">
        <v>149.55000000000001</v>
      </c>
      <c r="C661" t="s">
        <v>38</v>
      </c>
      <c r="D661" t="str">
        <f>T_Stocks[[#This Row],[Ticker]] &amp; "-" &amp; DATE(YEAR(T_Stocks[[#This Row],[Fecha]]),MONTH(T_Stocks[[#This Row],[Fecha]]),DAY(T_Stocks[[#This Row],[Fecha]]))</f>
        <v>AAPL-44452</v>
      </c>
    </row>
    <row r="662" spans="1:4" ht="14.65" thickBot="1" x14ac:dyDescent="0.5">
      <c r="A662" s="17">
        <v>44453.666666666664</v>
      </c>
      <c r="B662" s="19">
        <v>148.12</v>
      </c>
      <c r="C662" t="s">
        <v>38</v>
      </c>
      <c r="D662" t="str">
        <f>T_Stocks[[#This Row],[Ticker]] &amp; "-" &amp; DATE(YEAR(T_Stocks[[#This Row],[Fecha]]),MONTH(T_Stocks[[#This Row],[Fecha]]),DAY(T_Stocks[[#This Row],[Fecha]]))</f>
        <v>AAPL-44453</v>
      </c>
    </row>
    <row r="663" spans="1:4" ht="14.65" thickBot="1" x14ac:dyDescent="0.5">
      <c r="A663" s="17">
        <v>44454.666666666664</v>
      </c>
      <c r="B663" s="19">
        <v>149.03</v>
      </c>
      <c r="C663" t="s">
        <v>38</v>
      </c>
      <c r="D663" t="str">
        <f>T_Stocks[[#This Row],[Ticker]] &amp; "-" &amp; DATE(YEAR(T_Stocks[[#This Row],[Fecha]]),MONTH(T_Stocks[[#This Row],[Fecha]]),DAY(T_Stocks[[#This Row],[Fecha]]))</f>
        <v>AAPL-44454</v>
      </c>
    </row>
    <row r="664" spans="1:4" ht="14.65" thickBot="1" x14ac:dyDescent="0.5">
      <c r="A664" s="17">
        <v>44455.666666666664</v>
      </c>
      <c r="B664" s="19">
        <v>148.79</v>
      </c>
      <c r="C664" t="s">
        <v>38</v>
      </c>
      <c r="D664" t="str">
        <f>T_Stocks[[#This Row],[Ticker]] &amp; "-" &amp; DATE(YEAR(T_Stocks[[#This Row],[Fecha]]),MONTH(T_Stocks[[#This Row],[Fecha]]),DAY(T_Stocks[[#This Row],[Fecha]]))</f>
        <v>AAPL-44455</v>
      </c>
    </row>
    <row r="665" spans="1:4" ht="14.65" thickBot="1" x14ac:dyDescent="0.5">
      <c r="A665" s="17">
        <v>44456.666666666664</v>
      </c>
      <c r="B665" s="19">
        <v>146.06</v>
      </c>
      <c r="C665" t="s">
        <v>38</v>
      </c>
      <c r="D665" t="str">
        <f>T_Stocks[[#This Row],[Ticker]] &amp; "-" &amp; DATE(YEAR(T_Stocks[[#This Row],[Fecha]]),MONTH(T_Stocks[[#This Row],[Fecha]]),DAY(T_Stocks[[#This Row],[Fecha]]))</f>
        <v>AAPL-44456</v>
      </c>
    </row>
    <row r="666" spans="1:4" ht="14.65" thickBot="1" x14ac:dyDescent="0.5">
      <c r="A666" s="17">
        <v>44459.666666666664</v>
      </c>
      <c r="B666" s="19">
        <v>142.94</v>
      </c>
      <c r="C666" t="s">
        <v>38</v>
      </c>
      <c r="D666" t="str">
        <f>T_Stocks[[#This Row],[Ticker]] &amp; "-" &amp; DATE(YEAR(T_Stocks[[#This Row],[Fecha]]),MONTH(T_Stocks[[#This Row],[Fecha]]),DAY(T_Stocks[[#This Row],[Fecha]]))</f>
        <v>AAPL-44459</v>
      </c>
    </row>
    <row r="667" spans="1:4" ht="14.65" thickBot="1" x14ac:dyDescent="0.5">
      <c r="A667" s="17">
        <v>44460.666666666664</v>
      </c>
      <c r="B667" s="19">
        <v>143.43</v>
      </c>
      <c r="C667" t="s">
        <v>38</v>
      </c>
      <c r="D667" t="str">
        <f>T_Stocks[[#This Row],[Ticker]] &amp; "-" &amp; DATE(YEAR(T_Stocks[[#This Row],[Fecha]]),MONTH(T_Stocks[[#This Row],[Fecha]]),DAY(T_Stocks[[#This Row],[Fecha]]))</f>
        <v>AAPL-44460</v>
      </c>
    </row>
    <row r="668" spans="1:4" ht="14.65" thickBot="1" x14ac:dyDescent="0.5">
      <c r="A668" s="17">
        <v>44461.666666666664</v>
      </c>
      <c r="B668" s="19">
        <v>145.85</v>
      </c>
      <c r="C668" t="s">
        <v>38</v>
      </c>
      <c r="D668" t="str">
        <f>T_Stocks[[#This Row],[Ticker]] &amp; "-" &amp; DATE(YEAR(T_Stocks[[#This Row],[Fecha]]),MONTH(T_Stocks[[#This Row],[Fecha]]),DAY(T_Stocks[[#This Row],[Fecha]]))</f>
        <v>AAPL-44461</v>
      </c>
    </row>
    <row r="669" spans="1:4" ht="14.65" thickBot="1" x14ac:dyDescent="0.5">
      <c r="A669" s="17">
        <v>44462.666666666664</v>
      </c>
      <c r="B669" s="19">
        <v>146.83000000000001</v>
      </c>
      <c r="C669" t="s">
        <v>38</v>
      </c>
      <c r="D669" t="str">
        <f>T_Stocks[[#This Row],[Ticker]] &amp; "-" &amp; DATE(YEAR(T_Stocks[[#This Row],[Fecha]]),MONTH(T_Stocks[[#This Row],[Fecha]]),DAY(T_Stocks[[#This Row],[Fecha]]))</f>
        <v>AAPL-44462</v>
      </c>
    </row>
    <row r="670" spans="1:4" ht="14.65" thickBot="1" x14ac:dyDescent="0.5">
      <c r="A670" s="17">
        <v>44463.666666666664</v>
      </c>
      <c r="B670" s="19">
        <v>146.91999999999999</v>
      </c>
      <c r="C670" t="s">
        <v>38</v>
      </c>
      <c r="D670" t="str">
        <f>T_Stocks[[#This Row],[Ticker]] &amp; "-" &amp; DATE(YEAR(T_Stocks[[#This Row],[Fecha]]),MONTH(T_Stocks[[#This Row],[Fecha]]),DAY(T_Stocks[[#This Row],[Fecha]]))</f>
        <v>AAPL-44463</v>
      </c>
    </row>
    <row r="671" spans="1:4" ht="14.65" thickBot="1" x14ac:dyDescent="0.5">
      <c r="A671" s="17">
        <v>44466.666666666664</v>
      </c>
      <c r="B671" s="19">
        <v>145.37</v>
      </c>
      <c r="C671" t="s">
        <v>38</v>
      </c>
      <c r="D671" t="str">
        <f>T_Stocks[[#This Row],[Ticker]] &amp; "-" &amp; DATE(YEAR(T_Stocks[[#This Row],[Fecha]]),MONTH(T_Stocks[[#This Row],[Fecha]]),DAY(T_Stocks[[#This Row],[Fecha]]))</f>
        <v>AAPL-44466</v>
      </c>
    </row>
    <row r="672" spans="1:4" ht="14.65" thickBot="1" x14ac:dyDescent="0.5">
      <c r="A672" s="17">
        <v>44467.666666666664</v>
      </c>
      <c r="B672" s="19">
        <v>141.91</v>
      </c>
      <c r="C672" t="s">
        <v>38</v>
      </c>
      <c r="D672" t="str">
        <f>T_Stocks[[#This Row],[Ticker]] &amp; "-" &amp; DATE(YEAR(T_Stocks[[#This Row],[Fecha]]),MONTH(T_Stocks[[#This Row],[Fecha]]),DAY(T_Stocks[[#This Row],[Fecha]]))</f>
        <v>AAPL-44467</v>
      </c>
    </row>
    <row r="673" spans="1:4" ht="14.65" thickBot="1" x14ac:dyDescent="0.5">
      <c r="A673" s="17">
        <v>44468.666666666664</v>
      </c>
      <c r="B673" s="19">
        <v>142.83000000000001</v>
      </c>
      <c r="C673" t="s">
        <v>38</v>
      </c>
      <c r="D673" t="str">
        <f>T_Stocks[[#This Row],[Ticker]] &amp; "-" &amp; DATE(YEAR(T_Stocks[[#This Row],[Fecha]]),MONTH(T_Stocks[[#This Row],[Fecha]]),DAY(T_Stocks[[#This Row],[Fecha]]))</f>
        <v>AAPL-44468</v>
      </c>
    </row>
    <row r="674" spans="1:4" ht="14.65" thickBot="1" x14ac:dyDescent="0.5">
      <c r="A674" s="17">
        <v>44469.666666666664</v>
      </c>
      <c r="B674" s="19">
        <v>141.5</v>
      </c>
      <c r="C674" t="s">
        <v>38</v>
      </c>
      <c r="D674" t="str">
        <f>T_Stocks[[#This Row],[Ticker]] &amp; "-" &amp; DATE(YEAR(T_Stocks[[#This Row],[Fecha]]),MONTH(T_Stocks[[#This Row],[Fecha]]),DAY(T_Stocks[[#This Row],[Fecha]]))</f>
        <v>AAPL-44469</v>
      </c>
    </row>
    <row r="675" spans="1:4" ht="14.65" thickBot="1" x14ac:dyDescent="0.5">
      <c r="A675" s="17">
        <v>44470.666666666664</v>
      </c>
      <c r="B675" s="19">
        <v>142.65</v>
      </c>
      <c r="C675" t="s">
        <v>38</v>
      </c>
      <c r="D675" t="str">
        <f>T_Stocks[[#This Row],[Ticker]] &amp; "-" &amp; DATE(YEAR(T_Stocks[[#This Row],[Fecha]]),MONTH(T_Stocks[[#This Row],[Fecha]]),DAY(T_Stocks[[#This Row],[Fecha]]))</f>
        <v>AAPL-44470</v>
      </c>
    </row>
    <row r="676" spans="1:4" ht="14.65" thickBot="1" x14ac:dyDescent="0.5">
      <c r="A676" s="17">
        <v>44473.666666666664</v>
      </c>
      <c r="B676" s="19">
        <v>139.13999999999999</v>
      </c>
      <c r="C676" t="s">
        <v>38</v>
      </c>
      <c r="D676" t="str">
        <f>T_Stocks[[#This Row],[Ticker]] &amp; "-" &amp; DATE(YEAR(T_Stocks[[#This Row],[Fecha]]),MONTH(T_Stocks[[#This Row],[Fecha]]),DAY(T_Stocks[[#This Row],[Fecha]]))</f>
        <v>AAPL-44473</v>
      </c>
    </row>
    <row r="677" spans="1:4" ht="14.65" thickBot="1" x14ac:dyDescent="0.5">
      <c r="A677" s="17">
        <v>44474.666666666664</v>
      </c>
      <c r="B677" s="19">
        <v>141.11000000000001</v>
      </c>
      <c r="C677" t="s">
        <v>38</v>
      </c>
      <c r="D677" t="str">
        <f>T_Stocks[[#This Row],[Ticker]] &amp; "-" &amp; DATE(YEAR(T_Stocks[[#This Row],[Fecha]]),MONTH(T_Stocks[[#This Row],[Fecha]]),DAY(T_Stocks[[#This Row],[Fecha]]))</f>
        <v>AAPL-44474</v>
      </c>
    </row>
    <row r="678" spans="1:4" ht="14.65" thickBot="1" x14ac:dyDescent="0.5">
      <c r="A678" s="17">
        <v>44475.666666666664</v>
      </c>
      <c r="B678" s="19">
        <v>142</v>
      </c>
      <c r="C678" t="s">
        <v>38</v>
      </c>
      <c r="D678" t="str">
        <f>T_Stocks[[#This Row],[Ticker]] &amp; "-" &amp; DATE(YEAR(T_Stocks[[#This Row],[Fecha]]),MONTH(T_Stocks[[#This Row],[Fecha]]),DAY(T_Stocks[[#This Row],[Fecha]]))</f>
        <v>AAPL-44475</v>
      </c>
    </row>
    <row r="679" spans="1:4" ht="14.65" thickBot="1" x14ac:dyDescent="0.5">
      <c r="A679" s="17">
        <v>44476.666666666664</v>
      </c>
      <c r="B679" s="19">
        <v>143.29</v>
      </c>
      <c r="C679" t="s">
        <v>38</v>
      </c>
      <c r="D679" t="str">
        <f>T_Stocks[[#This Row],[Ticker]] &amp; "-" &amp; DATE(YEAR(T_Stocks[[#This Row],[Fecha]]),MONTH(T_Stocks[[#This Row],[Fecha]]),DAY(T_Stocks[[#This Row],[Fecha]]))</f>
        <v>AAPL-44476</v>
      </c>
    </row>
    <row r="680" spans="1:4" ht="14.65" thickBot="1" x14ac:dyDescent="0.5">
      <c r="A680" s="17">
        <v>44477.666666666664</v>
      </c>
      <c r="B680" s="19">
        <v>142.9</v>
      </c>
      <c r="C680" t="s">
        <v>38</v>
      </c>
      <c r="D680" t="str">
        <f>T_Stocks[[#This Row],[Ticker]] &amp; "-" &amp; DATE(YEAR(T_Stocks[[#This Row],[Fecha]]),MONTH(T_Stocks[[#This Row],[Fecha]]),DAY(T_Stocks[[#This Row],[Fecha]]))</f>
        <v>AAPL-44477</v>
      </c>
    </row>
    <row r="681" spans="1:4" ht="14.65" thickBot="1" x14ac:dyDescent="0.5">
      <c r="A681" s="17">
        <v>44480.666666666664</v>
      </c>
      <c r="B681" s="19">
        <v>142.81</v>
      </c>
      <c r="C681" t="s">
        <v>38</v>
      </c>
      <c r="D681" t="str">
        <f>T_Stocks[[#This Row],[Ticker]] &amp; "-" &amp; DATE(YEAR(T_Stocks[[#This Row],[Fecha]]),MONTH(T_Stocks[[#This Row],[Fecha]]),DAY(T_Stocks[[#This Row],[Fecha]]))</f>
        <v>AAPL-44480</v>
      </c>
    </row>
    <row r="682" spans="1:4" ht="14.65" thickBot="1" x14ac:dyDescent="0.5">
      <c r="A682" s="17">
        <v>44481.666666666664</v>
      </c>
      <c r="B682" s="19">
        <v>141.51</v>
      </c>
      <c r="C682" t="s">
        <v>38</v>
      </c>
      <c r="D682" t="str">
        <f>T_Stocks[[#This Row],[Ticker]] &amp; "-" &amp; DATE(YEAR(T_Stocks[[#This Row],[Fecha]]),MONTH(T_Stocks[[#This Row],[Fecha]]),DAY(T_Stocks[[#This Row],[Fecha]]))</f>
        <v>AAPL-44481</v>
      </c>
    </row>
    <row r="683" spans="1:4" ht="14.65" thickBot="1" x14ac:dyDescent="0.5">
      <c r="A683" s="17">
        <v>44482.666666666664</v>
      </c>
      <c r="B683" s="19">
        <v>140.91</v>
      </c>
      <c r="C683" t="s">
        <v>38</v>
      </c>
      <c r="D683" t="str">
        <f>T_Stocks[[#This Row],[Ticker]] &amp; "-" &amp; DATE(YEAR(T_Stocks[[#This Row],[Fecha]]),MONTH(T_Stocks[[#This Row],[Fecha]]),DAY(T_Stocks[[#This Row],[Fecha]]))</f>
        <v>AAPL-44482</v>
      </c>
    </row>
    <row r="684" spans="1:4" ht="14.65" thickBot="1" x14ac:dyDescent="0.5">
      <c r="A684" s="17">
        <v>44483.666666666664</v>
      </c>
      <c r="B684" s="19">
        <v>143.76</v>
      </c>
      <c r="C684" t="s">
        <v>38</v>
      </c>
      <c r="D684" t="str">
        <f>T_Stocks[[#This Row],[Ticker]] &amp; "-" &amp; DATE(YEAR(T_Stocks[[#This Row],[Fecha]]),MONTH(T_Stocks[[#This Row],[Fecha]]),DAY(T_Stocks[[#This Row],[Fecha]]))</f>
        <v>AAPL-44483</v>
      </c>
    </row>
    <row r="685" spans="1:4" ht="14.65" thickBot="1" x14ac:dyDescent="0.5">
      <c r="A685" s="17">
        <v>44484.666666666664</v>
      </c>
      <c r="B685" s="19">
        <v>144.84</v>
      </c>
      <c r="C685" t="s">
        <v>38</v>
      </c>
      <c r="D685" t="str">
        <f>T_Stocks[[#This Row],[Ticker]] &amp; "-" &amp; DATE(YEAR(T_Stocks[[#This Row],[Fecha]]),MONTH(T_Stocks[[#This Row],[Fecha]]),DAY(T_Stocks[[#This Row],[Fecha]]))</f>
        <v>AAPL-44484</v>
      </c>
    </row>
    <row r="686" spans="1:4" ht="14.65" thickBot="1" x14ac:dyDescent="0.5">
      <c r="A686" s="17">
        <v>44487.666666666664</v>
      </c>
      <c r="B686" s="19">
        <v>146.55000000000001</v>
      </c>
      <c r="C686" t="s">
        <v>38</v>
      </c>
      <c r="D686" t="str">
        <f>T_Stocks[[#This Row],[Ticker]] &amp; "-" &amp; DATE(YEAR(T_Stocks[[#This Row],[Fecha]]),MONTH(T_Stocks[[#This Row],[Fecha]]),DAY(T_Stocks[[#This Row],[Fecha]]))</f>
        <v>AAPL-44487</v>
      </c>
    </row>
    <row r="687" spans="1:4" ht="14.65" thickBot="1" x14ac:dyDescent="0.5">
      <c r="A687" s="17">
        <v>44488.666666666664</v>
      </c>
      <c r="B687" s="19">
        <v>148.76</v>
      </c>
      <c r="C687" t="s">
        <v>38</v>
      </c>
      <c r="D687" t="str">
        <f>T_Stocks[[#This Row],[Ticker]] &amp; "-" &amp; DATE(YEAR(T_Stocks[[#This Row],[Fecha]]),MONTH(T_Stocks[[#This Row],[Fecha]]),DAY(T_Stocks[[#This Row],[Fecha]]))</f>
        <v>AAPL-44488</v>
      </c>
    </row>
    <row r="688" spans="1:4" ht="14.65" thickBot="1" x14ac:dyDescent="0.5">
      <c r="A688" s="17">
        <v>44489.666666666664</v>
      </c>
      <c r="B688" s="19">
        <v>149.26</v>
      </c>
      <c r="C688" t="s">
        <v>38</v>
      </c>
      <c r="D688" t="str">
        <f>T_Stocks[[#This Row],[Ticker]] &amp; "-" &amp; DATE(YEAR(T_Stocks[[#This Row],[Fecha]]),MONTH(T_Stocks[[#This Row],[Fecha]]),DAY(T_Stocks[[#This Row],[Fecha]]))</f>
        <v>AAPL-44489</v>
      </c>
    </row>
    <row r="689" spans="1:4" ht="14.65" thickBot="1" x14ac:dyDescent="0.5">
      <c r="A689" s="17">
        <v>44490.666666666664</v>
      </c>
      <c r="B689" s="19">
        <v>149.47999999999999</v>
      </c>
      <c r="C689" t="s">
        <v>38</v>
      </c>
      <c r="D689" t="str">
        <f>T_Stocks[[#This Row],[Ticker]] &amp; "-" &amp; DATE(YEAR(T_Stocks[[#This Row],[Fecha]]),MONTH(T_Stocks[[#This Row],[Fecha]]),DAY(T_Stocks[[#This Row],[Fecha]]))</f>
        <v>AAPL-44490</v>
      </c>
    </row>
    <row r="690" spans="1:4" ht="14.65" thickBot="1" x14ac:dyDescent="0.5">
      <c r="A690" s="17">
        <v>44491.666666666664</v>
      </c>
      <c r="B690" s="19">
        <v>148.69</v>
      </c>
      <c r="C690" t="s">
        <v>38</v>
      </c>
      <c r="D690" t="str">
        <f>T_Stocks[[#This Row],[Ticker]] &amp; "-" &amp; DATE(YEAR(T_Stocks[[#This Row],[Fecha]]),MONTH(T_Stocks[[#This Row],[Fecha]]),DAY(T_Stocks[[#This Row],[Fecha]]))</f>
        <v>AAPL-44491</v>
      </c>
    </row>
    <row r="691" spans="1:4" ht="14.65" thickBot="1" x14ac:dyDescent="0.5">
      <c r="A691" s="17">
        <v>44494.666666666664</v>
      </c>
      <c r="B691" s="19">
        <v>148.63999999999999</v>
      </c>
      <c r="C691" t="s">
        <v>38</v>
      </c>
      <c r="D691" t="str">
        <f>T_Stocks[[#This Row],[Ticker]] &amp; "-" &amp; DATE(YEAR(T_Stocks[[#This Row],[Fecha]]),MONTH(T_Stocks[[#This Row],[Fecha]]),DAY(T_Stocks[[#This Row],[Fecha]]))</f>
        <v>AAPL-44494</v>
      </c>
    </row>
    <row r="692" spans="1:4" ht="14.65" thickBot="1" x14ac:dyDescent="0.5">
      <c r="A692" s="17">
        <v>44495.666666666664</v>
      </c>
      <c r="B692" s="19">
        <v>149.32</v>
      </c>
      <c r="C692" t="s">
        <v>38</v>
      </c>
      <c r="D692" t="str">
        <f>T_Stocks[[#This Row],[Ticker]] &amp; "-" &amp; DATE(YEAR(T_Stocks[[#This Row],[Fecha]]),MONTH(T_Stocks[[#This Row],[Fecha]]),DAY(T_Stocks[[#This Row],[Fecha]]))</f>
        <v>AAPL-44495</v>
      </c>
    </row>
    <row r="693" spans="1:4" ht="14.65" thickBot="1" x14ac:dyDescent="0.5">
      <c r="A693" s="17">
        <v>44496.666666666664</v>
      </c>
      <c r="B693" s="19">
        <v>148.85</v>
      </c>
      <c r="C693" t="s">
        <v>38</v>
      </c>
      <c r="D693" t="str">
        <f>T_Stocks[[#This Row],[Ticker]] &amp; "-" &amp; DATE(YEAR(T_Stocks[[#This Row],[Fecha]]),MONTH(T_Stocks[[#This Row],[Fecha]]),DAY(T_Stocks[[#This Row],[Fecha]]))</f>
        <v>AAPL-44496</v>
      </c>
    </row>
    <row r="694" spans="1:4" ht="14.65" thickBot="1" x14ac:dyDescent="0.5">
      <c r="A694" s="17">
        <v>44497.666666666664</v>
      </c>
      <c r="B694" s="19">
        <v>152.57</v>
      </c>
      <c r="C694" t="s">
        <v>38</v>
      </c>
      <c r="D694" t="str">
        <f>T_Stocks[[#This Row],[Ticker]] &amp; "-" &amp; DATE(YEAR(T_Stocks[[#This Row],[Fecha]]),MONTH(T_Stocks[[#This Row],[Fecha]]),DAY(T_Stocks[[#This Row],[Fecha]]))</f>
        <v>AAPL-44497</v>
      </c>
    </row>
    <row r="695" spans="1:4" ht="14.65" thickBot="1" x14ac:dyDescent="0.5">
      <c r="A695" s="17">
        <v>44498.666666666664</v>
      </c>
      <c r="B695" s="19">
        <v>149.80000000000001</v>
      </c>
      <c r="C695" t="s">
        <v>38</v>
      </c>
      <c r="D695" t="str">
        <f>T_Stocks[[#This Row],[Ticker]] &amp; "-" &amp; DATE(YEAR(T_Stocks[[#This Row],[Fecha]]),MONTH(T_Stocks[[#This Row],[Fecha]]),DAY(T_Stocks[[#This Row],[Fecha]]))</f>
        <v>AAPL-44498</v>
      </c>
    </row>
    <row r="696" spans="1:4" ht="14.65" thickBot="1" x14ac:dyDescent="0.5">
      <c r="A696" s="17">
        <v>44501.666666666664</v>
      </c>
      <c r="B696" s="19">
        <v>148.96</v>
      </c>
      <c r="C696" t="s">
        <v>38</v>
      </c>
      <c r="D696" t="str">
        <f>T_Stocks[[#This Row],[Ticker]] &amp; "-" &amp; DATE(YEAR(T_Stocks[[#This Row],[Fecha]]),MONTH(T_Stocks[[#This Row],[Fecha]]),DAY(T_Stocks[[#This Row],[Fecha]]))</f>
        <v>AAPL-44501</v>
      </c>
    </row>
    <row r="697" spans="1:4" ht="14.65" thickBot="1" x14ac:dyDescent="0.5">
      <c r="A697" s="17">
        <v>44502.666666666664</v>
      </c>
      <c r="B697" s="19">
        <v>150.02000000000001</v>
      </c>
      <c r="C697" t="s">
        <v>38</v>
      </c>
      <c r="D697" t="str">
        <f>T_Stocks[[#This Row],[Ticker]] &amp; "-" &amp; DATE(YEAR(T_Stocks[[#This Row],[Fecha]]),MONTH(T_Stocks[[#This Row],[Fecha]]),DAY(T_Stocks[[#This Row],[Fecha]]))</f>
        <v>AAPL-44502</v>
      </c>
    </row>
    <row r="698" spans="1:4" ht="14.65" thickBot="1" x14ac:dyDescent="0.5">
      <c r="A698" s="17">
        <v>44503.666666666664</v>
      </c>
      <c r="B698" s="19">
        <v>151.49</v>
      </c>
      <c r="C698" t="s">
        <v>38</v>
      </c>
      <c r="D698" t="str">
        <f>T_Stocks[[#This Row],[Ticker]] &amp; "-" &amp; DATE(YEAR(T_Stocks[[#This Row],[Fecha]]),MONTH(T_Stocks[[#This Row],[Fecha]]),DAY(T_Stocks[[#This Row],[Fecha]]))</f>
        <v>AAPL-44503</v>
      </c>
    </row>
    <row r="699" spans="1:4" ht="14.65" thickBot="1" x14ac:dyDescent="0.5">
      <c r="A699" s="17">
        <v>44504.666666666664</v>
      </c>
      <c r="B699" s="19">
        <v>150.96</v>
      </c>
      <c r="C699" t="s">
        <v>38</v>
      </c>
      <c r="D699" t="str">
        <f>T_Stocks[[#This Row],[Ticker]] &amp; "-" &amp; DATE(YEAR(T_Stocks[[#This Row],[Fecha]]),MONTH(T_Stocks[[#This Row],[Fecha]]),DAY(T_Stocks[[#This Row],[Fecha]]))</f>
        <v>AAPL-44504</v>
      </c>
    </row>
    <row r="700" spans="1:4" ht="14.65" thickBot="1" x14ac:dyDescent="0.5">
      <c r="A700" s="17">
        <v>44505.666666666664</v>
      </c>
      <c r="B700" s="19">
        <v>151.28</v>
      </c>
      <c r="C700" t="s">
        <v>38</v>
      </c>
      <c r="D700" t="str">
        <f>T_Stocks[[#This Row],[Ticker]] &amp; "-" &amp; DATE(YEAR(T_Stocks[[#This Row],[Fecha]]),MONTH(T_Stocks[[#This Row],[Fecha]]),DAY(T_Stocks[[#This Row],[Fecha]]))</f>
        <v>AAPL-44505</v>
      </c>
    </row>
    <row r="701" spans="1:4" ht="14.65" thickBot="1" x14ac:dyDescent="0.5">
      <c r="A701" s="17">
        <v>44508.666666666664</v>
      </c>
      <c r="B701" s="19">
        <v>150.44</v>
      </c>
      <c r="C701" t="s">
        <v>38</v>
      </c>
      <c r="D701" t="str">
        <f>T_Stocks[[#This Row],[Ticker]] &amp; "-" &amp; DATE(YEAR(T_Stocks[[#This Row],[Fecha]]),MONTH(T_Stocks[[#This Row],[Fecha]]),DAY(T_Stocks[[#This Row],[Fecha]]))</f>
        <v>AAPL-44508</v>
      </c>
    </row>
    <row r="702" spans="1:4" ht="14.65" thickBot="1" x14ac:dyDescent="0.5">
      <c r="A702" s="17">
        <v>44509.666666666664</v>
      </c>
      <c r="B702" s="19">
        <v>150.81</v>
      </c>
      <c r="C702" t="s">
        <v>38</v>
      </c>
      <c r="D702" t="str">
        <f>T_Stocks[[#This Row],[Ticker]] &amp; "-" &amp; DATE(YEAR(T_Stocks[[#This Row],[Fecha]]),MONTH(T_Stocks[[#This Row],[Fecha]]),DAY(T_Stocks[[#This Row],[Fecha]]))</f>
        <v>AAPL-44509</v>
      </c>
    </row>
    <row r="703" spans="1:4" ht="14.65" thickBot="1" x14ac:dyDescent="0.5">
      <c r="A703" s="17">
        <v>44510.666666666664</v>
      </c>
      <c r="B703" s="19">
        <v>147.91999999999999</v>
      </c>
      <c r="C703" t="s">
        <v>38</v>
      </c>
      <c r="D703" t="str">
        <f>T_Stocks[[#This Row],[Ticker]] &amp; "-" &amp; DATE(YEAR(T_Stocks[[#This Row],[Fecha]]),MONTH(T_Stocks[[#This Row],[Fecha]]),DAY(T_Stocks[[#This Row],[Fecha]]))</f>
        <v>AAPL-44510</v>
      </c>
    </row>
    <row r="704" spans="1:4" ht="14.65" thickBot="1" x14ac:dyDescent="0.5">
      <c r="A704" s="17">
        <v>44511.666666666664</v>
      </c>
      <c r="B704" s="19">
        <v>147.87</v>
      </c>
      <c r="C704" t="s">
        <v>38</v>
      </c>
      <c r="D704" t="str">
        <f>T_Stocks[[#This Row],[Ticker]] &amp; "-" &amp; DATE(YEAR(T_Stocks[[#This Row],[Fecha]]),MONTH(T_Stocks[[#This Row],[Fecha]]),DAY(T_Stocks[[#This Row],[Fecha]]))</f>
        <v>AAPL-44511</v>
      </c>
    </row>
    <row r="705" spans="1:4" ht="14.65" thickBot="1" x14ac:dyDescent="0.5">
      <c r="A705" s="17">
        <v>44512.666666666664</v>
      </c>
      <c r="B705" s="19">
        <v>149.99</v>
      </c>
      <c r="C705" t="s">
        <v>38</v>
      </c>
      <c r="D705" t="str">
        <f>T_Stocks[[#This Row],[Ticker]] &amp; "-" &amp; DATE(YEAR(T_Stocks[[#This Row],[Fecha]]),MONTH(T_Stocks[[#This Row],[Fecha]]),DAY(T_Stocks[[#This Row],[Fecha]]))</f>
        <v>AAPL-44512</v>
      </c>
    </row>
    <row r="706" spans="1:4" ht="14.65" thickBot="1" x14ac:dyDescent="0.5">
      <c r="A706" s="17">
        <v>44515.666666666664</v>
      </c>
      <c r="B706" s="19">
        <v>150</v>
      </c>
      <c r="C706" t="s">
        <v>38</v>
      </c>
      <c r="D706" t="str">
        <f>T_Stocks[[#This Row],[Ticker]] &amp; "-" &amp; DATE(YEAR(T_Stocks[[#This Row],[Fecha]]),MONTH(T_Stocks[[#This Row],[Fecha]]),DAY(T_Stocks[[#This Row],[Fecha]]))</f>
        <v>AAPL-44515</v>
      </c>
    </row>
    <row r="707" spans="1:4" ht="14.65" thickBot="1" x14ac:dyDescent="0.5">
      <c r="A707" s="17">
        <v>44516.666666666664</v>
      </c>
      <c r="B707" s="19">
        <v>151</v>
      </c>
      <c r="C707" t="s">
        <v>38</v>
      </c>
      <c r="D707" t="str">
        <f>T_Stocks[[#This Row],[Ticker]] &amp; "-" &amp; DATE(YEAR(T_Stocks[[#This Row],[Fecha]]),MONTH(T_Stocks[[#This Row],[Fecha]]),DAY(T_Stocks[[#This Row],[Fecha]]))</f>
        <v>AAPL-44516</v>
      </c>
    </row>
    <row r="708" spans="1:4" ht="14.65" thickBot="1" x14ac:dyDescent="0.5">
      <c r="A708" s="17">
        <v>44517.666666666664</v>
      </c>
      <c r="B708" s="19">
        <v>153.49</v>
      </c>
      <c r="C708" t="s">
        <v>38</v>
      </c>
      <c r="D708" t="str">
        <f>T_Stocks[[#This Row],[Ticker]] &amp; "-" &amp; DATE(YEAR(T_Stocks[[#This Row],[Fecha]]),MONTH(T_Stocks[[#This Row],[Fecha]]),DAY(T_Stocks[[#This Row],[Fecha]]))</f>
        <v>AAPL-44517</v>
      </c>
    </row>
    <row r="709" spans="1:4" ht="14.65" thickBot="1" x14ac:dyDescent="0.5">
      <c r="A709" s="17">
        <v>44518.666666666664</v>
      </c>
      <c r="B709" s="19">
        <v>157.87</v>
      </c>
      <c r="C709" t="s">
        <v>38</v>
      </c>
      <c r="D709" t="str">
        <f>T_Stocks[[#This Row],[Ticker]] &amp; "-" &amp; DATE(YEAR(T_Stocks[[#This Row],[Fecha]]),MONTH(T_Stocks[[#This Row],[Fecha]]),DAY(T_Stocks[[#This Row],[Fecha]]))</f>
        <v>AAPL-44518</v>
      </c>
    </row>
    <row r="710" spans="1:4" ht="14.65" thickBot="1" x14ac:dyDescent="0.5">
      <c r="A710" s="17">
        <v>44519.666666666664</v>
      </c>
      <c r="B710" s="19">
        <v>160.55000000000001</v>
      </c>
      <c r="C710" t="s">
        <v>38</v>
      </c>
      <c r="D710" t="str">
        <f>T_Stocks[[#This Row],[Ticker]] &amp; "-" &amp; DATE(YEAR(T_Stocks[[#This Row],[Fecha]]),MONTH(T_Stocks[[#This Row],[Fecha]]),DAY(T_Stocks[[#This Row],[Fecha]]))</f>
        <v>AAPL-44519</v>
      </c>
    </row>
    <row r="711" spans="1:4" ht="14.65" thickBot="1" x14ac:dyDescent="0.5">
      <c r="A711" s="17">
        <v>44522.666666666664</v>
      </c>
      <c r="B711" s="19">
        <v>161.02000000000001</v>
      </c>
      <c r="C711" t="s">
        <v>38</v>
      </c>
      <c r="D711" t="str">
        <f>T_Stocks[[#This Row],[Ticker]] &amp; "-" &amp; DATE(YEAR(T_Stocks[[#This Row],[Fecha]]),MONTH(T_Stocks[[#This Row],[Fecha]]),DAY(T_Stocks[[#This Row],[Fecha]]))</f>
        <v>AAPL-44522</v>
      </c>
    </row>
    <row r="712" spans="1:4" ht="14.65" thickBot="1" x14ac:dyDescent="0.5">
      <c r="A712" s="17">
        <v>44523.666666666664</v>
      </c>
      <c r="B712" s="19">
        <v>161.41</v>
      </c>
      <c r="C712" t="s">
        <v>38</v>
      </c>
      <c r="D712" t="str">
        <f>T_Stocks[[#This Row],[Ticker]] &amp; "-" &amp; DATE(YEAR(T_Stocks[[#This Row],[Fecha]]),MONTH(T_Stocks[[#This Row],[Fecha]]),DAY(T_Stocks[[#This Row],[Fecha]]))</f>
        <v>AAPL-44523</v>
      </c>
    </row>
    <row r="713" spans="1:4" ht="14.65" thickBot="1" x14ac:dyDescent="0.5">
      <c r="A713" s="17">
        <v>44524.666666666664</v>
      </c>
      <c r="B713" s="19">
        <v>161.94</v>
      </c>
      <c r="C713" t="s">
        <v>38</v>
      </c>
      <c r="D713" t="str">
        <f>T_Stocks[[#This Row],[Ticker]] &amp; "-" &amp; DATE(YEAR(T_Stocks[[#This Row],[Fecha]]),MONTH(T_Stocks[[#This Row],[Fecha]]),DAY(T_Stocks[[#This Row],[Fecha]]))</f>
        <v>AAPL-44524</v>
      </c>
    </row>
    <row r="714" spans="1:4" ht="14.65" thickBot="1" x14ac:dyDescent="0.5">
      <c r="A714" s="17">
        <v>44526.541666666664</v>
      </c>
      <c r="B714" s="19">
        <v>156.81</v>
      </c>
      <c r="C714" t="s">
        <v>38</v>
      </c>
      <c r="D714" t="str">
        <f>T_Stocks[[#This Row],[Ticker]] &amp; "-" &amp; DATE(YEAR(T_Stocks[[#This Row],[Fecha]]),MONTH(T_Stocks[[#This Row],[Fecha]]),DAY(T_Stocks[[#This Row],[Fecha]]))</f>
        <v>AAPL-44526</v>
      </c>
    </row>
    <row r="715" spans="1:4" ht="14.65" thickBot="1" x14ac:dyDescent="0.5">
      <c r="A715" s="17">
        <v>44529.666666666664</v>
      </c>
      <c r="B715" s="19">
        <v>160.24</v>
      </c>
      <c r="C715" t="s">
        <v>38</v>
      </c>
      <c r="D715" t="str">
        <f>T_Stocks[[#This Row],[Ticker]] &amp; "-" &amp; DATE(YEAR(T_Stocks[[#This Row],[Fecha]]),MONTH(T_Stocks[[#This Row],[Fecha]]),DAY(T_Stocks[[#This Row],[Fecha]]))</f>
        <v>AAPL-44529</v>
      </c>
    </row>
    <row r="716" spans="1:4" ht="14.65" thickBot="1" x14ac:dyDescent="0.5">
      <c r="A716" s="17">
        <v>44530.666666666664</v>
      </c>
      <c r="B716" s="19">
        <v>165.3</v>
      </c>
      <c r="C716" t="s">
        <v>38</v>
      </c>
      <c r="D716" t="str">
        <f>T_Stocks[[#This Row],[Ticker]] &amp; "-" &amp; DATE(YEAR(T_Stocks[[#This Row],[Fecha]]),MONTH(T_Stocks[[#This Row],[Fecha]]),DAY(T_Stocks[[#This Row],[Fecha]]))</f>
        <v>AAPL-44530</v>
      </c>
    </row>
    <row r="717" spans="1:4" ht="14.65" thickBot="1" x14ac:dyDescent="0.5">
      <c r="A717" s="17">
        <v>44531.666666666664</v>
      </c>
      <c r="B717" s="19">
        <v>164.77</v>
      </c>
      <c r="C717" t="s">
        <v>38</v>
      </c>
      <c r="D717" t="str">
        <f>T_Stocks[[#This Row],[Ticker]] &amp; "-" &amp; DATE(YEAR(T_Stocks[[#This Row],[Fecha]]),MONTH(T_Stocks[[#This Row],[Fecha]]),DAY(T_Stocks[[#This Row],[Fecha]]))</f>
        <v>AAPL-44531</v>
      </c>
    </row>
    <row r="718" spans="1:4" ht="14.65" thickBot="1" x14ac:dyDescent="0.5">
      <c r="A718" s="17">
        <v>44532.666666666664</v>
      </c>
      <c r="B718" s="19">
        <v>163.76</v>
      </c>
      <c r="C718" t="s">
        <v>38</v>
      </c>
      <c r="D718" t="str">
        <f>T_Stocks[[#This Row],[Ticker]] &amp; "-" &amp; DATE(YEAR(T_Stocks[[#This Row],[Fecha]]),MONTH(T_Stocks[[#This Row],[Fecha]]),DAY(T_Stocks[[#This Row],[Fecha]]))</f>
        <v>AAPL-44532</v>
      </c>
    </row>
    <row r="719" spans="1:4" ht="14.65" thickBot="1" x14ac:dyDescent="0.5">
      <c r="A719" s="17">
        <v>44533.666666666664</v>
      </c>
      <c r="B719" s="19">
        <v>161.84</v>
      </c>
      <c r="C719" t="s">
        <v>38</v>
      </c>
      <c r="D719" t="str">
        <f>T_Stocks[[#This Row],[Ticker]] &amp; "-" &amp; DATE(YEAR(T_Stocks[[#This Row],[Fecha]]),MONTH(T_Stocks[[#This Row],[Fecha]]),DAY(T_Stocks[[#This Row],[Fecha]]))</f>
        <v>AAPL-44533</v>
      </c>
    </row>
    <row r="720" spans="1:4" ht="14.65" thickBot="1" x14ac:dyDescent="0.5">
      <c r="A720" s="17">
        <v>44536.666666666664</v>
      </c>
      <c r="B720" s="19">
        <v>165.32</v>
      </c>
      <c r="C720" t="s">
        <v>38</v>
      </c>
      <c r="D720" t="str">
        <f>T_Stocks[[#This Row],[Ticker]] &amp; "-" &amp; DATE(YEAR(T_Stocks[[#This Row],[Fecha]]),MONTH(T_Stocks[[#This Row],[Fecha]]),DAY(T_Stocks[[#This Row],[Fecha]]))</f>
        <v>AAPL-44536</v>
      </c>
    </row>
    <row r="721" spans="1:4" ht="14.65" thickBot="1" x14ac:dyDescent="0.5">
      <c r="A721" s="17">
        <v>44537.666666666664</v>
      </c>
      <c r="B721" s="19">
        <v>171.18</v>
      </c>
      <c r="C721" t="s">
        <v>38</v>
      </c>
      <c r="D721" t="str">
        <f>T_Stocks[[#This Row],[Ticker]] &amp; "-" &amp; DATE(YEAR(T_Stocks[[#This Row],[Fecha]]),MONTH(T_Stocks[[#This Row],[Fecha]]),DAY(T_Stocks[[#This Row],[Fecha]]))</f>
        <v>AAPL-44537</v>
      </c>
    </row>
    <row r="722" spans="1:4" ht="14.65" thickBot="1" x14ac:dyDescent="0.5">
      <c r="A722" s="17">
        <v>44538.666666666664</v>
      </c>
      <c r="B722" s="19">
        <v>175.08</v>
      </c>
      <c r="C722" t="s">
        <v>38</v>
      </c>
      <c r="D722" t="str">
        <f>T_Stocks[[#This Row],[Ticker]] &amp; "-" &amp; DATE(YEAR(T_Stocks[[#This Row],[Fecha]]),MONTH(T_Stocks[[#This Row],[Fecha]]),DAY(T_Stocks[[#This Row],[Fecha]]))</f>
        <v>AAPL-44538</v>
      </c>
    </row>
    <row r="723" spans="1:4" ht="14.65" thickBot="1" x14ac:dyDescent="0.5">
      <c r="A723" s="17">
        <v>44539.666666666664</v>
      </c>
      <c r="B723" s="19">
        <v>174.56</v>
      </c>
      <c r="C723" t="s">
        <v>38</v>
      </c>
      <c r="D723" t="str">
        <f>T_Stocks[[#This Row],[Ticker]] &amp; "-" &amp; DATE(YEAR(T_Stocks[[#This Row],[Fecha]]),MONTH(T_Stocks[[#This Row],[Fecha]]),DAY(T_Stocks[[#This Row],[Fecha]]))</f>
        <v>AAPL-44539</v>
      </c>
    </row>
    <row r="724" spans="1:4" ht="14.65" thickBot="1" x14ac:dyDescent="0.5">
      <c r="A724" s="17">
        <v>44540.666666666664</v>
      </c>
      <c r="B724" s="19">
        <v>179.45</v>
      </c>
      <c r="C724" t="s">
        <v>38</v>
      </c>
      <c r="D724" t="str">
        <f>T_Stocks[[#This Row],[Ticker]] &amp; "-" &amp; DATE(YEAR(T_Stocks[[#This Row],[Fecha]]),MONTH(T_Stocks[[#This Row],[Fecha]]),DAY(T_Stocks[[#This Row],[Fecha]]))</f>
        <v>AAPL-44540</v>
      </c>
    </row>
    <row r="725" spans="1:4" ht="14.65" thickBot="1" x14ac:dyDescent="0.5">
      <c r="A725" s="17">
        <v>44543.666666666664</v>
      </c>
      <c r="B725" s="19">
        <v>175.74</v>
      </c>
      <c r="C725" t="s">
        <v>38</v>
      </c>
      <c r="D725" t="str">
        <f>T_Stocks[[#This Row],[Ticker]] &amp; "-" &amp; DATE(YEAR(T_Stocks[[#This Row],[Fecha]]),MONTH(T_Stocks[[#This Row],[Fecha]]),DAY(T_Stocks[[#This Row],[Fecha]]))</f>
        <v>AAPL-44543</v>
      </c>
    </row>
    <row r="726" spans="1:4" ht="14.65" thickBot="1" x14ac:dyDescent="0.5">
      <c r="A726" s="17">
        <v>44544.666666666664</v>
      </c>
      <c r="B726" s="19">
        <v>174.33</v>
      </c>
      <c r="C726" t="s">
        <v>38</v>
      </c>
      <c r="D726" t="str">
        <f>T_Stocks[[#This Row],[Ticker]] &amp; "-" &amp; DATE(YEAR(T_Stocks[[#This Row],[Fecha]]),MONTH(T_Stocks[[#This Row],[Fecha]]),DAY(T_Stocks[[#This Row],[Fecha]]))</f>
        <v>AAPL-44544</v>
      </c>
    </row>
    <row r="727" spans="1:4" ht="14.65" thickBot="1" x14ac:dyDescent="0.5">
      <c r="A727" s="17">
        <v>44545.666666666664</v>
      </c>
      <c r="B727" s="19">
        <v>179.3</v>
      </c>
      <c r="C727" t="s">
        <v>38</v>
      </c>
      <c r="D727" t="str">
        <f>T_Stocks[[#This Row],[Ticker]] &amp; "-" &amp; DATE(YEAR(T_Stocks[[#This Row],[Fecha]]),MONTH(T_Stocks[[#This Row],[Fecha]]),DAY(T_Stocks[[#This Row],[Fecha]]))</f>
        <v>AAPL-44545</v>
      </c>
    </row>
    <row r="728" spans="1:4" ht="14.65" thickBot="1" x14ac:dyDescent="0.5">
      <c r="A728" s="17">
        <v>44546.666666666664</v>
      </c>
      <c r="B728" s="19">
        <v>172.26</v>
      </c>
      <c r="C728" t="s">
        <v>38</v>
      </c>
      <c r="D728" t="str">
        <f>T_Stocks[[#This Row],[Ticker]] &amp; "-" &amp; DATE(YEAR(T_Stocks[[#This Row],[Fecha]]),MONTH(T_Stocks[[#This Row],[Fecha]]),DAY(T_Stocks[[#This Row],[Fecha]]))</f>
        <v>AAPL-44546</v>
      </c>
    </row>
    <row r="729" spans="1:4" ht="14.65" thickBot="1" x14ac:dyDescent="0.5">
      <c r="A729" s="17">
        <v>44547.666666666664</v>
      </c>
      <c r="B729" s="19">
        <v>171.14</v>
      </c>
      <c r="C729" t="s">
        <v>38</v>
      </c>
      <c r="D729" t="str">
        <f>T_Stocks[[#This Row],[Ticker]] &amp; "-" &amp; DATE(YEAR(T_Stocks[[#This Row],[Fecha]]),MONTH(T_Stocks[[#This Row],[Fecha]]),DAY(T_Stocks[[#This Row],[Fecha]]))</f>
        <v>AAPL-44547</v>
      </c>
    </row>
    <row r="730" spans="1:4" ht="14.65" thickBot="1" x14ac:dyDescent="0.5">
      <c r="A730" s="17">
        <v>44550.666666666664</v>
      </c>
      <c r="B730" s="19">
        <v>169.75</v>
      </c>
      <c r="C730" t="s">
        <v>38</v>
      </c>
      <c r="D730" t="str">
        <f>T_Stocks[[#This Row],[Ticker]] &amp; "-" &amp; DATE(YEAR(T_Stocks[[#This Row],[Fecha]]),MONTH(T_Stocks[[#This Row],[Fecha]]),DAY(T_Stocks[[#This Row],[Fecha]]))</f>
        <v>AAPL-44550</v>
      </c>
    </row>
    <row r="731" spans="1:4" ht="14.65" thickBot="1" x14ac:dyDescent="0.5">
      <c r="A731" s="17">
        <v>44551.666666666664</v>
      </c>
      <c r="B731" s="19">
        <v>172.99</v>
      </c>
      <c r="C731" t="s">
        <v>38</v>
      </c>
      <c r="D731" t="str">
        <f>T_Stocks[[#This Row],[Ticker]] &amp; "-" &amp; DATE(YEAR(T_Stocks[[#This Row],[Fecha]]),MONTH(T_Stocks[[#This Row],[Fecha]]),DAY(T_Stocks[[#This Row],[Fecha]]))</f>
        <v>AAPL-44551</v>
      </c>
    </row>
    <row r="732" spans="1:4" ht="14.65" thickBot="1" x14ac:dyDescent="0.5">
      <c r="A732" s="17">
        <v>44552.666666666664</v>
      </c>
      <c r="B732" s="19">
        <v>175.64</v>
      </c>
      <c r="C732" t="s">
        <v>38</v>
      </c>
      <c r="D732" t="str">
        <f>T_Stocks[[#This Row],[Ticker]] &amp; "-" &amp; DATE(YEAR(T_Stocks[[#This Row],[Fecha]]),MONTH(T_Stocks[[#This Row],[Fecha]]),DAY(T_Stocks[[#This Row],[Fecha]]))</f>
        <v>AAPL-44552</v>
      </c>
    </row>
    <row r="733" spans="1:4" ht="14.65" thickBot="1" x14ac:dyDescent="0.5">
      <c r="A733" s="17">
        <v>44553.666666666664</v>
      </c>
      <c r="B733" s="19">
        <v>176.28</v>
      </c>
      <c r="C733" t="s">
        <v>38</v>
      </c>
      <c r="D733" t="str">
        <f>T_Stocks[[#This Row],[Ticker]] &amp; "-" &amp; DATE(YEAR(T_Stocks[[#This Row],[Fecha]]),MONTH(T_Stocks[[#This Row],[Fecha]]),DAY(T_Stocks[[#This Row],[Fecha]]))</f>
        <v>AAPL-44553</v>
      </c>
    </row>
    <row r="734" spans="1:4" ht="14.65" thickBot="1" x14ac:dyDescent="0.5">
      <c r="A734" s="17">
        <v>44557.666666666664</v>
      </c>
      <c r="B734" s="19">
        <v>180.33</v>
      </c>
      <c r="C734" t="s">
        <v>38</v>
      </c>
      <c r="D734" t="str">
        <f>T_Stocks[[#This Row],[Ticker]] &amp; "-" &amp; DATE(YEAR(T_Stocks[[#This Row],[Fecha]]),MONTH(T_Stocks[[#This Row],[Fecha]]),DAY(T_Stocks[[#This Row],[Fecha]]))</f>
        <v>AAPL-44557</v>
      </c>
    </row>
    <row r="735" spans="1:4" ht="14.65" thickBot="1" x14ac:dyDescent="0.5">
      <c r="A735" s="17">
        <v>44558.666666666664</v>
      </c>
      <c r="B735" s="19">
        <v>179.29</v>
      </c>
      <c r="C735" t="s">
        <v>38</v>
      </c>
      <c r="D735" t="str">
        <f>T_Stocks[[#This Row],[Ticker]] &amp; "-" &amp; DATE(YEAR(T_Stocks[[#This Row],[Fecha]]),MONTH(T_Stocks[[#This Row],[Fecha]]),DAY(T_Stocks[[#This Row],[Fecha]]))</f>
        <v>AAPL-44558</v>
      </c>
    </row>
    <row r="736" spans="1:4" ht="14.65" thickBot="1" x14ac:dyDescent="0.5">
      <c r="A736" s="17">
        <v>44559.666666666664</v>
      </c>
      <c r="B736" s="19">
        <v>179.38</v>
      </c>
      <c r="C736" t="s">
        <v>38</v>
      </c>
      <c r="D736" t="str">
        <f>T_Stocks[[#This Row],[Ticker]] &amp; "-" &amp; DATE(YEAR(T_Stocks[[#This Row],[Fecha]]),MONTH(T_Stocks[[#This Row],[Fecha]]),DAY(T_Stocks[[#This Row],[Fecha]]))</f>
        <v>AAPL-44559</v>
      </c>
    </row>
    <row r="737" spans="1:4" ht="14.65" thickBot="1" x14ac:dyDescent="0.5">
      <c r="A737" s="17">
        <v>44560.666666666664</v>
      </c>
      <c r="B737" s="19">
        <v>178.2</v>
      </c>
      <c r="C737" t="s">
        <v>38</v>
      </c>
      <c r="D737" t="str">
        <f>T_Stocks[[#This Row],[Ticker]] &amp; "-" &amp; DATE(YEAR(T_Stocks[[#This Row],[Fecha]]),MONTH(T_Stocks[[#This Row],[Fecha]]),DAY(T_Stocks[[#This Row],[Fecha]]))</f>
        <v>AAPL-44560</v>
      </c>
    </row>
    <row r="738" spans="1:4" ht="14.65" thickBot="1" x14ac:dyDescent="0.5">
      <c r="A738" s="17">
        <v>44561.666666666664</v>
      </c>
      <c r="B738" s="19">
        <v>177.57</v>
      </c>
      <c r="C738" t="s">
        <v>38</v>
      </c>
      <c r="D738" t="str">
        <f>T_Stocks[[#This Row],[Ticker]] &amp; "-" &amp; DATE(YEAR(T_Stocks[[#This Row],[Fecha]]),MONTH(T_Stocks[[#This Row],[Fecha]]),DAY(T_Stocks[[#This Row],[Fecha]]))</f>
        <v>AAPL-44561</v>
      </c>
    </row>
    <row r="739" spans="1:4" ht="14.65" thickBot="1" x14ac:dyDescent="0.5">
      <c r="A739" s="17">
        <v>44564.666666666664</v>
      </c>
      <c r="B739" s="19">
        <v>182.01</v>
      </c>
      <c r="C739" t="s">
        <v>38</v>
      </c>
      <c r="D739" t="str">
        <f>T_Stocks[[#This Row],[Ticker]] &amp; "-" &amp; DATE(YEAR(T_Stocks[[#This Row],[Fecha]]),MONTH(T_Stocks[[#This Row],[Fecha]]),DAY(T_Stocks[[#This Row],[Fecha]]))</f>
        <v>AAPL-44564</v>
      </c>
    </row>
    <row r="740" spans="1:4" ht="14.65" thickBot="1" x14ac:dyDescent="0.5">
      <c r="A740" s="17">
        <v>44565.666666666664</v>
      </c>
      <c r="B740" s="19">
        <v>179.7</v>
      </c>
      <c r="C740" t="s">
        <v>38</v>
      </c>
      <c r="D740" t="str">
        <f>T_Stocks[[#This Row],[Ticker]] &amp; "-" &amp; DATE(YEAR(T_Stocks[[#This Row],[Fecha]]),MONTH(T_Stocks[[#This Row],[Fecha]]),DAY(T_Stocks[[#This Row],[Fecha]]))</f>
        <v>AAPL-44565</v>
      </c>
    </row>
    <row r="741" spans="1:4" ht="14.65" thickBot="1" x14ac:dyDescent="0.5">
      <c r="A741" s="17">
        <v>44566.666666666664</v>
      </c>
      <c r="B741" s="19">
        <v>174.92</v>
      </c>
      <c r="C741" t="s">
        <v>38</v>
      </c>
      <c r="D741" t="str">
        <f>T_Stocks[[#This Row],[Ticker]] &amp; "-" &amp; DATE(YEAR(T_Stocks[[#This Row],[Fecha]]),MONTH(T_Stocks[[#This Row],[Fecha]]),DAY(T_Stocks[[#This Row],[Fecha]]))</f>
        <v>AAPL-44566</v>
      </c>
    </row>
    <row r="742" spans="1:4" ht="14.65" thickBot="1" x14ac:dyDescent="0.5">
      <c r="A742" s="17">
        <v>44567.666666666664</v>
      </c>
      <c r="B742" s="19">
        <v>172</v>
      </c>
      <c r="C742" t="s">
        <v>38</v>
      </c>
      <c r="D742" t="str">
        <f>T_Stocks[[#This Row],[Ticker]] &amp; "-" &amp; DATE(YEAR(T_Stocks[[#This Row],[Fecha]]),MONTH(T_Stocks[[#This Row],[Fecha]]),DAY(T_Stocks[[#This Row],[Fecha]]))</f>
        <v>AAPL-44567</v>
      </c>
    </row>
    <row r="743" spans="1:4" ht="14.65" thickBot="1" x14ac:dyDescent="0.5">
      <c r="A743" s="17">
        <v>44568.666666666664</v>
      </c>
      <c r="B743" s="19">
        <v>172.17</v>
      </c>
      <c r="C743" t="s">
        <v>38</v>
      </c>
      <c r="D743" t="str">
        <f>T_Stocks[[#This Row],[Ticker]] &amp; "-" &amp; DATE(YEAR(T_Stocks[[#This Row],[Fecha]]),MONTH(T_Stocks[[#This Row],[Fecha]]),DAY(T_Stocks[[#This Row],[Fecha]]))</f>
        <v>AAPL-44568</v>
      </c>
    </row>
    <row r="744" spans="1:4" ht="14.65" thickBot="1" x14ac:dyDescent="0.5">
      <c r="A744" s="17">
        <v>44571.666666666664</v>
      </c>
      <c r="B744" s="19">
        <v>172.19</v>
      </c>
      <c r="C744" t="s">
        <v>38</v>
      </c>
      <c r="D744" t="str">
        <f>T_Stocks[[#This Row],[Ticker]] &amp; "-" &amp; DATE(YEAR(T_Stocks[[#This Row],[Fecha]]),MONTH(T_Stocks[[#This Row],[Fecha]]),DAY(T_Stocks[[#This Row],[Fecha]]))</f>
        <v>AAPL-44571</v>
      </c>
    </row>
    <row r="745" spans="1:4" ht="14.65" thickBot="1" x14ac:dyDescent="0.5">
      <c r="A745" s="17">
        <v>44572.666666666664</v>
      </c>
      <c r="B745" s="19">
        <v>175.08</v>
      </c>
      <c r="C745" t="s">
        <v>38</v>
      </c>
      <c r="D745" t="str">
        <f>T_Stocks[[#This Row],[Ticker]] &amp; "-" &amp; DATE(YEAR(T_Stocks[[#This Row],[Fecha]]),MONTH(T_Stocks[[#This Row],[Fecha]]),DAY(T_Stocks[[#This Row],[Fecha]]))</f>
        <v>AAPL-44572</v>
      </c>
    </row>
    <row r="746" spans="1:4" ht="14.65" thickBot="1" x14ac:dyDescent="0.5">
      <c r="A746" s="17">
        <v>44573.666666666664</v>
      </c>
      <c r="B746" s="19">
        <v>175.53</v>
      </c>
      <c r="C746" t="s">
        <v>38</v>
      </c>
      <c r="D746" t="str">
        <f>T_Stocks[[#This Row],[Ticker]] &amp; "-" &amp; DATE(YEAR(T_Stocks[[#This Row],[Fecha]]),MONTH(T_Stocks[[#This Row],[Fecha]]),DAY(T_Stocks[[#This Row],[Fecha]]))</f>
        <v>AAPL-44573</v>
      </c>
    </row>
    <row r="747" spans="1:4" ht="14.65" thickBot="1" x14ac:dyDescent="0.5">
      <c r="A747" s="17">
        <v>44574.666666666664</v>
      </c>
      <c r="B747" s="19">
        <v>172.19</v>
      </c>
      <c r="C747" t="s">
        <v>38</v>
      </c>
      <c r="D747" t="str">
        <f>T_Stocks[[#This Row],[Ticker]] &amp; "-" &amp; DATE(YEAR(T_Stocks[[#This Row],[Fecha]]),MONTH(T_Stocks[[#This Row],[Fecha]]),DAY(T_Stocks[[#This Row],[Fecha]]))</f>
        <v>AAPL-44574</v>
      </c>
    </row>
    <row r="748" spans="1:4" ht="14.65" thickBot="1" x14ac:dyDescent="0.5">
      <c r="A748" s="17">
        <v>44575.666666666664</v>
      </c>
      <c r="B748" s="19">
        <v>173.07</v>
      </c>
      <c r="C748" t="s">
        <v>38</v>
      </c>
      <c r="D748" t="str">
        <f>T_Stocks[[#This Row],[Ticker]] &amp; "-" &amp; DATE(YEAR(T_Stocks[[#This Row],[Fecha]]),MONTH(T_Stocks[[#This Row],[Fecha]]),DAY(T_Stocks[[#This Row],[Fecha]]))</f>
        <v>AAPL-44575</v>
      </c>
    </row>
    <row r="749" spans="1:4" ht="14.65" thickBot="1" x14ac:dyDescent="0.5">
      <c r="A749" s="17">
        <v>44579.666666666664</v>
      </c>
      <c r="B749" s="19">
        <v>169.8</v>
      </c>
      <c r="C749" t="s">
        <v>38</v>
      </c>
      <c r="D749" t="str">
        <f>T_Stocks[[#This Row],[Ticker]] &amp; "-" &amp; DATE(YEAR(T_Stocks[[#This Row],[Fecha]]),MONTH(T_Stocks[[#This Row],[Fecha]]),DAY(T_Stocks[[#This Row],[Fecha]]))</f>
        <v>AAPL-44579</v>
      </c>
    </row>
    <row r="750" spans="1:4" ht="14.65" thickBot="1" x14ac:dyDescent="0.5">
      <c r="A750" s="17">
        <v>44580.666666666664</v>
      </c>
      <c r="B750" s="19">
        <v>166.23</v>
      </c>
      <c r="C750" t="s">
        <v>38</v>
      </c>
      <c r="D750" t="str">
        <f>T_Stocks[[#This Row],[Ticker]] &amp; "-" &amp; DATE(YEAR(T_Stocks[[#This Row],[Fecha]]),MONTH(T_Stocks[[#This Row],[Fecha]]),DAY(T_Stocks[[#This Row],[Fecha]]))</f>
        <v>AAPL-44580</v>
      </c>
    </row>
    <row r="751" spans="1:4" ht="14.65" thickBot="1" x14ac:dyDescent="0.5">
      <c r="A751" s="17">
        <v>44581.666666666664</v>
      </c>
      <c r="B751" s="19">
        <v>164.51</v>
      </c>
      <c r="C751" t="s">
        <v>38</v>
      </c>
      <c r="D751" t="str">
        <f>T_Stocks[[#This Row],[Ticker]] &amp; "-" &amp; DATE(YEAR(T_Stocks[[#This Row],[Fecha]]),MONTH(T_Stocks[[#This Row],[Fecha]]),DAY(T_Stocks[[#This Row],[Fecha]]))</f>
        <v>AAPL-44581</v>
      </c>
    </row>
    <row r="752" spans="1:4" ht="14.65" thickBot="1" x14ac:dyDescent="0.5">
      <c r="A752" s="17">
        <v>44582.666666666664</v>
      </c>
      <c r="B752" s="19">
        <v>162.41</v>
      </c>
      <c r="C752" t="s">
        <v>38</v>
      </c>
      <c r="D752" t="str">
        <f>T_Stocks[[#This Row],[Ticker]] &amp; "-" &amp; DATE(YEAR(T_Stocks[[#This Row],[Fecha]]),MONTH(T_Stocks[[#This Row],[Fecha]]),DAY(T_Stocks[[#This Row],[Fecha]]))</f>
        <v>AAPL-44582</v>
      </c>
    </row>
    <row r="753" spans="1:4" ht="14.65" thickBot="1" x14ac:dyDescent="0.5">
      <c r="A753" s="17">
        <v>44585.666666666664</v>
      </c>
      <c r="B753" s="19">
        <v>161.62</v>
      </c>
      <c r="C753" t="s">
        <v>38</v>
      </c>
      <c r="D753" t="str">
        <f>T_Stocks[[#This Row],[Ticker]] &amp; "-" &amp; DATE(YEAR(T_Stocks[[#This Row],[Fecha]]),MONTH(T_Stocks[[#This Row],[Fecha]]),DAY(T_Stocks[[#This Row],[Fecha]]))</f>
        <v>AAPL-44585</v>
      </c>
    </row>
    <row r="754" spans="1:4" ht="14.65" thickBot="1" x14ac:dyDescent="0.5">
      <c r="A754" s="17">
        <v>44586.666666666664</v>
      </c>
      <c r="B754" s="19">
        <v>159.78</v>
      </c>
      <c r="C754" t="s">
        <v>38</v>
      </c>
      <c r="D754" t="str">
        <f>T_Stocks[[#This Row],[Ticker]] &amp; "-" &amp; DATE(YEAR(T_Stocks[[#This Row],[Fecha]]),MONTH(T_Stocks[[#This Row],[Fecha]]),DAY(T_Stocks[[#This Row],[Fecha]]))</f>
        <v>AAPL-44586</v>
      </c>
    </row>
    <row r="755" spans="1:4" ht="14.65" thickBot="1" x14ac:dyDescent="0.5">
      <c r="A755" s="17">
        <v>44587.666666666664</v>
      </c>
      <c r="B755" s="19">
        <v>159.69</v>
      </c>
      <c r="C755" t="s">
        <v>38</v>
      </c>
      <c r="D755" t="str">
        <f>T_Stocks[[#This Row],[Ticker]] &amp; "-" &amp; DATE(YEAR(T_Stocks[[#This Row],[Fecha]]),MONTH(T_Stocks[[#This Row],[Fecha]]),DAY(T_Stocks[[#This Row],[Fecha]]))</f>
        <v>AAPL-44587</v>
      </c>
    </row>
    <row r="756" spans="1:4" ht="14.65" thickBot="1" x14ac:dyDescent="0.5">
      <c r="A756" s="17">
        <v>44588.666666666664</v>
      </c>
      <c r="B756" s="19">
        <v>159.22</v>
      </c>
      <c r="C756" t="s">
        <v>38</v>
      </c>
      <c r="D756" t="str">
        <f>T_Stocks[[#This Row],[Ticker]] &amp; "-" &amp; DATE(YEAR(T_Stocks[[#This Row],[Fecha]]),MONTH(T_Stocks[[#This Row],[Fecha]]),DAY(T_Stocks[[#This Row],[Fecha]]))</f>
        <v>AAPL-44588</v>
      </c>
    </row>
    <row r="757" spans="1:4" ht="14.65" thickBot="1" x14ac:dyDescent="0.5">
      <c r="A757" s="17">
        <v>44589.666666666664</v>
      </c>
      <c r="B757" s="19">
        <v>170.33</v>
      </c>
      <c r="C757" t="s">
        <v>38</v>
      </c>
      <c r="D757" t="str">
        <f>T_Stocks[[#This Row],[Ticker]] &amp; "-" &amp; DATE(YEAR(T_Stocks[[#This Row],[Fecha]]),MONTH(T_Stocks[[#This Row],[Fecha]]),DAY(T_Stocks[[#This Row],[Fecha]]))</f>
        <v>AAPL-44589</v>
      </c>
    </row>
    <row r="758" spans="1:4" ht="14.65" thickBot="1" x14ac:dyDescent="0.5">
      <c r="A758" s="17">
        <v>44592.666666666664</v>
      </c>
      <c r="B758" s="19">
        <v>174.78</v>
      </c>
      <c r="C758" t="s">
        <v>38</v>
      </c>
      <c r="D758" t="str">
        <f>T_Stocks[[#This Row],[Ticker]] &amp; "-" &amp; DATE(YEAR(T_Stocks[[#This Row],[Fecha]]),MONTH(T_Stocks[[#This Row],[Fecha]]),DAY(T_Stocks[[#This Row],[Fecha]]))</f>
        <v>AAPL-44592</v>
      </c>
    </row>
    <row r="759" spans="1:4" ht="14.65" thickBot="1" x14ac:dyDescent="0.5">
      <c r="A759" s="17">
        <v>44593.666666666664</v>
      </c>
      <c r="B759" s="19">
        <v>174.61</v>
      </c>
      <c r="C759" t="s">
        <v>38</v>
      </c>
      <c r="D759" t="str">
        <f>T_Stocks[[#This Row],[Ticker]] &amp; "-" &amp; DATE(YEAR(T_Stocks[[#This Row],[Fecha]]),MONTH(T_Stocks[[#This Row],[Fecha]]),DAY(T_Stocks[[#This Row],[Fecha]]))</f>
        <v>AAPL-44593</v>
      </c>
    </row>
    <row r="760" spans="1:4" ht="14.65" thickBot="1" x14ac:dyDescent="0.5">
      <c r="A760" s="17">
        <v>44594.666666666664</v>
      </c>
      <c r="B760" s="19">
        <v>175.84</v>
      </c>
      <c r="C760" t="s">
        <v>38</v>
      </c>
      <c r="D760" t="str">
        <f>T_Stocks[[#This Row],[Ticker]] &amp; "-" &amp; DATE(YEAR(T_Stocks[[#This Row],[Fecha]]),MONTH(T_Stocks[[#This Row],[Fecha]]),DAY(T_Stocks[[#This Row],[Fecha]]))</f>
        <v>AAPL-44594</v>
      </c>
    </row>
    <row r="761" spans="1:4" ht="14.65" thickBot="1" x14ac:dyDescent="0.5">
      <c r="A761" s="17">
        <v>44595.666666666664</v>
      </c>
      <c r="B761" s="19">
        <v>172.9</v>
      </c>
      <c r="C761" t="s">
        <v>38</v>
      </c>
      <c r="D761" t="str">
        <f>T_Stocks[[#This Row],[Ticker]] &amp; "-" &amp; DATE(YEAR(T_Stocks[[#This Row],[Fecha]]),MONTH(T_Stocks[[#This Row],[Fecha]]),DAY(T_Stocks[[#This Row],[Fecha]]))</f>
        <v>AAPL-44595</v>
      </c>
    </row>
    <row r="762" spans="1:4" ht="14.65" thickBot="1" x14ac:dyDescent="0.5">
      <c r="A762" s="17">
        <v>44596.666666666664</v>
      </c>
      <c r="B762" s="19">
        <v>172.39</v>
      </c>
      <c r="C762" t="s">
        <v>38</v>
      </c>
      <c r="D762" t="str">
        <f>T_Stocks[[#This Row],[Ticker]] &amp; "-" &amp; DATE(YEAR(T_Stocks[[#This Row],[Fecha]]),MONTH(T_Stocks[[#This Row],[Fecha]]),DAY(T_Stocks[[#This Row],[Fecha]]))</f>
        <v>AAPL-44596</v>
      </c>
    </row>
    <row r="763" spans="1:4" ht="14.65" thickBot="1" x14ac:dyDescent="0.5">
      <c r="A763" s="17">
        <v>44599.666666666664</v>
      </c>
      <c r="B763" s="19">
        <v>171.66</v>
      </c>
      <c r="C763" t="s">
        <v>38</v>
      </c>
      <c r="D763" t="str">
        <f>T_Stocks[[#This Row],[Ticker]] &amp; "-" &amp; DATE(YEAR(T_Stocks[[#This Row],[Fecha]]),MONTH(T_Stocks[[#This Row],[Fecha]]),DAY(T_Stocks[[#This Row],[Fecha]]))</f>
        <v>AAPL-44599</v>
      </c>
    </row>
    <row r="764" spans="1:4" ht="14.65" thickBot="1" x14ac:dyDescent="0.5">
      <c r="A764" s="17">
        <v>44600.666666666664</v>
      </c>
      <c r="B764" s="19">
        <v>174.83</v>
      </c>
      <c r="C764" t="s">
        <v>38</v>
      </c>
      <c r="D764" t="str">
        <f>T_Stocks[[#This Row],[Ticker]] &amp; "-" &amp; DATE(YEAR(T_Stocks[[#This Row],[Fecha]]),MONTH(T_Stocks[[#This Row],[Fecha]]),DAY(T_Stocks[[#This Row],[Fecha]]))</f>
        <v>AAPL-44600</v>
      </c>
    </row>
    <row r="765" spans="1:4" ht="14.65" thickBot="1" x14ac:dyDescent="0.5">
      <c r="A765" s="17">
        <v>44601.666666666664</v>
      </c>
      <c r="B765" s="19">
        <v>176.28</v>
      </c>
      <c r="C765" t="s">
        <v>38</v>
      </c>
      <c r="D765" t="str">
        <f>T_Stocks[[#This Row],[Ticker]] &amp; "-" &amp; DATE(YEAR(T_Stocks[[#This Row],[Fecha]]),MONTH(T_Stocks[[#This Row],[Fecha]]),DAY(T_Stocks[[#This Row],[Fecha]]))</f>
        <v>AAPL-44601</v>
      </c>
    </row>
    <row r="766" spans="1:4" ht="14.65" thickBot="1" x14ac:dyDescent="0.5">
      <c r="A766" s="17">
        <v>44602.666666666664</v>
      </c>
      <c r="B766" s="19">
        <v>172.12</v>
      </c>
      <c r="C766" t="s">
        <v>38</v>
      </c>
      <c r="D766" t="str">
        <f>T_Stocks[[#This Row],[Ticker]] &amp; "-" &amp; DATE(YEAR(T_Stocks[[#This Row],[Fecha]]),MONTH(T_Stocks[[#This Row],[Fecha]]),DAY(T_Stocks[[#This Row],[Fecha]]))</f>
        <v>AAPL-44602</v>
      </c>
    </row>
    <row r="767" spans="1:4" ht="14.65" thickBot="1" x14ac:dyDescent="0.5">
      <c r="A767" s="17">
        <v>44603.666666666664</v>
      </c>
      <c r="B767" s="19">
        <v>168.64</v>
      </c>
      <c r="C767" t="s">
        <v>38</v>
      </c>
      <c r="D767" t="str">
        <f>T_Stocks[[#This Row],[Ticker]] &amp; "-" &amp; DATE(YEAR(T_Stocks[[#This Row],[Fecha]]),MONTH(T_Stocks[[#This Row],[Fecha]]),DAY(T_Stocks[[#This Row],[Fecha]]))</f>
        <v>AAPL-44603</v>
      </c>
    </row>
    <row r="768" spans="1:4" ht="14.65" thickBot="1" x14ac:dyDescent="0.5">
      <c r="A768" s="17">
        <v>44606.666666666664</v>
      </c>
      <c r="B768" s="19">
        <v>168.88</v>
      </c>
      <c r="C768" t="s">
        <v>38</v>
      </c>
      <c r="D768" t="str">
        <f>T_Stocks[[#This Row],[Ticker]] &amp; "-" &amp; DATE(YEAR(T_Stocks[[#This Row],[Fecha]]),MONTH(T_Stocks[[#This Row],[Fecha]]),DAY(T_Stocks[[#This Row],[Fecha]]))</f>
        <v>AAPL-44606</v>
      </c>
    </row>
    <row r="769" spans="1:4" ht="14.65" thickBot="1" x14ac:dyDescent="0.5">
      <c r="A769" s="17">
        <v>44607.666666666664</v>
      </c>
      <c r="B769" s="19">
        <v>172.79</v>
      </c>
      <c r="C769" t="s">
        <v>38</v>
      </c>
      <c r="D769" t="str">
        <f>T_Stocks[[#This Row],[Ticker]] &amp; "-" &amp; DATE(YEAR(T_Stocks[[#This Row],[Fecha]]),MONTH(T_Stocks[[#This Row],[Fecha]]),DAY(T_Stocks[[#This Row],[Fecha]]))</f>
        <v>AAPL-44607</v>
      </c>
    </row>
    <row r="770" spans="1:4" ht="14.65" thickBot="1" x14ac:dyDescent="0.5">
      <c r="A770" s="17">
        <v>44608.666666666664</v>
      </c>
      <c r="B770" s="19">
        <v>172.55</v>
      </c>
      <c r="C770" t="s">
        <v>38</v>
      </c>
      <c r="D770" t="str">
        <f>T_Stocks[[#This Row],[Ticker]] &amp; "-" &amp; DATE(YEAR(T_Stocks[[#This Row],[Fecha]]),MONTH(T_Stocks[[#This Row],[Fecha]]),DAY(T_Stocks[[#This Row],[Fecha]]))</f>
        <v>AAPL-44608</v>
      </c>
    </row>
    <row r="771" spans="1:4" ht="14.65" thickBot="1" x14ac:dyDescent="0.5">
      <c r="A771" s="17">
        <v>44609.666666666664</v>
      </c>
      <c r="B771" s="19">
        <v>168.88</v>
      </c>
      <c r="C771" t="s">
        <v>38</v>
      </c>
      <c r="D771" t="str">
        <f>T_Stocks[[#This Row],[Ticker]] &amp; "-" &amp; DATE(YEAR(T_Stocks[[#This Row],[Fecha]]),MONTH(T_Stocks[[#This Row],[Fecha]]),DAY(T_Stocks[[#This Row],[Fecha]]))</f>
        <v>AAPL-44609</v>
      </c>
    </row>
    <row r="772" spans="1:4" ht="14.65" thickBot="1" x14ac:dyDescent="0.5">
      <c r="A772" s="17">
        <v>44610.666666666664</v>
      </c>
      <c r="B772" s="19">
        <v>167.3</v>
      </c>
      <c r="C772" t="s">
        <v>38</v>
      </c>
      <c r="D772" t="str">
        <f>T_Stocks[[#This Row],[Ticker]] &amp; "-" &amp; DATE(YEAR(T_Stocks[[#This Row],[Fecha]]),MONTH(T_Stocks[[#This Row],[Fecha]]),DAY(T_Stocks[[#This Row],[Fecha]]))</f>
        <v>AAPL-44610</v>
      </c>
    </row>
    <row r="773" spans="1:4" ht="14.65" thickBot="1" x14ac:dyDescent="0.5">
      <c r="A773" s="17">
        <v>44614.666666666664</v>
      </c>
      <c r="B773" s="19">
        <v>164.32</v>
      </c>
      <c r="C773" t="s">
        <v>38</v>
      </c>
      <c r="D773" t="str">
        <f>T_Stocks[[#This Row],[Ticker]] &amp; "-" &amp; DATE(YEAR(T_Stocks[[#This Row],[Fecha]]),MONTH(T_Stocks[[#This Row],[Fecha]]),DAY(T_Stocks[[#This Row],[Fecha]]))</f>
        <v>AAPL-44614</v>
      </c>
    </row>
    <row r="774" spans="1:4" ht="14.65" thickBot="1" x14ac:dyDescent="0.5">
      <c r="A774" s="17">
        <v>44615.666666666664</v>
      </c>
      <c r="B774" s="19">
        <v>160.07</v>
      </c>
      <c r="C774" t="s">
        <v>38</v>
      </c>
      <c r="D774" t="str">
        <f>T_Stocks[[#This Row],[Ticker]] &amp; "-" &amp; DATE(YEAR(T_Stocks[[#This Row],[Fecha]]),MONTH(T_Stocks[[#This Row],[Fecha]]),DAY(T_Stocks[[#This Row],[Fecha]]))</f>
        <v>AAPL-44615</v>
      </c>
    </row>
    <row r="775" spans="1:4" ht="14.65" thickBot="1" x14ac:dyDescent="0.5">
      <c r="A775" s="17">
        <v>44616.666666666664</v>
      </c>
      <c r="B775" s="19">
        <v>162.74</v>
      </c>
      <c r="C775" t="s">
        <v>38</v>
      </c>
      <c r="D775" t="str">
        <f>T_Stocks[[#This Row],[Ticker]] &amp; "-" &amp; DATE(YEAR(T_Stocks[[#This Row],[Fecha]]),MONTH(T_Stocks[[#This Row],[Fecha]]),DAY(T_Stocks[[#This Row],[Fecha]]))</f>
        <v>AAPL-44616</v>
      </c>
    </row>
    <row r="776" spans="1:4" ht="14.65" thickBot="1" x14ac:dyDescent="0.5">
      <c r="A776" s="17">
        <v>44617.666666666664</v>
      </c>
      <c r="B776" s="19">
        <v>164.85</v>
      </c>
      <c r="C776" t="s">
        <v>38</v>
      </c>
      <c r="D776" t="str">
        <f>T_Stocks[[#This Row],[Ticker]] &amp; "-" &amp; DATE(YEAR(T_Stocks[[#This Row],[Fecha]]),MONTH(T_Stocks[[#This Row],[Fecha]]),DAY(T_Stocks[[#This Row],[Fecha]]))</f>
        <v>AAPL-44617</v>
      </c>
    </row>
    <row r="777" spans="1:4" ht="14.65" thickBot="1" x14ac:dyDescent="0.5">
      <c r="A777" s="17">
        <v>44620.666666666664</v>
      </c>
      <c r="B777" s="19">
        <v>165.12</v>
      </c>
      <c r="C777" t="s">
        <v>38</v>
      </c>
      <c r="D777" t="str">
        <f>T_Stocks[[#This Row],[Ticker]] &amp; "-" &amp; DATE(YEAR(T_Stocks[[#This Row],[Fecha]]),MONTH(T_Stocks[[#This Row],[Fecha]]),DAY(T_Stocks[[#This Row],[Fecha]]))</f>
        <v>AAPL-44620</v>
      </c>
    </row>
    <row r="778" spans="1:4" ht="14.65" thickBot="1" x14ac:dyDescent="0.5">
      <c r="A778" s="17">
        <v>44621.666666666664</v>
      </c>
      <c r="B778" s="19">
        <v>163.19999999999999</v>
      </c>
      <c r="C778" t="s">
        <v>38</v>
      </c>
      <c r="D778" t="str">
        <f>T_Stocks[[#This Row],[Ticker]] &amp; "-" &amp; DATE(YEAR(T_Stocks[[#This Row],[Fecha]]),MONTH(T_Stocks[[#This Row],[Fecha]]),DAY(T_Stocks[[#This Row],[Fecha]]))</f>
        <v>AAPL-44621</v>
      </c>
    </row>
    <row r="779" spans="1:4" ht="14.65" thickBot="1" x14ac:dyDescent="0.5">
      <c r="A779" s="17">
        <v>44622.666666666664</v>
      </c>
      <c r="B779" s="19">
        <v>166.56</v>
      </c>
      <c r="C779" t="s">
        <v>38</v>
      </c>
      <c r="D779" t="str">
        <f>T_Stocks[[#This Row],[Ticker]] &amp; "-" &amp; DATE(YEAR(T_Stocks[[#This Row],[Fecha]]),MONTH(T_Stocks[[#This Row],[Fecha]]),DAY(T_Stocks[[#This Row],[Fecha]]))</f>
        <v>AAPL-44622</v>
      </c>
    </row>
    <row r="780" spans="1:4" ht="14.65" thickBot="1" x14ac:dyDescent="0.5">
      <c r="A780" s="17">
        <v>44623.666666666664</v>
      </c>
      <c r="B780" s="19">
        <v>166.23</v>
      </c>
      <c r="C780" t="s">
        <v>38</v>
      </c>
      <c r="D780" t="str">
        <f>T_Stocks[[#This Row],[Ticker]] &amp; "-" &amp; DATE(YEAR(T_Stocks[[#This Row],[Fecha]]),MONTH(T_Stocks[[#This Row],[Fecha]]),DAY(T_Stocks[[#This Row],[Fecha]]))</f>
        <v>AAPL-44623</v>
      </c>
    </row>
    <row r="781" spans="1:4" ht="14.65" thickBot="1" x14ac:dyDescent="0.5">
      <c r="A781" s="17">
        <v>44624.666666666664</v>
      </c>
      <c r="B781" s="19">
        <v>163.16999999999999</v>
      </c>
      <c r="C781" t="s">
        <v>38</v>
      </c>
      <c r="D781" t="str">
        <f>T_Stocks[[#This Row],[Ticker]] &amp; "-" &amp; DATE(YEAR(T_Stocks[[#This Row],[Fecha]]),MONTH(T_Stocks[[#This Row],[Fecha]]),DAY(T_Stocks[[#This Row],[Fecha]]))</f>
        <v>AAPL-44624</v>
      </c>
    </row>
    <row r="782" spans="1:4" ht="14.65" thickBot="1" x14ac:dyDescent="0.5">
      <c r="A782" s="17">
        <v>44627.666666666664</v>
      </c>
      <c r="B782" s="19">
        <v>159.30000000000001</v>
      </c>
      <c r="C782" t="s">
        <v>38</v>
      </c>
      <c r="D782" t="str">
        <f>T_Stocks[[#This Row],[Ticker]] &amp; "-" &amp; DATE(YEAR(T_Stocks[[#This Row],[Fecha]]),MONTH(T_Stocks[[#This Row],[Fecha]]),DAY(T_Stocks[[#This Row],[Fecha]]))</f>
        <v>AAPL-44627</v>
      </c>
    </row>
    <row r="783" spans="1:4" ht="14.65" thickBot="1" x14ac:dyDescent="0.5">
      <c r="A783" s="17">
        <v>44628.666666666664</v>
      </c>
      <c r="B783" s="19">
        <v>157.44</v>
      </c>
      <c r="C783" t="s">
        <v>38</v>
      </c>
      <c r="D783" t="str">
        <f>T_Stocks[[#This Row],[Ticker]] &amp; "-" &amp; DATE(YEAR(T_Stocks[[#This Row],[Fecha]]),MONTH(T_Stocks[[#This Row],[Fecha]]),DAY(T_Stocks[[#This Row],[Fecha]]))</f>
        <v>AAPL-44628</v>
      </c>
    </row>
    <row r="784" spans="1:4" ht="14.65" thickBot="1" x14ac:dyDescent="0.5">
      <c r="A784" s="17">
        <v>44629.666666666664</v>
      </c>
      <c r="B784" s="19">
        <v>162.94999999999999</v>
      </c>
      <c r="C784" t="s">
        <v>38</v>
      </c>
      <c r="D784" t="str">
        <f>T_Stocks[[#This Row],[Ticker]] &amp; "-" &amp; DATE(YEAR(T_Stocks[[#This Row],[Fecha]]),MONTH(T_Stocks[[#This Row],[Fecha]]),DAY(T_Stocks[[#This Row],[Fecha]]))</f>
        <v>AAPL-44629</v>
      </c>
    </row>
    <row r="785" spans="1:4" ht="14.65" thickBot="1" x14ac:dyDescent="0.5">
      <c r="A785" s="17">
        <v>44630.666666666664</v>
      </c>
      <c r="B785" s="19">
        <v>158.52000000000001</v>
      </c>
      <c r="C785" t="s">
        <v>38</v>
      </c>
      <c r="D785" t="str">
        <f>T_Stocks[[#This Row],[Ticker]] &amp; "-" &amp; DATE(YEAR(T_Stocks[[#This Row],[Fecha]]),MONTH(T_Stocks[[#This Row],[Fecha]]),DAY(T_Stocks[[#This Row],[Fecha]]))</f>
        <v>AAPL-44630</v>
      </c>
    </row>
    <row r="786" spans="1:4" ht="14.65" thickBot="1" x14ac:dyDescent="0.5">
      <c r="A786" s="17">
        <v>44631.666666666664</v>
      </c>
      <c r="B786" s="19">
        <v>154.72999999999999</v>
      </c>
      <c r="C786" t="s">
        <v>38</v>
      </c>
      <c r="D786" t="str">
        <f>T_Stocks[[#This Row],[Ticker]] &amp; "-" &amp; DATE(YEAR(T_Stocks[[#This Row],[Fecha]]),MONTH(T_Stocks[[#This Row],[Fecha]]),DAY(T_Stocks[[#This Row],[Fecha]]))</f>
        <v>AAPL-44631</v>
      </c>
    </row>
    <row r="787" spans="1:4" ht="14.65" thickBot="1" x14ac:dyDescent="0.5">
      <c r="A787" s="17">
        <v>44634.666666666664</v>
      </c>
      <c r="B787" s="19">
        <v>150.62</v>
      </c>
      <c r="C787" t="s">
        <v>38</v>
      </c>
      <c r="D787" t="str">
        <f>T_Stocks[[#This Row],[Ticker]] &amp; "-" &amp; DATE(YEAR(T_Stocks[[#This Row],[Fecha]]),MONTH(T_Stocks[[#This Row],[Fecha]]),DAY(T_Stocks[[#This Row],[Fecha]]))</f>
        <v>AAPL-44634</v>
      </c>
    </row>
    <row r="788" spans="1:4" ht="14.65" thickBot="1" x14ac:dyDescent="0.5">
      <c r="A788" s="17">
        <v>44635.666666666664</v>
      </c>
      <c r="B788" s="19">
        <v>155.09</v>
      </c>
      <c r="C788" t="s">
        <v>38</v>
      </c>
      <c r="D788" t="str">
        <f>T_Stocks[[#This Row],[Ticker]] &amp; "-" &amp; DATE(YEAR(T_Stocks[[#This Row],[Fecha]]),MONTH(T_Stocks[[#This Row],[Fecha]]),DAY(T_Stocks[[#This Row],[Fecha]]))</f>
        <v>AAPL-44635</v>
      </c>
    </row>
    <row r="789" spans="1:4" ht="14.65" thickBot="1" x14ac:dyDescent="0.5">
      <c r="A789" s="17">
        <v>44636.666666666664</v>
      </c>
      <c r="B789" s="19">
        <v>159.59</v>
      </c>
      <c r="C789" t="s">
        <v>38</v>
      </c>
      <c r="D789" t="str">
        <f>T_Stocks[[#This Row],[Ticker]] &amp; "-" &amp; DATE(YEAR(T_Stocks[[#This Row],[Fecha]]),MONTH(T_Stocks[[#This Row],[Fecha]]),DAY(T_Stocks[[#This Row],[Fecha]]))</f>
        <v>AAPL-44636</v>
      </c>
    </row>
    <row r="790" spans="1:4" ht="14.65" thickBot="1" x14ac:dyDescent="0.5">
      <c r="A790" s="17">
        <v>44637.666666666664</v>
      </c>
      <c r="B790" s="19">
        <v>160.62</v>
      </c>
      <c r="C790" t="s">
        <v>38</v>
      </c>
      <c r="D790" t="str">
        <f>T_Stocks[[#This Row],[Ticker]] &amp; "-" &amp; DATE(YEAR(T_Stocks[[#This Row],[Fecha]]),MONTH(T_Stocks[[#This Row],[Fecha]]),DAY(T_Stocks[[#This Row],[Fecha]]))</f>
        <v>AAPL-44637</v>
      </c>
    </row>
    <row r="791" spans="1:4" ht="14.65" thickBot="1" x14ac:dyDescent="0.5">
      <c r="A791" s="17">
        <v>44638.666666666664</v>
      </c>
      <c r="B791" s="19">
        <v>163.98</v>
      </c>
      <c r="C791" t="s">
        <v>38</v>
      </c>
      <c r="D791" t="str">
        <f>T_Stocks[[#This Row],[Ticker]] &amp; "-" &amp; DATE(YEAR(T_Stocks[[#This Row],[Fecha]]),MONTH(T_Stocks[[#This Row],[Fecha]]),DAY(T_Stocks[[#This Row],[Fecha]]))</f>
        <v>AAPL-44638</v>
      </c>
    </row>
    <row r="792" spans="1:4" ht="14.65" thickBot="1" x14ac:dyDescent="0.5">
      <c r="A792" s="17">
        <v>44641.666666666664</v>
      </c>
      <c r="B792" s="19">
        <v>165.38</v>
      </c>
      <c r="C792" t="s">
        <v>38</v>
      </c>
      <c r="D792" t="str">
        <f>T_Stocks[[#This Row],[Ticker]] &amp; "-" &amp; DATE(YEAR(T_Stocks[[#This Row],[Fecha]]),MONTH(T_Stocks[[#This Row],[Fecha]]),DAY(T_Stocks[[#This Row],[Fecha]]))</f>
        <v>AAPL-44641</v>
      </c>
    </row>
    <row r="793" spans="1:4" ht="14.65" thickBot="1" x14ac:dyDescent="0.5">
      <c r="A793" s="17">
        <v>44642.666666666664</v>
      </c>
      <c r="B793" s="19">
        <v>168.82</v>
      </c>
      <c r="C793" t="s">
        <v>38</v>
      </c>
      <c r="D793" t="str">
        <f>T_Stocks[[#This Row],[Ticker]] &amp; "-" &amp; DATE(YEAR(T_Stocks[[#This Row],[Fecha]]),MONTH(T_Stocks[[#This Row],[Fecha]]),DAY(T_Stocks[[#This Row],[Fecha]]))</f>
        <v>AAPL-44642</v>
      </c>
    </row>
    <row r="794" spans="1:4" ht="14.65" thickBot="1" x14ac:dyDescent="0.5">
      <c r="A794" s="17">
        <v>44643.666666666664</v>
      </c>
      <c r="B794" s="19">
        <v>170.21</v>
      </c>
      <c r="C794" t="s">
        <v>38</v>
      </c>
      <c r="D794" t="str">
        <f>T_Stocks[[#This Row],[Ticker]] &amp; "-" &amp; DATE(YEAR(T_Stocks[[#This Row],[Fecha]]),MONTH(T_Stocks[[#This Row],[Fecha]]),DAY(T_Stocks[[#This Row],[Fecha]]))</f>
        <v>AAPL-44643</v>
      </c>
    </row>
    <row r="795" spans="1:4" ht="14.65" thickBot="1" x14ac:dyDescent="0.5">
      <c r="A795" s="17">
        <v>44644.666666666664</v>
      </c>
      <c r="B795" s="19">
        <v>174.07</v>
      </c>
      <c r="C795" t="s">
        <v>38</v>
      </c>
      <c r="D795" t="str">
        <f>T_Stocks[[#This Row],[Ticker]] &amp; "-" &amp; DATE(YEAR(T_Stocks[[#This Row],[Fecha]]),MONTH(T_Stocks[[#This Row],[Fecha]]),DAY(T_Stocks[[#This Row],[Fecha]]))</f>
        <v>AAPL-44644</v>
      </c>
    </row>
    <row r="796" spans="1:4" ht="14.65" thickBot="1" x14ac:dyDescent="0.5">
      <c r="A796" s="17">
        <v>44645.666666666664</v>
      </c>
      <c r="B796" s="19">
        <v>174.72</v>
      </c>
      <c r="C796" t="s">
        <v>38</v>
      </c>
      <c r="D796" t="str">
        <f>T_Stocks[[#This Row],[Ticker]] &amp; "-" &amp; DATE(YEAR(T_Stocks[[#This Row],[Fecha]]),MONTH(T_Stocks[[#This Row],[Fecha]]),DAY(T_Stocks[[#This Row],[Fecha]]))</f>
        <v>AAPL-44645</v>
      </c>
    </row>
    <row r="797" spans="1:4" ht="14.65" thickBot="1" x14ac:dyDescent="0.5">
      <c r="A797" s="17">
        <v>44648.666666666664</v>
      </c>
      <c r="B797" s="19">
        <v>175.6</v>
      </c>
      <c r="C797" t="s">
        <v>38</v>
      </c>
      <c r="D797" t="str">
        <f>T_Stocks[[#This Row],[Ticker]] &amp; "-" &amp; DATE(YEAR(T_Stocks[[#This Row],[Fecha]]),MONTH(T_Stocks[[#This Row],[Fecha]]),DAY(T_Stocks[[#This Row],[Fecha]]))</f>
        <v>AAPL-44648</v>
      </c>
    </row>
    <row r="798" spans="1:4" ht="14.65" thickBot="1" x14ac:dyDescent="0.5">
      <c r="A798" s="17">
        <v>44649.666666666664</v>
      </c>
      <c r="B798" s="19">
        <v>178.96</v>
      </c>
      <c r="C798" t="s">
        <v>38</v>
      </c>
      <c r="D798" t="str">
        <f>T_Stocks[[#This Row],[Ticker]] &amp; "-" &amp; DATE(YEAR(T_Stocks[[#This Row],[Fecha]]),MONTH(T_Stocks[[#This Row],[Fecha]]),DAY(T_Stocks[[#This Row],[Fecha]]))</f>
        <v>AAPL-44649</v>
      </c>
    </row>
    <row r="799" spans="1:4" ht="14.65" thickBot="1" x14ac:dyDescent="0.5">
      <c r="A799" s="17">
        <v>44650.666666666664</v>
      </c>
      <c r="B799" s="19">
        <v>177.77</v>
      </c>
      <c r="C799" t="s">
        <v>38</v>
      </c>
      <c r="D799" t="str">
        <f>T_Stocks[[#This Row],[Ticker]] &amp; "-" &amp; DATE(YEAR(T_Stocks[[#This Row],[Fecha]]),MONTH(T_Stocks[[#This Row],[Fecha]]),DAY(T_Stocks[[#This Row],[Fecha]]))</f>
        <v>AAPL-44650</v>
      </c>
    </row>
    <row r="800" spans="1:4" ht="14.65" thickBot="1" x14ac:dyDescent="0.5">
      <c r="A800" s="17">
        <v>44651.666666666664</v>
      </c>
      <c r="B800" s="19">
        <v>174.61</v>
      </c>
      <c r="C800" t="s">
        <v>38</v>
      </c>
      <c r="D800" t="str">
        <f>T_Stocks[[#This Row],[Ticker]] &amp; "-" &amp; DATE(YEAR(T_Stocks[[#This Row],[Fecha]]),MONTH(T_Stocks[[#This Row],[Fecha]]),DAY(T_Stocks[[#This Row],[Fecha]]))</f>
        <v>AAPL-44651</v>
      </c>
    </row>
    <row r="801" spans="1:4" ht="14.65" thickBot="1" x14ac:dyDescent="0.5">
      <c r="A801" s="17">
        <v>44652.666666666664</v>
      </c>
      <c r="B801" s="19">
        <v>174.31</v>
      </c>
      <c r="C801" t="s">
        <v>38</v>
      </c>
      <c r="D801" t="str">
        <f>T_Stocks[[#This Row],[Ticker]] &amp; "-" &amp; DATE(YEAR(T_Stocks[[#This Row],[Fecha]]),MONTH(T_Stocks[[#This Row],[Fecha]]),DAY(T_Stocks[[#This Row],[Fecha]]))</f>
        <v>AAPL-44652</v>
      </c>
    </row>
    <row r="802" spans="1:4" ht="14.65" thickBot="1" x14ac:dyDescent="0.5">
      <c r="A802" s="17">
        <v>44655.666666666664</v>
      </c>
      <c r="B802" s="19">
        <v>178.44</v>
      </c>
      <c r="C802" t="s">
        <v>38</v>
      </c>
      <c r="D802" t="str">
        <f>T_Stocks[[#This Row],[Ticker]] &amp; "-" &amp; DATE(YEAR(T_Stocks[[#This Row],[Fecha]]),MONTH(T_Stocks[[#This Row],[Fecha]]),DAY(T_Stocks[[#This Row],[Fecha]]))</f>
        <v>AAPL-44655</v>
      </c>
    </row>
    <row r="803" spans="1:4" ht="14.65" thickBot="1" x14ac:dyDescent="0.5">
      <c r="A803" s="17">
        <v>44656.666666666664</v>
      </c>
      <c r="B803" s="19">
        <v>175.06</v>
      </c>
      <c r="C803" t="s">
        <v>38</v>
      </c>
      <c r="D803" t="str">
        <f>T_Stocks[[#This Row],[Ticker]] &amp; "-" &amp; DATE(YEAR(T_Stocks[[#This Row],[Fecha]]),MONTH(T_Stocks[[#This Row],[Fecha]]),DAY(T_Stocks[[#This Row],[Fecha]]))</f>
        <v>AAPL-44656</v>
      </c>
    </row>
    <row r="804" spans="1:4" ht="14.65" thickBot="1" x14ac:dyDescent="0.5">
      <c r="A804" s="17">
        <v>44657.666666666664</v>
      </c>
      <c r="B804" s="19">
        <v>171.83</v>
      </c>
      <c r="C804" t="s">
        <v>38</v>
      </c>
      <c r="D804" t="str">
        <f>T_Stocks[[#This Row],[Ticker]] &amp; "-" &amp; DATE(YEAR(T_Stocks[[#This Row],[Fecha]]),MONTH(T_Stocks[[#This Row],[Fecha]]),DAY(T_Stocks[[#This Row],[Fecha]]))</f>
        <v>AAPL-44657</v>
      </c>
    </row>
    <row r="805" spans="1:4" ht="14.65" thickBot="1" x14ac:dyDescent="0.5">
      <c r="A805" s="17">
        <v>44658.666666666664</v>
      </c>
      <c r="B805" s="19">
        <v>172.14</v>
      </c>
      <c r="C805" t="s">
        <v>38</v>
      </c>
      <c r="D805" t="str">
        <f>T_Stocks[[#This Row],[Ticker]] &amp; "-" &amp; DATE(YEAR(T_Stocks[[#This Row],[Fecha]]),MONTH(T_Stocks[[#This Row],[Fecha]]),DAY(T_Stocks[[#This Row],[Fecha]]))</f>
        <v>AAPL-44658</v>
      </c>
    </row>
    <row r="806" spans="1:4" ht="14.65" thickBot="1" x14ac:dyDescent="0.5">
      <c r="A806" s="17">
        <v>44659.666666666664</v>
      </c>
      <c r="B806" s="19">
        <v>170.09</v>
      </c>
      <c r="C806" t="s">
        <v>38</v>
      </c>
      <c r="D806" t="str">
        <f>T_Stocks[[#This Row],[Ticker]] &amp; "-" &amp; DATE(YEAR(T_Stocks[[#This Row],[Fecha]]),MONTH(T_Stocks[[#This Row],[Fecha]]),DAY(T_Stocks[[#This Row],[Fecha]]))</f>
        <v>AAPL-44659</v>
      </c>
    </row>
    <row r="807" spans="1:4" ht="14.65" thickBot="1" x14ac:dyDescent="0.5">
      <c r="A807" s="17">
        <v>44662.666666666664</v>
      </c>
      <c r="B807" s="19">
        <v>165.75</v>
      </c>
      <c r="C807" t="s">
        <v>38</v>
      </c>
      <c r="D807" t="str">
        <f>T_Stocks[[#This Row],[Ticker]] &amp; "-" &amp; DATE(YEAR(T_Stocks[[#This Row],[Fecha]]),MONTH(T_Stocks[[#This Row],[Fecha]]),DAY(T_Stocks[[#This Row],[Fecha]]))</f>
        <v>AAPL-44662</v>
      </c>
    </row>
    <row r="808" spans="1:4" ht="14.65" thickBot="1" x14ac:dyDescent="0.5">
      <c r="A808" s="17">
        <v>44663.666666666664</v>
      </c>
      <c r="B808" s="19">
        <v>167.66</v>
      </c>
      <c r="C808" t="s">
        <v>38</v>
      </c>
      <c r="D808" t="str">
        <f>T_Stocks[[#This Row],[Ticker]] &amp; "-" &amp; DATE(YEAR(T_Stocks[[#This Row],[Fecha]]),MONTH(T_Stocks[[#This Row],[Fecha]]),DAY(T_Stocks[[#This Row],[Fecha]]))</f>
        <v>AAPL-44663</v>
      </c>
    </row>
    <row r="809" spans="1:4" ht="14.65" thickBot="1" x14ac:dyDescent="0.5">
      <c r="A809" s="17">
        <v>44664.666666666664</v>
      </c>
      <c r="B809" s="19">
        <v>170.4</v>
      </c>
      <c r="C809" t="s">
        <v>38</v>
      </c>
      <c r="D809" t="str">
        <f>T_Stocks[[#This Row],[Ticker]] &amp; "-" &amp; DATE(YEAR(T_Stocks[[#This Row],[Fecha]]),MONTH(T_Stocks[[#This Row],[Fecha]]),DAY(T_Stocks[[#This Row],[Fecha]]))</f>
        <v>AAPL-44664</v>
      </c>
    </row>
    <row r="810" spans="1:4" ht="14.65" thickBot="1" x14ac:dyDescent="0.5">
      <c r="A810" s="17">
        <v>44665.666666666664</v>
      </c>
      <c r="B810" s="19">
        <v>165.29</v>
      </c>
      <c r="C810" t="s">
        <v>38</v>
      </c>
      <c r="D810" t="str">
        <f>T_Stocks[[#This Row],[Ticker]] &amp; "-" &amp; DATE(YEAR(T_Stocks[[#This Row],[Fecha]]),MONTH(T_Stocks[[#This Row],[Fecha]]),DAY(T_Stocks[[#This Row],[Fecha]]))</f>
        <v>AAPL-44665</v>
      </c>
    </row>
    <row r="811" spans="1:4" ht="14.65" thickBot="1" x14ac:dyDescent="0.5">
      <c r="A811" s="17">
        <v>44669.666666666664</v>
      </c>
      <c r="B811" s="19">
        <v>165.07</v>
      </c>
      <c r="C811" t="s">
        <v>38</v>
      </c>
      <c r="D811" t="str">
        <f>T_Stocks[[#This Row],[Ticker]] &amp; "-" &amp; DATE(YEAR(T_Stocks[[#This Row],[Fecha]]),MONTH(T_Stocks[[#This Row],[Fecha]]),DAY(T_Stocks[[#This Row],[Fecha]]))</f>
        <v>AAPL-44669</v>
      </c>
    </row>
    <row r="812" spans="1:4" ht="14.65" thickBot="1" x14ac:dyDescent="0.5">
      <c r="A812" s="17">
        <v>44670.666666666664</v>
      </c>
      <c r="B812" s="19">
        <v>167.4</v>
      </c>
      <c r="C812" t="s">
        <v>38</v>
      </c>
      <c r="D812" t="str">
        <f>T_Stocks[[#This Row],[Ticker]] &amp; "-" &amp; DATE(YEAR(T_Stocks[[#This Row],[Fecha]]),MONTH(T_Stocks[[#This Row],[Fecha]]),DAY(T_Stocks[[#This Row],[Fecha]]))</f>
        <v>AAPL-44670</v>
      </c>
    </row>
    <row r="813" spans="1:4" ht="14.65" thickBot="1" x14ac:dyDescent="0.5">
      <c r="A813" s="17">
        <v>44671.666666666664</v>
      </c>
      <c r="B813" s="19">
        <v>167.23</v>
      </c>
      <c r="C813" t="s">
        <v>38</v>
      </c>
      <c r="D813" t="str">
        <f>T_Stocks[[#This Row],[Ticker]] &amp; "-" &amp; DATE(YEAR(T_Stocks[[#This Row],[Fecha]]),MONTH(T_Stocks[[#This Row],[Fecha]]),DAY(T_Stocks[[#This Row],[Fecha]]))</f>
        <v>AAPL-44671</v>
      </c>
    </row>
    <row r="814" spans="1:4" ht="14.65" thickBot="1" x14ac:dyDescent="0.5">
      <c r="A814" s="17">
        <v>44672.666666666664</v>
      </c>
      <c r="B814" s="19">
        <v>166.42</v>
      </c>
      <c r="C814" t="s">
        <v>38</v>
      </c>
      <c r="D814" t="str">
        <f>T_Stocks[[#This Row],[Ticker]] &amp; "-" &amp; DATE(YEAR(T_Stocks[[#This Row],[Fecha]]),MONTH(T_Stocks[[#This Row],[Fecha]]),DAY(T_Stocks[[#This Row],[Fecha]]))</f>
        <v>AAPL-44672</v>
      </c>
    </row>
    <row r="815" spans="1:4" ht="14.65" thickBot="1" x14ac:dyDescent="0.5">
      <c r="A815" s="17">
        <v>44673.666666666664</v>
      </c>
      <c r="B815" s="19">
        <v>161.79</v>
      </c>
      <c r="C815" t="s">
        <v>38</v>
      </c>
      <c r="D815" t="str">
        <f>T_Stocks[[#This Row],[Ticker]] &amp; "-" &amp; DATE(YEAR(T_Stocks[[#This Row],[Fecha]]),MONTH(T_Stocks[[#This Row],[Fecha]]),DAY(T_Stocks[[#This Row],[Fecha]]))</f>
        <v>AAPL-44673</v>
      </c>
    </row>
    <row r="816" spans="1:4" ht="14.65" thickBot="1" x14ac:dyDescent="0.5">
      <c r="A816" s="17">
        <v>44676.666666666664</v>
      </c>
      <c r="B816" s="19">
        <v>162.88</v>
      </c>
      <c r="C816" t="s">
        <v>38</v>
      </c>
      <c r="D816" t="str">
        <f>T_Stocks[[#This Row],[Ticker]] &amp; "-" &amp; DATE(YEAR(T_Stocks[[#This Row],[Fecha]]),MONTH(T_Stocks[[#This Row],[Fecha]]),DAY(T_Stocks[[#This Row],[Fecha]]))</f>
        <v>AAPL-44676</v>
      </c>
    </row>
    <row r="817" spans="1:4" ht="14.65" thickBot="1" x14ac:dyDescent="0.5">
      <c r="A817" s="17">
        <v>44677.666666666664</v>
      </c>
      <c r="B817" s="19">
        <v>156.80000000000001</v>
      </c>
      <c r="C817" t="s">
        <v>38</v>
      </c>
      <c r="D817" t="str">
        <f>T_Stocks[[#This Row],[Ticker]] &amp; "-" &amp; DATE(YEAR(T_Stocks[[#This Row],[Fecha]]),MONTH(T_Stocks[[#This Row],[Fecha]]),DAY(T_Stocks[[#This Row],[Fecha]]))</f>
        <v>AAPL-44677</v>
      </c>
    </row>
    <row r="818" spans="1:4" ht="14.65" thickBot="1" x14ac:dyDescent="0.5">
      <c r="A818" s="17">
        <v>44678.666666666664</v>
      </c>
      <c r="B818" s="19">
        <v>156.57</v>
      </c>
      <c r="C818" t="s">
        <v>38</v>
      </c>
      <c r="D818" t="str">
        <f>T_Stocks[[#This Row],[Ticker]] &amp; "-" &amp; DATE(YEAR(T_Stocks[[#This Row],[Fecha]]),MONTH(T_Stocks[[#This Row],[Fecha]]),DAY(T_Stocks[[#This Row],[Fecha]]))</f>
        <v>AAPL-44678</v>
      </c>
    </row>
    <row r="819" spans="1:4" ht="14.65" thickBot="1" x14ac:dyDescent="0.5">
      <c r="A819" s="17">
        <v>44679.666666666664</v>
      </c>
      <c r="B819" s="19">
        <v>163.63999999999999</v>
      </c>
      <c r="C819" t="s">
        <v>38</v>
      </c>
      <c r="D819" t="str">
        <f>T_Stocks[[#This Row],[Ticker]] &amp; "-" &amp; DATE(YEAR(T_Stocks[[#This Row],[Fecha]]),MONTH(T_Stocks[[#This Row],[Fecha]]),DAY(T_Stocks[[#This Row],[Fecha]]))</f>
        <v>AAPL-44679</v>
      </c>
    </row>
    <row r="820" spans="1:4" ht="14.65" thickBot="1" x14ac:dyDescent="0.5">
      <c r="A820" s="17">
        <v>44680.666666666664</v>
      </c>
      <c r="B820" s="19">
        <v>157.65</v>
      </c>
      <c r="C820" t="s">
        <v>38</v>
      </c>
      <c r="D820" t="str">
        <f>T_Stocks[[#This Row],[Ticker]] &amp; "-" &amp; DATE(YEAR(T_Stocks[[#This Row],[Fecha]]),MONTH(T_Stocks[[#This Row],[Fecha]]),DAY(T_Stocks[[#This Row],[Fecha]]))</f>
        <v>AAPL-44680</v>
      </c>
    </row>
    <row r="821" spans="1:4" ht="14.65" thickBot="1" x14ac:dyDescent="0.5">
      <c r="A821" s="17">
        <v>44683.666666666664</v>
      </c>
      <c r="B821" s="19">
        <v>157.96</v>
      </c>
      <c r="C821" t="s">
        <v>38</v>
      </c>
      <c r="D821" t="str">
        <f>T_Stocks[[#This Row],[Ticker]] &amp; "-" &amp; DATE(YEAR(T_Stocks[[#This Row],[Fecha]]),MONTH(T_Stocks[[#This Row],[Fecha]]),DAY(T_Stocks[[#This Row],[Fecha]]))</f>
        <v>AAPL-44683</v>
      </c>
    </row>
    <row r="822" spans="1:4" ht="14.65" thickBot="1" x14ac:dyDescent="0.5">
      <c r="A822" s="17">
        <v>44684.666666666664</v>
      </c>
      <c r="B822" s="19">
        <v>159.47999999999999</v>
      </c>
      <c r="C822" t="s">
        <v>38</v>
      </c>
      <c r="D822" t="str">
        <f>T_Stocks[[#This Row],[Ticker]] &amp; "-" &amp; DATE(YEAR(T_Stocks[[#This Row],[Fecha]]),MONTH(T_Stocks[[#This Row],[Fecha]]),DAY(T_Stocks[[#This Row],[Fecha]]))</f>
        <v>AAPL-44684</v>
      </c>
    </row>
    <row r="823" spans="1:4" ht="14.65" thickBot="1" x14ac:dyDescent="0.5">
      <c r="A823" s="17">
        <v>44685.666666666664</v>
      </c>
      <c r="B823" s="19">
        <v>166.02</v>
      </c>
      <c r="C823" t="s">
        <v>38</v>
      </c>
      <c r="D823" t="str">
        <f>T_Stocks[[#This Row],[Ticker]] &amp; "-" &amp; DATE(YEAR(T_Stocks[[#This Row],[Fecha]]),MONTH(T_Stocks[[#This Row],[Fecha]]),DAY(T_Stocks[[#This Row],[Fecha]]))</f>
        <v>AAPL-44685</v>
      </c>
    </row>
    <row r="824" spans="1:4" ht="14.65" thickBot="1" x14ac:dyDescent="0.5">
      <c r="A824" s="17">
        <v>44686.666666666664</v>
      </c>
      <c r="B824" s="19">
        <v>156.77000000000001</v>
      </c>
      <c r="C824" t="s">
        <v>38</v>
      </c>
      <c r="D824" t="str">
        <f>T_Stocks[[#This Row],[Ticker]] &amp; "-" &amp; DATE(YEAR(T_Stocks[[#This Row],[Fecha]]),MONTH(T_Stocks[[#This Row],[Fecha]]),DAY(T_Stocks[[#This Row],[Fecha]]))</f>
        <v>AAPL-44686</v>
      </c>
    </row>
    <row r="825" spans="1:4" ht="14.65" thickBot="1" x14ac:dyDescent="0.5">
      <c r="A825" s="17">
        <v>44687.666666666664</v>
      </c>
      <c r="B825" s="19">
        <v>157.28</v>
      </c>
      <c r="C825" t="s">
        <v>38</v>
      </c>
      <c r="D825" t="str">
        <f>T_Stocks[[#This Row],[Ticker]] &amp; "-" &amp; DATE(YEAR(T_Stocks[[#This Row],[Fecha]]),MONTH(T_Stocks[[#This Row],[Fecha]]),DAY(T_Stocks[[#This Row],[Fecha]]))</f>
        <v>AAPL-44687</v>
      </c>
    </row>
    <row r="826" spans="1:4" ht="14.65" thickBot="1" x14ac:dyDescent="0.5">
      <c r="A826" s="17">
        <v>44690.666666666664</v>
      </c>
      <c r="B826" s="19">
        <v>152.06</v>
      </c>
      <c r="C826" t="s">
        <v>38</v>
      </c>
      <c r="D826" t="str">
        <f>T_Stocks[[#This Row],[Ticker]] &amp; "-" &amp; DATE(YEAR(T_Stocks[[#This Row],[Fecha]]),MONTH(T_Stocks[[#This Row],[Fecha]]),DAY(T_Stocks[[#This Row],[Fecha]]))</f>
        <v>AAPL-44690</v>
      </c>
    </row>
    <row r="827" spans="1:4" ht="14.65" thickBot="1" x14ac:dyDescent="0.5">
      <c r="A827" s="17">
        <v>44691.666666666664</v>
      </c>
      <c r="B827" s="19">
        <v>154.51</v>
      </c>
      <c r="C827" t="s">
        <v>38</v>
      </c>
      <c r="D827" t="str">
        <f>T_Stocks[[#This Row],[Ticker]] &amp; "-" &amp; DATE(YEAR(T_Stocks[[#This Row],[Fecha]]),MONTH(T_Stocks[[#This Row],[Fecha]]),DAY(T_Stocks[[#This Row],[Fecha]]))</f>
        <v>AAPL-44691</v>
      </c>
    </row>
    <row r="828" spans="1:4" ht="14.65" thickBot="1" x14ac:dyDescent="0.5">
      <c r="A828" s="17">
        <v>44692.666666666664</v>
      </c>
      <c r="B828" s="19">
        <v>146.5</v>
      </c>
      <c r="C828" t="s">
        <v>38</v>
      </c>
      <c r="D828" t="str">
        <f>T_Stocks[[#This Row],[Ticker]] &amp; "-" &amp; DATE(YEAR(T_Stocks[[#This Row],[Fecha]]),MONTH(T_Stocks[[#This Row],[Fecha]]),DAY(T_Stocks[[#This Row],[Fecha]]))</f>
        <v>AAPL-44692</v>
      </c>
    </row>
    <row r="829" spans="1:4" ht="14.65" thickBot="1" x14ac:dyDescent="0.5">
      <c r="A829" s="17">
        <v>44693.666666666664</v>
      </c>
      <c r="B829" s="19">
        <v>142.56</v>
      </c>
      <c r="C829" t="s">
        <v>38</v>
      </c>
      <c r="D829" t="str">
        <f>T_Stocks[[#This Row],[Ticker]] &amp; "-" &amp; DATE(YEAR(T_Stocks[[#This Row],[Fecha]]),MONTH(T_Stocks[[#This Row],[Fecha]]),DAY(T_Stocks[[#This Row],[Fecha]]))</f>
        <v>AAPL-44693</v>
      </c>
    </row>
    <row r="830" spans="1:4" ht="14.65" thickBot="1" x14ac:dyDescent="0.5">
      <c r="A830" s="17">
        <v>44694.666666666664</v>
      </c>
      <c r="B830" s="19">
        <v>147.11000000000001</v>
      </c>
      <c r="C830" t="s">
        <v>38</v>
      </c>
      <c r="D830" t="str">
        <f>T_Stocks[[#This Row],[Ticker]] &amp; "-" &amp; DATE(YEAR(T_Stocks[[#This Row],[Fecha]]),MONTH(T_Stocks[[#This Row],[Fecha]]),DAY(T_Stocks[[#This Row],[Fecha]]))</f>
        <v>AAPL-44694</v>
      </c>
    </row>
    <row r="831" spans="1:4" ht="14.65" thickBot="1" x14ac:dyDescent="0.5">
      <c r="A831" s="17">
        <v>44697.666666666664</v>
      </c>
      <c r="B831" s="19">
        <v>145.54</v>
      </c>
      <c r="C831" t="s">
        <v>38</v>
      </c>
      <c r="D831" t="str">
        <f>T_Stocks[[#This Row],[Ticker]] &amp; "-" &amp; DATE(YEAR(T_Stocks[[#This Row],[Fecha]]),MONTH(T_Stocks[[#This Row],[Fecha]]),DAY(T_Stocks[[#This Row],[Fecha]]))</f>
        <v>AAPL-44697</v>
      </c>
    </row>
    <row r="832" spans="1:4" ht="14.65" thickBot="1" x14ac:dyDescent="0.5">
      <c r="A832" s="17">
        <v>44698.666666666664</v>
      </c>
      <c r="B832" s="19">
        <v>149.24</v>
      </c>
      <c r="C832" t="s">
        <v>38</v>
      </c>
      <c r="D832" t="str">
        <f>T_Stocks[[#This Row],[Ticker]] &amp; "-" &amp; DATE(YEAR(T_Stocks[[#This Row],[Fecha]]),MONTH(T_Stocks[[#This Row],[Fecha]]),DAY(T_Stocks[[#This Row],[Fecha]]))</f>
        <v>AAPL-44698</v>
      </c>
    </row>
    <row r="833" spans="1:4" ht="14.65" thickBot="1" x14ac:dyDescent="0.5">
      <c r="A833" s="17">
        <v>44699.666666666664</v>
      </c>
      <c r="B833" s="19">
        <v>140.82</v>
      </c>
      <c r="C833" t="s">
        <v>38</v>
      </c>
      <c r="D833" t="str">
        <f>T_Stocks[[#This Row],[Ticker]] &amp; "-" &amp; DATE(YEAR(T_Stocks[[#This Row],[Fecha]]),MONTH(T_Stocks[[#This Row],[Fecha]]),DAY(T_Stocks[[#This Row],[Fecha]]))</f>
        <v>AAPL-44699</v>
      </c>
    </row>
    <row r="834" spans="1:4" ht="14.65" thickBot="1" x14ac:dyDescent="0.5">
      <c r="A834" s="17">
        <v>44700.666666666664</v>
      </c>
      <c r="B834" s="19">
        <v>137.35</v>
      </c>
      <c r="C834" t="s">
        <v>38</v>
      </c>
      <c r="D834" t="str">
        <f>T_Stocks[[#This Row],[Ticker]] &amp; "-" &amp; DATE(YEAR(T_Stocks[[#This Row],[Fecha]]),MONTH(T_Stocks[[#This Row],[Fecha]]),DAY(T_Stocks[[#This Row],[Fecha]]))</f>
        <v>AAPL-44700</v>
      </c>
    </row>
    <row r="835" spans="1:4" ht="14.65" thickBot="1" x14ac:dyDescent="0.5">
      <c r="A835" s="17">
        <v>44701.666666666664</v>
      </c>
      <c r="B835" s="19">
        <v>137.59</v>
      </c>
      <c r="C835" t="s">
        <v>38</v>
      </c>
      <c r="D835" t="str">
        <f>T_Stocks[[#This Row],[Ticker]] &amp; "-" &amp; DATE(YEAR(T_Stocks[[#This Row],[Fecha]]),MONTH(T_Stocks[[#This Row],[Fecha]]),DAY(T_Stocks[[#This Row],[Fecha]]))</f>
        <v>AAPL-44701</v>
      </c>
    </row>
    <row r="836" spans="1:4" ht="14.65" thickBot="1" x14ac:dyDescent="0.5">
      <c r="A836" s="17">
        <v>44704.666666666664</v>
      </c>
      <c r="B836" s="19">
        <v>143.11000000000001</v>
      </c>
      <c r="C836" t="s">
        <v>38</v>
      </c>
      <c r="D836" t="str">
        <f>T_Stocks[[#This Row],[Ticker]] &amp; "-" &amp; DATE(YEAR(T_Stocks[[#This Row],[Fecha]]),MONTH(T_Stocks[[#This Row],[Fecha]]),DAY(T_Stocks[[#This Row],[Fecha]]))</f>
        <v>AAPL-44704</v>
      </c>
    </row>
    <row r="837" spans="1:4" ht="14.65" thickBot="1" x14ac:dyDescent="0.5">
      <c r="A837" s="17">
        <v>44705.666666666664</v>
      </c>
      <c r="B837" s="19">
        <v>140.36000000000001</v>
      </c>
      <c r="C837" t="s">
        <v>38</v>
      </c>
      <c r="D837" t="str">
        <f>T_Stocks[[#This Row],[Ticker]] &amp; "-" &amp; DATE(YEAR(T_Stocks[[#This Row],[Fecha]]),MONTH(T_Stocks[[#This Row],[Fecha]]),DAY(T_Stocks[[#This Row],[Fecha]]))</f>
        <v>AAPL-44705</v>
      </c>
    </row>
    <row r="838" spans="1:4" ht="14.65" thickBot="1" x14ac:dyDescent="0.5">
      <c r="A838" s="17">
        <v>44706.666666666664</v>
      </c>
      <c r="B838" s="19">
        <v>140.52000000000001</v>
      </c>
      <c r="C838" t="s">
        <v>38</v>
      </c>
      <c r="D838" t="str">
        <f>T_Stocks[[#This Row],[Ticker]] &amp; "-" &amp; DATE(YEAR(T_Stocks[[#This Row],[Fecha]]),MONTH(T_Stocks[[#This Row],[Fecha]]),DAY(T_Stocks[[#This Row],[Fecha]]))</f>
        <v>AAPL-44706</v>
      </c>
    </row>
    <row r="839" spans="1:4" ht="14.65" thickBot="1" x14ac:dyDescent="0.5">
      <c r="A839" s="17">
        <v>44707.666666666664</v>
      </c>
      <c r="B839" s="19">
        <v>143.78</v>
      </c>
      <c r="C839" t="s">
        <v>38</v>
      </c>
      <c r="D839" t="str">
        <f>T_Stocks[[#This Row],[Ticker]] &amp; "-" &amp; DATE(YEAR(T_Stocks[[#This Row],[Fecha]]),MONTH(T_Stocks[[#This Row],[Fecha]]),DAY(T_Stocks[[#This Row],[Fecha]]))</f>
        <v>AAPL-44707</v>
      </c>
    </row>
    <row r="840" spans="1:4" ht="14.65" thickBot="1" x14ac:dyDescent="0.5">
      <c r="A840" s="17">
        <v>44708.666666666664</v>
      </c>
      <c r="B840" s="19">
        <v>149.63999999999999</v>
      </c>
      <c r="C840" t="s">
        <v>38</v>
      </c>
      <c r="D840" t="str">
        <f>T_Stocks[[#This Row],[Ticker]] &amp; "-" &amp; DATE(YEAR(T_Stocks[[#This Row],[Fecha]]),MONTH(T_Stocks[[#This Row],[Fecha]]),DAY(T_Stocks[[#This Row],[Fecha]]))</f>
        <v>AAPL-44708</v>
      </c>
    </row>
    <row r="841" spans="1:4" ht="14.65" thickBot="1" x14ac:dyDescent="0.5">
      <c r="A841" s="17">
        <v>44712.666666666664</v>
      </c>
      <c r="B841" s="19">
        <v>148.84</v>
      </c>
      <c r="C841" t="s">
        <v>38</v>
      </c>
      <c r="D841" t="str">
        <f>T_Stocks[[#This Row],[Ticker]] &amp; "-" &amp; DATE(YEAR(T_Stocks[[#This Row],[Fecha]]),MONTH(T_Stocks[[#This Row],[Fecha]]),DAY(T_Stocks[[#This Row],[Fecha]]))</f>
        <v>AAPL-44712</v>
      </c>
    </row>
    <row r="842" spans="1:4" ht="14.65" thickBot="1" x14ac:dyDescent="0.5">
      <c r="A842" s="17">
        <v>44713.666666666664</v>
      </c>
      <c r="B842" s="19">
        <v>148.71</v>
      </c>
      <c r="C842" t="s">
        <v>38</v>
      </c>
      <c r="D842" t="str">
        <f>T_Stocks[[#This Row],[Ticker]] &amp; "-" &amp; DATE(YEAR(T_Stocks[[#This Row],[Fecha]]),MONTH(T_Stocks[[#This Row],[Fecha]]),DAY(T_Stocks[[#This Row],[Fecha]]))</f>
        <v>AAPL-44713</v>
      </c>
    </row>
    <row r="843" spans="1:4" ht="14.65" thickBot="1" x14ac:dyDescent="0.5">
      <c r="A843" s="17">
        <v>44714.666666666664</v>
      </c>
      <c r="B843" s="19">
        <v>151.21</v>
      </c>
      <c r="C843" t="s">
        <v>38</v>
      </c>
      <c r="D843" t="str">
        <f>T_Stocks[[#This Row],[Ticker]] &amp; "-" &amp; DATE(YEAR(T_Stocks[[#This Row],[Fecha]]),MONTH(T_Stocks[[#This Row],[Fecha]]),DAY(T_Stocks[[#This Row],[Fecha]]))</f>
        <v>AAPL-44714</v>
      </c>
    </row>
    <row r="844" spans="1:4" ht="14.65" thickBot="1" x14ac:dyDescent="0.5">
      <c r="A844" s="17">
        <v>44715.666666666664</v>
      </c>
      <c r="B844" s="19">
        <v>145.38</v>
      </c>
      <c r="C844" t="s">
        <v>38</v>
      </c>
      <c r="D844" t="str">
        <f>T_Stocks[[#This Row],[Ticker]] &amp; "-" &amp; DATE(YEAR(T_Stocks[[#This Row],[Fecha]]),MONTH(T_Stocks[[#This Row],[Fecha]]),DAY(T_Stocks[[#This Row],[Fecha]]))</f>
        <v>AAPL-44715</v>
      </c>
    </row>
    <row r="845" spans="1:4" ht="14.65" thickBot="1" x14ac:dyDescent="0.5">
      <c r="A845" s="17">
        <v>44718.666666666664</v>
      </c>
      <c r="B845" s="19">
        <v>146.13999999999999</v>
      </c>
      <c r="C845" t="s">
        <v>38</v>
      </c>
      <c r="D845" t="str">
        <f>T_Stocks[[#This Row],[Ticker]] &amp; "-" &amp; DATE(YEAR(T_Stocks[[#This Row],[Fecha]]),MONTH(T_Stocks[[#This Row],[Fecha]]),DAY(T_Stocks[[#This Row],[Fecha]]))</f>
        <v>AAPL-44718</v>
      </c>
    </row>
    <row r="846" spans="1:4" ht="14.65" thickBot="1" x14ac:dyDescent="0.5">
      <c r="A846" s="17">
        <v>44719.666666666664</v>
      </c>
      <c r="B846" s="19">
        <v>148.71</v>
      </c>
      <c r="C846" t="s">
        <v>38</v>
      </c>
      <c r="D846" t="str">
        <f>T_Stocks[[#This Row],[Ticker]] &amp; "-" &amp; DATE(YEAR(T_Stocks[[#This Row],[Fecha]]),MONTH(T_Stocks[[#This Row],[Fecha]]),DAY(T_Stocks[[#This Row],[Fecha]]))</f>
        <v>AAPL-44719</v>
      </c>
    </row>
    <row r="847" spans="1:4" ht="14.65" thickBot="1" x14ac:dyDescent="0.5">
      <c r="A847" s="17">
        <v>44720.666666666664</v>
      </c>
      <c r="B847" s="19">
        <v>147.96</v>
      </c>
      <c r="C847" t="s">
        <v>38</v>
      </c>
      <c r="D847" t="str">
        <f>T_Stocks[[#This Row],[Ticker]] &amp; "-" &amp; DATE(YEAR(T_Stocks[[#This Row],[Fecha]]),MONTH(T_Stocks[[#This Row],[Fecha]]),DAY(T_Stocks[[#This Row],[Fecha]]))</f>
        <v>AAPL-44720</v>
      </c>
    </row>
    <row r="848" spans="1:4" ht="14.65" thickBot="1" x14ac:dyDescent="0.5">
      <c r="A848" s="17">
        <v>44721.666666666664</v>
      </c>
      <c r="B848" s="19">
        <v>142.63999999999999</v>
      </c>
      <c r="C848" t="s">
        <v>38</v>
      </c>
      <c r="D848" t="str">
        <f>T_Stocks[[#This Row],[Ticker]] &amp; "-" &amp; DATE(YEAR(T_Stocks[[#This Row],[Fecha]]),MONTH(T_Stocks[[#This Row],[Fecha]]),DAY(T_Stocks[[#This Row],[Fecha]]))</f>
        <v>AAPL-44721</v>
      </c>
    </row>
    <row r="849" spans="1:4" ht="14.65" thickBot="1" x14ac:dyDescent="0.5">
      <c r="A849" s="17">
        <v>44722.666666666664</v>
      </c>
      <c r="B849" s="19">
        <v>137.13</v>
      </c>
      <c r="C849" t="s">
        <v>38</v>
      </c>
      <c r="D849" t="str">
        <f>T_Stocks[[#This Row],[Ticker]] &amp; "-" &amp; DATE(YEAR(T_Stocks[[#This Row],[Fecha]]),MONTH(T_Stocks[[#This Row],[Fecha]]),DAY(T_Stocks[[#This Row],[Fecha]]))</f>
        <v>AAPL-44722</v>
      </c>
    </row>
    <row r="850" spans="1:4" ht="14.65" thickBot="1" x14ac:dyDescent="0.5">
      <c r="A850" s="17">
        <v>44725.666666666664</v>
      </c>
      <c r="B850" s="19">
        <v>131.88</v>
      </c>
      <c r="C850" t="s">
        <v>38</v>
      </c>
      <c r="D850" t="str">
        <f>T_Stocks[[#This Row],[Ticker]] &amp; "-" &amp; DATE(YEAR(T_Stocks[[#This Row],[Fecha]]),MONTH(T_Stocks[[#This Row],[Fecha]]),DAY(T_Stocks[[#This Row],[Fecha]]))</f>
        <v>AAPL-44725</v>
      </c>
    </row>
    <row r="851" spans="1:4" ht="14.65" thickBot="1" x14ac:dyDescent="0.5">
      <c r="A851" s="17">
        <v>44726.666666666664</v>
      </c>
      <c r="B851" s="19">
        <v>132.76</v>
      </c>
      <c r="C851" t="s">
        <v>38</v>
      </c>
      <c r="D851" t="str">
        <f>T_Stocks[[#This Row],[Ticker]] &amp; "-" &amp; DATE(YEAR(T_Stocks[[#This Row],[Fecha]]),MONTH(T_Stocks[[#This Row],[Fecha]]),DAY(T_Stocks[[#This Row],[Fecha]]))</f>
        <v>AAPL-44726</v>
      </c>
    </row>
    <row r="852" spans="1:4" ht="14.65" thickBot="1" x14ac:dyDescent="0.5">
      <c r="A852" s="17">
        <v>44727.666666666664</v>
      </c>
      <c r="B852" s="19">
        <v>135.43</v>
      </c>
      <c r="C852" t="s">
        <v>38</v>
      </c>
      <c r="D852" t="str">
        <f>T_Stocks[[#This Row],[Ticker]] &amp; "-" &amp; DATE(YEAR(T_Stocks[[#This Row],[Fecha]]),MONTH(T_Stocks[[#This Row],[Fecha]]),DAY(T_Stocks[[#This Row],[Fecha]]))</f>
        <v>AAPL-44727</v>
      </c>
    </row>
    <row r="853" spans="1:4" ht="14.65" thickBot="1" x14ac:dyDescent="0.5">
      <c r="A853" s="17">
        <v>44728.666666666664</v>
      </c>
      <c r="B853" s="19">
        <v>130.06</v>
      </c>
      <c r="C853" t="s">
        <v>38</v>
      </c>
      <c r="D853" t="str">
        <f>T_Stocks[[#This Row],[Ticker]] &amp; "-" &amp; DATE(YEAR(T_Stocks[[#This Row],[Fecha]]),MONTH(T_Stocks[[#This Row],[Fecha]]),DAY(T_Stocks[[#This Row],[Fecha]]))</f>
        <v>AAPL-44728</v>
      </c>
    </row>
    <row r="854" spans="1:4" ht="14.65" thickBot="1" x14ac:dyDescent="0.5">
      <c r="A854" s="17">
        <v>44729.666666666664</v>
      </c>
      <c r="B854" s="19">
        <v>131.56</v>
      </c>
      <c r="C854" t="s">
        <v>38</v>
      </c>
      <c r="D854" t="str">
        <f>T_Stocks[[#This Row],[Ticker]] &amp; "-" &amp; DATE(YEAR(T_Stocks[[#This Row],[Fecha]]),MONTH(T_Stocks[[#This Row],[Fecha]]),DAY(T_Stocks[[#This Row],[Fecha]]))</f>
        <v>AAPL-44729</v>
      </c>
    </row>
    <row r="855" spans="1:4" ht="14.65" thickBot="1" x14ac:dyDescent="0.5">
      <c r="A855" s="17">
        <v>44733.666666666664</v>
      </c>
      <c r="B855" s="19">
        <v>135.87</v>
      </c>
      <c r="C855" t="s">
        <v>38</v>
      </c>
      <c r="D855" t="str">
        <f>T_Stocks[[#This Row],[Ticker]] &amp; "-" &amp; DATE(YEAR(T_Stocks[[#This Row],[Fecha]]),MONTH(T_Stocks[[#This Row],[Fecha]]),DAY(T_Stocks[[#This Row],[Fecha]]))</f>
        <v>AAPL-44733</v>
      </c>
    </row>
    <row r="856" spans="1:4" ht="14.65" thickBot="1" x14ac:dyDescent="0.5">
      <c r="A856" s="17">
        <v>44734.666666666664</v>
      </c>
      <c r="B856" s="19">
        <v>135.35</v>
      </c>
      <c r="C856" t="s">
        <v>38</v>
      </c>
      <c r="D856" t="str">
        <f>T_Stocks[[#This Row],[Ticker]] &amp; "-" &amp; DATE(YEAR(T_Stocks[[#This Row],[Fecha]]),MONTH(T_Stocks[[#This Row],[Fecha]]),DAY(T_Stocks[[#This Row],[Fecha]]))</f>
        <v>AAPL-44734</v>
      </c>
    </row>
    <row r="857" spans="1:4" ht="14.65" thickBot="1" x14ac:dyDescent="0.5">
      <c r="A857" s="17">
        <v>44735.666666666664</v>
      </c>
      <c r="B857" s="19">
        <v>138.27000000000001</v>
      </c>
      <c r="C857" t="s">
        <v>38</v>
      </c>
      <c r="D857" t="str">
        <f>T_Stocks[[#This Row],[Ticker]] &amp; "-" &amp; DATE(YEAR(T_Stocks[[#This Row],[Fecha]]),MONTH(T_Stocks[[#This Row],[Fecha]]),DAY(T_Stocks[[#This Row],[Fecha]]))</f>
        <v>AAPL-44735</v>
      </c>
    </row>
    <row r="858" spans="1:4" ht="14.65" thickBot="1" x14ac:dyDescent="0.5">
      <c r="A858" s="17">
        <v>44736.666666666664</v>
      </c>
      <c r="B858" s="19">
        <v>141.66</v>
      </c>
      <c r="C858" t="s">
        <v>38</v>
      </c>
      <c r="D858" t="str">
        <f>T_Stocks[[#This Row],[Ticker]] &amp; "-" &amp; DATE(YEAR(T_Stocks[[#This Row],[Fecha]]),MONTH(T_Stocks[[#This Row],[Fecha]]),DAY(T_Stocks[[#This Row],[Fecha]]))</f>
        <v>AAPL-44736</v>
      </c>
    </row>
    <row r="859" spans="1:4" ht="14.65" thickBot="1" x14ac:dyDescent="0.5">
      <c r="A859" s="17">
        <v>44739.666666666664</v>
      </c>
      <c r="B859" s="19">
        <v>141.66</v>
      </c>
      <c r="C859" t="s">
        <v>38</v>
      </c>
      <c r="D859" t="str">
        <f>T_Stocks[[#This Row],[Ticker]] &amp; "-" &amp; DATE(YEAR(T_Stocks[[#This Row],[Fecha]]),MONTH(T_Stocks[[#This Row],[Fecha]]),DAY(T_Stocks[[#This Row],[Fecha]]))</f>
        <v>AAPL-44739</v>
      </c>
    </row>
    <row r="860" spans="1:4" ht="14.65" thickBot="1" x14ac:dyDescent="0.5">
      <c r="A860" s="17">
        <v>44740.666666666664</v>
      </c>
      <c r="B860" s="19">
        <v>137.44</v>
      </c>
      <c r="C860" t="s">
        <v>38</v>
      </c>
      <c r="D860" t="str">
        <f>T_Stocks[[#This Row],[Ticker]] &amp; "-" &amp; DATE(YEAR(T_Stocks[[#This Row],[Fecha]]),MONTH(T_Stocks[[#This Row],[Fecha]]),DAY(T_Stocks[[#This Row],[Fecha]]))</f>
        <v>AAPL-44740</v>
      </c>
    </row>
    <row r="861" spans="1:4" ht="14.65" thickBot="1" x14ac:dyDescent="0.5">
      <c r="A861" s="17">
        <v>44741.666666666664</v>
      </c>
      <c r="B861" s="19">
        <v>139.22999999999999</v>
      </c>
      <c r="C861" t="s">
        <v>38</v>
      </c>
      <c r="D861" t="str">
        <f>T_Stocks[[#This Row],[Ticker]] &amp; "-" &amp; DATE(YEAR(T_Stocks[[#This Row],[Fecha]]),MONTH(T_Stocks[[#This Row],[Fecha]]),DAY(T_Stocks[[#This Row],[Fecha]]))</f>
        <v>AAPL-44741</v>
      </c>
    </row>
    <row r="862" spans="1:4" ht="14.65" thickBot="1" x14ac:dyDescent="0.5">
      <c r="A862" s="17">
        <v>44742.666666666664</v>
      </c>
      <c r="B862" s="19">
        <v>136.72</v>
      </c>
      <c r="C862" t="s">
        <v>38</v>
      </c>
      <c r="D862" t="str">
        <f>T_Stocks[[#This Row],[Ticker]] &amp; "-" &amp; DATE(YEAR(T_Stocks[[#This Row],[Fecha]]),MONTH(T_Stocks[[#This Row],[Fecha]]),DAY(T_Stocks[[#This Row],[Fecha]]))</f>
        <v>AAPL-44742</v>
      </c>
    </row>
    <row r="863" spans="1:4" ht="14.65" thickBot="1" x14ac:dyDescent="0.5">
      <c r="A863" s="17">
        <v>44743.666666666664</v>
      </c>
      <c r="B863" s="19">
        <v>138.93</v>
      </c>
      <c r="C863" t="s">
        <v>38</v>
      </c>
      <c r="D863" t="str">
        <f>T_Stocks[[#This Row],[Ticker]] &amp; "-" &amp; DATE(YEAR(T_Stocks[[#This Row],[Fecha]]),MONTH(T_Stocks[[#This Row],[Fecha]]),DAY(T_Stocks[[#This Row],[Fecha]]))</f>
        <v>AAPL-44743</v>
      </c>
    </row>
    <row r="864" spans="1:4" ht="14.65" thickBot="1" x14ac:dyDescent="0.5">
      <c r="A864" s="17">
        <v>44747.666666666664</v>
      </c>
      <c r="B864" s="19">
        <v>141.56</v>
      </c>
      <c r="C864" t="s">
        <v>38</v>
      </c>
      <c r="D864" t="str">
        <f>T_Stocks[[#This Row],[Ticker]] &amp; "-" &amp; DATE(YEAR(T_Stocks[[#This Row],[Fecha]]),MONTH(T_Stocks[[#This Row],[Fecha]]),DAY(T_Stocks[[#This Row],[Fecha]]))</f>
        <v>AAPL-44747</v>
      </c>
    </row>
    <row r="865" spans="1:4" ht="14.65" thickBot="1" x14ac:dyDescent="0.5">
      <c r="A865" s="17">
        <v>44748.666666666664</v>
      </c>
      <c r="B865" s="19">
        <v>142.91999999999999</v>
      </c>
      <c r="C865" t="s">
        <v>38</v>
      </c>
      <c r="D865" t="str">
        <f>T_Stocks[[#This Row],[Ticker]] &amp; "-" &amp; DATE(YEAR(T_Stocks[[#This Row],[Fecha]]),MONTH(T_Stocks[[#This Row],[Fecha]]),DAY(T_Stocks[[#This Row],[Fecha]]))</f>
        <v>AAPL-44748</v>
      </c>
    </row>
    <row r="866" spans="1:4" ht="14.65" thickBot="1" x14ac:dyDescent="0.5">
      <c r="A866" s="17">
        <v>44749.666666666664</v>
      </c>
      <c r="B866" s="19">
        <v>146.35</v>
      </c>
      <c r="C866" t="s">
        <v>38</v>
      </c>
      <c r="D866" t="str">
        <f>T_Stocks[[#This Row],[Ticker]] &amp; "-" &amp; DATE(YEAR(T_Stocks[[#This Row],[Fecha]]),MONTH(T_Stocks[[#This Row],[Fecha]]),DAY(T_Stocks[[#This Row],[Fecha]]))</f>
        <v>AAPL-44749</v>
      </c>
    </row>
    <row r="867" spans="1:4" ht="14.65" thickBot="1" x14ac:dyDescent="0.5">
      <c r="A867" s="17">
        <v>44750.666666666664</v>
      </c>
      <c r="B867" s="19">
        <v>147.04</v>
      </c>
      <c r="C867" t="s">
        <v>38</v>
      </c>
      <c r="D867" t="str">
        <f>T_Stocks[[#This Row],[Ticker]] &amp; "-" &amp; DATE(YEAR(T_Stocks[[#This Row],[Fecha]]),MONTH(T_Stocks[[#This Row],[Fecha]]),DAY(T_Stocks[[#This Row],[Fecha]]))</f>
        <v>AAPL-44750</v>
      </c>
    </row>
    <row r="868" spans="1:4" ht="14.65" thickBot="1" x14ac:dyDescent="0.5">
      <c r="A868" s="17">
        <v>44753.666666666664</v>
      </c>
      <c r="B868" s="19">
        <v>144.87</v>
      </c>
      <c r="C868" t="s">
        <v>38</v>
      </c>
      <c r="D868" t="str">
        <f>T_Stocks[[#This Row],[Ticker]] &amp; "-" &amp; DATE(YEAR(T_Stocks[[#This Row],[Fecha]]),MONTH(T_Stocks[[#This Row],[Fecha]]),DAY(T_Stocks[[#This Row],[Fecha]]))</f>
        <v>AAPL-44753</v>
      </c>
    </row>
    <row r="869" spans="1:4" ht="14.65" thickBot="1" x14ac:dyDescent="0.5">
      <c r="A869" s="17">
        <v>44754.666666666664</v>
      </c>
      <c r="B869" s="19">
        <v>145.86000000000001</v>
      </c>
      <c r="C869" t="s">
        <v>38</v>
      </c>
      <c r="D869" t="str">
        <f>T_Stocks[[#This Row],[Ticker]] &amp; "-" &amp; DATE(YEAR(T_Stocks[[#This Row],[Fecha]]),MONTH(T_Stocks[[#This Row],[Fecha]]),DAY(T_Stocks[[#This Row],[Fecha]]))</f>
        <v>AAPL-44754</v>
      </c>
    </row>
    <row r="870" spans="1:4" ht="14.65" thickBot="1" x14ac:dyDescent="0.5">
      <c r="A870" s="17">
        <v>44755.666666666664</v>
      </c>
      <c r="B870" s="19">
        <v>145.49</v>
      </c>
      <c r="C870" t="s">
        <v>38</v>
      </c>
      <c r="D870" t="str">
        <f>T_Stocks[[#This Row],[Ticker]] &amp; "-" &amp; DATE(YEAR(T_Stocks[[#This Row],[Fecha]]),MONTH(T_Stocks[[#This Row],[Fecha]]),DAY(T_Stocks[[#This Row],[Fecha]]))</f>
        <v>AAPL-44755</v>
      </c>
    </row>
    <row r="871" spans="1:4" ht="14.65" thickBot="1" x14ac:dyDescent="0.5">
      <c r="A871" s="17">
        <v>44756.666666666664</v>
      </c>
      <c r="B871" s="19">
        <v>148.47</v>
      </c>
      <c r="C871" t="s">
        <v>38</v>
      </c>
      <c r="D871" t="str">
        <f>T_Stocks[[#This Row],[Ticker]] &amp; "-" &amp; DATE(YEAR(T_Stocks[[#This Row],[Fecha]]),MONTH(T_Stocks[[#This Row],[Fecha]]),DAY(T_Stocks[[#This Row],[Fecha]]))</f>
        <v>AAPL-44756</v>
      </c>
    </row>
    <row r="872" spans="1:4" ht="14.65" thickBot="1" x14ac:dyDescent="0.5">
      <c r="A872" s="17">
        <v>44757.666666666664</v>
      </c>
      <c r="B872" s="19">
        <v>150.16999999999999</v>
      </c>
      <c r="C872" t="s">
        <v>38</v>
      </c>
      <c r="D872" t="str">
        <f>T_Stocks[[#This Row],[Ticker]] &amp; "-" &amp; DATE(YEAR(T_Stocks[[#This Row],[Fecha]]),MONTH(T_Stocks[[#This Row],[Fecha]]),DAY(T_Stocks[[#This Row],[Fecha]]))</f>
        <v>AAPL-44757</v>
      </c>
    </row>
    <row r="873" spans="1:4" ht="14.65" thickBot="1" x14ac:dyDescent="0.5">
      <c r="A873" s="17">
        <v>44760.666666666664</v>
      </c>
      <c r="B873" s="19">
        <v>147.07</v>
      </c>
      <c r="C873" t="s">
        <v>38</v>
      </c>
      <c r="D873" t="str">
        <f>T_Stocks[[#This Row],[Ticker]] &amp; "-" &amp; DATE(YEAR(T_Stocks[[#This Row],[Fecha]]),MONTH(T_Stocks[[#This Row],[Fecha]]),DAY(T_Stocks[[#This Row],[Fecha]]))</f>
        <v>AAPL-44760</v>
      </c>
    </row>
    <row r="874" spans="1:4" ht="14.65" thickBot="1" x14ac:dyDescent="0.5">
      <c r="A874" s="17">
        <v>44761.666666666664</v>
      </c>
      <c r="B874" s="19">
        <v>151</v>
      </c>
      <c r="C874" t="s">
        <v>38</v>
      </c>
      <c r="D874" t="str">
        <f>T_Stocks[[#This Row],[Ticker]] &amp; "-" &amp; DATE(YEAR(T_Stocks[[#This Row],[Fecha]]),MONTH(T_Stocks[[#This Row],[Fecha]]),DAY(T_Stocks[[#This Row],[Fecha]]))</f>
        <v>AAPL-44761</v>
      </c>
    </row>
    <row r="875" spans="1:4" ht="14.65" thickBot="1" x14ac:dyDescent="0.5">
      <c r="A875" s="17">
        <v>44762.666666666664</v>
      </c>
      <c r="B875" s="19">
        <v>153.04</v>
      </c>
      <c r="C875" t="s">
        <v>38</v>
      </c>
      <c r="D875" t="str">
        <f>T_Stocks[[#This Row],[Ticker]] &amp; "-" &amp; DATE(YEAR(T_Stocks[[#This Row],[Fecha]]),MONTH(T_Stocks[[#This Row],[Fecha]]),DAY(T_Stocks[[#This Row],[Fecha]]))</f>
        <v>AAPL-44762</v>
      </c>
    </row>
    <row r="876" spans="1:4" ht="14.65" thickBot="1" x14ac:dyDescent="0.5">
      <c r="A876" s="17">
        <v>44763.666666666664</v>
      </c>
      <c r="B876" s="19">
        <v>155.35</v>
      </c>
      <c r="C876" t="s">
        <v>38</v>
      </c>
      <c r="D876" t="str">
        <f>T_Stocks[[#This Row],[Ticker]] &amp; "-" &amp; DATE(YEAR(T_Stocks[[#This Row],[Fecha]]),MONTH(T_Stocks[[#This Row],[Fecha]]),DAY(T_Stocks[[#This Row],[Fecha]]))</f>
        <v>AAPL-44763</v>
      </c>
    </row>
    <row r="877" spans="1:4" ht="14.65" thickBot="1" x14ac:dyDescent="0.5">
      <c r="A877" s="17">
        <v>44764.666666666664</v>
      </c>
      <c r="B877" s="19">
        <v>154.09</v>
      </c>
      <c r="C877" t="s">
        <v>38</v>
      </c>
      <c r="D877" t="str">
        <f>T_Stocks[[#This Row],[Ticker]] &amp; "-" &amp; DATE(YEAR(T_Stocks[[#This Row],[Fecha]]),MONTH(T_Stocks[[#This Row],[Fecha]]),DAY(T_Stocks[[#This Row],[Fecha]]))</f>
        <v>AAPL-44764</v>
      </c>
    </row>
    <row r="878" spans="1:4" ht="14.65" thickBot="1" x14ac:dyDescent="0.5">
      <c r="A878" s="17">
        <v>44767.666666666664</v>
      </c>
      <c r="B878" s="19">
        <v>152.94999999999999</v>
      </c>
      <c r="C878" t="s">
        <v>38</v>
      </c>
      <c r="D878" t="str">
        <f>T_Stocks[[#This Row],[Ticker]] &amp; "-" &amp; DATE(YEAR(T_Stocks[[#This Row],[Fecha]]),MONTH(T_Stocks[[#This Row],[Fecha]]),DAY(T_Stocks[[#This Row],[Fecha]]))</f>
        <v>AAPL-44767</v>
      </c>
    </row>
    <row r="879" spans="1:4" ht="14.65" thickBot="1" x14ac:dyDescent="0.5">
      <c r="A879" s="17">
        <v>44768.666666666664</v>
      </c>
      <c r="B879" s="19">
        <v>151.6</v>
      </c>
      <c r="C879" t="s">
        <v>38</v>
      </c>
      <c r="D879" t="str">
        <f>T_Stocks[[#This Row],[Ticker]] &amp; "-" &amp; DATE(YEAR(T_Stocks[[#This Row],[Fecha]]),MONTH(T_Stocks[[#This Row],[Fecha]]),DAY(T_Stocks[[#This Row],[Fecha]]))</f>
        <v>AAPL-44768</v>
      </c>
    </row>
    <row r="880" spans="1:4" ht="14.65" thickBot="1" x14ac:dyDescent="0.5">
      <c r="A880" s="17">
        <v>44769.666666666664</v>
      </c>
      <c r="B880" s="19">
        <v>156.79</v>
      </c>
      <c r="C880" t="s">
        <v>38</v>
      </c>
      <c r="D880" t="str">
        <f>T_Stocks[[#This Row],[Ticker]] &amp; "-" &amp; DATE(YEAR(T_Stocks[[#This Row],[Fecha]]),MONTH(T_Stocks[[#This Row],[Fecha]]),DAY(T_Stocks[[#This Row],[Fecha]]))</f>
        <v>AAPL-44769</v>
      </c>
    </row>
    <row r="881" spans="1:4" ht="14.65" thickBot="1" x14ac:dyDescent="0.5">
      <c r="A881" s="17">
        <v>44770.666666666664</v>
      </c>
      <c r="B881" s="19">
        <v>157.35</v>
      </c>
      <c r="C881" t="s">
        <v>38</v>
      </c>
      <c r="D881" t="str">
        <f>T_Stocks[[#This Row],[Ticker]] &amp; "-" &amp; DATE(YEAR(T_Stocks[[#This Row],[Fecha]]),MONTH(T_Stocks[[#This Row],[Fecha]]),DAY(T_Stocks[[#This Row],[Fecha]]))</f>
        <v>AAPL-44770</v>
      </c>
    </row>
    <row r="882" spans="1:4" ht="14.65" thickBot="1" x14ac:dyDescent="0.5">
      <c r="A882" s="17">
        <v>44771.666666666664</v>
      </c>
      <c r="B882" s="19">
        <v>162.51</v>
      </c>
      <c r="C882" t="s">
        <v>38</v>
      </c>
      <c r="D882" t="str">
        <f>T_Stocks[[#This Row],[Ticker]] &amp; "-" &amp; DATE(YEAR(T_Stocks[[#This Row],[Fecha]]),MONTH(T_Stocks[[#This Row],[Fecha]]),DAY(T_Stocks[[#This Row],[Fecha]]))</f>
        <v>AAPL-44771</v>
      </c>
    </row>
    <row r="883" spans="1:4" ht="14.65" thickBot="1" x14ac:dyDescent="0.5">
      <c r="A883" s="17">
        <v>44774.666666666664</v>
      </c>
      <c r="B883" s="19">
        <v>161.51</v>
      </c>
      <c r="C883" t="s">
        <v>38</v>
      </c>
      <c r="D883" t="str">
        <f>T_Stocks[[#This Row],[Ticker]] &amp; "-" &amp; DATE(YEAR(T_Stocks[[#This Row],[Fecha]]),MONTH(T_Stocks[[#This Row],[Fecha]]),DAY(T_Stocks[[#This Row],[Fecha]]))</f>
        <v>AAPL-44774</v>
      </c>
    </row>
    <row r="884" spans="1:4" ht="14.65" thickBot="1" x14ac:dyDescent="0.5">
      <c r="A884" s="17">
        <v>44775.666666666664</v>
      </c>
      <c r="B884" s="19">
        <v>160.01</v>
      </c>
      <c r="C884" t="s">
        <v>38</v>
      </c>
      <c r="D884" t="str">
        <f>T_Stocks[[#This Row],[Ticker]] &amp; "-" &amp; DATE(YEAR(T_Stocks[[#This Row],[Fecha]]),MONTH(T_Stocks[[#This Row],[Fecha]]),DAY(T_Stocks[[#This Row],[Fecha]]))</f>
        <v>AAPL-44775</v>
      </c>
    </row>
    <row r="885" spans="1:4" ht="14.65" thickBot="1" x14ac:dyDescent="0.5">
      <c r="A885" s="17">
        <v>44776.666666666664</v>
      </c>
      <c r="B885" s="19">
        <v>166.13</v>
      </c>
      <c r="C885" t="s">
        <v>38</v>
      </c>
      <c r="D885" t="str">
        <f>T_Stocks[[#This Row],[Ticker]] &amp; "-" &amp; DATE(YEAR(T_Stocks[[#This Row],[Fecha]]),MONTH(T_Stocks[[#This Row],[Fecha]]),DAY(T_Stocks[[#This Row],[Fecha]]))</f>
        <v>AAPL-44776</v>
      </c>
    </row>
    <row r="886" spans="1:4" ht="14.65" thickBot="1" x14ac:dyDescent="0.5">
      <c r="A886" s="17">
        <v>44777.666666666664</v>
      </c>
      <c r="B886" s="19">
        <v>165.81</v>
      </c>
      <c r="C886" t="s">
        <v>38</v>
      </c>
      <c r="D886" t="str">
        <f>T_Stocks[[#This Row],[Ticker]] &amp; "-" &amp; DATE(YEAR(T_Stocks[[#This Row],[Fecha]]),MONTH(T_Stocks[[#This Row],[Fecha]]),DAY(T_Stocks[[#This Row],[Fecha]]))</f>
        <v>AAPL-44777</v>
      </c>
    </row>
    <row r="887" spans="1:4" ht="14.65" thickBot="1" x14ac:dyDescent="0.5">
      <c r="A887" s="17">
        <v>44778.666666666664</v>
      </c>
      <c r="B887" s="19">
        <v>165.35</v>
      </c>
      <c r="C887" t="s">
        <v>38</v>
      </c>
      <c r="D887" t="str">
        <f>T_Stocks[[#This Row],[Ticker]] &amp; "-" &amp; DATE(YEAR(T_Stocks[[#This Row],[Fecha]]),MONTH(T_Stocks[[#This Row],[Fecha]]),DAY(T_Stocks[[#This Row],[Fecha]]))</f>
        <v>AAPL-44778</v>
      </c>
    </row>
    <row r="888" spans="1:4" ht="14.65" thickBot="1" x14ac:dyDescent="0.5">
      <c r="A888" s="17">
        <v>44781.666666666664</v>
      </c>
      <c r="B888" s="19">
        <v>164.87</v>
      </c>
      <c r="C888" t="s">
        <v>38</v>
      </c>
      <c r="D888" t="str">
        <f>T_Stocks[[#This Row],[Ticker]] &amp; "-" &amp; DATE(YEAR(T_Stocks[[#This Row],[Fecha]]),MONTH(T_Stocks[[#This Row],[Fecha]]),DAY(T_Stocks[[#This Row],[Fecha]]))</f>
        <v>AAPL-44781</v>
      </c>
    </row>
    <row r="889" spans="1:4" ht="14.65" thickBot="1" x14ac:dyDescent="0.5">
      <c r="A889" s="17">
        <v>44782.666666666664</v>
      </c>
      <c r="B889" s="19">
        <v>164.92</v>
      </c>
      <c r="C889" t="s">
        <v>38</v>
      </c>
      <c r="D889" t="str">
        <f>T_Stocks[[#This Row],[Ticker]] &amp; "-" &amp; DATE(YEAR(T_Stocks[[#This Row],[Fecha]]),MONTH(T_Stocks[[#This Row],[Fecha]]),DAY(T_Stocks[[#This Row],[Fecha]]))</f>
        <v>AAPL-44782</v>
      </c>
    </row>
    <row r="890" spans="1:4" ht="14.65" thickBot="1" x14ac:dyDescent="0.5">
      <c r="A890" s="17">
        <v>44783.666666666664</v>
      </c>
      <c r="B890" s="19">
        <v>169.24</v>
      </c>
      <c r="C890" t="s">
        <v>38</v>
      </c>
      <c r="D890" t="str">
        <f>T_Stocks[[#This Row],[Ticker]] &amp; "-" &amp; DATE(YEAR(T_Stocks[[#This Row],[Fecha]]),MONTH(T_Stocks[[#This Row],[Fecha]]),DAY(T_Stocks[[#This Row],[Fecha]]))</f>
        <v>AAPL-44783</v>
      </c>
    </row>
    <row r="891" spans="1:4" ht="14.65" thickBot="1" x14ac:dyDescent="0.5">
      <c r="A891" s="17">
        <v>44784.666666666664</v>
      </c>
      <c r="B891" s="19">
        <v>168.49</v>
      </c>
      <c r="C891" t="s">
        <v>38</v>
      </c>
      <c r="D891" t="str">
        <f>T_Stocks[[#This Row],[Ticker]] &amp; "-" &amp; DATE(YEAR(T_Stocks[[#This Row],[Fecha]]),MONTH(T_Stocks[[#This Row],[Fecha]]),DAY(T_Stocks[[#This Row],[Fecha]]))</f>
        <v>AAPL-44784</v>
      </c>
    </row>
    <row r="892" spans="1:4" ht="14.65" thickBot="1" x14ac:dyDescent="0.5">
      <c r="A892" s="17">
        <v>44785.666666666664</v>
      </c>
      <c r="B892" s="19">
        <v>172.1</v>
      </c>
      <c r="C892" t="s">
        <v>38</v>
      </c>
      <c r="D892" t="str">
        <f>T_Stocks[[#This Row],[Ticker]] &amp; "-" &amp; DATE(YEAR(T_Stocks[[#This Row],[Fecha]]),MONTH(T_Stocks[[#This Row],[Fecha]]),DAY(T_Stocks[[#This Row],[Fecha]]))</f>
        <v>AAPL-44785</v>
      </c>
    </row>
    <row r="893" spans="1:4" ht="14.65" thickBot="1" x14ac:dyDescent="0.5">
      <c r="A893" s="17">
        <v>44788.666666666664</v>
      </c>
      <c r="B893" s="19">
        <v>173.19</v>
      </c>
      <c r="C893" t="s">
        <v>38</v>
      </c>
      <c r="D893" t="str">
        <f>T_Stocks[[#This Row],[Ticker]] &amp; "-" &amp; DATE(YEAR(T_Stocks[[#This Row],[Fecha]]),MONTH(T_Stocks[[#This Row],[Fecha]]),DAY(T_Stocks[[#This Row],[Fecha]]))</f>
        <v>AAPL-44788</v>
      </c>
    </row>
    <row r="894" spans="1:4" ht="14.65" thickBot="1" x14ac:dyDescent="0.5">
      <c r="A894" s="17">
        <v>44789.666666666664</v>
      </c>
      <c r="B894" s="19">
        <v>173.03</v>
      </c>
      <c r="C894" t="s">
        <v>38</v>
      </c>
      <c r="D894" t="str">
        <f>T_Stocks[[#This Row],[Ticker]] &amp; "-" &amp; DATE(YEAR(T_Stocks[[#This Row],[Fecha]]),MONTH(T_Stocks[[#This Row],[Fecha]]),DAY(T_Stocks[[#This Row],[Fecha]]))</f>
        <v>AAPL-44789</v>
      </c>
    </row>
    <row r="895" spans="1:4" ht="14.65" thickBot="1" x14ac:dyDescent="0.5">
      <c r="A895" s="17">
        <v>44790.666666666664</v>
      </c>
      <c r="B895" s="19">
        <v>174.55</v>
      </c>
      <c r="C895" t="s">
        <v>38</v>
      </c>
      <c r="D895" t="str">
        <f>T_Stocks[[#This Row],[Ticker]] &amp; "-" &amp; DATE(YEAR(T_Stocks[[#This Row],[Fecha]]),MONTH(T_Stocks[[#This Row],[Fecha]]),DAY(T_Stocks[[#This Row],[Fecha]]))</f>
        <v>AAPL-44790</v>
      </c>
    </row>
    <row r="896" spans="1:4" ht="14.65" thickBot="1" x14ac:dyDescent="0.5">
      <c r="A896" s="17">
        <v>44791.666666666664</v>
      </c>
      <c r="B896" s="19">
        <v>174.15</v>
      </c>
      <c r="C896" t="s">
        <v>38</v>
      </c>
      <c r="D896" t="str">
        <f>T_Stocks[[#This Row],[Ticker]] &amp; "-" &amp; DATE(YEAR(T_Stocks[[#This Row],[Fecha]]),MONTH(T_Stocks[[#This Row],[Fecha]]),DAY(T_Stocks[[#This Row],[Fecha]]))</f>
        <v>AAPL-44791</v>
      </c>
    </row>
    <row r="897" spans="1:4" ht="14.65" thickBot="1" x14ac:dyDescent="0.5">
      <c r="A897" s="17">
        <v>44792.666666666664</v>
      </c>
      <c r="B897" s="19">
        <v>171.52</v>
      </c>
      <c r="C897" t="s">
        <v>38</v>
      </c>
      <c r="D897" t="str">
        <f>T_Stocks[[#This Row],[Ticker]] &amp; "-" &amp; DATE(YEAR(T_Stocks[[#This Row],[Fecha]]),MONTH(T_Stocks[[#This Row],[Fecha]]),DAY(T_Stocks[[#This Row],[Fecha]]))</f>
        <v>AAPL-44792</v>
      </c>
    </row>
    <row r="898" spans="1:4" ht="14.65" thickBot="1" x14ac:dyDescent="0.5">
      <c r="A898" s="17">
        <v>44795.666666666664</v>
      </c>
      <c r="B898" s="19">
        <v>167.57</v>
      </c>
      <c r="C898" t="s">
        <v>38</v>
      </c>
      <c r="D898" t="str">
        <f>T_Stocks[[#This Row],[Ticker]] &amp; "-" &amp; DATE(YEAR(T_Stocks[[#This Row],[Fecha]]),MONTH(T_Stocks[[#This Row],[Fecha]]),DAY(T_Stocks[[#This Row],[Fecha]]))</f>
        <v>AAPL-44795</v>
      </c>
    </row>
    <row r="899" spans="1:4" ht="14.65" thickBot="1" x14ac:dyDescent="0.5">
      <c r="A899" s="17">
        <v>44796.666666666664</v>
      </c>
      <c r="B899" s="19">
        <v>167.23</v>
      </c>
      <c r="C899" t="s">
        <v>38</v>
      </c>
      <c r="D899" t="str">
        <f>T_Stocks[[#This Row],[Ticker]] &amp; "-" &amp; DATE(YEAR(T_Stocks[[#This Row],[Fecha]]),MONTH(T_Stocks[[#This Row],[Fecha]]),DAY(T_Stocks[[#This Row],[Fecha]]))</f>
        <v>AAPL-44796</v>
      </c>
    </row>
    <row r="900" spans="1:4" ht="14.65" thickBot="1" x14ac:dyDescent="0.5">
      <c r="A900" s="17">
        <v>44797.666666666664</v>
      </c>
      <c r="B900" s="19">
        <v>167.53</v>
      </c>
      <c r="C900" t="s">
        <v>38</v>
      </c>
      <c r="D900" t="str">
        <f>T_Stocks[[#This Row],[Ticker]] &amp; "-" &amp; DATE(YEAR(T_Stocks[[#This Row],[Fecha]]),MONTH(T_Stocks[[#This Row],[Fecha]]),DAY(T_Stocks[[#This Row],[Fecha]]))</f>
        <v>AAPL-44797</v>
      </c>
    </row>
    <row r="901" spans="1:4" ht="14.65" thickBot="1" x14ac:dyDescent="0.5">
      <c r="A901" s="17">
        <v>44798.666666666664</v>
      </c>
      <c r="B901" s="19">
        <v>170.03</v>
      </c>
      <c r="C901" t="s">
        <v>38</v>
      </c>
      <c r="D901" t="str">
        <f>T_Stocks[[#This Row],[Ticker]] &amp; "-" &amp; DATE(YEAR(T_Stocks[[#This Row],[Fecha]]),MONTH(T_Stocks[[#This Row],[Fecha]]),DAY(T_Stocks[[#This Row],[Fecha]]))</f>
        <v>AAPL-44798</v>
      </c>
    </row>
    <row r="902" spans="1:4" ht="14.65" thickBot="1" x14ac:dyDescent="0.5">
      <c r="A902" s="17">
        <v>44799.666666666664</v>
      </c>
      <c r="B902" s="19">
        <v>163.62</v>
      </c>
      <c r="C902" t="s">
        <v>38</v>
      </c>
      <c r="D902" t="str">
        <f>T_Stocks[[#This Row],[Ticker]] &amp; "-" &amp; DATE(YEAR(T_Stocks[[#This Row],[Fecha]]),MONTH(T_Stocks[[#This Row],[Fecha]]),DAY(T_Stocks[[#This Row],[Fecha]]))</f>
        <v>AAPL-44799</v>
      </c>
    </row>
    <row r="903" spans="1:4" ht="14.65" thickBot="1" x14ac:dyDescent="0.5">
      <c r="A903" s="17">
        <v>44802.666666666664</v>
      </c>
      <c r="B903" s="19">
        <v>161.38</v>
      </c>
      <c r="C903" t="s">
        <v>38</v>
      </c>
      <c r="D903" t="str">
        <f>T_Stocks[[#This Row],[Ticker]] &amp; "-" &amp; DATE(YEAR(T_Stocks[[#This Row],[Fecha]]),MONTH(T_Stocks[[#This Row],[Fecha]]),DAY(T_Stocks[[#This Row],[Fecha]]))</f>
        <v>AAPL-44802</v>
      </c>
    </row>
    <row r="904" spans="1:4" ht="14.65" thickBot="1" x14ac:dyDescent="0.5">
      <c r="A904" s="17">
        <v>44803.666666666664</v>
      </c>
      <c r="B904" s="19">
        <v>158.91</v>
      </c>
      <c r="C904" t="s">
        <v>38</v>
      </c>
      <c r="D904" t="str">
        <f>T_Stocks[[#This Row],[Ticker]] &amp; "-" &amp; DATE(YEAR(T_Stocks[[#This Row],[Fecha]]),MONTH(T_Stocks[[#This Row],[Fecha]]),DAY(T_Stocks[[#This Row],[Fecha]]))</f>
        <v>AAPL-44803</v>
      </c>
    </row>
    <row r="905" spans="1:4" ht="14.65" thickBot="1" x14ac:dyDescent="0.5">
      <c r="A905" s="17">
        <v>44804.666666666664</v>
      </c>
      <c r="B905" s="19">
        <v>157.22</v>
      </c>
      <c r="C905" t="s">
        <v>38</v>
      </c>
      <c r="D905" t="str">
        <f>T_Stocks[[#This Row],[Ticker]] &amp; "-" &amp; DATE(YEAR(T_Stocks[[#This Row],[Fecha]]),MONTH(T_Stocks[[#This Row],[Fecha]]),DAY(T_Stocks[[#This Row],[Fecha]]))</f>
        <v>AAPL-44804</v>
      </c>
    </row>
    <row r="906" spans="1:4" ht="14.65" thickBot="1" x14ac:dyDescent="0.5">
      <c r="A906" s="17">
        <v>44805.666666666664</v>
      </c>
      <c r="B906" s="19">
        <v>157.96</v>
      </c>
      <c r="C906" t="s">
        <v>38</v>
      </c>
      <c r="D906" t="str">
        <f>T_Stocks[[#This Row],[Ticker]] &amp; "-" &amp; DATE(YEAR(T_Stocks[[#This Row],[Fecha]]),MONTH(T_Stocks[[#This Row],[Fecha]]),DAY(T_Stocks[[#This Row],[Fecha]]))</f>
        <v>AAPL-44805</v>
      </c>
    </row>
    <row r="907" spans="1:4" ht="14.65" thickBot="1" x14ac:dyDescent="0.5">
      <c r="A907" s="17">
        <v>44806.666666666664</v>
      </c>
      <c r="B907" s="19">
        <v>155.81</v>
      </c>
      <c r="C907" t="s">
        <v>38</v>
      </c>
      <c r="D907" t="str">
        <f>T_Stocks[[#This Row],[Ticker]] &amp; "-" &amp; DATE(YEAR(T_Stocks[[#This Row],[Fecha]]),MONTH(T_Stocks[[#This Row],[Fecha]]),DAY(T_Stocks[[#This Row],[Fecha]]))</f>
        <v>AAPL-44806</v>
      </c>
    </row>
    <row r="908" spans="1:4" ht="14.65" thickBot="1" x14ac:dyDescent="0.5">
      <c r="A908" s="17">
        <v>44810.666666666664</v>
      </c>
      <c r="B908" s="19">
        <v>154.53</v>
      </c>
      <c r="C908" t="s">
        <v>38</v>
      </c>
      <c r="D908" t="str">
        <f>T_Stocks[[#This Row],[Ticker]] &amp; "-" &amp; DATE(YEAR(T_Stocks[[#This Row],[Fecha]]),MONTH(T_Stocks[[#This Row],[Fecha]]),DAY(T_Stocks[[#This Row],[Fecha]]))</f>
        <v>AAPL-44810</v>
      </c>
    </row>
    <row r="909" spans="1:4" ht="14.65" thickBot="1" x14ac:dyDescent="0.5">
      <c r="A909" s="17">
        <v>44811.666666666664</v>
      </c>
      <c r="B909" s="19">
        <v>155.96</v>
      </c>
      <c r="C909" t="s">
        <v>38</v>
      </c>
      <c r="D909" t="str">
        <f>T_Stocks[[#This Row],[Ticker]] &amp; "-" &amp; DATE(YEAR(T_Stocks[[#This Row],[Fecha]]),MONTH(T_Stocks[[#This Row],[Fecha]]),DAY(T_Stocks[[#This Row],[Fecha]]))</f>
        <v>AAPL-44811</v>
      </c>
    </row>
    <row r="910" spans="1:4" ht="14.65" thickBot="1" x14ac:dyDescent="0.5">
      <c r="A910" s="17">
        <v>44812.666666666664</v>
      </c>
      <c r="B910" s="19">
        <v>154.46</v>
      </c>
      <c r="C910" t="s">
        <v>38</v>
      </c>
      <c r="D910" t="str">
        <f>T_Stocks[[#This Row],[Ticker]] &amp; "-" &amp; DATE(YEAR(T_Stocks[[#This Row],[Fecha]]),MONTH(T_Stocks[[#This Row],[Fecha]]),DAY(T_Stocks[[#This Row],[Fecha]]))</f>
        <v>AAPL-44812</v>
      </c>
    </row>
    <row r="911" spans="1:4" ht="14.65" thickBot="1" x14ac:dyDescent="0.5">
      <c r="A911" s="17">
        <v>44813.666666666664</v>
      </c>
      <c r="B911" s="19">
        <v>157.37</v>
      </c>
      <c r="C911" t="s">
        <v>38</v>
      </c>
      <c r="D911" t="str">
        <f>T_Stocks[[#This Row],[Ticker]] &amp; "-" &amp; DATE(YEAR(T_Stocks[[#This Row],[Fecha]]),MONTH(T_Stocks[[#This Row],[Fecha]]),DAY(T_Stocks[[#This Row],[Fecha]]))</f>
        <v>AAPL-44813</v>
      </c>
    </row>
    <row r="912" spans="1:4" ht="14.65" thickBot="1" x14ac:dyDescent="0.5">
      <c r="A912" s="17">
        <v>44816.666666666664</v>
      </c>
      <c r="B912" s="19">
        <v>163.43</v>
      </c>
      <c r="C912" t="s">
        <v>38</v>
      </c>
      <c r="D912" t="str">
        <f>T_Stocks[[#This Row],[Ticker]] &amp; "-" &amp; DATE(YEAR(T_Stocks[[#This Row],[Fecha]]),MONTH(T_Stocks[[#This Row],[Fecha]]),DAY(T_Stocks[[#This Row],[Fecha]]))</f>
        <v>AAPL-44816</v>
      </c>
    </row>
    <row r="913" spans="1:4" ht="14.65" thickBot="1" x14ac:dyDescent="0.5">
      <c r="A913" s="17">
        <v>44817.666666666664</v>
      </c>
      <c r="B913" s="19">
        <v>153.84</v>
      </c>
      <c r="C913" t="s">
        <v>38</v>
      </c>
      <c r="D913" t="str">
        <f>T_Stocks[[#This Row],[Ticker]] &amp; "-" &amp; DATE(YEAR(T_Stocks[[#This Row],[Fecha]]),MONTH(T_Stocks[[#This Row],[Fecha]]),DAY(T_Stocks[[#This Row],[Fecha]]))</f>
        <v>AAPL-44817</v>
      </c>
    </row>
    <row r="914" spans="1:4" ht="14.65" thickBot="1" x14ac:dyDescent="0.5">
      <c r="A914" s="17">
        <v>44818.666666666664</v>
      </c>
      <c r="B914" s="19">
        <v>155.31</v>
      </c>
      <c r="C914" t="s">
        <v>38</v>
      </c>
      <c r="D914" t="str">
        <f>T_Stocks[[#This Row],[Ticker]] &amp; "-" &amp; DATE(YEAR(T_Stocks[[#This Row],[Fecha]]),MONTH(T_Stocks[[#This Row],[Fecha]]),DAY(T_Stocks[[#This Row],[Fecha]]))</f>
        <v>AAPL-44818</v>
      </c>
    </row>
    <row r="915" spans="1:4" ht="14.65" thickBot="1" x14ac:dyDescent="0.5">
      <c r="A915" s="17">
        <v>44819.666666666664</v>
      </c>
      <c r="B915" s="19">
        <v>152.37</v>
      </c>
      <c r="C915" t="s">
        <v>38</v>
      </c>
      <c r="D915" t="str">
        <f>T_Stocks[[#This Row],[Ticker]] &amp; "-" &amp; DATE(YEAR(T_Stocks[[#This Row],[Fecha]]),MONTH(T_Stocks[[#This Row],[Fecha]]),DAY(T_Stocks[[#This Row],[Fecha]]))</f>
        <v>AAPL-44819</v>
      </c>
    </row>
    <row r="916" spans="1:4" ht="14.65" thickBot="1" x14ac:dyDescent="0.5">
      <c r="A916" s="17">
        <v>44820.666666666664</v>
      </c>
      <c r="B916" s="19">
        <v>150.69999999999999</v>
      </c>
      <c r="C916" t="s">
        <v>38</v>
      </c>
      <c r="D916" t="str">
        <f>T_Stocks[[#This Row],[Ticker]] &amp; "-" &amp; DATE(YEAR(T_Stocks[[#This Row],[Fecha]]),MONTH(T_Stocks[[#This Row],[Fecha]]),DAY(T_Stocks[[#This Row],[Fecha]]))</f>
        <v>AAPL-44820</v>
      </c>
    </row>
    <row r="917" spans="1:4" ht="14.65" thickBot="1" x14ac:dyDescent="0.5">
      <c r="A917" s="17">
        <v>44823.666666666664</v>
      </c>
      <c r="B917" s="19">
        <v>154.47999999999999</v>
      </c>
      <c r="C917" t="s">
        <v>38</v>
      </c>
      <c r="D917" t="str">
        <f>T_Stocks[[#This Row],[Ticker]] &amp; "-" &amp; DATE(YEAR(T_Stocks[[#This Row],[Fecha]]),MONTH(T_Stocks[[#This Row],[Fecha]]),DAY(T_Stocks[[#This Row],[Fecha]]))</f>
        <v>AAPL-44823</v>
      </c>
    </row>
    <row r="918" spans="1:4" ht="14.65" thickBot="1" x14ac:dyDescent="0.5">
      <c r="A918" s="17">
        <v>44824.666666666664</v>
      </c>
      <c r="B918" s="19">
        <v>156.9</v>
      </c>
      <c r="C918" t="s">
        <v>38</v>
      </c>
      <c r="D918" t="str">
        <f>T_Stocks[[#This Row],[Ticker]] &amp; "-" &amp; DATE(YEAR(T_Stocks[[#This Row],[Fecha]]),MONTH(T_Stocks[[#This Row],[Fecha]]),DAY(T_Stocks[[#This Row],[Fecha]]))</f>
        <v>AAPL-44824</v>
      </c>
    </row>
    <row r="919" spans="1:4" ht="14.65" thickBot="1" x14ac:dyDescent="0.5">
      <c r="A919" s="17">
        <v>44825.666666666664</v>
      </c>
      <c r="B919" s="19">
        <v>153.72</v>
      </c>
      <c r="C919" t="s">
        <v>38</v>
      </c>
      <c r="D919" t="str">
        <f>T_Stocks[[#This Row],[Ticker]] &amp; "-" &amp; DATE(YEAR(T_Stocks[[#This Row],[Fecha]]),MONTH(T_Stocks[[#This Row],[Fecha]]),DAY(T_Stocks[[#This Row],[Fecha]]))</f>
        <v>AAPL-44825</v>
      </c>
    </row>
    <row r="920" spans="1:4" ht="14.65" thickBot="1" x14ac:dyDescent="0.5">
      <c r="A920" s="17">
        <v>44826.666666666664</v>
      </c>
      <c r="B920" s="19">
        <v>152.74</v>
      </c>
      <c r="C920" t="s">
        <v>38</v>
      </c>
      <c r="D920" t="str">
        <f>T_Stocks[[#This Row],[Ticker]] &amp; "-" &amp; DATE(YEAR(T_Stocks[[#This Row],[Fecha]]),MONTH(T_Stocks[[#This Row],[Fecha]]),DAY(T_Stocks[[#This Row],[Fecha]]))</f>
        <v>AAPL-44826</v>
      </c>
    </row>
    <row r="921" spans="1:4" ht="14.65" thickBot="1" x14ac:dyDescent="0.5">
      <c r="A921" s="17">
        <v>44827.666666666664</v>
      </c>
      <c r="B921" s="19">
        <v>150.43</v>
      </c>
      <c r="C921" t="s">
        <v>38</v>
      </c>
      <c r="D921" t="str">
        <f>T_Stocks[[#This Row],[Ticker]] &amp; "-" &amp; DATE(YEAR(T_Stocks[[#This Row],[Fecha]]),MONTH(T_Stocks[[#This Row],[Fecha]]),DAY(T_Stocks[[#This Row],[Fecha]]))</f>
        <v>AAPL-44827</v>
      </c>
    </row>
    <row r="922" spans="1:4" ht="14.65" thickBot="1" x14ac:dyDescent="0.5">
      <c r="A922" s="17">
        <v>44830.666666666664</v>
      </c>
      <c r="B922" s="19">
        <v>150.77000000000001</v>
      </c>
      <c r="C922" t="s">
        <v>38</v>
      </c>
      <c r="D922" t="str">
        <f>T_Stocks[[#This Row],[Ticker]] &amp; "-" &amp; DATE(YEAR(T_Stocks[[#This Row],[Fecha]]),MONTH(T_Stocks[[#This Row],[Fecha]]),DAY(T_Stocks[[#This Row],[Fecha]]))</f>
        <v>AAPL-44830</v>
      </c>
    </row>
    <row r="923" spans="1:4" ht="14.65" thickBot="1" x14ac:dyDescent="0.5">
      <c r="A923" s="17">
        <v>44831.666666666664</v>
      </c>
      <c r="B923" s="19">
        <v>151.76</v>
      </c>
      <c r="C923" t="s">
        <v>38</v>
      </c>
      <c r="D923" t="str">
        <f>T_Stocks[[#This Row],[Ticker]] &amp; "-" &amp; DATE(YEAR(T_Stocks[[#This Row],[Fecha]]),MONTH(T_Stocks[[#This Row],[Fecha]]),DAY(T_Stocks[[#This Row],[Fecha]]))</f>
        <v>AAPL-44831</v>
      </c>
    </row>
    <row r="924" spans="1:4" ht="14.65" thickBot="1" x14ac:dyDescent="0.5">
      <c r="A924" s="17">
        <v>44832.666666666664</v>
      </c>
      <c r="B924" s="19">
        <v>149.84</v>
      </c>
      <c r="C924" t="s">
        <v>38</v>
      </c>
      <c r="D924" t="str">
        <f>T_Stocks[[#This Row],[Ticker]] &amp; "-" &amp; DATE(YEAR(T_Stocks[[#This Row],[Fecha]]),MONTH(T_Stocks[[#This Row],[Fecha]]),DAY(T_Stocks[[#This Row],[Fecha]]))</f>
        <v>AAPL-44832</v>
      </c>
    </row>
    <row r="925" spans="1:4" ht="14.65" thickBot="1" x14ac:dyDescent="0.5">
      <c r="A925" s="17">
        <v>44833.666666666664</v>
      </c>
      <c r="B925" s="19">
        <v>142.47999999999999</v>
      </c>
      <c r="C925" t="s">
        <v>38</v>
      </c>
      <c r="D925" t="str">
        <f>T_Stocks[[#This Row],[Ticker]] &amp; "-" &amp; DATE(YEAR(T_Stocks[[#This Row],[Fecha]]),MONTH(T_Stocks[[#This Row],[Fecha]]),DAY(T_Stocks[[#This Row],[Fecha]]))</f>
        <v>AAPL-44833</v>
      </c>
    </row>
    <row r="926" spans="1:4" ht="14.65" thickBot="1" x14ac:dyDescent="0.5">
      <c r="A926" s="17">
        <v>44834.666666666664</v>
      </c>
      <c r="B926" s="19">
        <v>138.19999999999999</v>
      </c>
      <c r="C926" t="s">
        <v>38</v>
      </c>
      <c r="D926" t="str">
        <f>T_Stocks[[#This Row],[Ticker]] &amp; "-" &amp; DATE(YEAR(T_Stocks[[#This Row],[Fecha]]),MONTH(T_Stocks[[#This Row],[Fecha]]),DAY(T_Stocks[[#This Row],[Fecha]]))</f>
        <v>AAPL-44834</v>
      </c>
    </row>
    <row r="927" spans="1:4" ht="14.65" thickBot="1" x14ac:dyDescent="0.5">
      <c r="A927" s="17">
        <v>44837.666666666664</v>
      </c>
      <c r="B927" s="19">
        <v>142.44999999999999</v>
      </c>
      <c r="C927" t="s">
        <v>38</v>
      </c>
      <c r="D927" t="str">
        <f>T_Stocks[[#This Row],[Ticker]] &amp; "-" &amp; DATE(YEAR(T_Stocks[[#This Row],[Fecha]]),MONTH(T_Stocks[[#This Row],[Fecha]]),DAY(T_Stocks[[#This Row],[Fecha]]))</f>
        <v>AAPL-44837</v>
      </c>
    </row>
    <row r="928" spans="1:4" ht="14.65" thickBot="1" x14ac:dyDescent="0.5">
      <c r="A928" s="17">
        <v>44838.666666666664</v>
      </c>
      <c r="B928" s="19">
        <v>146.1</v>
      </c>
      <c r="C928" t="s">
        <v>38</v>
      </c>
      <c r="D928" t="str">
        <f>T_Stocks[[#This Row],[Ticker]] &amp; "-" &amp; DATE(YEAR(T_Stocks[[#This Row],[Fecha]]),MONTH(T_Stocks[[#This Row],[Fecha]]),DAY(T_Stocks[[#This Row],[Fecha]]))</f>
        <v>AAPL-44838</v>
      </c>
    </row>
    <row r="929" spans="1:4" ht="14.65" thickBot="1" x14ac:dyDescent="0.5">
      <c r="A929" s="17">
        <v>44839.666666666664</v>
      </c>
      <c r="B929" s="19">
        <v>146.4</v>
      </c>
      <c r="C929" t="s">
        <v>38</v>
      </c>
      <c r="D929" t="str">
        <f>T_Stocks[[#This Row],[Ticker]] &amp; "-" &amp; DATE(YEAR(T_Stocks[[#This Row],[Fecha]]),MONTH(T_Stocks[[#This Row],[Fecha]]),DAY(T_Stocks[[#This Row],[Fecha]]))</f>
        <v>AAPL-44839</v>
      </c>
    </row>
    <row r="930" spans="1:4" ht="14.65" thickBot="1" x14ac:dyDescent="0.5">
      <c r="A930" s="17">
        <v>44840.666666666664</v>
      </c>
      <c r="B930" s="19">
        <v>145.43</v>
      </c>
      <c r="C930" t="s">
        <v>38</v>
      </c>
      <c r="D930" t="str">
        <f>T_Stocks[[#This Row],[Ticker]] &amp; "-" &amp; DATE(YEAR(T_Stocks[[#This Row],[Fecha]]),MONTH(T_Stocks[[#This Row],[Fecha]]),DAY(T_Stocks[[#This Row],[Fecha]]))</f>
        <v>AAPL-44840</v>
      </c>
    </row>
    <row r="931" spans="1:4" ht="14.65" thickBot="1" x14ac:dyDescent="0.5">
      <c r="A931" s="17">
        <v>44841.666666666664</v>
      </c>
      <c r="B931" s="19">
        <v>140.09</v>
      </c>
      <c r="C931" t="s">
        <v>38</v>
      </c>
      <c r="D931" t="str">
        <f>T_Stocks[[#This Row],[Ticker]] &amp; "-" &amp; DATE(YEAR(T_Stocks[[#This Row],[Fecha]]),MONTH(T_Stocks[[#This Row],[Fecha]]),DAY(T_Stocks[[#This Row],[Fecha]]))</f>
        <v>AAPL-44841</v>
      </c>
    </row>
    <row r="932" spans="1:4" ht="14.65" thickBot="1" x14ac:dyDescent="0.5">
      <c r="A932" s="17">
        <v>44844.666666666664</v>
      </c>
      <c r="B932" s="19">
        <v>140.41999999999999</v>
      </c>
      <c r="C932" t="s">
        <v>38</v>
      </c>
      <c r="D932" t="str">
        <f>T_Stocks[[#This Row],[Ticker]] &amp; "-" &amp; DATE(YEAR(T_Stocks[[#This Row],[Fecha]]),MONTH(T_Stocks[[#This Row],[Fecha]]),DAY(T_Stocks[[#This Row],[Fecha]]))</f>
        <v>AAPL-44844</v>
      </c>
    </row>
    <row r="933" spans="1:4" ht="14.65" thickBot="1" x14ac:dyDescent="0.5">
      <c r="A933" s="17">
        <v>44845.666666666664</v>
      </c>
      <c r="B933" s="19">
        <v>138.97999999999999</v>
      </c>
      <c r="C933" t="s">
        <v>38</v>
      </c>
      <c r="D933" t="str">
        <f>T_Stocks[[#This Row],[Ticker]] &amp; "-" &amp; DATE(YEAR(T_Stocks[[#This Row],[Fecha]]),MONTH(T_Stocks[[#This Row],[Fecha]]),DAY(T_Stocks[[#This Row],[Fecha]]))</f>
        <v>AAPL-44845</v>
      </c>
    </row>
    <row r="934" spans="1:4" ht="14.65" thickBot="1" x14ac:dyDescent="0.5">
      <c r="A934" s="17">
        <v>44846.666666666664</v>
      </c>
      <c r="B934" s="19">
        <v>138.34</v>
      </c>
      <c r="C934" t="s">
        <v>38</v>
      </c>
      <c r="D934" t="str">
        <f>T_Stocks[[#This Row],[Ticker]] &amp; "-" &amp; DATE(YEAR(T_Stocks[[#This Row],[Fecha]]),MONTH(T_Stocks[[#This Row],[Fecha]]),DAY(T_Stocks[[#This Row],[Fecha]]))</f>
        <v>AAPL-44846</v>
      </c>
    </row>
    <row r="935" spans="1:4" ht="14.65" thickBot="1" x14ac:dyDescent="0.5">
      <c r="A935" s="17">
        <v>44847.666666666664</v>
      </c>
      <c r="B935" s="19">
        <v>142.99</v>
      </c>
      <c r="C935" t="s">
        <v>38</v>
      </c>
      <c r="D935" t="str">
        <f>T_Stocks[[#This Row],[Ticker]] &amp; "-" &amp; DATE(YEAR(T_Stocks[[#This Row],[Fecha]]),MONTH(T_Stocks[[#This Row],[Fecha]]),DAY(T_Stocks[[#This Row],[Fecha]]))</f>
        <v>AAPL-44847</v>
      </c>
    </row>
    <row r="936" spans="1:4" ht="14.65" thickBot="1" x14ac:dyDescent="0.5">
      <c r="A936" s="17">
        <v>44848.666666666664</v>
      </c>
      <c r="B936" s="19">
        <v>138.38</v>
      </c>
      <c r="C936" t="s">
        <v>38</v>
      </c>
      <c r="D936" t="str">
        <f>T_Stocks[[#This Row],[Ticker]] &amp; "-" &amp; DATE(YEAR(T_Stocks[[#This Row],[Fecha]]),MONTH(T_Stocks[[#This Row],[Fecha]]),DAY(T_Stocks[[#This Row],[Fecha]]))</f>
        <v>AAPL-44848</v>
      </c>
    </row>
    <row r="937" spans="1:4" ht="14.65" thickBot="1" x14ac:dyDescent="0.5">
      <c r="A937" s="17">
        <v>44851.666666666664</v>
      </c>
      <c r="B937" s="19">
        <v>142.41</v>
      </c>
      <c r="C937" t="s">
        <v>38</v>
      </c>
      <c r="D937" t="str">
        <f>T_Stocks[[#This Row],[Ticker]] &amp; "-" &amp; DATE(YEAR(T_Stocks[[#This Row],[Fecha]]),MONTH(T_Stocks[[#This Row],[Fecha]]),DAY(T_Stocks[[#This Row],[Fecha]]))</f>
        <v>AAPL-44851</v>
      </c>
    </row>
    <row r="938" spans="1:4" ht="14.65" thickBot="1" x14ac:dyDescent="0.5">
      <c r="A938" s="17">
        <v>44852.666666666664</v>
      </c>
      <c r="B938" s="19">
        <v>143.75</v>
      </c>
      <c r="C938" t="s">
        <v>38</v>
      </c>
      <c r="D938" t="str">
        <f>T_Stocks[[#This Row],[Ticker]] &amp; "-" &amp; DATE(YEAR(T_Stocks[[#This Row],[Fecha]]),MONTH(T_Stocks[[#This Row],[Fecha]]),DAY(T_Stocks[[#This Row],[Fecha]]))</f>
        <v>AAPL-44852</v>
      </c>
    </row>
    <row r="939" spans="1:4" ht="14.65" thickBot="1" x14ac:dyDescent="0.5">
      <c r="A939" s="17">
        <v>44853.666666666664</v>
      </c>
      <c r="B939" s="19">
        <v>143.86000000000001</v>
      </c>
      <c r="C939" t="s">
        <v>38</v>
      </c>
      <c r="D939" t="str">
        <f>T_Stocks[[#This Row],[Ticker]] &amp; "-" &amp; DATE(YEAR(T_Stocks[[#This Row],[Fecha]]),MONTH(T_Stocks[[#This Row],[Fecha]]),DAY(T_Stocks[[#This Row],[Fecha]]))</f>
        <v>AAPL-44853</v>
      </c>
    </row>
    <row r="940" spans="1:4" ht="14.65" thickBot="1" x14ac:dyDescent="0.5">
      <c r="A940" s="17">
        <v>44854.666666666664</v>
      </c>
      <c r="B940" s="19">
        <v>143.38999999999999</v>
      </c>
      <c r="C940" t="s">
        <v>38</v>
      </c>
      <c r="D940" t="str">
        <f>T_Stocks[[#This Row],[Ticker]] &amp; "-" &amp; DATE(YEAR(T_Stocks[[#This Row],[Fecha]]),MONTH(T_Stocks[[#This Row],[Fecha]]),DAY(T_Stocks[[#This Row],[Fecha]]))</f>
        <v>AAPL-44854</v>
      </c>
    </row>
    <row r="941" spans="1:4" ht="14.65" thickBot="1" x14ac:dyDescent="0.5">
      <c r="A941" s="17">
        <v>44855.666666666664</v>
      </c>
      <c r="B941" s="19">
        <v>147.27000000000001</v>
      </c>
      <c r="C941" t="s">
        <v>38</v>
      </c>
      <c r="D941" t="str">
        <f>T_Stocks[[#This Row],[Ticker]] &amp; "-" &amp; DATE(YEAR(T_Stocks[[#This Row],[Fecha]]),MONTH(T_Stocks[[#This Row],[Fecha]]),DAY(T_Stocks[[#This Row],[Fecha]]))</f>
        <v>AAPL-44855</v>
      </c>
    </row>
    <row r="942" spans="1:4" ht="14.65" thickBot="1" x14ac:dyDescent="0.5">
      <c r="A942" s="17">
        <v>44858.666666666664</v>
      </c>
      <c r="B942" s="19">
        <v>149.44999999999999</v>
      </c>
      <c r="C942" t="s">
        <v>38</v>
      </c>
      <c r="D942" t="str">
        <f>T_Stocks[[#This Row],[Ticker]] &amp; "-" &amp; DATE(YEAR(T_Stocks[[#This Row],[Fecha]]),MONTH(T_Stocks[[#This Row],[Fecha]]),DAY(T_Stocks[[#This Row],[Fecha]]))</f>
        <v>AAPL-44858</v>
      </c>
    </row>
    <row r="943" spans="1:4" ht="14.65" thickBot="1" x14ac:dyDescent="0.5">
      <c r="A943" s="17">
        <v>44859.666666666664</v>
      </c>
      <c r="B943" s="19">
        <v>152.34</v>
      </c>
      <c r="C943" t="s">
        <v>38</v>
      </c>
      <c r="D943" t="str">
        <f>T_Stocks[[#This Row],[Ticker]] &amp; "-" &amp; DATE(YEAR(T_Stocks[[#This Row],[Fecha]]),MONTH(T_Stocks[[#This Row],[Fecha]]),DAY(T_Stocks[[#This Row],[Fecha]]))</f>
        <v>AAPL-44859</v>
      </c>
    </row>
    <row r="944" spans="1:4" ht="14.65" thickBot="1" x14ac:dyDescent="0.5">
      <c r="A944" s="17">
        <v>44860.666666666664</v>
      </c>
      <c r="B944" s="19">
        <v>149.35</v>
      </c>
      <c r="C944" t="s">
        <v>38</v>
      </c>
      <c r="D944" t="str">
        <f>T_Stocks[[#This Row],[Ticker]] &amp; "-" &amp; DATE(YEAR(T_Stocks[[#This Row],[Fecha]]),MONTH(T_Stocks[[#This Row],[Fecha]]),DAY(T_Stocks[[#This Row],[Fecha]]))</f>
        <v>AAPL-44860</v>
      </c>
    </row>
    <row r="945" spans="1:4" ht="14.65" thickBot="1" x14ac:dyDescent="0.5">
      <c r="A945" s="17">
        <v>44861.666666666664</v>
      </c>
      <c r="B945" s="19">
        <v>144.80000000000001</v>
      </c>
      <c r="C945" t="s">
        <v>38</v>
      </c>
      <c r="D945" t="str">
        <f>T_Stocks[[#This Row],[Ticker]] &amp; "-" &amp; DATE(YEAR(T_Stocks[[#This Row],[Fecha]]),MONTH(T_Stocks[[#This Row],[Fecha]]),DAY(T_Stocks[[#This Row],[Fecha]]))</f>
        <v>AAPL-44861</v>
      </c>
    </row>
    <row r="946" spans="1:4" ht="14.65" thickBot="1" x14ac:dyDescent="0.5">
      <c r="A946" s="17">
        <v>44862.666666666664</v>
      </c>
      <c r="B946" s="19">
        <v>155.74</v>
      </c>
      <c r="C946" t="s">
        <v>38</v>
      </c>
      <c r="D946" t="str">
        <f>T_Stocks[[#This Row],[Ticker]] &amp; "-" &amp; DATE(YEAR(T_Stocks[[#This Row],[Fecha]]),MONTH(T_Stocks[[#This Row],[Fecha]]),DAY(T_Stocks[[#This Row],[Fecha]]))</f>
        <v>AAPL-44862</v>
      </c>
    </row>
    <row r="947" spans="1:4" ht="14.65" thickBot="1" x14ac:dyDescent="0.5">
      <c r="A947" s="17">
        <v>44865.666666666664</v>
      </c>
      <c r="B947" s="19">
        <v>153.34</v>
      </c>
      <c r="C947" t="s">
        <v>38</v>
      </c>
      <c r="D947" t="str">
        <f>T_Stocks[[#This Row],[Ticker]] &amp; "-" &amp; DATE(YEAR(T_Stocks[[#This Row],[Fecha]]),MONTH(T_Stocks[[#This Row],[Fecha]]),DAY(T_Stocks[[#This Row],[Fecha]]))</f>
        <v>AAPL-44865</v>
      </c>
    </row>
    <row r="948" spans="1:4" ht="14.65" thickBot="1" x14ac:dyDescent="0.5">
      <c r="A948" s="17">
        <v>44866.666666666664</v>
      </c>
      <c r="B948" s="19">
        <v>150.65</v>
      </c>
      <c r="C948" t="s">
        <v>38</v>
      </c>
      <c r="D948" t="str">
        <f>T_Stocks[[#This Row],[Ticker]] &amp; "-" &amp; DATE(YEAR(T_Stocks[[#This Row],[Fecha]]),MONTH(T_Stocks[[#This Row],[Fecha]]),DAY(T_Stocks[[#This Row],[Fecha]]))</f>
        <v>AAPL-44866</v>
      </c>
    </row>
    <row r="949" spans="1:4" ht="14.65" thickBot="1" x14ac:dyDescent="0.5">
      <c r="A949" s="17">
        <v>44867.666666666664</v>
      </c>
      <c r="B949" s="19">
        <v>145.03</v>
      </c>
      <c r="C949" t="s">
        <v>38</v>
      </c>
      <c r="D949" t="str">
        <f>T_Stocks[[#This Row],[Ticker]] &amp; "-" &amp; DATE(YEAR(T_Stocks[[#This Row],[Fecha]]),MONTH(T_Stocks[[#This Row],[Fecha]]),DAY(T_Stocks[[#This Row],[Fecha]]))</f>
        <v>AAPL-44867</v>
      </c>
    </row>
    <row r="950" spans="1:4" ht="14.65" thickBot="1" x14ac:dyDescent="0.5">
      <c r="A950" s="17">
        <v>44868.666666666664</v>
      </c>
      <c r="B950" s="19">
        <v>138.88</v>
      </c>
      <c r="C950" t="s">
        <v>38</v>
      </c>
      <c r="D950" t="str">
        <f>T_Stocks[[#This Row],[Ticker]] &amp; "-" &amp; DATE(YEAR(T_Stocks[[#This Row],[Fecha]]),MONTH(T_Stocks[[#This Row],[Fecha]]),DAY(T_Stocks[[#This Row],[Fecha]]))</f>
        <v>AAPL-44868</v>
      </c>
    </row>
    <row r="951" spans="1:4" ht="14.65" thickBot="1" x14ac:dyDescent="0.5">
      <c r="A951" s="17">
        <v>44869.666666666664</v>
      </c>
      <c r="B951" s="19">
        <v>138.38</v>
      </c>
      <c r="C951" t="s">
        <v>38</v>
      </c>
      <c r="D951" t="str">
        <f>T_Stocks[[#This Row],[Ticker]] &amp; "-" &amp; DATE(YEAR(T_Stocks[[#This Row],[Fecha]]),MONTH(T_Stocks[[#This Row],[Fecha]]),DAY(T_Stocks[[#This Row],[Fecha]]))</f>
        <v>AAPL-44869</v>
      </c>
    </row>
    <row r="952" spans="1:4" ht="14.65" thickBot="1" x14ac:dyDescent="0.5">
      <c r="A952" s="17">
        <v>44872.666666666664</v>
      </c>
      <c r="B952" s="19">
        <v>138.91999999999999</v>
      </c>
      <c r="C952" t="s">
        <v>38</v>
      </c>
      <c r="D952" t="str">
        <f>T_Stocks[[#This Row],[Ticker]] &amp; "-" &amp; DATE(YEAR(T_Stocks[[#This Row],[Fecha]]),MONTH(T_Stocks[[#This Row],[Fecha]]),DAY(T_Stocks[[#This Row],[Fecha]]))</f>
        <v>AAPL-44872</v>
      </c>
    </row>
    <row r="953" spans="1:4" ht="14.65" thickBot="1" x14ac:dyDescent="0.5">
      <c r="A953" s="17">
        <v>44873.666666666664</v>
      </c>
      <c r="B953" s="19">
        <v>139.5</v>
      </c>
      <c r="C953" t="s">
        <v>38</v>
      </c>
      <c r="D953" t="str">
        <f>T_Stocks[[#This Row],[Ticker]] &amp; "-" &amp; DATE(YEAR(T_Stocks[[#This Row],[Fecha]]),MONTH(T_Stocks[[#This Row],[Fecha]]),DAY(T_Stocks[[#This Row],[Fecha]]))</f>
        <v>AAPL-44873</v>
      </c>
    </row>
    <row r="954" spans="1:4" ht="14.65" thickBot="1" x14ac:dyDescent="0.5">
      <c r="A954" s="17">
        <v>44874.666666666664</v>
      </c>
      <c r="B954" s="19">
        <v>134.87</v>
      </c>
      <c r="C954" t="s">
        <v>38</v>
      </c>
      <c r="D954" t="str">
        <f>T_Stocks[[#This Row],[Ticker]] &amp; "-" &amp; DATE(YEAR(T_Stocks[[#This Row],[Fecha]]),MONTH(T_Stocks[[#This Row],[Fecha]]),DAY(T_Stocks[[#This Row],[Fecha]]))</f>
        <v>AAPL-44874</v>
      </c>
    </row>
    <row r="955" spans="1:4" ht="14.65" thickBot="1" x14ac:dyDescent="0.5">
      <c r="A955" s="17">
        <v>44875.666666666664</v>
      </c>
      <c r="B955" s="19">
        <v>146.87</v>
      </c>
      <c r="C955" t="s">
        <v>38</v>
      </c>
      <c r="D955" t="str">
        <f>T_Stocks[[#This Row],[Ticker]] &amp; "-" &amp; DATE(YEAR(T_Stocks[[#This Row],[Fecha]]),MONTH(T_Stocks[[#This Row],[Fecha]]),DAY(T_Stocks[[#This Row],[Fecha]]))</f>
        <v>AAPL-44875</v>
      </c>
    </row>
    <row r="956" spans="1:4" ht="14.65" thickBot="1" x14ac:dyDescent="0.5">
      <c r="A956" s="17">
        <v>44876.666666666664</v>
      </c>
      <c r="B956" s="19">
        <v>149.69999999999999</v>
      </c>
      <c r="C956" t="s">
        <v>38</v>
      </c>
      <c r="D956" t="str">
        <f>T_Stocks[[#This Row],[Ticker]] &amp; "-" &amp; DATE(YEAR(T_Stocks[[#This Row],[Fecha]]),MONTH(T_Stocks[[#This Row],[Fecha]]),DAY(T_Stocks[[#This Row],[Fecha]]))</f>
        <v>AAPL-44876</v>
      </c>
    </row>
    <row r="957" spans="1:4" ht="14.65" thickBot="1" x14ac:dyDescent="0.5">
      <c r="A957" s="17">
        <v>44879.666666666664</v>
      </c>
      <c r="B957" s="19">
        <v>148.28</v>
      </c>
      <c r="C957" t="s">
        <v>38</v>
      </c>
      <c r="D957" t="str">
        <f>T_Stocks[[#This Row],[Ticker]] &amp; "-" &amp; DATE(YEAR(T_Stocks[[#This Row],[Fecha]]),MONTH(T_Stocks[[#This Row],[Fecha]]),DAY(T_Stocks[[#This Row],[Fecha]]))</f>
        <v>AAPL-44879</v>
      </c>
    </row>
    <row r="958" spans="1:4" ht="14.65" thickBot="1" x14ac:dyDescent="0.5">
      <c r="A958" s="17">
        <v>44880.666666666664</v>
      </c>
      <c r="B958" s="19">
        <v>150.04</v>
      </c>
      <c r="C958" t="s">
        <v>38</v>
      </c>
      <c r="D958" t="str">
        <f>T_Stocks[[#This Row],[Ticker]] &amp; "-" &amp; DATE(YEAR(T_Stocks[[#This Row],[Fecha]]),MONTH(T_Stocks[[#This Row],[Fecha]]),DAY(T_Stocks[[#This Row],[Fecha]]))</f>
        <v>AAPL-44880</v>
      </c>
    </row>
    <row r="959" spans="1:4" ht="14.65" thickBot="1" x14ac:dyDescent="0.5">
      <c r="A959" s="17">
        <v>44881.666666666664</v>
      </c>
      <c r="B959" s="19">
        <v>148.79</v>
      </c>
      <c r="C959" t="s">
        <v>38</v>
      </c>
      <c r="D959" t="str">
        <f>T_Stocks[[#This Row],[Ticker]] &amp; "-" &amp; DATE(YEAR(T_Stocks[[#This Row],[Fecha]]),MONTH(T_Stocks[[#This Row],[Fecha]]),DAY(T_Stocks[[#This Row],[Fecha]]))</f>
        <v>AAPL-44881</v>
      </c>
    </row>
    <row r="960" spans="1:4" ht="14.65" thickBot="1" x14ac:dyDescent="0.5">
      <c r="A960" s="17">
        <v>44882.666666666664</v>
      </c>
      <c r="B960" s="19">
        <v>150.72</v>
      </c>
      <c r="C960" t="s">
        <v>38</v>
      </c>
      <c r="D960" t="str">
        <f>T_Stocks[[#This Row],[Ticker]] &amp; "-" &amp; DATE(YEAR(T_Stocks[[#This Row],[Fecha]]),MONTH(T_Stocks[[#This Row],[Fecha]]),DAY(T_Stocks[[#This Row],[Fecha]]))</f>
        <v>AAPL-44882</v>
      </c>
    </row>
    <row r="961" spans="1:4" ht="14.65" thickBot="1" x14ac:dyDescent="0.5">
      <c r="A961" s="17">
        <v>44883.666666666664</v>
      </c>
      <c r="B961" s="19">
        <v>151.29</v>
      </c>
      <c r="C961" t="s">
        <v>38</v>
      </c>
      <c r="D961" t="str">
        <f>T_Stocks[[#This Row],[Ticker]] &amp; "-" &amp; DATE(YEAR(T_Stocks[[#This Row],[Fecha]]),MONTH(T_Stocks[[#This Row],[Fecha]]),DAY(T_Stocks[[#This Row],[Fecha]]))</f>
        <v>AAPL-44883</v>
      </c>
    </row>
    <row r="962" spans="1:4" ht="14.65" thickBot="1" x14ac:dyDescent="0.5">
      <c r="A962" s="17">
        <v>44886.666666666664</v>
      </c>
      <c r="B962" s="19">
        <v>148.01</v>
      </c>
      <c r="C962" t="s">
        <v>38</v>
      </c>
      <c r="D962" t="str">
        <f>T_Stocks[[#This Row],[Ticker]] &amp; "-" &amp; DATE(YEAR(T_Stocks[[#This Row],[Fecha]]),MONTH(T_Stocks[[#This Row],[Fecha]]),DAY(T_Stocks[[#This Row],[Fecha]]))</f>
        <v>AAPL-44886</v>
      </c>
    </row>
    <row r="963" spans="1:4" ht="14.65" thickBot="1" x14ac:dyDescent="0.5">
      <c r="A963" s="17">
        <v>44887.666666666664</v>
      </c>
      <c r="B963" s="19">
        <v>150.18</v>
      </c>
      <c r="C963" t="s">
        <v>38</v>
      </c>
      <c r="D963" t="str">
        <f>T_Stocks[[#This Row],[Ticker]] &amp; "-" &amp; DATE(YEAR(T_Stocks[[#This Row],[Fecha]]),MONTH(T_Stocks[[#This Row],[Fecha]]),DAY(T_Stocks[[#This Row],[Fecha]]))</f>
        <v>AAPL-44887</v>
      </c>
    </row>
    <row r="964" spans="1:4" ht="14.65" thickBot="1" x14ac:dyDescent="0.5">
      <c r="A964" s="17">
        <v>44888.666666666664</v>
      </c>
      <c r="B964" s="19">
        <v>151.07</v>
      </c>
      <c r="C964" t="s">
        <v>38</v>
      </c>
      <c r="D964" t="str">
        <f>T_Stocks[[#This Row],[Ticker]] &amp; "-" &amp; DATE(YEAR(T_Stocks[[#This Row],[Fecha]]),MONTH(T_Stocks[[#This Row],[Fecha]]),DAY(T_Stocks[[#This Row],[Fecha]]))</f>
        <v>AAPL-44888</v>
      </c>
    </row>
    <row r="965" spans="1:4" ht="14.65" thickBot="1" x14ac:dyDescent="0.5">
      <c r="A965" s="17">
        <v>44890.545138888891</v>
      </c>
      <c r="B965" s="19">
        <v>148.11000000000001</v>
      </c>
      <c r="C965" t="s">
        <v>38</v>
      </c>
      <c r="D965" t="str">
        <f>T_Stocks[[#This Row],[Ticker]] &amp; "-" &amp; DATE(YEAR(T_Stocks[[#This Row],[Fecha]]),MONTH(T_Stocks[[#This Row],[Fecha]]),DAY(T_Stocks[[#This Row],[Fecha]]))</f>
        <v>AAPL-44890</v>
      </c>
    </row>
    <row r="966" spans="1:4" ht="14.65" thickBot="1" x14ac:dyDescent="0.5">
      <c r="A966" s="17">
        <v>44893.666666666664</v>
      </c>
      <c r="B966" s="19">
        <v>144.22</v>
      </c>
      <c r="C966" t="s">
        <v>38</v>
      </c>
      <c r="D966" t="str">
        <f>T_Stocks[[#This Row],[Ticker]] &amp; "-" &amp; DATE(YEAR(T_Stocks[[#This Row],[Fecha]]),MONTH(T_Stocks[[#This Row],[Fecha]]),DAY(T_Stocks[[#This Row],[Fecha]]))</f>
        <v>AAPL-44893</v>
      </c>
    </row>
    <row r="967" spans="1:4" ht="14.65" thickBot="1" x14ac:dyDescent="0.5">
      <c r="A967" s="17">
        <v>44894.666666666664</v>
      </c>
      <c r="B967" s="19">
        <v>141.16999999999999</v>
      </c>
      <c r="C967" t="s">
        <v>38</v>
      </c>
      <c r="D967" t="str">
        <f>T_Stocks[[#This Row],[Ticker]] &amp; "-" &amp; DATE(YEAR(T_Stocks[[#This Row],[Fecha]]),MONTH(T_Stocks[[#This Row],[Fecha]]),DAY(T_Stocks[[#This Row],[Fecha]]))</f>
        <v>AAPL-44894</v>
      </c>
    </row>
    <row r="968" spans="1:4" ht="14.65" thickBot="1" x14ac:dyDescent="0.5">
      <c r="A968" s="17">
        <v>44895.666666666664</v>
      </c>
      <c r="B968" s="19">
        <v>148.03</v>
      </c>
      <c r="C968" t="s">
        <v>38</v>
      </c>
      <c r="D968" t="str">
        <f>T_Stocks[[#This Row],[Ticker]] &amp; "-" &amp; DATE(YEAR(T_Stocks[[#This Row],[Fecha]]),MONTH(T_Stocks[[#This Row],[Fecha]]),DAY(T_Stocks[[#This Row],[Fecha]]))</f>
        <v>AAPL-44895</v>
      </c>
    </row>
    <row r="969" spans="1:4" ht="14.65" thickBot="1" x14ac:dyDescent="0.5">
      <c r="A969" s="17">
        <v>44896.666666666664</v>
      </c>
      <c r="B969" s="19">
        <v>148.31</v>
      </c>
      <c r="C969" t="s">
        <v>38</v>
      </c>
      <c r="D969" t="str">
        <f>T_Stocks[[#This Row],[Ticker]] &amp; "-" &amp; DATE(YEAR(T_Stocks[[#This Row],[Fecha]]),MONTH(T_Stocks[[#This Row],[Fecha]]),DAY(T_Stocks[[#This Row],[Fecha]]))</f>
        <v>AAPL-44896</v>
      </c>
    </row>
    <row r="970" spans="1:4" ht="14.65" thickBot="1" x14ac:dyDescent="0.5">
      <c r="A970" s="17">
        <v>44897.666666666664</v>
      </c>
      <c r="B970" s="19">
        <v>147.81</v>
      </c>
      <c r="C970" t="s">
        <v>38</v>
      </c>
      <c r="D970" t="str">
        <f>T_Stocks[[#This Row],[Ticker]] &amp; "-" &amp; DATE(YEAR(T_Stocks[[#This Row],[Fecha]]),MONTH(T_Stocks[[#This Row],[Fecha]]),DAY(T_Stocks[[#This Row],[Fecha]]))</f>
        <v>AAPL-44897</v>
      </c>
    </row>
    <row r="971" spans="1:4" ht="14.65" thickBot="1" x14ac:dyDescent="0.5">
      <c r="A971" s="17">
        <v>44900.666666666664</v>
      </c>
      <c r="B971" s="19">
        <v>146.63</v>
      </c>
      <c r="C971" t="s">
        <v>38</v>
      </c>
      <c r="D971" t="str">
        <f>T_Stocks[[#This Row],[Ticker]] &amp; "-" &amp; DATE(YEAR(T_Stocks[[#This Row],[Fecha]]),MONTH(T_Stocks[[#This Row],[Fecha]]),DAY(T_Stocks[[#This Row],[Fecha]]))</f>
        <v>AAPL-44900</v>
      </c>
    </row>
    <row r="972" spans="1:4" ht="14.65" thickBot="1" x14ac:dyDescent="0.5">
      <c r="A972" s="17">
        <v>44901.666666666664</v>
      </c>
      <c r="B972" s="19">
        <v>142.91</v>
      </c>
      <c r="C972" t="s">
        <v>38</v>
      </c>
      <c r="D972" t="str">
        <f>T_Stocks[[#This Row],[Ticker]] &amp; "-" &amp; DATE(YEAR(T_Stocks[[#This Row],[Fecha]]),MONTH(T_Stocks[[#This Row],[Fecha]]),DAY(T_Stocks[[#This Row],[Fecha]]))</f>
        <v>AAPL-44901</v>
      </c>
    </row>
    <row r="973" spans="1:4" ht="14.65" thickBot="1" x14ac:dyDescent="0.5">
      <c r="A973" s="17">
        <v>44902.666666666664</v>
      </c>
      <c r="B973" s="19">
        <v>140.94</v>
      </c>
      <c r="C973" t="s">
        <v>38</v>
      </c>
      <c r="D973" t="str">
        <f>T_Stocks[[#This Row],[Ticker]] &amp; "-" &amp; DATE(YEAR(T_Stocks[[#This Row],[Fecha]]),MONTH(T_Stocks[[#This Row],[Fecha]]),DAY(T_Stocks[[#This Row],[Fecha]]))</f>
        <v>AAPL-44902</v>
      </c>
    </row>
    <row r="974" spans="1:4" ht="14.65" thickBot="1" x14ac:dyDescent="0.5">
      <c r="A974" s="17">
        <v>44903.666666666664</v>
      </c>
      <c r="B974" s="19">
        <v>142.65</v>
      </c>
      <c r="C974" t="s">
        <v>38</v>
      </c>
      <c r="D974" t="str">
        <f>T_Stocks[[#This Row],[Ticker]] &amp; "-" &amp; DATE(YEAR(T_Stocks[[#This Row],[Fecha]]),MONTH(T_Stocks[[#This Row],[Fecha]]),DAY(T_Stocks[[#This Row],[Fecha]]))</f>
        <v>AAPL-44903</v>
      </c>
    </row>
    <row r="975" spans="1:4" ht="14.65" thickBot="1" x14ac:dyDescent="0.5">
      <c r="A975" s="17">
        <v>44904.666666666664</v>
      </c>
      <c r="B975" s="19">
        <v>142.16</v>
      </c>
      <c r="C975" t="s">
        <v>38</v>
      </c>
      <c r="D975" t="str">
        <f>T_Stocks[[#This Row],[Ticker]] &amp; "-" &amp; DATE(YEAR(T_Stocks[[#This Row],[Fecha]]),MONTH(T_Stocks[[#This Row],[Fecha]]),DAY(T_Stocks[[#This Row],[Fecha]]))</f>
        <v>AAPL-44904</v>
      </c>
    </row>
    <row r="976" spans="1:4" ht="14.65" thickBot="1" x14ac:dyDescent="0.5">
      <c r="A976" s="17">
        <v>44907.666666666664</v>
      </c>
      <c r="B976" s="19">
        <v>144.49</v>
      </c>
      <c r="C976" t="s">
        <v>38</v>
      </c>
      <c r="D976" t="str">
        <f>T_Stocks[[#This Row],[Ticker]] &amp; "-" &amp; DATE(YEAR(T_Stocks[[#This Row],[Fecha]]),MONTH(T_Stocks[[#This Row],[Fecha]]),DAY(T_Stocks[[#This Row],[Fecha]]))</f>
        <v>AAPL-44907</v>
      </c>
    </row>
    <row r="977" spans="1:4" ht="14.65" thickBot="1" x14ac:dyDescent="0.5">
      <c r="A977" s="17">
        <v>44908.666666666664</v>
      </c>
      <c r="B977" s="19">
        <v>145.47</v>
      </c>
      <c r="C977" t="s">
        <v>38</v>
      </c>
      <c r="D977" t="str">
        <f>T_Stocks[[#This Row],[Ticker]] &amp; "-" &amp; DATE(YEAR(T_Stocks[[#This Row],[Fecha]]),MONTH(T_Stocks[[#This Row],[Fecha]]),DAY(T_Stocks[[#This Row],[Fecha]]))</f>
        <v>AAPL-44908</v>
      </c>
    </row>
    <row r="978" spans="1:4" ht="14.65" thickBot="1" x14ac:dyDescent="0.5">
      <c r="A978" s="17">
        <v>44909.666666666664</v>
      </c>
      <c r="B978" s="19">
        <v>143.21</v>
      </c>
      <c r="C978" t="s">
        <v>38</v>
      </c>
      <c r="D978" t="str">
        <f>T_Stocks[[#This Row],[Ticker]] &amp; "-" &amp; DATE(YEAR(T_Stocks[[#This Row],[Fecha]]),MONTH(T_Stocks[[#This Row],[Fecha]]),DAY(T_Stocks[[#This Row],[Fecha]]))</f>
        <v>AAPL-44909</v>
      </c>
    </row>
    <row r="979" spans="1:4" ht="14.65" thickBot="1" x14ac:dyDescent="0.5">
      <c r="A979" s="17">
        <v>44910.666666666664</v>
      </c>
      <c r="B979" s="19">
        <v>136.5</v>
      </c>
      <c r="C979" t="s">
        <v>38</v>
      </c>
      <c r="D979" t="str">
        <f>T_Stocks[[#This Row],[Ticker]] &amp; "-" &amp; DATE(YEAR(T_Stocks[[#This Row],[Fecha]]),MONTH(T_Stocks[[#This Row],[Fecha]]),DAY(T_Stocks[[#This Row],[Fecha]]))</f>
        <v>AAPL-44910</v>
      </c>
    </row>
    <row r="980" spans="1:4" ht="14.65" thickBot="1" x14ac:dyDescent="0.5">
      <c r="A980" s="17">
        <v>44911.666666666664</v>
      </c>
      <c r="B980" s="19">
        <v>134.51</v>
      </c>
      <c r="C980" t="s">
        <v>38</v>
      </c>
      <c r="D980" t="str">
        <f>T_Stocks[[#This Row],[Ticker]] &amp; "-" &amp; DATE(YEAR(T_Stocks[[#This Row],[Fecha]]),MONTH(T_Stocks[[#This Row],[Fecha]]),DAY(T_Stocks[[#This Row],[Fecha]]))</f>
        <v>AAPL-44911</v>
      </c>
    </row>
    <row r="981" spans="1:4" ht="14.65" thickBot="1" x14ac:dyDescent="0.5">
      <c r="A981" s="17">
        <v>44914.666666666664</v>
      </c>
      <c r="B981" s="19">
        <v>132.37</v>
      </c>
      <c r="C981" t="s">
        <v>38</v>
      </c>
      <c r="D981" t="str">
        <f>T_Stocks[[#This Row],[Ticker]] &amp; "-" &amp; DATE(YEAR(T_Stocks[[#This Row],[Fecha]]),MONTH(T_Stocks[[#This Row],[Fecha]]),DAY(T_Stocks[[#This Row],[Fecha]]))</f>
        <v>AAPL-44914</v>
      </c>
    </row>
    <row r="982" spans="1:4" ht="14.65" thickBot="1" x14ac:dyDescent="0.5">
      <c r="A982" s="17">
        <v>44915.666666666664</v>
      </c>
      <c r="B982" s="19">
        <v>132.30000000000001</v>
      </c>
      <c r="C982" t="s">
        <v>38</v>
      </c>
      <c r="D982" t="str">
        <f>T_Stocks[[#This Row],[Ticker]] &amp; "-" &amp; DATE(YEAR(T_Stocks[[#This Row],[Fecha]]),MONTH(T_Stocks[[#This Row],[Fecha]]),DAY(T_Stocks[[#This Row],[Fecha]]))</f>
        <v>AAPL-44915</v>
      </c>
    </row>
    <row r="983" spans="1:4" ht="14.65" thickBot="1" x14ac:dyDescent="0.5">
      <c r="A983" s="17">
        <v>44916.666666666664</v>
      </c>
      <c r="B983" s="19">
        <v>135.44999999999999</v>
      </c>
      <c r="C983" t="s">
        <v>38</v>
      </c>
      <c r="D983" t="str">
        <f>T_Stocks[[#This Row],[Ticker]] &amp; "-" &amp; DATE(YEAR(T_Stocks[[#This Row],[Fecha]]),MONTH(T_Stocks[[#This Row],[Fecha]]),DAY(T_Stocks[[#This Row],[Fecha]]))</f>
        <v>AAPL-44916</v>
      </c>
    </row>
    <row r="984" spans="1:4" ht="14.65" thickBot="1" x14ac:dyDescent="0.5">
      <c r="A984" s="17">
        <v>44917.666666666664</v>
      </c>
      <c r="B984" s="19">
        <v>132.22999999999999</v>
      </c>
      <c r="C984" t="s">
        <v>38</v>
      </c>
      <c r="D984" t="str">
        <f>T_Stocks[[#This Row],[Ticker]] &amp; "-" &amp; DATE(YEAR(T_Stocks[[#This Row],[Fecha]]),MONTH(T_Stocks[[#This Row],[Fecha]]),DAY(T_Stocks[[#This Row],[Fecha]]))</f>
        <v>AAPL-44917</v>
      </c>
    </row>
    <row r="985" spans="1:4" ht="14.65" thickBot="1" x14ac:dyDescent="0.5">
      <c r="A985" s="17">
        <v>44918.666666666664</v>
      </c>
      <c r="B985" s="19">
        <v>131.86000000000001</v>
      </c>
      <c r="C985" t="s">
        <v>38</v>
      </c>
      <c r="D985" t="str">
        <f>T_Stocks[[#This Row],[Ticker]] &amp; "-" &amp; DATE(YEAR(T_Stocks[[#This Row],[Fecha]]),MONTH(T_Stocks[[#This Row],[Fecha]]),DAY(T_Stocks[[#This Row],[Fecha]]))</f>
        <v>AAPL-44918</v>
      </c>
    </row>
    <row r="986" spans="1:4" ht="14.65" thickBot="1" x14ac:dyDescent="0.5">
      <c r="A986" s="17">
        <v>44922.666666666664</v>
      </c>
      <c r="B986" s="19">
        <v>130.03</v>
      </c>
      <c r="C986" t="s">
        <v>38</v>
      </c>
      <c r="D986" t="str">
        <f>T_Stocks[[#This Row],[Ticker]] &amp; "-" &amp; DATE(YEAR(T_Stocks[[#This Row],[Fecha]]),MONTH(T_Stocks[[#This Row],[Fecha]]),DAY(T_Stocks[[#This Row],[Fecha]]))</f>
        <v>AAPL-44922</v>
      </c>
    </row>
    <row r="987" spans="1:4" ht="14.65" thickBot="1" x14ac:dyDescent="0.5">
      <c r="A987" s="17">
        <v>44923.666666666664</v>
      </c>
      <c r="B987" s="19">
        <v>126.04</v>
      </c>
      <c r="C987" t="s">
        <v>38</v>
      </c>
      <c r="D987" t="str">
        <f>T_Stocks[[#This Row],[Ticker]] &amp; "-" &amp; DATE(YEAR(T_Stocks[[#This Row],[Fecha]]),MONTH(T_Stocks[[#This Row],[Fecha]]),DAY(T_Stocks[[#This Row],[Fecha]]))</f>
        <v>AAPL-44923</v>
      </c>
    </row>
    <row r="988" spans="1:4" ht="14.65" thickBot="1" x14ac:dyDescent="0.5">
      <c r="A988" s="17">
        <v>44924.666666666664</v>
      </c>
      <c r="B988" s="19">
        <v>129.61000000000001</v>
      </c>
      <c r="C988" t="s">
        <v>38</v>
      </c>
      <c r="D988" t="str">
        <f>T_Stocks[[#This Row],[Ticker]] &amp; "-" &amp; DATE(YEAR(T_Stocks[[#This Row],[Fecha]]),MONTH(T_Stocks[[#This Row],[Fecha]]),DAY(T_Stocks[[#This Row],[Fecha]]))</f>
        <v>AAPL-44924</v>
      </c>
    </row>
    <row r="989" spans="1:4" ht="14.65" thickBot="1" x14ac:dyDescent="0.5">
      <c r="A989" s="17">
        <v>44925.666666666664</v>
      </c>
      <c r="B989" s="19">
        <v>129.93</v>
      </c>
      <c r="C989" t="s">
        <v>38</v>
      </c>
      <c r="D989" t="str">
        <f>T_Stocks[[#This Row],[Ticker]] &amp; "-" &amp; DATE(YEAR(T_Stocks[[#This Row],[Fecha]]),MONTH(T_Stocks[[#This Row],[Fecha]]),DAY(T_Stocks[[#This Row],[Fecha]]))</f>
        <v>AAPL-44925</v>
      </c>
    </row>
    <row r="990" spans="1:4" ht="14.65" thickBot="1" x14ac:dyDescent="0.5">
      <c r="A990" s="17">
        <v>44929.666666666664</v>
      </c>
      <c r="B990" s="19">
        <v>125.07</v>
      </c>
      <c r="C990" t="s">
        <v>38</v>
      </c>
      <c r="D990" t="str">
        <f>T_Stocks[[#This Row],[Ticker]] &amp; "-" &amp; DATE(YEAR(T_Stocks[[#This Row],[Fecha]]),MONTH(T_Stocks[[#This Row],[Fecha]]),DAY(T_Stocks[[#This Row],[Fecha]]))</f>
        <v>AAPL-44929</v>
      </c>
    </row>
    <row r="991" spans="1:4" ht="14.65" thickBot="1" x14ac:dyDescent="0.5">
      <c r="A991" s="17">
        <v>44930.666666666664</v>
      </c>
      <c r="B991" s="19">
        <v>126.36</v>
      </c>
      <c r="C991" t="s">
        <v>38</v>
      </c>
      <c r="D991" t="str">
        <f>T_Stocks[[#This Row],[Ticker]] &amp; "-" &amp; DATE(YEAR(T_Stocks[[#This Row],[Fecha]]),MONTH(T_Stocks[[#This Row],[Fecha]]),DAY(T_Stocks[[#This Row],[Fecha]]))</f>
        <v>AAPL-44930</v>
      </c>
    </row>
    <row r="992" spans="1:4" ht="14.65" thickBot="1" x14ac:dyDescent="0.5">
      <c r="A992" s="17">
        <v>44931.666666666664</v>
      </c>
      <c r="B992" s="19">
        <v>125.02</v>
      </c>
      <c r="C992" t="s">
        <v>38</v>
      </c>
      <c r="D992" t="str">
        <f>T_Stocks[[#This Row],[Ticker]] &amp; "-" &amp; DATE(YEAR(T_Stocks[[#This Row],[Fecha]]),MONTH(T_Stocks[[#This Row],[Fecha]]),DAY(T_Stocks[[#This Row],[Fecha]]))</f>
        <v>AAPL-44931</v>
      </c>
    </row>
    <row r="993" spans="1:4" ht="14.65" thickBot="1" x14ac:dyDescent="0.5">
      <c r="A993" s="17">
        <v>44932.666666666664</v>
      </c>
      <c r="B993" s="19">
        <v>129.62</v>
      </c>
      <c r="C993" t="s">
        <v>38</v>
      </c>
      <c r="D993" t="str">
        <f>T_Stocks[[#This Row],[Ticker]] &amp; "-" &amp; DATE(YEAR(T_Stocks[[#This Row],[Fecha]]),MONTH(T_Stocks[[#This Row],[Fecha]]),DAY(T_Stocks[[#This Row],[Fecha]]))</f>
        <v>AAPL-44932</v>
      </c>
    </row>
    <row r="994" spans="1:4" ht="14.65" thickBot="1" x14ac:dyDescent="0.5">
      <c r="A994" s="17">
        <v>44935.666666666664</v>
      </c>
      <c r="B994" s="19">
        <v>130.15</v>
      </c>
      <c r="C994" t="s">
        <v>38</v>
      </c>
      <c r="D994" t="str">
        <f>T_Stocks[[#This Row],[Ticker]] &amp; "-" &amp; DATE(YEAR(T_Stocks[[#This Row],[Fecha]]),MONTH(T_Stocks[[#This Row],[Fecha]]),DAY(T_Stocks[[#This Row],[Fecha]]))</f>
        <v>AAPL-44935</v>
      </c>
    </row>
    <row r="995" spans="1:4" ht="14.65" thickBot="1" x14ac:dyDescent="0.5">
      <c r="A995" s="17">
        <v>44936.666666666664</v>
      </c>
      <c r="B995" s="19">
        <v>130.72999999999999</v>
      </c>
      <c r="C995" t="s">
        <v>38</v>
      </c>
      <c r="D995" t="str">
        <f>T_Stocks[[#This Row],[Ticker]] &amp; "-" &amp; DATE(YEAR(T_Stocks[[#This Row],[Fecha]]),MONTH(T_Stocks[[#This Row],[Fecha]]),DAY(T_Stocks[[#This Row],[Fecha]]))</f>
        <v>AAPL-44936</v>
      </c>
    </row>
    <row r="996" spans="1:4" ht="14.65" thickBot="1" x14ac:dyDescent="0.5">
      <c r="A996" s="17">
        <v>44937.666666666664</v>
      </c>
      <c r="B996" s="19">
        <v>133.49</v>
      </c>
      <c r="C996" t="s">
        <v>38</v>
      </c>
      <c r="D996" t="str">
        <f>T_Stocks[[#This Row],[Ticker]] &amp; "-" &amp; DATE(YEAR(T_Stocks[[#This Row],[Fecha]]),MONTH(T_Stocks[[#This Row],[Fecha]]),DAY(T_Stocks[[#This Row],[Fecha]]))</f>
        <v>AAPL-44937</v>
      </c>
    </row>
    <row r="997" spans="1:4" ht="14.65" thickBot="1" x14ac:dyDescent="0.5">
      <c r="A997" s="17">
        <v>44938.666666666664</v>
      </c>
      <c r="B997" s="19">
        <v>133.41</v>
      </c>
      <c r="C997" t="s">
        <v>38</v>
      </c>
      <c r="D997" t="str">
        <f>T_Stocks[[#This Row],[Ticker]] &amp; "-" &amp; DATE(YEAR(T_Stocks[[#This Row],[Fecha]]),MONTH(T_Stocks[[#This Row],[Fecha]]),DAY(T_Stocks[[#This Row],[Fecha]]))</f>
        <v>AAPL-44938</v>
      </c>
    </row>
    <row r="998" spans="1:4" ht="14.65" thickBot="1" x14ac:dyDescent="0.5">
      <c r="A998" s="17">
        <v>44939.666666666664</v>
      </c>
      <c r="B998" s="19">
        <v>134.76</v>
      </c>
      <c r="C998" t="s">
        <v>38</v>
      </c>
      <c r="D998" t="str">
        <f>T_Stocks[[#This Row],[Ticker]] &amp; "-" &amp; DATE(YEAR(T_Stocks[[#This Row],[Fecha]]),MONTH(T_Stocks[[#This Row],[Fecha]]),DAY(T_Stocks[[#This Row],[Fecha]]))</f>
        <v>AAPL-44939</v>
      </c>
    </row>
    <row r="999" spans="1:4" ht="14.65" thickBot="1" x14ac:dyDescent="0.5">
      <c r="A999" s="17">
        <v>44943.666666666664</v>
      </c>
      <c r="B999" s="19">
        <v>135.94</v>
      </c>
      <c r="C999" t="s">
        <v>38</v>
      </c>
      <c r="D999" t="str">
        <f>T_Stocks[[#This Row],[Ticker]] &amp; "-" &amp; DATE(YEAR(T_Stocks[[#This Row],[Fecha]]),MONTH(T_Stocks[[#This Row],[Fecha]]),DAY(T_Stocks[[#This Row],[Fecha]]))</f>
        <v>AAPL-44943</v>
      </c>
    </row>
    <row r="1000" spans="1:4" ht="14.65" thickBot="1" x14ac:dyDescent="0.5">
      <c r="A1000" s="17">
        <v>44944.666666666664</v>
      </c>
      <c r="B1000" s="19">
        <v>135.21</v>
      </c>
      <c r="C1000" t="s">
        <v>38</v>
      </c>
      <c r="D1000" t="str">
        <f>T_Stocks[[#This Row],[Ticker]] &amp; "-" &amp; DATE(YEAR(T_Stocks[[#This Row],[Fecha]]),MONTH(T_Stocks[[#This Row],[Fecha]]),DAY(T_Stocks[[#This Row],[Fecha]]))</f>
        <v>AAPL-44944</v>
      </c>
    </row>
    <row r="1001" spans="1:4" ht="14.65" thickBot="1" x14ac:dyDescent="0.5">
      <c r="A1001" s="17">
        <v>44945.666666666664</v>
      </c>
      <c r="B1001" s="19">
        <v>135.27000000000001</v>
      </c>
      <c r="C1001" t="s">
        <v>38</v>
      </c>
      <c r="D1001" t="str">
        <f>T_Stocks[[#This Row],[Ticker]] &amp; "-" &amp; DATE(YEAR(T_Stocks[[#This Row],[Fecha]]),MONTH(T_Stocks[[#This Row],[Fecha]]),DAY(T_Stocks[[#This Row],[Fecha]]))</f>
        <v>AAPL-44945</v>
      </c>
    </row>
    <row r="1002" spans="1:4" ht="14.65" thickBot="1" x14ac:dyDescent="0.5">
      <c r="A1002" s="17">
        <v>44946.666666666664</v>
      </c>
      <c r="B1002" s="19">
        <v>137.87</v>
      </c>
      <c r="C1002" t="s">
        <v>38</v>
      </c>
      <c r="D1002" t="str">
        <f>T_Stocks[[#This Row],[Ticker]] &amp; "-" &amp; DATE(YEAR(T_Stocks[[#This Row],[Fecha]]),MONTH(T_Stocks[[#This Row],[Fecha]]),DAY(T_Stocks[[#This Row],[Fecha]]))</f>
        <v>AAPL-44946</v>
      </c>
    </row>
    <row r="1003" spans="1:4" ht="14.65" thickBot="1" x14ac:dyDescent="0.5">
      <c r="A1003" s="17">
        <v>44949.666666666664</v>
      </c>
      <c r="B1003" s="19">
        <v>141.11000000000001</v>
      </c>
      <c r="C1003" t="s">
        <v>38</v>
      </c>
      <c r="D1003" t="str">
        <f>T_Stocks[[#This Row],[Ticker]] &amp; "-" &amp; DATE(YEAR(T_Stocks[[#This Row],[Fecha]]),MONTH(T_Stocks[[#This Row],[Fecha]]),DAY(T_Stocks[[#This Row],[Fecha]]))</f>
        <v>AAPL-44949</v>
      </c>
    </row>
    <row r="1004" spans="1:4" ht="14.65" thickBot="1" x14ac:dyDescent="0.5">
      <c r="A1004" s="17">
        <v>44950.666666666664</v>
      </c>
      <c r="B1004" s="19">
        <v>142.53</v>
      </c>
      <c r="C1004" t="s">
        <v>38</v>
      </c>
      <c r="D1004" t="str">
        <f>T_Stocks[[#This Row],[Ticker]] &amp; "-" &amp; DATE(YEAR(T_Stocks[[#This Row],[Fecha]]),MONTH(T_Stocks[[#This Row],[Fecha]]),DAY(T_Stocks[[#This Row],[Fecha]]))</f>
        <v>AAPL-44950</v>
      </c>
    </row>
    <row r="1005" spans="1:4" ht="14.65" thickBot="1" x14ac:dyDescent="0.5">
      <c r="A1005" s="17">
        <v>44951.666666666664</v>
      </c>
      <c r="B1005" s="19">
        <v>141.86000000000001</v>
      </c>
      <c r="C1005" t="s">
        <v>38</v>
      </c>
      <c r="D1005" t="str">
        <f>T_Stocks[[#This Row],[Ticker]] &amp; "-" &amp; DATE(YEAR(T_Stocks[[#This Row],[Fecha]]),MONTH(T_Stocks[[#This Row],[Fecha]]),DAY(T_Stocks[[#This Row],[Fecha]]))</f>
        <v>AAPL-44951</v>
      </c>
    </row>
    <row r="1006" spans="1:4" ht="14.65" thickBot="1" x14ac:dyDescent="0.5">
      <c r="A1006" s="17">
        <v>44952.666666666664</v>
      </c>
      <c r="B1006" s="19">
        <v>143.96</v>
      </c>
      <c r="C1006" t="s">
        <v>38</v>
      </c>
      <c r="D1006" t="str">
        <f>T_Stocks[[#This Row],[Ticker]] &amp; "-" &amp; DATE(YEAR(T_Stocks[[#This Row],[Fecha]]),MONTH(T_Stocks[[#This Row],[Fecha]]),DAY(T_Stocks[[#This Row],[Fecha]]))</f>
        <v>AAPL-44952</v>
      </c>
    </row>
    <row r="1007" spans="1:4" ht="14.65" thickBot="1" x14ac:dyDescent="0.5">
      <c r="A1007" s="17">
        <v>44953.666666666664</v>
      </c>
      <c r="B1007" s="19">
        <v>145.93</v>
      </c>
      <c r="C1007" t="s">
        <v>38</v>
      </c>
      <c r="D1007" t="str">
        <f>T_Stocks[[#This Row],[Ticker]] &amp; "-" &amp; DATE(YEAR(T_Stocks[[#This Row],[Fecha]]),MONTH(T_Stocks[[#This Row],[Fecha]]),DAY(T_Stocks[[#This Row],[Fecha]]))</f>
        <v>AAPL-44953</v>
      </c>
    </row>
    <row r="1008" spans="1:4" ht="14.65" thickBot="1" x14ac:dyDescent="0.5">
      <c r="A1008" s="17">
        <v>44956.666666666664</v>
      </c>
      <c r="B1008" s="19">
        <v>143</v>
      </c>
      <c r="C1008" t="s">
        <v>38</v>
      </c>
      <c r="D1008" t="str">
        <f>T_Stocks[[#This Row],[Ticker]] &amp; "-" &amp; DATE(YEAR(T_Stocks[[#This Row],[Fecha]]),MONTH(T_Stocks[[#This Row],[Fecha]]),DAY(T_Stocks[[#This Row],[Fecha]]))</f>
        <v>AAPL-44956</v>
      </c>
    </row>
    <row r="1009" spans="1:4" ht="14.65" thickBot="1" x14ac:dyDescent="0.5">
      <c r="A1009" s="17">
        <v>44957.666666666664</v>
      </c>
      <c r="B1009" s="19">
        <v>144.29</v>
      </c>
      <c r="C1009" t="s">
        <v>38</v>
      </c>
      <c r="D1009" t="str">
        <f>T_Stocks[[#This Row],[Ticker]] &amp; "-" &amp; DATE(YEAR(T_Stocks[[#This Row],[Fecha]]),MONTH(T_Stocks[[#This Row],[Fecha]]),DAY(T_Stocks[[#This Row],[Fecha]]))</f>
        <v>AAPL-44957</v>
      </c>
    </row>
    <row r="1010" spans="1:4" ht="14.65" thickBot="1" x14ac:dyDescent="0.5">
      <c r="A1010" s="17">
        <v>44958.666666666664</v>
      </c>
      <c r="B1010" s="19">
        <v>145.43</v>
      </c>
      <c r="C1010" t="s">
        <v>38</v>
      </c>
      <c r="D1010" t="str">
        <f>T_Stocks[[#This Row],[Ticker]] &amp; "-" &amp; DATE(YEAR(T_Stocks[[#This Row],[Fecha]]),MONTH(T_Stocks[[#This Row],[Fecha]]),DAY(T_Stocks[[#This Row],[Fecha]]))</f>
        <v>AAPL-44958</v>
      </c>
    </row>
    <row r="1011" spans="1:4" ht="14.65" thickBot="1" x14ac:dyDescent="0.5">
      <c r="A1011" s="17">
        <v>44959.666666666664</v>
      </c>
      <c r="B1011" s="19">
        <v>150.82</v>
      </c>
      <c r="C1011" t="s">
        <v>38</v>
      </c>
      <c r="D1011" t="str">
        <f>T_Stocks[[#This Row],[Ticker]] &amp; "-" &amp; DATE(YEAR(T_Stocks[[#This Row],[Fecha]]),MONTH(T_Stocks[[#This Row],[Fecha]]),DAY(T_Stocks[[#This Row],[Fecha]]))</f>
        <v>AAPL-44959</v>
      </c>
    </row>
    <row r="1012" spans="1:4" ht="14.65" thickBot="1" x14ac:dyDescent="0.5">
      <c r="A1012" s="17">
        <v>44960.666666666664</v>
      </c>
      <c r="B1012" s="19">
        <v>154.5</v>
      </c>
      <c r="C1012" t="s">
        <v>38</v>
      </c>
      <c r="D1012" t="str">
        <f>T_Stocks[[#This Row],[Ticker]] &amp; "-" &amp; DATE(YEAR(T_Stocks[[#This Row],[Fecha]]),MONTH(T_Stocks[[#This Row],[Fecha]]),DAY(T_Stocks[[#This Row],[Fecha]]))</f>
        <v>AAPL-44960</v>
      </c>
    </row>
    <row r="1013" spans="1:4" ht="14.65" thickBot="1" x14ac:dyDescent="0.5">
      <c r="A1013" s="17">
        <v>44963.666666666664</v>
      </c>
      <c r="B1013" s="19">
        <v>151.72999999999999</v>
      </c>
      <c r="C1013" t="s">
        <v>38</v>
      </c>
      <c r="D1013" t="str">
        <f>T_Stocks[[#This Row],[Ticker]] &amp; "-" &amp; DATE(YEAR(T_Stocks[[#This Row],[Fecha]]),MONTH(T_Stocks[[#This Row],[Fecha]]),DAY(T_Stocks[[#This Row],[Fecha]]))</f>
        <v>AAPL-44963</v>
      </c>
    </row>
    <row r="1014" spans="1:4" ht="14.65" thickBot="1" x14ac:dyDescent="0.5">
      <c r="A1014" s="17">
        <v>44964.666666666664</v>
      </c>
      <c r="B1014" s="19">
        <v>154.65</v>
      </c>
      <c r="C1014" t="s">
        <v>38</v>
      </c>
      <c r="D1014" t="str">
        <f>T_Stocks[[#This Row],[Ticker]] &amp; "-" &amp; DATE(YEAR(T_Stocks[[#This Row],[Fecha]]),MONTH(T_Stocks[[#This Row],[Fecha]]),DAY(T_Stocks[[#This Row],[Fecha]]))</f>
        <v>AAPL-44964</v>
      </c>
    </row>
    <row r="1015" spans="1:4" ht="14.65" thickBot="1" x14ac:dyDescent="0.5">
      <c r="A1015" s="17">
        <v>44965.666666666664</v>
      </c>
      <c r="B1015" s="19">
        <v>151.91999999999999</v>
      </c>
      <c r="C1015" t="s">
        <v>38</v>
      </c>
      <c r="D1015" t="str">
        <f>T_Stocks[[#This Row],[Ticker]] &amp; "-" &amp; DATE(YEAR(T_Stocks[[#This Row],[Fecha]]),MONTH(T_Stocks[[#This Row],[Fecha]]),DAY(T_Stocks[[#This Row],[Fecha]]))</f>
        <v>AAPL-44965</v>
      </c>
    </row>
    <row r="1016" spans="1:4" ht="14.65" thickBot="1" x14ac:dyDescent="0.5">
      <c r="A1016" s="17">
        <v>44966.666666666664</v>
      </c>
      <c r="B1016" s="19">
        <v>150.87</v>
      </c>
      <c r="C1016" t="s">
        <v>38</v>
      </c>
      <c r="D1016" t="str">
        <f>T_Stocks[[#This Row],[Ticker]] &amp; "-" &amp; DATE(YEAR(T_Stocks[[#This Row],[Fecha]]),MONTH(T_Stocks[[#This Row],[Fecha]]),DAY(T_Stocks[[#This Row],[Fecha]]))</f>
        <v>AAPL-44966</v>
      </c>
    </row>
    <row r="1017" spans="1:4" ht="14.65" thickBot="1" x14ac:dyDescent="0.5">
      <c r="A1017" s="17">
        <v>44967.666666666664</v>
      </c>
      <c r="B1017" s="19">
        <v>151.01</v>
      </c>
      <c r="C1017" t="s">
        <v>38</v>
      </c>
      <c r="D1017" t="str">
        <f>T_Stocks[[#This Row],[Ticker]] &amp; "-" &amp; DATE(YEAR(T_Stocks[[#This Row],[Fecha]]),MONTH(T_Stocks[[#This Row],[Fecha]]),DAY(T_Stocks[[#This Row],[Fecha]]))</f>
        <v>AAPL-44967</v>
      </c>
    </row>
    <row r="1018" spans="1:4" ht="14.65" thickBot="1" x14ac:dyDescent="0.5">
      <c r="A1018" s="17">
        <v>44970.666666666664</v>
      </c>
      <c r="B1018" s="19">
        <v>153.85</v>
      </c>
      <c r="C1018" t="s">
        <v>38</v>
      </c>
      <c r="D1018" t="str">
        <f>T_Stocks[[#This Row],[Ticker]] &amp; "-" &amp; DATE(YEAR(T_Stocks[[#This Row],[Fecha]]),MONTH(T_Stocks[[#This Row],[Fecha]]),DAY(T_Stocks[[#This Row],[Fecha]]))</f>
        <v>AAPL-44970</v>
      </c>
    </row>
    <row r="1019" spans="1:4" ht="14.65" thickBot="1" x14ac:dyDescent="0.5">
      <c r="A1019" s="17">
        <v>44971.666666666664</v>
      </c>
      <c r="B1019" s="19">
        <v>153.19999999999999</v>
      </c>
      <c r="C1019" t="s">
        <v>38</v>
      </c>
      <c r="D1019" t="str">
        <f>T_Stocks[[#This Row],[Ticker]] &amp; "-" &amp; DATE(YEAR(T_Stocks[[#This Row],[Fecha]]),MONTH(T_Stocks[[#This Row],[Fecha]]),DAY(T_Stocks[[#This Row],[Fecha]]))</f>
        <v>AAPL-44971</v>
      </c>
    </row>
    <row r="1020" spans="1:4" ht="14.65" thickBot="1" x14ac:dyDescent="0.5">
      <c r="A1020" s="17">
        <v>44972.666666666664</v>
      </c>
      <c r="B1020" s="19">
        <v>155.33000000000001</v>
      </c>
      <c r="C1020" t="s">
        <v>38</v>
      </c>
      <c r="D1020" t="str">
        <f>T_Stocks[[#This Row],[Ticker]] &amp; "-" &amp; DATE(YEAR(T_Stocks[[#This Row],[Fecha]]),MONTH(T_Stocks[[#This Row],[Fecha]]),DAY(T_Stocks[[#This Row],[Fecha]]))</f>
        <v>AAPL-44972</v>
      </c>
    </row>
    <row r="1021" spans="1:4" ht="14.65" thickBot="1" x14ac:dyDescent="0.5">
      <c r="A1021" s="17">
        <v>44973.666666666664</v>
      </c>
      <c r="B1021" s="19">
        <v>153.71</v>
      </c>
      <c r="C1021" t="s">
        <v>38</v>
      </c>
      <c r="D1021" t="str">
        <f>T_Stocks[[#This Row],[Ticker]] &amp; "-" &amp; DATE(YEAR(T_Stocks[[#This Row],[Fecha]]),MONTH(T_Stocks[[#This Row],[Fecha]]),DAY(T_Stocks[[#This Row],[Fecha]]))</f>
        <v>AAPL-44973</v>
      </c>
    </row>
    <row r="1022" spans="1:4" ht="14.65" thickBot="1" x14ac:dyDescent="0.5">
      <c r="A1022" s="17">
        <v>44974.666666666664</v>
      </c>
      <c r="B1022" s="19">
        <v>152.55000000000001</v>
      </c>
      <c r="C1022" t="s">
        <v>38</v>
      </c>
      <c r="D1022" t="str">
        <f>T_Stocks[[#This Row],[Ticker]] &amp; "-" &amp; DATE(YEAR(T_Stocks[[#This Row],[Fecha]]),MONTH(T_Stocks[[#This Row],[Fecha]]),DAY(T_Stocks[[#This Row],[Fecha]]))</f>
        <v>AAPL-44974</v>
      </c>
    </row>
    <row r="1023" spans="1:4" ht="14.65" thickBot="1" x14ac:dyDescent="0.5">
      <c r="A1023" s="17">
        <v>44978.666666666664</v>
      </c>
      <c r="B1023" s="19">
        <v>148.47999999999999</v>
      </c>
      <c r="C1023" t="s">
        <v>38</v>
      </c>
      <c r="D1023" t="str">
        <f>T_Stocks[[#This Row],[Ticker]] &amp; "-" &amp; DATE(YEAR(T_Stocks[[#This Row],[Fecha]]),MONTH(T_Stocks[[#This Row],[Fecha]]),DAY(T_Stocks[[#This Row],[Fecha]]))</f>
        <v>AAPL-44978</v>
      </c>
    </row>
    <row r="1024" spans="1:4" ht="14.65" thickBot="1" x14ac:dyDescent="0.5">
      <c r="A1024" s="17">
        <v>44979.666666666664</v>
      </c>
      <c r="B1024" s="19">
        <v>148.91</v>
      </c>
      <c r="C1024" t="s">
        <v>38</v>
      </c>
      <c r="D1024" t="str">
        <f>T_Stocks[[#This Row],[Ticker]] &amp; "-" &amp; DATE(YEAR(T_Stocks[[#This Row],[Fecha]]),MONTH(T_Stocks[[#This Row],[Fecha]]),DAY(T_Stocks[[#This Row],[Fecha]]))</f>
        <v>AAPL-44979</v>
      </c>
    </row>
    <row r="1025" spans="1:4" ht="14.65" thickBot="1" x14ac:dyDescent="0.5">
      <c r="A1025" s="17">
        <v>44980.666666666664</v>
      </c>
      <c r="B1025" s="19">
        <v>149.4</v>
      </c>
      <c r="C1025" t="s">
        <v>38</v>
      </c>
      <c r="D1025" t="str">
        <f>T_Stocks[[#This Row],[Ticker]] &amp; "-" &amp; DATE(YEAR(T_Stocks[[#This Row],[Fecha]]),MONTH(T_Stocks[[#This Row],[Fecha]]),DAY(T_Stocks[[#This Row],[Fecha]]))</f>
        <v>AAPL-44980</v>
      </c>
    </row>
    <row r="1026" spans="1:4" ht="14.65" thickBot="1" x14ac:dyDescent="0.5">
      <c r="A1026" s="17">
        <v>44981.666666666664</v>
      </c>
      <c r="B1026" s="19">
        <v>146.71</v>
      </c>
      <c r="C1026" t="s">
        <v>38</v>
      </c>
      <c r="D1026" t="str">
        <f>T_Stocks[[#This Row],[Ticker]] &amp; "-" &amp; DATE(YEAR(T_Stocks[[#This Row],[Fecha]]),MONTH(T_Stocks[[#This Row],[Fecha]]),DAY(T_Stocks[[#This Row],[Fecha]]))</f>
        <v>AAPL-44981</v>
      </c>
    </row>
    <row r="1027" spans="1:4" ht="14.65" thickBot="1" x14ac:dyDescent="0.5">
      <c r="A1027" s="17">
        <v>44984.666666666664</v>
      </c>
      <c r="B1027" s="19">
        <v>147.91999999999999</v>
      </c>
      <c r="C1027" t="s">
        <v>38</v>
      </c>
      <c r="D1027" t="str">
        <f>T_Stocks[[#This Row],[Ticker]] &amp; "-" &amp; DATE(YEAR(T_Stocks[[#This Row],[Fecha]]),MONTH(T_Stocks[[#This Row],[Fecha]]),DAY(T_Stocks[[#This Row],[Fecha]]))</f>
        <v>AAPL-44984</v>
      </c>
    </row>
    <row r="1028" spans="1:4" ht="14.65" thickBot="1" x14ac:dyDescent="0.5">
      <c r="A1028" s="17">
        <v>44985.666666666664</v>
      </c>
      <c r="B1028" s="19">
        <v>147.41</v>
      </c>
      <c r="C1028" t="s">
        <v>38</v>
      </c>
      <c r="D1028" t="str">
        <f>T_Stocks[[#This Row],[Ticker]] &amp; "-" &amp; DATE(YEAR(T_Stocks[[#This Row],[Fecha]]),MONTH(T_Stocks[[#This Row],[Fecha]]),DAY(T_Stocks[[#This Row],[Fecha]]))</f>
        <v>AAPL-44985</v>
      </c>
    </row>
    <row r="1029" spans="1:4" ht="14.65" thickBot="1" x14ac:dyDescent="0.5">
      <c r="A1029" s="17">
        <v>44986.666666666664</v>
      </c>
      <c r="B1029" s="19">
        <v>145.31</v>
      </c>
      <c r="C1029" t="s">
        <v>38</v>
      </c>
      <c r="D1029" t="str">
        <f>T_Stocks[[#This Row],[Ticker]] &amp; "-" &amp; DATE(YEAR(T_Stocks[[#This Row],[Fecha]]),MONTH(T_Stocks[[#This Row],[Fecha]]),DAY(T_Stocks[[#This Row],[Fecha]]))</f>
        <v>AAPL-44986</v>
      </c>
    </row>
    <row r="1030" spans="1:4" ht="14.65" thickBot="1" x14ac:dyDescent="0.5">
      <c r="A1030" s="17">
        <v>44987.666666666664</v>
      </c>
      <c r="B1030" s="19">
        <v>145.91</v>
      </c>
      <c r="C1030" t="s">
        <v>38</v>
      </c>
      <c r="D1030" t="str">
        <f>T_Stocks[[#This Row],[Ticker]] &amp; "-" &amp; DATE(YEAR(T_Stocks[[#This Row],[Fecha]]),MONTH(T_Stocks[[#This Row],[Fecha]]),DAY(T_Stocks[[#This Row],[Fecha]]))</f>
        <v>AAPL-44987</v>
      </c>
    </row>
    <row r="1031" spans="1:4" ht="14.65" thickBot="1" x14ac:dyDescent="0.5">
      <c r="A1031" s="17">
        <v>44988.666666666664</v>
      </c>
      <c r="B1031" s="19">
        <v>151.03</v>
      </c>
      <c r="C1031" t="s">
        <v>38</v>
      </c>
      <c r="D1031" t="str">
        <f>T_Stocks[[#This Row],[Ticker]] &amp; "-" &amp; DATE(YEAR(T_Stocks[[#This Row],[Fecha]]),MONTH(T_Stocks[[#This Row],[Fecha]]),DAY(T_Stocks[[#This Row],[Fecha]]))</f>
        <v>AAPL-44988</v>
      </c>
    </row>
    <row r="1032" spans="1:4" ht="14.65" thickBot="1" x14ac:dyDescent="0.5">
      <c r="A1032" s="17">
        <v>44991.666666666664</v>
      </c>
      <c r="B1032" s="19">
        <v>153.83000000000001</v>
      </c>
      <c r="C1032" t="s">
        <v>38</v>
      </c>
      <c r="D1032" t="str">
        <f>T_Stocks[[#This Row],[Ticker]] &amp; "-" &amp; DATE(YEAR(T_Stocks[[#This Row],[Fecha]]),MONTH(T_Stocks[[#This Row],[Fecha]]),DAY(T_Stocks[[#This Row],[Fecha]]))</f>
        <v>AAPL-44991</v>
      </c>
    </row>
    <row r="1033" spans="1:4" ht="14.65" thickBot="1" x14ac:dyDescent="0.5">
      <c r="A1033" s="17">
        <v>44992.666666666664</v>
      </c>
      <c r="B1033" s="19">
        <v>151.6</v>
      </c>
      <c r="C1033" t="s">
        <v>38</v>
      </c>
      <c r="D1033" t="str">
        <f>T_Stocks[[#This Row],[Ticker]] &amp; "-" &amp; DATE(YEAR(T_Stocks[[#This Row],[Fecha]]),MONTH(T_Stocks[[#This Row],[Fecha]]),DAY(T_Stocks[[#This Row],[Fecha]]))</f>
        <v>AAPL-44992</v>
      </c>
    </row>
    <row r="1034" spans="1:4" ht="14.65" thickBot="1" x14ac:dyDescent="0.5">
      <c r="A1034" s="17">
        <v>44993.666666666664</v>
      </c>
      <c r="B1034" s="19">
        <v>152.87</v>
      </c>
      <c r="C1034" t="s">
        <v>38</v>
      </c>
      <c r="D1034" t="str">
        <f>T_Stocks[[#This Row],[Ticker]] &amp; "-" &amp; DATE(YEAR(T_Stocks[[#This Row],[Fecha]]),MONTH(T_Stocks[[#This Row],[Fecha]]),DAY(T_Stocks[[#This Row],[Fecha]]))</f>
        <v>AAPL-44993</v>
      </c>
    </row>
    <row r="1035" spans="1:4" ht="14.65" thickBot="1" x14ac:dyDescent="0.5">
      <c r="A1035" s="17">
        <v>44994.666666666664</v>
      </c>
      <c r="B1035" s="19">
        <v>150.59</v>
      </c>
      <c r="C1035" t="s">
        <v>38</v>
      </c>
      <c r="D1035" t="str">
        <f>T_Stocks[[#This Row],[Ticker]] &amp; "-" &amp; DATE(YEAR(T_Stocks[[#This Row],[Fecha]]),MONTH(T_Stocks[[#This Row],[Fecha]]),DAY(T_Stocks[[#This Row],[Fecha]]))</f>
        <v>AAPL-44994</v>
      </c>
    </row>
    <row r="1036" spans="1:4" ht="14.65" thickBot="1" x14ac:dyDescent="0.5">
      <c r="A1036" s="17">
        <v>44995.666666666664</v>
      </c>
      <c r="B1036" s="19">
        <v>148.5</v>
      </c>
      <c r="C1036" t="s">
        <v>38</v>
      </c>
      <c r="D1036" t="str">
        <f>T_Stocks[[#This Row],[Ticker]] &amp; "-" &amp; DATE(YEAR(T_Stocks[[#This Row],[Fecha]]),MONTH(T_Stocks[[#This Row],[Fecha]]),DAY(T_Stocks[[#This Row],[Fecha]]))</f>
        <v>AAPL-44995</v>
      </c>
    </row>
    <row r="1037" spans="1:4" ht="14.65" thickBot="1" x14ac:dyDescent="0.5">
      <c r="A1037" s="17">
        <v>44998.666666666664</v>
      </c>
      <c r="B1037" s="19">
        <v>150.47</v>
      </c>
      <c r="C1037" t="s">
        <v>38</v>
      </c>
      <c r="D1037" t="str">
        <f>T_Stocks[[#This Row],[Ticker]] &amp; "-" &amp; DATE(YEAR(T_Stocks[[#This Row],[Fecha]]),MONTH(T_Stocks[[#This Row],[Fecha]]),DAY(T_Stocks[[#This Row],[Fecha]]))</f>
        <v>AAPL-44998</v>
      </c>
    </row>
    <row r="1038" spans="1:4" ht="14.65" thickBot="1" x14ac:dyDescent="0.5">
      <c r="A1038" s="17">
        <v>44999.666666666664</v>
      </c>
      <c r="B1038" s="19">
        <v>152.59</v>
      </c>
      <c r="C1038" t="s">
        <v>38</v>
      </c>
      <c r="D1038" t="str">
        <f>T_Stocks[[#This Row],[Ticker]] &amp; "-" &amp; DATE(YEAR(T_Stocks[[#This Row],[Fecha]]),MONTH(T_Stocks[[#This Row],[Fecha]]),DAY(T_Stocks[[#This Row],[Fecha]]))</f>
        <v>AAPL-44999</v>
      </c>
    </row>
    <row r="1039" spans="1:4" ht="14.65" thickBot="1" x14ac:dyDescent="0.5">
      <c r="A1039" s="17">
        <v>45000.666666666664</v>
      </c>
      <c r="B1039" s="19">
        <v>152.99</v>
      </c>
      <c r="C1039" t="s">
        <v>38</v>
      </c>
      <c r="D1039" t="str">
        <f>T_Stocks[[#This Row],[Ticker]] &amp; "-" &amp; DATE(YEAR(T_Stocks[[#This Row],[Fecha]]),MONTH(T_Stocks[[#This Row],[Fecha]]),DAY(T_Stocks[[#This Row],[Fecha]]))</f>
        <v>AAPL-45000</v>
      </c>
    </row>
    <row r="1040" spans="1:4" ht="14.65" thickBot="1" x14ac:dyDescent="0.5">
      <c r="A1040" s="17">
        <v>45001.666666666664</v>
      </c>
      <c r="B1040" s="19">
        <v>155.85</v>
      </c>
      <c r="C1040" t="s">
        <v>38</v>
      </c>
      <c r="D1040" t="str">
        <f>T_Stocks[[#This Row],[Ticker]] &amp; "-" &amp; DATE(YEAR(T_Stocks[[#This Row],[Fecha]]),MONTH(T_Stocks[[#This Row],[Fecha]]),DAY(T_Stocks[[#This Row],[Fecha]]))</f>
        <v>AAPL-45001</v>
      </c>
    </row>
    <row r="1041" spans="1:4" ht="14.65" thickBot="1" x14ac:dyDescent="0.5">
      <c r="A1041" s="17">
        <v>45002.666666666664</v>
      </c>
      <c r="B1041" s="19">
        <v>155</v>
      </c>
      <c r="C1041" t="s">
        <v>38</v>
      </c>
      <c r="D1041" t="str">
        <f>T_Stocks[[#This Row],[Ticker]] &amp; "-" &amp; DATE(YEAR(T_Stocks[[#This Row],[Fecha]]),MONTH(T_Stocks[[#This Row],[Fecha]]),DAY(T_Stocks[[#This Row],[Fecha]]))</f>
        <v>AAPL-45002</v>
      </c>
    </row>
    <row r="1042" spans="1:4" ht="14.65" thickBot="1" x14ac:dyDescent="0.5">
      <c r="A1042" s="17">
        <v>45005.666666666664</v>
      </c>
      <c r="B1042" s="19">
        <v>157.4</v>
      </c>
      <c r="C1042" t="s">
        <v>38</v>
      </c>
      <c r="D1042" t="str">
        <f>T_Stocks[[#This Row],[Ticker]] &amp; "-" &amp; DATE(YEAR(T_Stocks[[#This Row],[Fecha]]),MONTH(T_Stocks[[#This Row],[Fecha]]),DAY(T_Stocks[[#This Row],[Fecha]]))</f>
        <v>AAPL-45005</v>
      </c>
    </row>
    <row r="1043" spans="1:4" ht="14.65" thickBot="1" x14ac:dyDescent="0.5">
      <c r="A1043" s="17">
        <v>45006.666666666664</v>
      </c>
      <c r="B1043" s="19">
        <v>159.28</v>
      </c>
      <c r="C1043" t="s">
        <v>38</v>
      </c>
      <c r="D1043" t="str">
        <f>T_Stocks[[#This Row],[Ticker]] &amp; "-" &amp; DATE(YEAR(T_Stocks[[#This Row],[Fecha]]),MONTH(T_Stocks[[#This Row],[Fecha]]),DAY(T_Stocks[[#This Row],[Fecha]]))</f>
        <v>AAPL-45006</v>
      </c>
    </row>
    <row r="1044" spans="1:4" ht="14.65" thickBot="1" x14ac:dyDescent="0.5">
      <c r="A1044" s="17">
        <v>45007.666666666664</v>
      </c>
      <c r="B1044" s="19">
        <v>157.83000000000001</v>
      </c>
      <c r="C1044" t="s">
        <v>38</v>
      </c>
      <c r="D1044" t="str">
        <f>T_Stocks[[#This Row],[Ticker]] &amp; "-" &amp; DATE(YEAR(T_Stocks[[#This Row],[Fecha]]),MONTH(T_Stocks[[#This Row],[Fecha]]),DAY(T_Stocks[[#This Row],[Fecha]]))</f>
        <v>AAPL-45007</v>
      </c>
    </row>
    <row r="1045" spans="1:4" ht="14.65" thickBot="1" x14ac:dyDescent="0.5">
      <c r="A1045" s="17">
        <v>45008.666666666664</v>
      </c>
      <c r="B1045" s="19">
        <v>158.93</v>
      </c>
      <c r="C1045" t="s">
        <v>38</v>
      </c>
      <c r="D1045" t="str">
        <f>T_Stocks[[#This Row],[Ticker]] &amp; "-" &amp; DATE(YEAR(T_Stocks[[#This Row],[Fecha]]),MONTH(T_Stocks[[#This Row],[Fecha]]),DAY(T_Stocks[[#This Row],[Fecha]]))</f>
        <v>AAPL-45008</v>
      </c>
    </row>
    <row r="1046" spans="1:4" ht="14.65" thickBot="1" x14ac:dyDescent="0.5">
      <c r="A1046" s="17">
        <v>45009.666666666664</v>
      </c>
      <c r="B1046" s="19">
        <v>160.25</v>
      </c>
      <c r="C1046" t="s">
        <v>38</v>
      </c>
      <c r="D1046" t="str">
        <f>T_Stocks[[#This Row],[Ticker]] &amp; "-" &amp; DATE(YEAR(T_Stocks[[#This Row],[Fecha]]),MONTH(T_Stocks[[#This Row],[Fecha]]),DAY(T_Stocks[[#This Row],[Fecha]]))</f>
        <v>AAPL-45009</v>
      </c>
    </row>
    <row r="1047" spans="1:4" ht="14.65" thickBot="1" x14ac:dyDescent="0.5">
      <c r="A1047" s="17">
        <v>45012.666666666664</v>
      </c>
      <c r="B1047" s="19">
        <v>158.28</v>
      </c>
      <c r="C1047" t="s">
        <v>38</v>
      </c>
      <c r="D1047" t="str">
        <f>T_Stocks[[#This Row],[Ticker]] &amp; "-" &amp; DATE(YEAR(T_Stocks[[#This Row],[Fecha]]),MONTH(T_Stocks[[#This Row],[Fecha]]),DAY(T_Stocks[[#This Row],[Fecha]]))</f>
        <v>AAPL-45012</v>
      </c>
    </row>
    <row r="1048" spans="1:4" ht="14.65" thickBot="1" x14ac:dyDescent="0.5">
      <c r="A1048" s="17">
        <v>45013.666666666664</v>
      </c>
      <c r="B1048" s="19">
        <v>157.65</v>
      </c>
      <c r="C1048" t="s">
        <v>38</v>
      </c>
      <c r="D1048" t="str">
        <f>T_Stocks[[#This Row],[Ticker]] &amp; "-" &amp; DATE(YEAR(T_Stocks[[#This Row],[Fecha]]),MONTH(T_Stocks[[#This Row],[Fecha]]),DAY(T_Stocks[[#This Row],[Fecha]]))</f>
        <v>AAPL-45013</v>
      </c>
    </row>
    <row r="1049" spans="1:4" ht="14.65" thickBot="1" x14ac:dyDescent="0.5">
      <c r="A1049" s="17">
        <v>45014.666666666664</v>
      </c>
      <c r="B1049" s="19">
        <v>160.77000000000001</v>
      </c>
      <c r="C1049" t="s">
        <v>38</v>
      </c>
      <c r="D1049" t="str">
        <f>T_Stocks[[#This Row],[Ticker]] &amp; "-" &amp; DATE(YEAR(T_Stocks[[#This Row],[Fecha]]),MONTH(T_Stocks[[#This Row],[Fecha]]),DAY(T_Stocks[[#This Row],[Fecha]]))</f>
        <v>AAPL-45014</v>
      </c>
    </row>
    <row r="1050" spans="1:4" ht="14.65" thickBot="1" x14ac:dyDescent="0.5">
      <c r="A1050" s="17">
        <v>45015.666666666664</v>
      </c>
      <c r="B1050" s="19">
        <v>162.36000000000001</v>
      </c>
      <c r="C1050" t="s">
        <v>38</v>
      </c>
      <c r="D1050" t="str">
        <f>T_Stocks[[#This Row],[Ticker]] &amp; "-" &amp; DATE(YEAR(T_Stocks[[#This Row],[Fecha]]),MONTH(T_Stocks[[#This Row],[Fecha]]),DAY(T_Stocks[[#This Row],[Fecha]]))</f>
        <v>AAPL-45015</v>
      </c>
    </row>
    <row r="1051" spans="1:4" ht="14.65" thickBot="1" x14ac:dyDescent="0.5">
      <c r="A1051" s="17">
        <v>45016.666666666664</v>
      </c>
      <c r="B1051" s="19">
        <v>164.9</v>
      </c>
      <c r="C1051" t="s">
        <v>38</v>
      </c>
      <c r="D1051" t="str">
        <f>T_Stocks[[#This Row],[Ticker]] &amp; "-" &amp; DATE(YEAR(T_Stocks[[#This Row],[Fecha]]),MONTH(T_Stocks[[#This Row],[Fecha]]),DAY(T_Stocks[[#This Row],[Fecha]]))</f>
        <v>AAPL-45016</v>
      </c>
    </row>
    <row r="1052" spans="1:4" ht="14.65" thickBot="1" x14ac:dyDescent="0.5">
      <c r="A1052" s="17">
        <v>45019.666666666664</v>
      </c>
      <c r="B1052" s="19">
        <v>166.17</v>
      </c>
      <c r="C1052" t="s">
        <v>38</v>
      </c>
      <c r="D1052" t="str">
        <f>T_Stocks[[#This Row],[Ticker]] &amp; "-" &amp; DATE(YEAR(T_Stocks[[#This Row],[Fecha]]),MONTH(T_Stocks[[#This Row],[Fecha]]),DAY(T_Stocks[[#This Row],[Fecha]]))</f>
        <v>AAPL-45019</v>
      </c>
    </row>
    <row r="1053" spans="1:4" ht="14.65" thickBot="1" x14ac:dyDescent="0.5">
      <c r="A1053" s="17">
        <v>45020.666666666664</v>
      </c>
      <c r="B1053" s="19">
        <v>165.63</v>
      </c>
      <c r="C1053" t="s">
        <v>38</v>
      </c>
      <c r="D1053" t="str">
        <f>T_Stocks[[#This Row],[Ticker]] &amp; "-" &amp; DATE(YEAR(T_Stocks[[#This Row],[Fecha]]),MONTH(T_Stocks[[#This Row],[Fecha]]),DAY(T_Stocks[[#This Row],[Fecha]]))</f>
        <v>AAPL-45020</v>
      </c>
    </row>
    <row r="1054" spans="1:4" ht="14.65" thickBot="1" x14ac:dyDescent="0.5">
      <c r="A1054" s="17">
        <v>45021.666666666664</v>
      </c>
      <c r="B1054" s="19">
        <v>163.76</v>
      </c>
      <c r="C1054" t="s">
        <v>38</v>
      </c>
      <c r="D1054" t="str">
        <f>T_Stocks[[#This Row],[Ticker]] &amp; "-" &amp; DATE(YEAR(T_Stocks[[#This Row],[Fecha]]),MONTH(T_Stocks[[#This Row],[Fecha]]),DAY(T_Stocks[[#This Row],[Fecha]]))</f>
        <v>AAPL-45021</v>
      </c>
    </row>
    <row r="1055" spans="1:4" ht="14.65" thickBot="1" x14ac:dyDescent="0.5">
      <c r="A1055" s="17">
        <v>45022.666666666664</v>
      </c>
      <c r="B1055" s="19">
        <v>164.66</v>
      </c>
      <c r="C1055" t="s">
        <v>38</v>
      </c>
      <c r="D1055" t="str">
        <f>T_Stocks[[#This Row],[Ticker]] &amp; "-" &amp; DATE(YEAR(T_Stocks[[#This Row],[Fecha]]),MONTH(T_Stocks[[#This Row],[Fecha]]),DAY(T_Stocks[[#This Row],[Fecha]]))</f>
        <v>AAPL-45022</v>
      </c>
    </row>
    <row r="1056" spans="1:4" ht="14.65" thickBot="1" x14ac:dyDescent="0.5">
      <c r="A1056" s="17">
        <v>45026.666666666664</v>
      </c>
      <c r="B1056" s="19">
        <v>162.03</v>
      </c>
      <c r="C1056" t="s">
        <v>38</v>
      </c>
      <c r="D1056" t="str">
        <f>T_Stocks[[#This Row],[Ticker]] &amp; "-" &amp; DATE(YEAR(T_Stocks[[#This Row],[Fecha]]),MONTH(T_Stocks[[#This Row],[Fecha]]),DAY(T_Stocks[[#This Row],[Fecha]]))</f>
        <v>AAPL-45026</v>
      </c>
    </row>
    <row r="1057" spans="1:4" ht="14.65" thickBot="1" x14ac:dyDescent="0.5">
      <c r="A1057" s="17">
        <v>45027.666666666664</v>
      </c>
      <c r="B1057" s="19">
        <v>160.80000000000001</v>
      </c>
      <c r="C1057" t="s">
        <v>38</v>
      </c>
      <c r="D1057" t="str">
        <f>T_Stocks[[#This Row],[Ticker]] &amp; "-" &amp; DATE(YEAR(T_Stocks[[#This Row],[Fecha]]),MONTH(T_Stocks[[#This Row],[Fecha]]),DAY(T_Stocks[[#This Row],[Fecha]]))</f>
        <v>AAPL-45027</v>
      </c>
    </row>
    <row r="1058" spans="1:4" ht="14.65" thickBot="1" x14ac:dyDescent="0.5">
      <c r="A1058" s="17">
        <v>45028.666666666664</v>
      </c>
      <c r="B1058" s="19">
        <v>160.1</v>
      </c>
      <c r="C1058" t="s">
        <v>38</v>
      </c>
      <c r="D1058" t="str">
        <f>T_Stocks[[#This Row],[Ticker]] &amp; "-" &amp; DATE(YEAR(T_Stocks[[#This Row],[Fecha]]),MONTH(T_Stocks[[#This Row],[Fecha]]),DAY(T_Stocks[[#This Row],[Fecha]]))</f>
        <v>AAPL-45028</v>
      </c>
    </row>
    <row r="1059" spans="1:4" ht="14.65" thickBot="1" x14ac:dyDescent="0.5">
      <c r="A1059" s="17">
        <v>45029.666666666664</v>
      </c>
      <c r="B1059" s="19">
        <v>165.56</v>
      </c>
      <c r="C1059" t="s">
        <v>38</v>
      </c>
      <c r="D1059" t="str">
        <f>T_Stocks[[#This Row],[Ticker]] &amp; "-" &amp; DATE(YEAR(T_Stocks[[#This Row],[Fecha]]),MONTH(T_Stocks[[#This Row],[Fecha]]),DAY(T_Stocks[[#This Row],[Fecha]]))</f>
        <v>AAPL-45029</v>
      </c>
    </row>
    <row r="1060" spans="1:4" ht="14.65" thickBot="1" x14ac:dyDescent="0.5">
      <c r="A1060" s="17">
        <v>45030.666666666664</v>
      </c>
      <c r="B1060" s="19">
        <v>165.21</v>
      </c>
      <c r="C1060" t="s">
        <v>38</v>
      </c>
      <c r="D1060" t="str">
        <f>T_Stocks[[#This Row],[Ticker]] &amp; "-" &amp; DATE(YEAR(T_Stocks[[#This Row],[Fecha]]),MONTH(T_Stocks[[#This Row],[Fecha]]),DAY(T_Stocks[[#This Row],[Fecha]]))</f>
        <v>AAPL-45030</v>
      </c>
    </row>
    <row r="1061" spans="1:4" ht="14.65" thickBot="1" x14ac:dyDescent="0.5">
      <c r="A1061" s="17">
        <v>45033.666666666664</v>
      </c>
      <c r="B1061" s="19">
        <v>165.23</v>
      </c>
      <c r="C1061" t="s">
        <v>38</v>
      </c>
      <c r="D1061" t="str">
        <f>T_Stocks[[#This Row],[Ticker]] &amp; "-" &amp; DATE(YEAR(T_Stocks[[#This Row],[Fecha]]),MONTH(T_Stocks[[#This Row],[Fecha]]),DAY(T_Stocks[[#This Row],[Fecha]]))</f>
        <v>AAPL-45033</v>
      </c>
    </row>
    <row r="1062" spans="1:4" ht="14.65" thickBot="1" x14ac:dyDescent="0.5">
      <c r="A1062" s="17">
        <v>45034.666666666664</v>
      </c>
      <c r="B1062" s="19">
        <v>166.47</v>
      </c>
      <c r="C1062" t="s">
        <v>38</v>
      </c>
      <c r="D1062" t="str">
        <f>T_Stocks[[#This Row],[Ticker]] &amp; "-" &amp; DATE(YEAR(T_Stocks[[#This Row],[Fecha]]),MONTH(T_Stocks[[#This Row],[Fecha]]),DAY(T_Stocks[[#This Row],[Fecha]]))</f>
        <v>AAPL-45034</v>
      </c>
    </row>
    <row r="1063" spans="1:4" ht="14.65" thickBot="1" x14ac:dyDescent="0.5">
      <c r="A1063" s="17">
        <v>45035.666666666664</v>
      </c>
      <c r="B1063" s="19">
        <v>167.63</v>
      </c>
      <c r="C1063" t="s">
        <v>38</v>
      </c>
      <c r="D1063" t="str">
        <f>T_Stocks[[#This Row],[Ticker]] &amp; "-" &amp; DATE(YEAR(T_Stocks[[#This Row],[Fecha]]),MONTH(T_Stocks[[#This Row],[Fecha]]),DAY(T_Stocks[[#This Row],[Fecha]]))</f>
        <v>AAPL-45035</v>
      </c>
    </row>
    <row r="1064" spans="1:4" ht="14.65" thickBot="1" x14ac:dyDescent="0.5">
      <c r="A1064" s="17">
        <v>45036.666666666664</v>
      </c>
      <c r="B1064" s="19">
        <v>166.65</v>
      </c>
      <c r="C1064" t="s">
        <v>38</v>
      </c>
      <c r="D1064" t="str">
        <f>T_Stocks[[#This Row],[Ticker]] &amp; "-" &amp; DATE(YEAR(T_Stocks[[#This Row],[Fecha]]),MONTH(T_Stocks[[#This Row],[Fecha]]),DAY(T_Stocks[[#This Row],[Fecha]]))</f>
        <v>AAPL-45036</v>
      </c>
    </row>
    <row r="1065" spans="1:4" ht="14.65" thickBot="1" x14ac:dyDescent="0.5">
      <c r="A1065" s="17">
        <v>45037.666666666664</v>
      </c>
      <c r="B1065" s="19">
        <v>165.02</v>
      </c>
      <c r="C1065" t="s">
        <v>38</v>
      </c>
      <c r="D1065" t="str">
        <f>T_Stocks[[#This Row],[Ticker]] &amp; "-" &amp; DATE(YEAR(T_Stocks[[#This Row],[Fecha]]),MONTH(T_Stocks[[#This Row],[Fecha]]),DAY(T_Stocks[[#This Row],[Fecha]]))</f>
        <v>AAPL-45037</v>
      </c>
    </row>
    <row r="1066" spans="1:4" ht="14.65" thickBot="1" x14ac:dyDescent="0.5">
      <c r="A1066" s="17">
        <v>45040.666666666664</v>
      </c>
      <c r="B1066" s="19">
        <v>165.33</v>
      </c>
      <c r="C1066" t="s">
        <v>38</v>
      </c>
      <c r="D1066" t="str">
        <f>T_Stocks[[#This Row],[Ticker]] &amp; "-" &amp; DATE(YEAR(T_Stocks[[#This Row],[Fecha]]),MONTH(T_Stocks[[#This Row],[Fecha]]),DAY(T_Stocks[[#This Row],[Fecha]]))</f>
        <v>AAPL-45040</v>
      </c>
    </row>
    <row r="1067" spans="1:4" ht="14.65" thickBot="1" x14ac:dyDescent="0.5">
      <c r="A1067" s="17">
        <v>45041.666666666664</v>
      </c>
      <c r="B1067" s="19">
        <v>163.77000000000001</v>
      </c>
      <c r="C1067" t="s">
        <v>38</v>
      </c>
      <c r="D1067" t="str">
        <f>T_Stocks[[#This Row],[Ticker]] &amp; "-" &amp; DATE(YEAR(T_Stocks[[#This Row],[Fecha]]),MONTH(T_Stocks[[#This Row],[Fecha]]),DAY(T_Stocks[[#This Row],[Fecha]]))</f>
        <v>AAPL-45041</v>
      </c>
    </row>
    <row r="1068" spans="1:4" ht="14.65" thickBot="1" x14ac:dyDescent="0.5">
      <c r="A1068" s="17">
        <v>45042.666666666664</v>
      </c>
      <c r="B1068" s="19">
        <v>163.76</v>
      </c>
      <c r="C1068" t="s">
        <v>38</v>
      </c>
      <c r="D1068" t="str">
        <f>T_Stocks[[#This Row],[Ticker]] &amp; "-" &amp; DATE(YEAR(T_Stocks[[#This Row],[Fecha]]),MONTH(T_Stocks[[#This Row],[Fecha]]),DAY(T_Stocks[[#This Row],[Fecha]]))</f>
        <v>AAPL-45042</v>
      </c>
    </row>
    <row r="1069" spans="1:4" ht="14.65" thickBot="1" x14ac:dyDescent="0.5">
      <c r="A1069" s="17">
        <v>45043.666666666664</v>
      </c>
      <c r="B1069" s="19">
        <v>168.41</v>
      </c>
      <c r="C1069" t="s">
        <v>38</v>
      </c>
      <c r="D1069" t="str">
        <f>T_Stocks[[#This Row],[Ticker]] &amp; "-" &amp; DATE(YEAR(T_Stocks[[#This Row],[Fecha]]),MONTH(T_Stocks[[#This Row],[Fecha]]),DAY(T_Stocks[[#This Row],[Fecha]]))</f>
        <v>AAPL-45043</v>
      </c>
    </row>
    <row r="1070" spans="1:4" ht="14.65" thickBot="1" x14ac:dyDescent="0.5">
      <c r="A1070" s="17">
        <v>45044.666666666664</v>
      </c>
      <c r="B1070" s="19">
        <v>169.68</v>
      </c>
      <c r="C1070" t="s">
        <v>38</v>
      </c>
      <c r="D1070" t="str">
        <f>T_Stocks[[#This Row],[Ticker]] &amp; "-" &amp; DATE(YEAR(T_Stocks[[#This Row],[Fecha]]),MONTH(T_Stocks[[#This Row],[Fecha]]),DAY(T_Stocks[[#This Row],[Fecha]]))</f>
        <v>AAPL-45044</v>
      </c>
    </row>
    <row r="1071" spans="1:4" ht="14.65" thickBot="1" x14ac:dyDescent="0.5">
      <c r="A1071" s="17">
        <v>45047.666666666664</v>
      </c>
      <c r="B1071" s="19">
        <v>169.59</v>
      </c>
      <c r="C1071" t="s">
        <v>38</v>
      </c>
      <c r="D1071" t="str">
        <f>T_Stocks[[#This Row],[Ticker]] &amp; "-" &amp; DATE(YEAR(T_Stocks[[#This Row],[Fecha]]),MONTH(T_Stocks[[#This Row],[Fecha]]),DAY(T_Stocks[[#This Row],[Fecha]]))</f>
        <v>AAPL-45047</v>
      </c>
    </row>
    <row r="1072" spans="1:4" ht="14.65" thickBot="1" x14ac:dyDescent="0.5">
      <c r="A1072" s="17">
        <v>45048.666666666664</v>
      </c>
      <c r="B1072" s="19">
        <v>168.54</v>
      </c>
      <c r="C1072" t="s">
        <v>38</v>
      </c>
      <c r="D1072" t="str">
        <f>T_Stocks[[#This Row],[Ticker]] &amp; "-" &amp; DATE(YEAR(T_Stocks[[#This Row],[Fecha]]),MONTH(T_Stocks[[#This Row],[Fecha]]),DAY(T_Stocks[[#This Row],[Fecha]]))</f>
        <v>AAPL-45048</v>
      </c>
    </row>
    <row r="1073" spans="1:4" ht="14.65" thickBot="1" x14ac:dyDescent="0.5">
      <c r="A1073" s="17">
        <v>45049.666666666664</v>
      </c>
      <c r="B1073" s="19">
        <v>167.45</v>
      </c>
      <c r="C1073" t="s">
        <v>38</v>
      </c>
      <c r="D1073" t="str">
        <f>T_Stocks[[#This Row],[Ticker]] &amp; "-" &amp; DATE(YEAR(T_Stocks[[#This Row],[Fecha]]),MONTH(T_Stocks[[#This Row],[Fecha]]),DAY(T_Stocks[[#This Row],[Fecha]]))</f>
        <v>AAPL-45049</v>
      </c>
    </row>
    <row r="1074" spans="1:4" ht="14.65" thickBot="1" x14ac:dyDescent="0.5">
      <c r="A1074" s="17">
        <v>45050.666666666664</v>
      </c>
      <c r="B1074" s="19">
        <v>165.79</v>
      </c>
      <c r="C1074" t="s">
        <v>38</v>
      </c>
      <c r="D1074" t="str">
        <f>T_Stocks[[#This Row],[Ticker]] &amp; "-" &amp; DATE(YEAR(T_Stocks[[#This Row],[Fecha]]),MONTH(T_Stocks[[#This Row],[Fecha]]),DAY(T_Stocks[[#This Row],[Fecha]]))</f>
        <v>AAPL-45050</v>
      </c>
    </row>
    <row r="1075" spans="1:4" ht="14.65" thickBot="1" x14ac:dyDescent="0.5">
      <c r="A1075" s="17">
        <v>45051.666666666664</v>
      </c>
      <c r="B1075" s="19">
        <v>173.57</v>
      </c>
      <c r="C1075" t="s">
        <v>38</v>
      </c>
      <c r="D1075" t="str">
        <f>T_Stocks[[#This Row],[Ticker]] &amp; "-" &amp; DATE(YEAR(T_Stocks[[#This Row],[Fecha]]),MONTH(T_Stocks[[#This Row],[Fecha]]),DAY(T_Stocks[[#This Row],[Fecha]]))</f>
        <v>AAPL-45051</v>
      </c>
    </row>
    <row r="1076" spans="1:4" ht="14.65" thickBot="1" x14ac:dyDescent="0.5">
      <c r="A1076" s="17">
        <v>45054.666666666664</v>
      </c>
      <c r="B1076" s="19">
        <v>173.5</v>
      </c>
      <c r="C1076" t="s">
        <v>38</v>
      </c>
      <c r="D1076" t="str">
        <f>T_Stocks[[#This Row],[Ticker]] &amp; "-" &amp; DATE(YEAR(T_Stocks[[#This Row],[Fecha]]),MONTH(T_Stocks[[#This Row],[Fecha]]),DAY(T_Stocks[[#This Row],[Fecha]]))</f>
        <v>AAPL-45054</v>
      </c>
    </row>
    <row r="1077" spans="1:4" ht="14.65" thickBot="1" x14ac:dyDescent="0.5">
      <c r="A1077" s="17">
        <v>45055.666666666664</v>
      </c>
      <c r="B1077" s="19">
        <v>171.77</v>
      </c>
      <c r="C1077" t="s">
        <v>38</v>
      </c>
      <c r="D1077" t="str">
        <f>T_Stocks[[#This Row],[Ticker]] &amp; "-" &amp; DATE(YEAR(T_Stocks[[#This Row],[Fecha]]),MONTH(T_Stocks[[#This Row],[Fecha]]),DAY(T_Stocks[[#This Row],[Fecha]]))</f>
        <v>AAPL-45055</v>
      </c>
    </row>
    <row r="1078" spans="1:4" ht="14.65" thickBot="1" x14ac:dyDescent="0.5">
      <c r="A1078" s="17">
        <v>45056.666666666664</v>
      </c>
      <c r="B1078" s="19">
        <v>173.56</v>
      </c>
      <c r="C1078" t="s">
        <v>38</v>
      </c>
      <c r="D1078" t="str">
        <f>T_Stocks[[#This Row],[Ticker]] &amp; "-" &amp; DATE(YEAR(T_Stocks[[#This Row],[Fecha]]),MONTH(T_Stocks[[#This Row],[Fecha]]),DAY(T_Stocks[[#This Row],[Fecha]]))</f>
        <v>AAPL-45056</v>
      </c>
    </row>
    <row r="1079" spans="1:4" ht="14.65" thickBot="1" x14ac:dyDescent="0.5">
      <c r="A1079" s="17">
        <v>45057.666666666664</v>
      </c>
      <c r="B1079" s="19">
        <v>173.75</v>
      </c>
      <c r="C1079" t="s">
        <v>38</v>
      </c>
      <c r="D1079" t="str">
        <f>T_Stocks[[#This Row],[Ticker]] &amp; "-" &amp; DATE(YEAR(T_Stocks[[#This Row],[Fecha]]),MONTH(T_Stocks[[#This Row],[Fecha]]),DAY(T_Stocks[[#This Row],[Fecha]]))</f>
        <v>AAPL-45057</v>
      </c>
    </row>
    <row r="1080" spans="1:4" ht="14.65" thickBot="1" x14ac:dyDescent="0.5">
      <c r="A1080" s="17">
        <v>45058.666666666664</v>
      </c>
      <c r="B1080" s="19">
        <v>172.57</v>
      </c>
      <c r="C1080" t="s">
        <v>38</v>
      </c>
      <c r="D1080" t="str">
        <f>T_Stocks[[#This Row],[Ticker]] &amp; "-" &amp; DATE(YEAR(T_Stocks[[#This Row],[Fecha]]),MONTH(T_Stocks[[#This Row],[Fecha]]),DAY(T_Stocks[[#This Row],[Fecha]]))</f>
        <v>AAPL-45058</v>
      </c>
    </row>
    <row r="1081" spans="1:4" ht="14.65" thickBot="1" x14ac:dyDescent="0.5">
      <c r="A1081" s="17">
        <v>45061.666666666664</v>
      </c>
      <c r="B1081" s="19">
        <v>172.07</v>
      </c>
      <c r="C1081" t="s">
        <v>38</v>
      </c>
      <c r="D1081" t="str">
        <f>T_Stocks[[#This Row],[Ticker]] &amp; "-" &amp; DATE(YEAR(T_Stocks[[#This Row],[Fecha]]),MONTH(T_Stocks[[#This Row],[Fecha]]),DAY(T_Stocks[[#This Row],[Fecha]]))</f>
        <v>AAPL-45061</v>
      </c>
    </row>
    <row r="1082" spans="1:4" ht="14.65" thickBot="1" x14ac:dyDescent="0.5">
      <c r="A1082" s="17">
        <v>45062.666666666664</v>
      </c>
      <c r="B1082" s="19">
        <v>172.07</v>
      </c>
      <c r="C1082" t="s">
        <v>38</v>
      </c>
      <c r="D1082" t="str">
        <f>T_Stocks[[#This Row],[Ticker]] &amp; "-" &amp; DATE(YEAR(T_Stocks[[#This Row],[Fecha]]),MONTH(T_Stocks[[#This Row],[Fecha]]),DAY(T_Stocks[[#This Row],[Fecha]]))</f>
        <v>AAPL-45062</v>
      </c>
    </row>
    <row r="1083" spans="1:4" ht="14.65" thickBot="1" x14ac:dyDescent="0.5">
      <c r="A1083" s="17">
        <v>45063.666666666664</v>
      </c>
      <c r="B1083" s="19">
        <v>172.69</v>
      </c>
      <c r="C1083" t="s">
        <v>38</v>
      </c>
      <c r="D1083" t="str">
        <f>T_Stocks[[#This Row],[Ticker]] &amp; "-" &amp; DATE(YEAR(T_Stocks[[#This Row],[Fecha]]),MONTH(T_Stocks[[#This Row],[Fecha]]),DAY(T_Stocks[[#This Row],[Fecha]]))</f>
        <v>AAPL-45063</v>
      </c>
    </row>
    <row r="1084" spans="1:4" ht="14.65" thickBot="1" x14ac:dyDescent="0.5">
      <c r="A1084" s="17">
        <v>45064.666666666664</v>
      </c>
      <c r="B1084" s="19">
        <v>175.05</v>
      </c>
      <c r="C1084" t="s">
        <v>38</v>
      </c>
      <c r="D1084" t="str">
        <f>T_Stocks[[#This Row],[Ticker]] &amp; "-" &amp; DATE(YEAR(T_Stocks[[#This Row],[Fecha]]),MONTH(T_Stocks[[#This Row],[Fecha]]),DAY(T_Stocks[[#This Row],[Fecha]]))</f>
        <v>AAPL-45064</v>
      </c>
    </row>
    <row r="1085" spans="1:4" ht="14.65" thickBot="1" x14ac:dyDescent="0.5">
      <c r="A1085" s="17">
        <v>45065.666666666664</v>
      </c>
      <c r="B1085" s="19">
        <v>175.16</v>
      </c>
      <c r="C1085" t="s">
        <v>38</v>
      </c>
      <c r="D1085" t="str">
        <f>T_Stocks[[#This Row],[Ticker]] &amp; "-" &amp; DATE(YEAR(T_Stocks[[#This Row],[Fecha]]),MONTH(T_Stocks[[#This Row],[Fecha]]),DAY(T_Stocks[[#This Row],[Fecha]]))</f>
        <v>AAPL-45065</v>
      </c>
    </row>
    <row r="1086" spans="1:4" ht="14.65" thickBot="1" x14ac:dyDescent="0.5">
      <c r="A1086" s="17">
        <v>45068.666666666664</v>
      </c>
      <c r="B1086" s="19">
        <v>174.2</v>
      </c>
      <c r="C1086" t="s">
        <v>38</v>
      </c>
      <c r="D1086" t="str">
        <f>T_Stocks[[#This Row],[Ticker]] &amp; "-" &amp; DATE(YEAR(T_Stocks[[#This Row],[Fecha]]),MONTH(T_Stocks[[#This Row],[Fecha]]),DAY(T_Stocks[[#This Row],[Fecha]]))</f>
        <v>AAPL-45068</v>
      </c>
    </row>
    <row r="1087" spans="1:4" ht="14.65" thickBot="1" x14ac:dyDescent="0.5">
      <c r="A1087" s="17">
        <v>45069.666666666664</v>
      </c>
      <c r="B1087" s="19">
        <v>171.56</v>
      </c>
      <c r="C1087" t="s">
        <v>38</v>
      </c>
      <c r="D1087" t="str">
        <f>T_Stocks[[#This Row],[Ticker]] &amp; "-" &amp; DATE(YEAR(T_Stocks[[#This Row],[Fecha]]),MONTH(T_Stocks[[#This Row],[Fecha]]),DAY(T_Stocks[[#This Row],[Fecha]]))</f>
        <v>AAPL-45069</v>
      </c>
    </row>
    <row r="1088" spans="1:4" ht="14.65" thickBot="1" x14ac:dyDescent="0.5">
      <c r="A1088" s="17">
        <v>45070.666666666664</v>
      </c>
      <c r="B1088" s="19">
        <v>171.84</v>
      </c>
      <c r="C1088" t="s">
        <v>38</v>
      </c>
      <c r="D1088" t="str">
        <f>T_Stocks[[#This Row],[Ticker]] &amp; "-" &amp; DATE(YEAR(T_Stocks[[#This Row],[Fecha]]),MONTH(T_Stocks[[#This Row],[Fecha]]),DAY(T_Stocks[[#This Row],[Fecha]]))</f>
        <v>AAPL-45070</v>
      </c>
    </row>
    <row r="1089" spans="1:4" ht="14.65" thickBot="1" x14ac:dyDescent="0.5">
      <c r="A1089" s="17">
        <v>45071.666666666664</v>
      </c>
      <c r="B1089" s="19">
        <v>172.99</v>
      </c>
      <c r="C1089" t="s">
        <v>38</v>
      </c>
      <c r="D1089" t="str">
        <f>T_Stocks[[#This Row],[Ticker]] &amp; "-" &amp; DATE(YEAR(T_Stocks[[#This Row],[Fecha]]),MONTH(T_Stocks[[#This Row],[Fecha]]),DAY(T_Stocks[[#This Row],[Fecha]]))</f>
        <v>AAPL-45071</v>
      </c>
    </row>
    <row r="1090" spans="1:4" ht="14.65" thickBot="1" x14ac:dyDescent="0.5">
      <c r="A1090" s="17">
        <v>45072.666666666664</v>
      </c>
      <c r="B1090" s="19">
        <v>175.43</v>
      </c>
      <c r="C1090" t="s">
        <v>38</v>
      </c>
      <c r="D1090" t="str">
        <f>T_Stocks[[#This Row],[Ticker]] &amp; "-" &amp; DATE(YEAR(T_Stocks[[#This Row],[Fecha]]),MONTH(T_Stocks[[#This Row],[Fecha]]),DAY(T_Stocks[[#This Row],[Fecha]]))</f>
        <v>AAPL-45072</v>
      </c>
    </row>
    <row r="1091" spans="1:4" ht="14.65" thickBot="1" x14ac:dyDescent="0.5">
      <c r="A1091" s="17">
        <v>45076.666666666664</v>
      </c>
      <c r="B1091" s="19">
        <v>177.3</v>
      </c>
      <c r="C1091" t="s">
        <v>38</v>
      </c>
      <c r="D1091" t="str">
        <f>T_Stocks[[#This Row],[Ticker]] &amp; "-" &amp; DATE(YEAR(T_Stocks[[#This Row],[Fecha]]),MONTH(T_Stocks[[#This Row],[Fecha]]),DAY(T_Stocks[[#This Row],[Fecha]]))</f>
        <v>AAPL-45076</v>
      </c>
    </row>
    <row r="1092" spans="1:4" ht="14.65" thickBot="1" x14ac:dyDescent="0.5">
      <c r="A1092" s="17">
        <v>45077.666666666664</v>
      </c>
      <c r="B1092" s="19">
        <v>177.25</v>
      </c>
      <c r="C1092" t="s">
        <v>38</v>
      </c>
      <c r="D1092" t="str">
        <f>T_Stocks[[#This Row],[Ticker]] &amp; "-" &amp; DATE(YEAR(T_Stocks[[#This Row],[Fecha]]),MONTH(T_Stocks[[#This Row],[Fecha]]),DAY(T_Stocks[[#This Row],[Fecha]]))</f>
        <v>AAPL-45077</v>
      </c>
    </row>
    <row r="1093" spans="1:4" ht="14.65" thickBot="1" x14ac:dyDescent="0.5">
      <c r="A1093" s="17">
        <v>45078.666666666664</v>
      </c>
      <c r="B1093" s="19">
        <v>180.09</v>
      </c>
      <c r="C1093" t="s">
        <v>38</v>
      </c>
      <c r="D1093" t="str">
        <f>T_Stocks[[#This Row],[Ticker]] &amp; "-" &amp; DATE(YEAR(T_Stocks[[#This Row],[Fecha]]),MONTH(T_Stocks[[#This Row],[Fecha]]),DAY(T_Stocks[[#This Row],[Fecha]]))</f>
        <v>AAPL-45078</v>
      </c>
    </row>
    <row r="1094" spans="1:4" ht="14.65" thickBot="1" x14ac:dyDescent="0.5">
      <c r="A1094" s="17">
        <v>45079.666666666664</v>
      </c>
      <c r="B1094" s="19">
        <v>180.95</v>
      </c>
      <c r="C1094" t="s">
        <v>38</v>
      </c>
      <c r="D1094" t="str">
        <f>T_Stocks[[#This Row],[Ticker]] &amp; "-" &amp; DATE(YEAR(T_Stocks[[#This Row],[Fecha]]),MONTH(T_Stocks[[#This Row],[Fecha]]),DAY(T_Stocks[[#This Row],[Fecha]]))</f>
        <v>AAPL-45079</v>
      </c>
    </row>
    <row r="1095" spans="1:4" ht="14.65" thickBot="1" x14ac:dyDescent="0.5">
      <c r="A1095" s="17">
        <v>45082.666666666664</v>
      </c>
      <c r="B1095" s="19">
        <v>179.58</v>
      </c>
      <c r="C1095" t="s">
        <v>38</v>
      </c>
      <c r="D1095" t="str">
        <f>T_Stocks[[#This Row],[Ticker]] &amp; "-" &amp; DATE(YEAR(T_Stocks[[#This Row],[Fecha]]),MONTH(T_Stocks[[#This Row],[Fecha]]),DAY(T_Stocks[[#This Row],[Fecha]]))</f>
        <v>AAPL-45082</v>
      </c>
    </row>
    <row r="1096" spans="1:4" ht="14.65" thickBot="1" x14ac:dyDescent="0.5">
      <c r="A1096" s="17">
        <v>45083.666666666664</v>
      </c>
      <c r="B1096" s="19">
        <v>179.21</v>
      </c>
      <c r="C1096" t="s">
        <v>38</v>
      </c>
      <c r="D1096" t="str">
        <f>T_Stocks[[#This Row],[Ticker]] &amp; "-" &amp; DATE(YEAR(T_Stocks[[#This Row],[Fecha]]),MONTH(T_Stocks[[#This Row],[Fecha]]),DAY(T_Stocks[[#This Row],[Fecha]]))</f>
        <v>AAPL-45083</v>
      </c>
    </row>
    <row r="1097" spans="1:4" ht="14.65" thickBot="1" x14ac:dyDescent="0.5">
      <c r="A1097" s="17">
        <v>45084.666666666664</v>
      </c>
      <c r="B1097" s="19">
        <v>177.82</v>
      </c>
      <c r="C1097" t="s">
        <v>38</v>
      </c>
      <c r="D1097" t="str">
        <f>T_Stocks[[#This Row],[Ticker]] &amp; "-" &amp; DATE(YEAR(T_Stocks[[#This Row],[Fecha]]),MONTH(T_Stocks[[#This Row],[Fecha]]),DAY(T_Stocks[[#This Row],[Fecha]]))</f>
        <v>AAPL-45084</v>
      </c>
    </row>
    <row r="1098" spans="1:4" ht="14.65" thickBot="1" x14ac:dyDescent="0.5">
      <c r="A1098" s="17">
        <v>45085.666666666664</v>
      </c>
      <c r="B1098" s="19">
        <v>180.57</v>
      </c>
      <c r="C1098" t="s">
        <v>38</v>
      </c>
      <c r="D1098" t="str">
        <f>T_Stocks[[#This Row],[Ticker]] &amp; "-" &amp; DATE(YEAR(T_Stocks[[#This Row],[Fecha]]),MONTH(T_Stocks[[#This Row],[Fecha]]),DAY(T_Stocks[[#This Row],[Fecha]]))</f>
        <v>AAPL-45085</v>
      </c>
    </row>
    <row r="1099" spans="1:4" ht="14.65" thickBot="1" x14ac:dyDescent="0.5">
      <c r="A1099" s="17">
        <v>45086.666666666664</v>
      </c>
      <c r="B1099" s="19">
        <v>180.96</v>
      </c>
      <c r="C1099" t="s">
        <v>38</v>
      </c>
      <c r="D1099" t="str">
        <f>T_Stocks[[#This Row],[Ticker]] &amp; "-" &amp; DATE(YEAR(T_Stocks[[#This Row],[Fecha]]),MONTH(T_Stocks[[#This Row],[Fecha]]),DAY(T_Stocks[[#This Row],[Fecha]]))</f>
        <v>AAPL-45086</v>
      </c>
    </row>
    <row r="1100" spans="1:4" ht="14.65" thickBot="1" x14ac:dyDescent="0.5">
      <c r="A1100" s="17">
        <v>45089.666666666664</v>
      </c>
      <c r="B1100" s="19">
        <v>183.79</v>
      </c>
      <c r="C1100" t="s">
        <v>38</v>
      </c>
      <c r="D1100" t="str">
        <f>T_Stocks[[#This Row],[Ticker]] &amp; "-" &amp; DATE(YEAR(T_Stocks[[#This Row],[Fecha]]),MONTH(T_Stocks[[#This Row],[Fecha]]),DAY(T_Stocks[[#This Row],[Fecha]]))</f>
        <v>AAPL-45089</v>
      </c>
    </row>
    <row r="1101" spans="1:4" ht="14.65" thickBot="1" x14ac:dyDescent="0.5">
      <c r="A1101" s="17">
        <v>45090.666666666664</v>
      </c>
      <c r="B1101" s="19">
        <v>183.31</v>
      </c>
      <c r="C1101" t="s">
        <v>38</v>
      </c>
      <c r="D1101" t="str">
        <f>T_Stocks[[#This Row],[Ticker]] &amp; "-" &amp; DATE(YEAR(T_Stocks[[#This Row],[Fecha]]),MONTH(T_Stocks[[#This Row],[Fecha]]),DAY(T_Stocks[[#This Row],[Fecha]]))</f>
        <v>AAPL-45090</v>
      </c>
    </row>
    <row r="1102" spans="1:4" ht="14.65" thickBot="1" x14ac:dyDescent="0.5">
      <c r="A1102" s="17">
        <v>45091.666666666664</v>
      </c>
      <c r="B1102" s="19">
        <v>183.95</v>
      </c>
      <c r="C1102" t="s">
        <v>38</v>
      </c>
      <c r="D1102" t="str">
        <f>T_Stocks[[#This Row],[Ticker]] &amp; "-" &amp; DATE(YEAR(T_Stocks[[#This Row],[Fecha]]),MONTH(T_Stocks[[#This Row],[Fecha]]),DAY(T_Stocks[[#This Row],[Fecha]]))</f>
        <v>AAPL-45091</v>
      </c>
    </row>
    <row r="1103" spans="1:4" ht="14.65" thickBot="1" x14ac:dyDescent="0.5">
      <c r="A1103" s="17">
        <v>45092.666666666664</v>
      </c>
      <c r="B1103" s="19">
        <v>186.01</v>
      </c>
      <c r="C1103" t="s">
        <v>38</v>
      </c>
      <c r="D1103" t="str">
        <f>T_Stocks[[#This Row],[Ticker]] &amp; "-" &amp; DATE(YEAR(T_Stocks[[#This Row],[Fecha]]),MONTH(T_Stocks[[#This Row],[Fecha]]),DAY(T_Stocks[[#This Row],[Fecha]]))</f>
        <v>AAPL-45092</v>
      </c>
    </row>
    <row r="1104" spans="1:4" ht="14.65" thickBot="1" x14ac:dyDescent="0.5">
      <c r="A1104" s="17">
        <v>45093.666666666664</v>
      </c>
      <c r="B1104" s="19">
        <v>184.92</v>
      </c>
      <c r="C1104" t="s">
        <v>38</v>
      </c>
      <c r="D1104" t="str">
        <f>T_Stocks[[#This Row],[Ticker]] &amp; "-" &amp; DATE(YEAR(T_Stocks[[#This Row],[Fecha]]),MONTH(T_Stocks[[#This Row],[Fecha]]),DAY(T_Stocks[[#This Row],[Fecha]]))</f>
        <v>AAPL-45093</v>
      </c>
    </row>
    <row r="1105" spans="1:4" ht="14.65" thickBot="1" x14ac:dyDescent="0.5">
      <c r="A1105" s="17">
        <v>45097.666666666664</v>
      </c>
      <c r="B1105" s="19">
        <v>185.01</v>
      </c>
      <c r="C1105" t="s">
        <v>38</v>
      </c>
      <c r="D1105" t="str">
        <f>T_Stocks[[#This Row],[Ticker]] &amp; "-" &amp; DATE(YEAR(T_Stocks[[#This Row],[Fecha]]),MONTH(T_Stocks[[#This Row],[Fecha]]),DAY(T_Stocks[[#This Row],[Fecha]]))</f>
        <v>AAPL-45097</v>
      </c>
    </row>
    <row r="1106" spans="1:4" ht="14.65" thickBot="1" x14ac:dyDescent="0.5">
      <c r="A1106" s="17">
        <v>45098.666666666664</v>
      </c>
      <c r="B1106" s="19">
        <v>183.96</v>
      </c>
      <c r="C1106" t="s">
        <v>38</v>
      </c>
      <c r="D1106" t="str">
        <f>T_Stocks[[#This Row],[Ticker]] &amp; "-" &amp; DATE(YEAR(T_Stocks[[#This Row],[Fecha]]),MONTH(T_Stocks[[#This Row],[Fecha]]),DAY(T_Stocks[[#This Row],[Fecha]]))</f>
        <v>AAPL-45098</v>
      </c>
    </row>
    <row r="1107" spans="1:4" ht="14.65" thickBot="1" x14ac:dyDescent="0.5">
      <c r="A1107" s="17">
        <v>45099.666666666664</v>
      </c>
      <c r="B1107" s="19">
        <v>187</v>
      </c>
      <c r="C1107" t="s">
        <v>38</v>
      </c>
      <c r="D1107" t="str">
        <f>T_Stocks[[#This Row],[Ticker]] &amp; "-" &amp; DATE(YEAR(T_Stocks[[#This Row],[Fecha]]),MONTH(T_Stocks[[#This Row],[Fecha]]),DAY(T_Stocks[[#This Row],[Fecha]]))</f>
        <v>AAPL-45099</v>
      </c>
    </row>
    <row r="1108" spans="1:4" ht="14.65" thickBot="1" x14ac:dyDescent="0.5">
      <c r="A1108" s="17">
        <v>45100.666666666664</v>
      </c>
      <c r="B1108" s="19">
        <v>186.68</v>
      </c>
      <c r="C1108" t="s">
        <v>38</v>
      </c>
      <c r="D1108" t="str">
        <f>T_Stocks[[#This Row],[Ticker]] &amp; "-" &amp; DATE(YEAR(T_Stocks[[#This Row],[Fecha]]),MONTH(T_Stocks[[#This Row],[Fecha]]),DAY(T_Stocks[[#This Row],[Fecha]]))</f>
        <v>AAPL-45100</v>
      </c>
    </row>
    <row r="1109" spans="1:4" ht="14.65" thickBot="1" x14ac:dyDescent="0.5">
      <c r="A1109" s="17">
        <v>45103.666666666664</v>
      </c>
      <c r="B1109" s="19">
        <v>185.27</v>
      </c>
      <c r="C1109" t="s">
        <v>38</v>
      </c>
      <c r="D1109" t="str">
        <f>T_Stocks[[#This Row],[Ticker]] &amp; "-" &amp; DATE(YEAR(T_Stocks[[#This Row],[Fecha]]),MONTH(T_Stocks[[#This Row],[Fecha]]),DAY(T_Stocks[[#This Row],[Fecha]]))</f>
        <v>AAPL-45103</v>
      </c>
    </row>
    <row r="1110" spans="1:4" ht="14.65" thickBot="1" x14ac:dyDescent="0.5">
      <c r="A1110" s="17">
        <v>45104.666666666664</v>
      </c>
      <c r="B1110" s="19">
        <v>188.06</v>
      </c>
      <c r="C1110" t="s">
        <v>38</v>
      </c>
      <c r="D1110" t="str">
        <f>T_Stocks[[#This Row],[Ticker]] &amp; "-" &amp; DATE(YEAR(T_Stocks[[#This Row],[Fecha]]),MONTH(T_Stocks[[#This Row],[Fecha]]),DAY(T_Stocks[[#This Row],[Fecha]]))</f>
        <v>AAPL-45104</v>
      </c>
    </row>
    <row r="1111" spans="1:4" ht="14.65" thickBot="1" x14ac:dyDescent="0.5">
      <c r="A1111" s="17">
        <v>45105.666666666664</v>
      </c>
      <c r="B1111" s="19">
        <v>189.25</v>
      </c>
      <c r="C1111" t="s">
        <v>38</v>
      </c>
      <c r="D1111" t="str">
        <f>T_Stocks[[#This Row],[Ticker]] &amp; "-" &amp; DATE(YEAR(T_Stocks[[#This Row],[Fecha]]),MONTH(T_Stocks[[#This Row],[Fecha]]),DAY(T_Stocks[[#This Row],[Fecha]]))</f>
        <v>AAPL-45105</v>
      </c>
    </row>
    <row r="1112" spans="1:4" ht="14.65" thickBot="1" x14ac:dyDescent="0.5">
      <c r="A1112" s="17">
        <v>45106.666666666664</v>
      </c>
      <c r="B1112" s="19">
        <v>189.59</v>
      </c>
      <c r="C1112" t="s">
        <v>38</v>
      </c>
      <c r="D1112" t="str">
        <f>T_Stocks[[#This Row],[Ticker]] &amp; "-" &amp; DATE(YEAR(T_Stocks[[#This Row],[Fecha]]),MONTH(T_Stocks[[#This Row],[Fecha]]),DAY(T_Stocks[[#This Row],[Fecha]]))</f>
        <v>AAPL-45106</v>
      </c>
    </row>
    <row r="1113" spans="1:4" ht="14.65" thickBot="1" x14ac:dyDescent="0.5">
      <c r="A1113" s="17">
        <v>45107.666666666664</v>
      </c>
      <c r="B1113" s="19">
        <v>193.97</v>
      </c>
      <c r="C1113" t="s">
        <v>38</v>
      </c>
      <c r="D1113" t="str">
        <f>T_Stocks[[#This Row],[Ticker]] &amp; "-" &amp; DATE(YEAR(T_Stocks[[#This Row],[Fecha]]),MONTH(T_Stocks[[#This Row],[Fecha]]),DAY(T_Stocks[[#This Row],[Fecha]]))</f>
        <v>AAPL-45107</v>
      </c>
    </row>
    <row r="1114" spans="1:4" ht="14.65" thickBot="1" x14ac:dyDescent="0.5">
      <c r="A1114" s="17">
        <v>45110.545138888891</v>
      </c>
      <c r="B1114" s="19">
        <v>192.46</v>
      </c>
      <c r="C1114" t="s">
        <v>38</v>
      </c>
      <c r="D1114" t="str">
        <f>T_Stocks[[#This Row],[Ticker]] &amp; "-" &amp; DATE(YEAR(T_Stocks[[#This Row],[Fecha]]),MONTH(T_Stocks[[#This Row],[Fecha]]),DAY(T_Stocks[[#This Row],[Fecha]]))</f>
        <v>AAPL-45110</v>
      </c>
    </row>
    <row r="1115" spans="1:4" ht="14.65" thickBot="1" x14ac:dyDescent="0.5">
      <c r="A1115" s="17">
        <v>45112.666666666664</v>
      </c>
      <c r="B1115" s="19">
        <v>191.33</v>
      </c>
      <c r="C1115" t="s">
        <v>38</v>
      </c>
      <c r="D1115" t="str">
        <f>T_Stocks[[#This Row],[Ticker]] &amp; "-" &amp; DATE(YEAR(T_Stocks[[#This Row],[Fecha]]),MONTH(T_Stocks[[#This Row],[Fecha]]),DAY(T_Stocks[[#This Row],[Fecha]]))</f>
        <v>AAPL-45112</v>
      </c>
    </row>
    <row r="1116" spans="1:4" ht="14.65" thickBot="1" x14ac:dyDescent="0.5">
      <c r="A1116" s="17">
        <v>45113.666666666664</v>
      </c>
      <c r="B1116" s="19">
        <v>191.81</v>
      </c>
      <c r="C1116" t="s">
        <v>38</v>
      </c>
      <c r="D1116" t="str">
        <f>T_Stocks[[#This Row],[Ticker]] &amp; "-" &amp; DATE(YEAR(T_Stocks[[#This Row],[Fecha]]),MONTH(T_Stocks[[#This Row],[Fecha]]),DAY(T_Stocks[[#This Row],[Fecha]]))</f>
        <v>AAPL-45113</v>
      </c>
    </row>
    <row r="1117" spans="1:4" ht="14.65" thickBot="1" x14ac:dyDescent="0.5">
      <c r="A1117" s="17">
        <v>45114.666666666664</v>
      </c>
      <c r="B1117" s="19">
        <v>190.68</v>
      </c>
      <c r="C1117" t="s">
        <v>38</v>
      </c>
      <c r="D1117" t="str">
        <f>T_Stocks[[#This Row],[Ticker]] &amp; "-" &amp; DATE(YEAR(T_Stocks[[#This Row],[Fecha]]),MONTH(T_Stocks[[#This Row],[Fecha]]),DAY(T_Stocks[[#This Row],[Fecha]]))</f>
        <v>AAPL-45114</v>
      </c>
    </row>
    <row r="1118" spans="1:4" ht="14.65" thickBot="1" x14ac:dyDescent="0.5">
      <c r="A1118" s="17">
        <v>45117.666666666664</v>
      </c>
      <c r="B1118" s="19">
        <v>188.61</v>
      </c>
      <c r="C1118" t="s">
        <v>38</v>
      </c>
      <c r="D1118" t="str">
        <f>T_Stocks[[#This Row],[Ticker]] &amp; "-" &amp; DATE(YEAR(T_Stocks[[#This Row],[Fecha]]),MONTH(T_Stocks[[#This Row],[Fecha]]),DAY(T_Stocks[[#This Row],[Fecha]]))</f>
        <v>AAPL-45117</v>
      </c>
    </row>
    <row r="1119" spans="1:4" ht="14.65" thickBot="1" x14ac:dyDescent="0.5">
      <c r="A1119" s="17">
        <v>45118.666666666664</v>
      </c>
      <c r="B1119" s="19">
        <v>188.08</v>
      </c>
      <c r="C1119" t="s">
        <v>38</v>
      </c>
      <c r="D1119" t="str">
        <f>T_Stocks[[#This Row],[Ticker]] &amp; "-" &amp; DATE(YEAR(T_Stocks[[#This Row],[Fecha]]),MONTH(T_Stocks[[#This Row],[Fecha]]),DAY(T_Stocks[[#This Row],[Fecha]]))</f>
        <v>AAPL-45118</v>
      </c>
    </row>
    <row r="1120" spans="1:4" ht="14.65" thickBot="1" x14ac:dyDescent="0.5">
      <c r="A1120" s="17">
        <v>45119.666666666664</v>
      </c>
      <c r="B1120" s="19">
        <v>189.77</v>
      </c>
      <c r="C1120" t="s">
        <v>38</v>
      </c>
      <c r="D1120" t="str">
        <f>T_Stocks[[#This Row],[Ticker]] &amp; "-" &amp; DATE(YEAR(T_Stocks[[#This Row],[Fecha]]),MONTH(T_Stocks[[#This Row],[Fecha]]),DAY(T_Stocks[[#This Row],[Fecha]]))</f>
        <v>AAPL-45119</v>
      </c>
    </row>
    <row r="1121" spans="1:4" ht="14.65" thickBot="1" x14ac:dyDescent="0.5">
      <c r="A1121" s="17">
        <v>45120.666666666664</v>
      </c>
      <c r="B1121" s="19">
        <v>190.54</v>
      </c>
      <c r="C1121" t="s">
        <v>38</v>
      </c>
      <c r="D1121" t="str">
        <f>T_Stocks[[#This Row],[Ticker]] &amp; "-" &amp; DATE(YEAR(T_Stocks[[#This Row],[Fecha]]),MONTH(T_Stocks[[#This Row],[Fecha]]),DAY(T_Stocks[[#This Row],[Fecha]]))</f>
        <v>AAPL-45120</v>
      </c>
    </row>
    <row r="1122" spans="1:4" ht="14.65" thickBot="1" x14ac:dyDescent="0.5">
      <c r="A1122" s="17">
        <v>45121.666666666664</v>
      </c>
      <c r="B1122" s="19">
        <v>190.69</v>
      </c>
      <c r="C1122" t="s">
        <v>38</v>
      </c>
      <c r="D1122" t="str">
        <f>T_Stocks[[#This Row],[Ticker]] &amp; "-" &amp; DATE(YEAR(T_Stocks[[#This Row],[Fecha]]),MONTH(T_Stocks[[#This Row],[Fecha]]),DAY(T_Stocks[[#This Row],[Fecha]]))</f>
        <v>AAPL-45121</v>
      </c>
    </row>
    <row r="1123" spans="1:4" ht="14.65" thickBot="1" x14ac:dyDescent="0.5">
      <c r="A1123" s="17">
        <v>45124.666666666664</v>
      </c>
      <c r="B1123" s="19">
        <v>193.99</v>
      </c>
      <c r="C1123" t="s">
        <v>38</v>
      </c>
      <c r="D1123" t="str">
        <f>T_Stocks[[#This Row],[Ticker]] &amp; "-" &amp; DATE(YEAR(T_Stocks[[#This Row],[Fecha]]),MONTH(T_Stocks[[#This Row],[Fecha]]),DAY(T_Stocks[[#This Row],[Fecha]]))</f>
        <v>AAPL-45124</v>
      </c>
    </row>
    <row r="1124" spans="1:4" ht="14.65" thickBot="1" x14ac:dyDescent="0.5">
      <c r="A1124" s="17">
        <v>45125.666666666664</v>
      </c>
      <c r="B1124" s="19">
        <v>193.73</v>
      </c>
      <c r="C1124" t="s">
        <v>38</v>
      </c>
      <c r="D1124" t="str">
        <f>T_Stocks[[#This Row],[Ticker]] &amp; "-" &amp; DATE(YEAR(T_Stocks[[#This Row],[Fecha]]),MONTH(T_Stocks[[#This Row],[Fecha]]),DAY(T_Stocks[[#This Row],[Fecha]]))</f>
        <v>AAPL-45125</v>
      </c>
    </row>
    <row r="1125" spans="1:4" ht="14.65" thickBot="1" x14ac:dyDescent="0.5">
      <c r="A1125" s="17">
        <v>45126.666666666664</v>
      </c>
      <c r="B1125" s="19">
        <v>195.1</v>
      </c>
      <c r="C1125" t="s">
        <v>38</v>
      </c>
      <c r="D1125" t="str">
        <f>T_Stocks[[#This Row],[Ticker]] &amp; "-" &amp; DATE(YEAR(T_Stocks[[#This Row],[Fecha]]),MONTH(T_Stocks[[#This Row],[Fecha]]),DAY(T_Stocks[[#This Row],[Fecha]]))</f>
        <v>AAPL-45126</v>
      </c>
    </row>
    <row r="1126" spans="1:4" ht="14.65" thickBot="1" x14ac:dyDescent="0.5">
      <c r="A1126" s="17">
        <v>45127.666666666664</v>
      </c>
      <c r="B1126" s="19">
        <v>193.13</v>
      </c>
      <c r="C1126" t="s">
        <v>38</v>
      </c>
      <c r="D1126" t="str">
        <f>T_Stocks[[#This Row],[Ticker]] &amp; "-" &amp; DATE(YEAR(T_Stocks[[#This Row],[Fecha]]),MONTH(T_Stocks[[#This Row],[Fecha]]),DAY(T_Stocks[[#This Row],[Fecha]]))</f>
        <v>AAPL-45127</v>
      </c>
    </row>
    <row r="1127" spans="1:4" ht="14.65" thickBot="1" x14ac:dyDescent="0.5">
      <c r="A1127" s="17">
        <v>45128.666666666664</v>
      </c>
      <c r="B1127" s="19">
        <v>191.94</v>
      </c>
      <c r="C1127" t="s">
        <v>38</v>
      </c>
      <c r="D1127" t="str">
        <f>T_Stocks[[#This Row],[Ticker]] &amp; "-" &amp; DATE(YEAR(T_Stocks[[#This Row],[Fecha]]),MONTH(T_Stocks[[#This Row],[Fecha]]),DAY(T_Stocks[[#This Row],[Fecha]]))</f>
        <v>AAPL-45128</v>
      </c>
    </row>
    <row r="1128" spans="1:4" ht="14.65" thickBot="1" x14ac:dyDescent="0.5">
      <c r="A1128" s="17">
        <v>45131.666666666664</v>
      </c>
      <c r="B1128" s="19">
        <v>192.75</v>
      </c>
      <c r="C1128" t="s">
        <v>38</v>
      </c>
      <c r="D1128" t="str">
        <f>T_Stocks[[#This Row],[Ticker]] &amp; "-" &amp; DATE(YEAR(T_Stocks[[#This Row],[Fecha]]),MONTH(T_Stocks[[#This Row],[Fecha]]),DAY(T_Stocks[[#This Row],[Fecha]]))</f>
        <v>AAPL-45131</v>
      </c>
    </row>
    <row r="1129" spans="1:4" ht="14.65" thickBot="1" x14ac:dyDescent="0.5">
      <c r="A1129" s="17">
        <v>45132.666666666664</v>
      </c>
      <c r="B1129" s="19">
        <v>193.62</v>
      </c>
      <c r="C1129" t="s">
        <v>38</v>
      </c>
      <c r="D1129" t="str">
        <f>T_Stocks[[#This Row],[Ticker]] &amp; "-" &amp; DATE(YEAR(T_Stocks[[#This Row],[Fecha]]),MONTH(T_Stocks[[#This Row],[Fecha]]),DAY(T_Stocks[[#This Row],[Fecha]]))</f>
        <v>AAPL-45132</v>
      </c>
    </row>
    <row r="1130" spans="1:4" ht="14.65" thickBot="1" x14ac:dyDescent="0.5">
      <c r="A1130" s="17">
        <v>45133.666666666664</v>
      </c>
      <c r="B1130" s="19">
        <v>194.5</v>
      </c>
      <c r="C1130" t="s">
        <v>38</v>
      </c>
      <c r="D1130" t="str">
        <f>T_Stocks[[#This Row],[Ticker]] &amp; "-" &amp; DATE(YEAR(T_Stocks[[#This Row],[Fecha]]),MONTH(T_Stocks[[#This Row],[Fecha]]),DAY(T_Stocks[[#This Row],[Fecha]]))</f>
        <v>AAPL-45133</v>
      </c>
    </row>
    <row r="1131" spans="1:4" ht="14.65" thickBot="1" x14ac:dyDescent="0.5">
      <c r="A1131" s="17">
        <v>45134.666666666664</v>
      </c>
      <c r="B1131" s="19">
        <v>193.22</v>
      </c>
      <c r="C1131" t="s">
        <v>38</v>
      </c>
      <c r="D1131" t="str">
        <f>T_Stocks[[#This Row],[Ticker]] &amp; "-" &amp; DATE(YEAR(T_Stocks[[#This Row],[Fecha]]),MONTH(T_Stocks[[#This Row],[Fecha]]),DAY(T_Stocks[[#This Row],[Fecha]]))</f>
        <v>AAPL-45134</v>
      </c>
    </row>
    <row r="1132" spans="1:4" ht="14.65" thickBot="1" x14ac:dyDescent="0.5">
      <c r="A1132" s="17">
        <v>45135.666666666664</v>
      </c>
      <c r="B1132" s="19">
        <v>195.83</v>
      </c>
      <c r="C1132" t="s">
        <v>38</v>
      </c>
      <c r="D1132" t="str">
        <f>T_Stocks[[#This Row],[Ticker]] &amp; "-" &amp; DATE(YEAR(T_Stocks[[#This Row],[Fecha]]),MONTH(T_Stocks[[#This Row],[Fecha]]),DAY(T_Stocks[[#This Row],[Fecha]]))</f>
        <v>AAPL-45135</v>
      </c>
    </row>
    <row r="1133" spans="1:4" ht="14.65" thickBot="1" x14ac:dyDescent="0.5">
      <c r="A1133" s="17">
        <v>45138.666666666664</v>
      </c>
      <c r="B1133" s="19">
        <v>196.45</v>
      </c>
      <c r="C1133" t="s">
        <v>38</v>
      </c>
      <c r="D1133" t="str">
        <f>T_Stocks[[#This Row],[Ticker]] &amp; "-" &amp; DATE(YEAR(T_Stocks[[#This Row],[Fecha]]),MONTH(T_Stocks[[#This Row],[Fecha]]),DAY(T_Stocks[[#This Row],[Fecha]]))</f>
        <v>AAPL-45138</v>
      </c>
    </row>
    <row r="1134" spans="1:4" ht="14.65" thickBot="1" x14ac:dyDescent="0.5">
      <c r="A1134" s="17">
        <v>45139.666666666664</v>
      </c>
      <c r="B1134" s="19">
        <v>195.61</v>
      </c>
      <c r="C1134" t="s">
        <v>38</v>
      </c>
      <c r="D1134" t="str">
        <f>T_Stocks[[#This Row],[Ticker]] &amp; "-" &amp; DATE(YEAR(T_Stocks[[#This Row],[Fecha]]),MONTH(T_Stocks[[#This Row],[Fecha]]),DAY(T_Stocks[[#This Row],[Fecha]]))</f>
        <v>AAPL-45139</v>
      </c>
    </row>
    <row r="1135" spans="1:4" ht="14.65" thickBot="1" x14ac:dyDescent="0.5">
      <c r="A1135" s="17">
        <v>45140.666666666664</v>
      </c>
      <c r="B1135" s="19">
        <v>192.58</v>
      </c>
      <c r="C1135" t="s">
        <v>38</v>
      </c>
      <c r="D1135" t="str">
        <f>T_Stocks[[#This Row],[Ticker]] &amp; "-" &amp; DATE(YEAR(T_Stocks[[#This Row],[Fecha]]),MONTH(T_Stocks[[#This Row],[Fecha]]),DAY(T_Stocks[[#This Row],[Fecha]]))</f>
        <v>AAPL-45140</v>
      </c>
    </row>
    <row r="1136" spans="1:4" ht="14.65" thickBot="1" x14ac:dyDescent="0.5">
      <c r="A1136" s="17">
        <v>45141.666666666664</v>
      </c>
      <c r="B1136" s="19">
        <v>191.17</v>
      </c>
      <c r="C1136" t="s">
        <v>38</v>
      </c>
      <c r="D1136" t="str">
        <f>T_Stocks[[#This Row],[Ticker]] &amp; "-" &amp; DATE(YEAR(T_Stocks[[#This Row],[Fecha]]),MONTH(T_Stocks[[#This Row],[Fecha]]),DAY(T_Stocks[[#This Row],[Fecha]]))</f>
        <v>AAPL-45141</v>
      </c>
    </row>
    <row r="1137" spans="1:4" ht="14.65" thickBot="1" x14ac:dyDescent="0.5">
      <c r="A1137" s="17">
        <v>45142.666666666664</v>
      </c>
      <c r="B1137" s="19">
        <v>181.99</v>
      </c>
      <c r="C1137" t="s">
        <v>38</v>
      </c>
      <c r="D1137" t="str">
        <f>T_Stocks[[#This Row],[Ticker]] &amp; "-" &amp; DATE(YEAR(T_Stocks[[#This Row],[Fecha]]),MONTH(T_Stocks[[#This Row],[Fecha]]),DAY(T_Stocks[[#This Row],[Fecha]]))</f>
        <v>AAPL-45142</v>
      </c>
    </row>
    <row r="1138" spans="1:4" ht="14.65" thickBot="1" x14ac:dyDescent="0.5">
      <c r="A1138" s="17">
        <v>45145.666666666664</v>
      </c>
      <c r="B1138" s="19">
        <v>178.85</v>
      </c>
      <c r="C1138" t="s">
        <v>38</v>
      </c>
      <c r="D1138" t="str">
        <f>T_Stocks[[#This Row],[Ticker]] &amp; "-" &amp; DATE(YEAR(T_Stocks[[#This Row],[Fecha]]),MONTH(T_Stocks[[#This Row],[Fecha]]),DAY(T_Stocks[[#This Row],[Fecha]]))</f>
        <v>AAPL-45145</v>
      </c>
    </row>
    <row r="1139" spans="1:4" ht="14.65" thickBot="1" x14ac:dyDescent="0.5">
      <c r="A1139" s="17">
        <v>45146.666666666664</v>
      </c>
      <c r="B1139" s="19">
        <v>179.8</v>
      </c>
      <c r="C1139" t="s">
        <v>38</v>
      </c>
      <c r="D1139" t="str">
        <f>T_Stocks[[#This Row],[Ticker]] &amp; "-" &amp; DATE(YEAR(T_Stocks[[#This Row],[Fecha]]),MONTH(T_Stocks[[#This Row],[Fecha]]),DAY(T_Stocks[[#This Row],[Fecha]]))</f>
        <v>AAPL-45146</v>
      </c>
    </row>
    <row r="1140" spans="1:4" ht="14.65" thickBot="1" x14ac:dyDescent="0.5">
      <c r="A1140" s="17">
        <v>45147.666666666664</v>
      </c>
      <c r="B1140" s="19">
        <v>178.19</v>
      </c>
      <c r="C1140" t="s">
        <v>38</v>
      </c>
      <c r="D1140" t="str">
        <f>T_Stocks[[#This Row],[Ticker]] &amp; "-" &amp; DATE(YEAR(T_Stocks[[#This Row],[Fecha]]),MONTH(T_Stocks[[#This Row],[Fecha]]),DAY(T_Stocks[[#This Row],[Fecha]]))</f>
        <v>AAPL-45147</v>
      </c>
    </row>
    <row r="1141" spans="1:4" ht="14.65" thickBot="1" x14ac:dyDescent="0.5">
      <c r="A1141" s="17">
        <v>45148.666666666664</v>
      </c>
      <c r="B1141" s="19">
        <v>177.97</v>
      </c>
      <c r="C1141" t="s">
        <v>38</v>
      </c>
      <c r="D1141" t="str">
        <f>T_Stocks[[#This Row],[Ticker]] &amp; "-" &amp; DATE(YEAR(T_Stocks[[#This Row],[Fecha]]),MONTH(T_Stocks[[#This Row],[Fecha]]),DAY(T_Stocks[[#This Row],[Fecha]]))</f>
        <v>AAPL-45148</v>
      </c>
    </row>
    <row r="1142" spans="1:4" ht="14.65" thickBot="1" x14ac:dyDescent="0.5">
      <c r="A1142" s="17">
        <v>45149.666666666664</v>
      </c>
      <c r="B1142" s="19">
        <v>177.79</v>
      </c>
      <c r="C1142" t="s">
        <v>38</v>
      </c>
      <c r="D1142" t="str">
        <f>T_Stocks[[#This Row],[Ticker]] &amp; "-" &amp; DATE(YEAR(T_Stocks[[#This Row],[Fecha]]),MONTH(T_Stocks[[#This Row],[Fecha]]),DAY(T_Stocks[[#This Row],[Fecha]]))</f>
        <v>AAPL-45149</v>
      </c>
    </row>
    <row r="1143" spans="1:4" ht="14.65" thickBot="1" x14ac:dyDescent="0.5">
      <c r="A1143" s="17">
        <v>45152.666666666664</v>
      </c>
      <c r="B1143" s="19">
        <v>179.46</v>
      </c>
      <c r="C1143" t="s">
        <v>38</v>
      </c>
      <c r="D1143" t="str">
        <f>T_Stocks[[#This Row],[Ticker]] &amp; "-" &amp; DATE(YEAR(T_Stocks[[#This Row],[Fecha]]),MONTH(T_Stocks[[#This Row],[Fecha]]),DAY(T_Stocks[[#This Row],[Fecha]]))</f>
        <v>AAPL-45152</v>
      </c>
    </row>
    <row r="1144" spans="1:4" ht="14.65" thickBot="1" x14ac:dyDescent="0.5">
      <c r="A1144" s="17">
        <v>45153.666666666664</v>
      </c>
      <c r="B1144" s="19">
        <v>177.45</v>
      </c>
      <c r="C1144" t="s">
        <v>38</v>
      </c>
      <c r="D1144" t="str">
        <f>T_Stocks[[#This Row],[Ticker]] &amp; "-" &amp; DATE(YEAR(T_Stocks[[#This Row],[Fecha]]),MONTH(T_Stocks[[#This Row],[Fecha]]),DAY(T_Stocks[[#This Row],[Fecha]]))</f>
        <v>AAPL-45153</v>
      </c>
    </row>
    <row r="1145" spans="1:4" ht="14.65" thickBot="1" x14ac:dyDescent="0.5">
      <c r="A1145" s="17">
        <v>45154.666666666664</v>
      </c>
      <c r="B1145" s="19">
        <v>176.57</v>
      </c>
      <c r="C1145" t="s">
        <v>38</v>
      </c>
      <c r="D1145" t="str">
        <f>T_Stocks[[#This Row],[Ticker]] &amp; "-" &amp; DATE(YEAR(T_Stocks[[#This Row],[Fecha]]),MONTH(T_Stocks[[#This Row],[Fecha]]),DAY(T_Stocks[[#This Row],[Fecha]]))</f>
        <v>AAPL-45154</v>
      </c>
    </row>
    <row r="1146" spans="1:4" ht="14.65" thickBot="1" x14ac:dyDescent="0.5">
      <c r="A1146" s="17">
        <v>45155.666666666664</v>
      </c>
      <c r="B1146" s="19">
        <v>174</v>
      </c>
      <c r="C1146" t="s">
        <v>38</v>
      </c>
      <c r="D1146" t="str">
        <f>T_Stocks[[#This Row],[Ticker]] &amp; "-" &amp; DATE(YEAR(T_Stocks[[#This Row],[Fecha]]),MONTH(T_Stocks[[#This Row],[Fecha]]),DAY(T_Stocks[[#This Row],[Fecha]]))</f>
        <v>AAPL-45155</v>
      </c>
    </row>
    <row r="1147" spans="1:4" ht="14.65" thickBot="1" x14ac:dyDescent="0.5">
      <c r="A1147" s="17">
        <v>45156.666666666664</v>
      </c>
      <c r="B1147" s="19">
        <v>174.49</v>
      </c>
      <c r="C1147" t="s">
        <v>38</v>
      </c>
      <c r="D1147" t="str">
        <f>T_Stocks[[#This Row],[Ticker]] &amp; "-" &amp; DATE(YEAR(T_Stocks[[#This Row],[Fecha]]),MONTH(T_Stocks[[#This Row],[Fecha]]),DAY(T_Stocks[[#This Row],[Fecha]]))</f>
        <v>AAPL-45156</v>
      </c>
    </row>
    <row r="1148" spans="1:4" ht="14.65" thickBot="1" x14ac:dyDescent="0.5">
      <c r="A1148" s="17">
        <v>45159.666666666664</v>
      </c>
      <c r="B1148" s="19">
        <v>175.84</v>
      </c>
      <c r="C1148" t="s">
        <v>38</v>
      </c>
      <c r="D1148" t="str">
        <f>T_Stocks[[#This Row],[Ticker]] &amp; "-" &amp; DATE(YEAR(T_Stocks[[#This Row],[Fecha]]),MONTH(T_Stocks[[#This Row],[Fecha]]),DAY(T_Stocks[[#This Row],[Fecha]]))</f>
        <v>AAPL-45159</v>
      </c>
    </row>
    <row r="1149" spans="1:4" ht="14.65" thickBot="1" x14ac:dyDescent="0.5">
      <c r="A1149" s="17">
        <v>45160.666666666664</v>
      </c>
      <c r="B1149" s="19">
        <v>177.23</v>
      </c>
      <c r="C1149" t="s">
        <v>38</v>
      </c>
      <c r="D1149" t="str">
        <f>T_Stocks[[#This Row],[Ticker]] &amp; "-" &amp; DATE(YEAR(T_Stocks[[#This Row],[Fecha]]),MONTH(T_Stocks[[#This Row],[Fecha]]),DAY(T_Stocks[[#This Row],[Fecha]]))</f>
        <v>AAPL-45160</v>
      </c>
    </row>
    <row r="1150" spans="1:4" ht="14.65" thickBot="1" x14ac:dyDescent="0.5">
      <c r="A1150" s="17">
        <v>45161.666666666664</v>
      </c>
      <c r="B1150" s="19">
        <v>181.12</v>
      </c>
      <c r="C1150" t="s">
        <v>38</v>
      </c>
      <c r="D1150" t="str">
        <f>T_Stocks[[#This Row],[Ticker]] &amp; "-" &amp; DATE(YEAR(T_Stocks[[#This Row],[Fecha]]),MONTH(T_Stocks[[#This Row],[Fecha]]),DAY(T_Stocks[[#This Row],[Fecha]]))</f>
        <v>AAPL-45161</v>
      </c>
    </row>
    <row r="1151" spans="1:4" ht="14.65" thickBot="1" x14ac:dyDescent="0.5">
      <c r="A1151" s="17">
        <v>45162.666666666664</v>
      </c>
      <c r="B1151" s="19">
        <v>176.38</v>
      </c>
      <c r="C1151" t="s">
        <v>38</v>
      </c>
      <c r="D1151" t="str">
        <f>T_Stocks[[#This Row],[Ticker]] &amp; "-" &amp; DATE(YEAR(T_Stocks[[#This Row],[Fecha]]),MONTH(T_Stocks[[#This Row],[Fecha]]),DAY(T_Stocks[[#This Row],[Fecha]]))</f>
        <v>AAPL-45162</v>
      </c>
    </row>
    <row r="1152" spans="1:4" ht="14.65" thickBot="1" x14ac:dyDescent="0.5">
      <c r="A1152" s="17">
        <v>45163.666666666664</v>
      </c>
      <c r="B1152" s="19">
        <v>178.61</v>
      </c>
      <c r="C1152" t="s">
        <v>38</v>
      </c>
      <c r="D1152" t="str">
        <f>T_Stocks[[#This Row],[Ticker]] &amp; "-" &amp; DATE(YEAR(T_Stocks[[#This Row],[Fecha]]),MONTH(T_Stocks[[#This Row],[Fecha]]),DAY(T_Stocks[[#This Row],[Fecha]]))</f>
        <v>AAPL-45163</v>
      </c>
    </row>
    <row r="1153" spans="1:4" ht="14.65" thickBot="1" x14ac:dyDescent="0.5">
      <c r="A1153" s="17">
        <v>45166.666666666664</v>
      </c>
      <c r="B1153" s="19">
        <v>180.19</v>
      </c>
      <c r="C1153" t="s">
        <v>38</v>
      </c>
      <c r="D1153" t="str">
        <f>T_Stocks[[#This Row],[Ticker]] &amp; "-" &amp; DATE(YEAR(T_Stocks[[#This Row],[Fecha]]),MONTH(T_Stocks[[#This Row],[Fecha]]),DAY(T_Stocks[[#This Row],[Fecha]]))</f>
        <v>AAPL-45166</v>
      </c>
    </row>
    <row r="1154" spans="1:4" ht="14.65" thickBot="1" x14ac:dyDescent="0.5">
      <c r="A1154" s="17">
        <v>45167.666666666664</v>
      </c>
      <c r="B1154" s="19">
        <v>184.12</v>
      </c>
      <c r="C1154" t="s">
        <v>38</v>
      </c>
      <c r="D1154" t="str">
        <f>T_Stocks[[#This Row],[Ticker]] &amp; "-" &amp; DATE(YEAR(T_Stocks[[#This Row],[Fecha]]),MONTH(T_Stocks[[#This Row],[Fecha]]),DAY(T_Stocks[[#This Row],[Fecha]]))</f>
        <v>AAPL-45167</v>
      </c>
    </row>
    <row r="1155" spans="1:4" ht="14.65" thickBot="1" x14ac:dyDescent="0.5">
      <c r="A1155" s="17">
        <v>45168.666666666664</v>
      </c>
      <c r="B1155" s="19">
        <v>187.65</v>
      </c>
      <c r="C1155" t="s">
        <v>38</v>
      </c>
      <c r="D1155" t="str">
        <f>T_Stocks[[#This Row],[Ticker]] &amp; "-" &amp; DATE(YEAR(T_Stocks[[#This Row],[Fecha]]),MONTH(T_Stocks[[#This Row],[Fecha]]),DAY(T_Stocks[[#This Row],[Fecha]]))</f>
        <v>AAPL-45168</v>
      </c>
    </row>
    <row r="1156" spans="1:4" ht="14.65" thickBot="1" x14ac:dyDescent="0.5">
      <c r="A1156" s="17">
        <v>45169.666666666664</v>
      </c>
      <c r="B1156" s="19">
        <v>187.87</v>
      </c>
      <c r="C1156" t="s">
        <v>38</v>
      </c>
      <c r="D1156" t="str">
        <f>T_Stocks[[#This Row],[Ticker]] &amp; "-" &amp; DATE(YEAR(T_Stocks[[#This Row],[Fecha]]),MONTH(T_Stocks[[#This Row],[Fecha]]),DAY(T_Stocks[[#This Row],[Fecha]]))</f>
        <v>AAPL-45169</v>
      </c>
    </row>
    <row r="1157" spans="1:4" ht="14.65" thickBot="1" x14ac:dyDescent="0.5">
      <c r="A1157" s="17">
        <v>45170.666666666664</v>
      </c>
      <c r="B1157" s="19">
        <v>189.46</v>
      </c>
      <c r="C1157" t="s">
        <v>38</v>
      </c>
      <c r="D1157" t="str">
        <f>T_Stocks[[#This Row],[Ticker]] &amp; "-" &amp; DATE(YEAR(T_Stocks[[#This Row],[Fecha]]),MONTH(T_Stocks[[#This Row],[Fecha]]),DAY(T_Stocks[[#This Row],[Fecha]]))</f>
        <v>AAPL-45170</v>
      </c>
    </row>
    <row r="1158" spans="1:4" ht="14.65" thickBot="1" x14ac:dyDescent="0.5">
      <c r="A1158" s="17">
        <v>45174.666666666664</v>
      </c>
      <c r="B1158" s="19">
        <v>189.7</v>
      </c>
      <c r="C1158" t="s">
        <v>38</v>
      </c>
      <c r="D1158" t="str">
        <f>T_Stocks[[#This Row],[Ticker]] &amp; "-" &amp; DATE(YEAR(T_Stocks[[#This Row],[Fecha]]),MONTH(T_Stocks[[#This Row],[Fecha]]),DAY(T_Stocks[[#This Row],[Fecha]]))</f>
        <v>AAPL-45174</v>
      </c>
    </row>
    <row r="1159" spans="1:4" ht="14.65" thickBot="1" x14ac:dyDescent="0.5">
      <c r="A1159" s="17">
        <v>45175.666666666664</v>
      </c>
      <c r="B1159" s="19">
        <v>182.91</v>
      </c>
      <c r="C1159" t="s">
        <v>38</v>
      </c>
      <c r="D1159" t="str">
        <f>T_Stocks[[#This Row],[Ticker]] &amp; "-" &amp; DATE(YEAR(T_Stocks[[#This Row],[Fecha]]),MONTH(T_Stocks[[#This Row],[Fecha]]),DAY(T_Stocks[[#This Row],[Fecha]]))</f>
        <v>AAPL-45175</v>
      </c>
    </row>
    <row r="1160" spans="1:4" ht="14.65" thickBot="1" x14ac:dyDescent="0.5">
      <c r="A1160" s="17">
        <v>45176.666666666664</v>
      </c>
      <c r="B1160" s="19">
        <v>177.56</v>
      </c>
      <c r="C1160" t="s">
        <v>38</v>
      </c>
      <c r="D1160" t="str">
        <f>T_Stocks[[#This Row],[Ticker]] &amp; "-" &amp; DATE(YEAR(T_Stocks[[#This Row],[Fecha]]),MONTH(T_Stocks[[#This Row],[Fecha]]),DAY(T_Stocks[[#This Row],[Fecha]]))</f>
        <v>AAPL-45176</v>
      </c>
    </row>
    <row r="1161" spans="1:4" ht="14.65" thickBot="1" x14ac:dyDescent="0.5">
      <c r="A1161" s="17">
        <v>45177.666666666664</v>
      </c>
      <c r="B1161" s="19">
        <v>178.18</v>
      </c>
      <c r="C1161" t="s">
        <v>38</v>
      </c>
      <c r="D1161" t="str">
        <f>T_Stocks[[#This Row],[Ticker]] &amp; "-" &amp; DATE(YEAR(T_Stocks[[#This Row],[Fecha]]),MONTH(T_Stocks[[#This Row],[Fecha]]),DAY(T_Stocks[[#This Row],[Fecha]]))</f>
        <v>AAPL-45177</v>
      </c>
    </row>
    <row r="1162" spans="1:4" ht="14.65" thickBot="1" x14ac:dyDescent="0.5">
      <c r="A1162" s="17">
        <v>45180.666666666664</v>
      </c>
      <c r="B1162" s="19">
        <v>179.36</v>
      </c>
      <c r="C1162" t="s">
        <v>38</v>
      </c>
      <c r="D1162" t="str">
        <f>T_Stocks[[#This Row],[Ticker]] &amp; "-" &amp; DATE(YEAR(T_Stocks[[#This Row],[Fecha]]),MONTH(T_Stocks[[#This Row],[Fecha]]),DAY(T_Stocks[[#This Row],[Fecha]]))</f>
        <v>AAPL-45180</v>
      </c>
    </row>
    <row r="1163" spans="1:4" ht="14.65" thickBot="1" x14ac:dyDescent="0.5">
      <c r="A1163" s="17">
        <v>45181.666666666664</v>
      </c>
      <c r="B1163" s="19">
        <v>176.3</v>
      </c>
      <c r="C1163" t="s">
        <v>38</v>
      </c>
      <c r="D1163" t="str">
        <f>T_Stocks[[#This Row],[Ticker]] &amp; "-" &amp; DATE(YEAR(T_Stocks[[#This Row],[Fecha]]),MONTH(T_Stocks[[#This Row],[Fecha]]),DAY(T_Stocks[[#This Row],[Fecha]]))</f>
        <v>AAPL-45181</v>
      </c>
    </row>
    <row r="1164" spans="1:4" ht="14.65" thickBot="1" x14ac:dyDescent="0.5">
      <c r="A1164" s="17">
        <v>45182.666666666664</v>
      </c>
      <c r="B1164" s="19">
        <v>174.21</v>
      </c>
      <c r="C1164" t="s">
        <v>38</v>
      </c>
      <c r="D1164" t="str">
        <f>T_Stocks[[#This Row],[Ticker]] &amp; "-" &amp; DATE(YEAR(T_Stocks[[#This Row],[Fecha]]),MONTH(T_Stocks[[#This Row],[Fecha]]),DAY(T_Stocks[[#This Row],[Fecha]]))</f>
        <v>AAPL-45182</v>
      </c>
    </row>
    <row r="1165" spans="1:4" ht="14.65" thickBot="1" x14ac:dyDescent="0.5">
      <c r="A1165" s="17">
        <v>45183.666666666664</v>
      </c>
      <c r="B1165" s="19">
        <v>175.74</v>
      </c>
      <c r="C1165" t="s">
        <v>38</v>
      </c>
      <c r="D1165" t="str">
        <f>T_Stocks[[#This Row],[Ticker]] &amp; "-" &amp; DATE(YEAR(T_Stocks[[#This Row],[Fecha]]),MONTH(T_Stocks[[#This Row],[Fecha]]),DAY(T_Stocks[[#This Row],[Fecha]]))</f>
        <v>AAPL-45183</v>
      </c>
    </row>
    <row r="1166" spans="1:4" ht="14.65" thickBot="1" x14ac:dyDescent="0.5">
      <c r="A1166" s="17">
        <v>45184.666666666664</v>
      </c>
      <c r="B1166" s="19">
        <v>175.01</v>
      </c>
      <c r="C1166" t="s">
        <v>38</v>
      </c>
      <c r="D1166" t="str">
        <f>T_Stocks[[#This Row],[Ticker]] &amp; "-" &amp; DATE(YEAR(T_Stocks[[#This Row],[Fecha]]),MONTH(T_Stocks[[#This Row],[Fecha]]),DAY(T_Stocks[[#This Row],[Fecha]]))</f>
        <v>AAPL-45184</v>
      </c>
    </row>
    <row r="1167" spans="1:4" ht="14.65" thickBot="1" x14ac:dyDescent="0.5">
      <c r="A1167" s="17">
        <v>45187.666666666664</v>
      </c>
      <c r="B1167" s="19">
        <v>177.97</v>
      </c>
      <c r="C1167" t="s">
        <v>38</v>
      </c>
      <c r="D1167" t="str">
        <f>T_Stocks[[#This Row],[Ticker]] &amp; "-" &amp; DATE(YEAR(T_Stocks[[#This Row],[Fecha]]),MONTH(T_Stocks[[#This Row],[Fecha]]),DAY(T_Stocks[[#This Row],[Fecha]]))</f>
        <v>AAPL-45187</v>
      </c>
    </row>
    <row r="1168" spans="1:4" ht="14.65" thickBot="1" x14ac:dyDescent="0.5">
      <c r="A1168" s="17">
        <v>45188.666666666664</v>
      </c>
      <c r="B1168" s="19">
        <v>179.07</v>
      </c>
      <c r="C1168" t="s">
        <v>38</v>
      </c>
      <c r="D1168" t="str">
        <f>T_Stocks[[#This Row],[Ticker]] &amp; "-" &amp; DATE(YEAR(T_Stocks[[#This Row],[Fecha]]),MONTH(T_Stocks[[#This Row],[Fecha]]),DAY(T_Stocks[[#This Row],[Fecha]]))</f>
        <v>AAPL-45188</v>
      </c>
    </row>
    <row r="1169" spans="1:4" ht="14.65" thickBot="1" x14ac:dyDescent="0.5">
      <c r="A1169" s="17">
        <v>45189.666666666664</v>
      </c>
      <c r="B1169" s="19">
        <v>175.49</v>
      </c>
      <c r="C1169" t="s">
        <v>38</v>
      </c>
      <c r="D1169" t="str">
        <f>T_Stocks[[#This Row],[Ticker]] &amp; "-" &amp; DATE(YEAR(T_Stocks[[#This Row],[Fecha]]),MONTH(T_Stocks[[#This Row],[Fecha]]),DAY(T_Stocks[[#This Row],[Fecha]]))</f>
        <v>AAPL-45189</v>
      </c>
    </row>
    <row r="1170" spans="1:4" ht="14.65" thickBot="1" x14ac:dyDescent="0.5">
      <c r="A1170" s="17">
        <v>45190.666666666664</v>
      </c>
      <c r="B1170" s="19">
        <v>173.93</v>
      </c>
      <c r="C1170" t="s">
        <v>38</v>
      </c>
      <c r="D1170" t="str">
        <f>T_Stocks[[#This Row],[Ticker]] &amp; "-" &amp; DATE(YEAR(T_Stocks[[#This Row],[Fecha]]),MONTH(T_Stocks[[#This Row],[Fecha]]),DAY(T_Stocks[[#This Row],[Fecha]]))</f>
        <v>AAPL-45190</v>
      </c>
    </row>
    <row r="1171" spans="1:4" ht="14.65" thickBot="1" x14ac:dyDescent="0.5">
      <c r="A1171" s="17">
        <v>45191.666666666664</v>
      </c>
      <c r="B1171" s="19">
        <v>174.79</v>
      </c>
      <c r="C1171" t="s">
        <v>38</v>
      </c>
      <c r="D1171" t="str">
        <f>T_Stocks[[#This Row],[Ticker]] &amp; "-" &amp; DATE(YEAR(T_Stocks[[#This Row],[Fecha]]),MONTH(T_Stocks[[#This Row],[Fecha]]),DAY(T_Stocks[[#This Row],[Fecha]]))</f>
        <v>AAPL-45191</v>
      </c>
    </row>
    <row r="1172" spans="1:4" ht="14.65" thickBot="1" x14ac:dyDescent="0.5">
      <c r="A1172" s="17">
        <v>45194.666666666664</v>
      </c>
      <c r="B1172" s="19">
        <v>176.08</v>
      </c>
      <c r="C1172" t="s">
        <v>38</v>
      </c>
      <c r="D1172" t="str">
        <f>T_Stocks[[#This Row],[Ticker]] &amp; "-" &amp; DATE(YEAR(T_Stocks[[#This Row],[Fecha]]),MONTH(T_Stocks[[#This Row],[Fecha]]),DAY(T_Stocks[[#This Row],[Fecha]]))</f>
        <v>AAPL-45194</v>
      </c>
    </row>
    <row r="1173" spans="1:4" ht="14.65" thickBot="1" x14ac:dyDescent="0.5">
      <c r="A1173" s="17">
        <v>45195.666666666664</v>
      </c>
      <c r="B1173" s="19">
        <v>171.96</v>
      </c>
      <c r="C1173" t="s">
        <v>38</v>
      </c>
      <c r="D1173" t="str">
        <f>T_Stocks[[#This Row],[Ticker]] &amp; "-" &amp; DATE(YEAR(T_Stocks[[#This Row],[Fecha]]),MONTH(T_Stocks[[#This Row],[Fecha]]),DAY(T_Stocks[[#This Row],[Fecha]]))</f>
        <v>AAPL-45195</v>
      </c>
    </row>
    <row r="1174" spans="1:4" ht="14.65" thickBot="1" x14ac:dyDescent="0.5">
      <c r="A1174" s="17">
        <v>45196.666666666664</v>
      </c>
      <c r="B1174" s="19">
        <v>170.43</v>
      </c>
      <c r="C1174" t="s">
        <v>38</v>
      </c>
      <c r="D1174" t="str">
        <f>T_Stocks[[#This Row],[Ticker]] &amp; "-" &amp; DATE(YEAR(T_Stocks[[#This Row],[Fecha]]),MONTH(T_Stocks[[#This Row],[Fecha]]),DAY(T_Stocks[[#This Row],[Fecha]]))</f>
        <v>AAPL-45196</v>
      </c>
    </row>
    <row r="1175" spans="1:4" ht="14.65" thickBot="1" x14ac:dyDescent="0.5">
      <c r="A1175" s="17">
        <v>45197.666666666664</v>
      </c>
      <c r="B1175" s="19">
        <v>170.69</v>
      </c>
      <c r="C1175" t="s">
        <v>38</v>
      </c>
      <c r="D1175" t="str">
        <f>T_Stocks[[#This Row],[Ticker]] &amp; "-" &amp; DATE(YEAR(T_Stocks[[#This Row],[Fecha]]),MONTH(T_Stocks[[#This Row],[Fecha]]),DAY(T_Stocks[[#This Row],[Fecha]]))</f>
        <v>AAPL-45197</v>
      </c>
    </row>
    <row r="1176" spans="1:4" ht="14.65" thickBot="1" x14ac:dyDescent="0.5">
      <c r="A1176" s="17">
        <v>45198.666666666664</v>
      </c>
      <c r="B1176" s="19">
        <v>171.21</v>
      </c>
      <c r="C1176" t="s">
        <v>38</v>
      </c>
      <c r="D1176" t="str">
        <f>T_Stocks[[#This Row],[Ticker]] &amp; "-" &amp; DATE(YEAR(T_Stocks[[#This Row],[Fecha]]),MONTH(T_Stocks[[#This Row],[Fecha]]),DAY(T_Stocks[[#This Row],[Fecha]]))</f>
        <v>AAPL-45198</v>
      </c>
    </row>
    <row r="1177" spans="1:4" ht="14.65" thickBot="1" x14ac:dyDescent="0.5">
      <c r="A1177" s="17">
        <v>45201.666666666664</v>
      </c>
      <c r="B1177" s="19">
        <v>173.75</v>
      </c>
      <c r="C1177" t="s">
        <v>38</v>
      </c>
      <c r="D1177" t="str">
        <f>T_Stocks[[#This Row],[Ticker]] &amp; "-" &amp; DATE(YEAR(T_Stocks[[#This Row],[Fecha]]),MONTH(T_Stocks[[#This Row],[Fecha]]),DAY(T_Stocks[[#This Row],[Fecha]]))</f>
        <v>AAPL-45201</v>
      </c>
    </row>
    <row r="1178" spans="1:4" ht="14.65" thickBot="1" x14ac:dyDescent="0.5">
      <c r="A1178" s="17">
        <v>45202.666666666664</v>
      </c>
      <c r="B1178" s="19">
        <v>172.4</v>
      </c>
      <c r="C1178" t="s">
        <v>38</v>
      </c>
      <c r="D1178" t="str">
        <f>T_Stocks[[#This Row],[Ticker]] &amp; "-" &amp; DATE(YEAR(T_Stocks[[#This Row],[Fecha]]),MONTH(T_Stocks[[#This Row],[Fecha]]),DAY(T_Stocks[[#This Row],[Fecha]]))</f>
        <v>AAPL-45202</v>
      </c>
    </row>
    <row r="1179" spans="1:4" ht="14.65" thickBot="1" x14ac:dyDescent="0.5">
      <c r="A1179" s="17">
        <v>45203.666666666664</v>
      </c>
      <c r="B1179" s="19">
        <v>173.66</v>
      </c>
      <c r="C1179" t="s">
        <v>38</v>
      </c>
      <c r="D1179" t="str">
        <f>T_Stocks[[#This Row],[Ticker]] &amp; "-" &amp; DATE(YEAR(T_Stocks[[#This Row],[Fecha]]),MONTH(T_Stocks[[#This Row],[Fecha]]),DAY(T_Stocks[[#This Row],[Fecha]]))</f>
        <v>AAPL-45203</v>
      </c>
    </row>
    <row r="1180" spans="1:4" ht="14.65" thickBot="1" x14ac:dyDescent="0.5">
      <c r="A1180" s="17">
        <v>45204.666666666664</v>
      </c>
      <c r="B1180" s="19">
        <v>174.91</v>
      </c>
      <c r="C1180" t="s">
        <v>38</v>
      </c>
      <c r="D1180" t="str">
        <f>T_Stocks[[#This Row],[Ticker]] &amp; "-" &amp; DATE(YEAR(T_Stocks[[#This Row],[Fecha]]),MONTH(T_Stocks[[#This Row],[Fecha]]),DAY(T_Stocks[[#This Row],[Fecha]]))</f>
        <v>AAPL-45204</v>
      </c>
    </row>
    <row r="1181" spans="1:4" ht="14.65" thickBot="1" x14ac:dyDescent="0.5">
      <c r="A1181" s="17">
        <v>45205.666666666664</v>
      </c>
      <c r="B1181" s="19">
        <v>177.49</v>
      </c>
      <c r="C1181" t="s">
        <v>38</v>
      </c>
      <c r="D1181" t="str">
        <f>T_Stocks[[#This Row],[Ticker]] &amp; "-" &amp; DATE(YEAR(T_Stocks[[#This Row],[Fecha]]),MONTH(T_Stocks[[#This Row],[Fecha]]),DAY(T_Stocks[[#This Row],[Fecha]]))</f>
        <v>AAPL-45205</v>
      </c>
    </row>
    <row r="1182" spans="1:4" ht="14.65" thickBot="1" x14ac:dyDescent="0.5">
      <c r="A1182" s="17">
        <v>45208.666666666664</v>
      </c>
      <c r="B1182" s="19">
        <v>178.99</v>
      </c>
      <c r="C1182" t="s">
        <v>38</v>
      </c>
      <c r="D1182" t="str">
        <f>T_Stocks[[#This Row],[Ticker]] &amp; "-" &amp; DATE(YEAR(T_Stocks[[#This Row],[Fecha]]),MONTH(T_Stocks[[#This Row],[Fecha]]),DAY(T_Stocks[[#This Row],[Fecha]]))</f>
        <v>AAPL-45208</v>
      </c>
    </row>
    <row r="1183" spans="1:4" ht="14.65" thickBot="1" x14ac:dyDescent="0.5">
      <c r="A1183" s="17">
        <v>45209.666666666664</v>
      </c>
      <c r="B1183" s="19">
        <v>178.39</v>
      </c>
      <c r="C1183" t="s">
        <v>38</v>
      </c>
      <c r="D1183" t="str">
        <f>T_Stocks[[#This Row],[Ticker]] &amp; "-" &amp; DATE(YEAR(T_Stocks[[#This Row],[Fecha]]),MONTH(T_Stocks[[#This Row],[Fecha]]),DAY(T_Stocks[[#This Row],[Fecha]]))</f>
        <v>AAPL-45209</v>
      </c>
    </row>
    <row r="1184" spans="1:4" ht="14.65" thickBot="1" x14ac:dyDescent="0.5">
      <c r="A1184" s="17">
        <v>45210.666666666664</v>
      </c>
      <c r="B1184" s="19">
        <v>179.8</v>
      </c>
      <c r="C1184" t="s">
        <v>38</v>
      </c>
      <c r="D1184" t="str">
        <f>T_Stocks[[#This Row],[Ticker]] &amp; "-" &amp; DATE(YEAR(T_Stocks[[#This Row],[Fecha]]),MONTH(T_Stocks[[#This Row],[Fecha]]),DAY(T_Stocks[[#This Row],[Fecha]]))</f>
        <v>AAPL-45210</v>
      </c>
    </row>
    <row r="1185" spans="1:4" ht="14.65" thickBot="1" x14ac:dyDescent="0.5">
      <c r="A1185" s="17">
        <v>45211.666666666664</v>
      </c>
      <c r="B1185" s="19">
        <v>180.71</v>
      </c>
      <c r="C1185" t="s">
        <v>38</v>
      </c>
      <c r="D1185" t="str">
        <f>T_Stocks[[#This Row],[Ticker]] &amp; "-" &amp; DATE(YEAR(T_Stocks[[#This Row],[Fecha]]),MONTH(T_Stocks[[#This Row],[Fecha]]),DAY(T_Stocks[[#This Row],[Fecha]]))</f>
        <v>AAPL-45211</v>
      </c>
    </row>
    <row r="1186" spans="1:4" ht="14.65" thickBot="1" x14ac:dyDescent="0.5">
      <c r="A1186" s="17">
        <v>45212.666666666664</v>
      </c>
      <c r="B1186" s="19">
        <v>178.85</v>
      </c>
      <c r="C1186" t="s">
        <v>38</v>
      </c>
      <c r="D1186" t="str">
        <f>T_Stocks[[#This Row],[Ticker]] &amp; "-" &amp; DATE(YEAR(T_Stocks[[#This Row],[Fecha]]),MONTH(T_Stocks[[#This Row],[Fecha]]),DAY(T_Stocks[[#This Row],[Fecha]]))</f>
        <v>AAPL-45212</v>
      </c>
    </row>
    <row r="1187" spans="1:4" ht="14.65" thickBot="1" x14ac:dyDescent="0.5">
      <c r="A1187" s="17">
        <v>45215.666666666664</v>
      </c>
      <c r="B1187" s="19">
        <v>178.72</v>
      </c>
      <c r="C1187" t="s">
        <v>38</v>
      </c>
      <c r="D1187" t="str">
        <f>T_Stocks[[#This Row],[Ticker]] &amp; "-" &amp; DATE(YEAR(T_Stocks[[#This Row],[Fecha]]),MONTH(T_Stocks[[#This Row],[Fecha]]),DAY(T_Stocks[[#This Row],[Fecha]]))</f>
        <v>AAPL-45215</v>
      </c>
    </row>
    <row r="1188" spans="1:4" ht="14.65" thickBot="1" x14ac:dyDescent="0.5">
      <c r="A1188" s="17">
        <v>45216.666666666664</v>
      </c>
      <c r="B1188" s="19">
        <v>177.15</v>
      </c>
      <c r="C1188" t="s">
        <v>38</v>
      </c>
      <c r="D1188" t="str">
        <f>T_Stocks[[#This Row],[Ticker]] &amp; "-" &amp; DATE(YEAR(T_Stocks[[#This Row],[Fecha]]),MONTH(T_Stocks[[#This Row],[Fecha]]),DAY(T_Stocks[[#This Row],[Fecha]]))</f>
        <v>AAPL-45216</v>
      </c>
    </row>
    <row r="1189" spans="1:4" ht="14.65" thickBot="1" x14ac:dyDescent="0.5">
      <c r="A1189" s="17">
        <v>45217.666666666664</v>
      </c>
      <c r="B1189" s="19">
        <v>175.84</v>
      </c>
      <c r="C1189" t="s">
        <v>38</v>
      </c>
      <c r="D1189" t="str">
        <f>T_Stocks[[#This Row],[Ticker]] &amp; "-" &amp; DATE(YEAR(T_Stocks[[#This Row],[Fecha]]),MONTH(T_Stocks[[#This Row],[Fecha]]),DAY(T_Stocks[[#This Row],[Fecha]]))</f>
        <v>AAPL-45217</v>
      </c>
    </row>
    <row r="1190" spans="1:4" ht="14.65" thickBot="1" x14ac:dyDescent="0.5">
      <c r="A1190" s="17">
        <v>45218.666666666664</v>
      </c>
      <c r="B1190" s="19">
        <v>175.46</v>
      </c>
      <c r="C1190" t="s">
        <v>38</v>
      </c>
      <c r="D1190" t="str">
        <f>T_Stocks[[#This Row],[Ticker]] &amp; "-" &amp; DATE(YEAR(T_Stocks[[#This Row],[Fecha]]),MONTH(T_Stocks[[#This Row],[Fecha]]),DAY(T_Stocks[[#This Row],[Fecha]]))</f>
        <v>AAPL-45218</v>
      </c>
    </row>
    <row r="1191" spans="1:4" ht="14.65" thickBot="1" x14ac:dyDescent="0.5">
      <c r="A1191" s="17">
        <v>45219.666666666664</v>
      </c>
      <c r="B1191" s="19">
        <v>172.88</v>
      </c>
      <c r="C1191" t="s">
        <v>38</v>
      </c>
      <c r="D1191" t="str">
        <f>T_Stocks[[#This Row],[Ticker]] &amp; "-" &amp; DATE(YEAR(T_Stocks[[#This Row],[Fecha]]),MONTH(T_Stocks[[#This Row],[Fecha]]),DAY(T_Stocks[[#This Row],[Fecha]]))</f>
        <v>AAPL-45219</v>
      </c>
    </row>
    <row r="1192" spans="1:4" ht="14.65" thickBot="1" x14ac:dyDescent="0.5">
      <c r="A1192" s="17">
        <v>45222.666666666664</v>
      </c>
      <c r="B1192" s="19">
        <v>173</v>
      </c>
      <c r="C1192" t="s">
        <v>38</v>
      </c>
      <c r="D1192" t="str">
        <f>T_Stocks[[#This Row],[Ticker]] &amp; "-" &amp; DATE(YEAR(T_Stocks[[#This Row],[Fecha]]),MONTH(T_Stocks[[#This Row],[Fecha]]),DAY(T_Stocks[[#This Row],[Fecha]]))</f>
        <v>AAPL-45222</v>
      </c>
    </row>
    <row r="1193" spans="1:4" ht="14.65" thickBot="1" x14ac:dyDescent="0.5">
      <c r="A1193" s="17">
        <v>45223.666666666664</v>
      </c>
      <c r="B1193" s="19">
        <v>173.44</v>
      </c>
      <c r="C1193" t="s">
        <v>38</v>
      </c>
      <c r="D1193" t="str">
        <f>T_Stocks[[#This Row],[Ticker]] &amp; "-" &amp; DATE(YEAR(T_Stocks[[#This Row],[Fecha]]),MONTH(T_Stocks[[#This Row],[Fecha]]),DAY(T_Stocks[[#This Row],[Fecha]]))</f>
        <v>AAPL-45223</v>
      </c>
    </row>
    <row r="1194" spans="1:4" ht="14.65" thickBot="1" x14ac:dyDescent="0.5">
      <c r="A1194" s="17">
        <v>45224.666666666664</v>
      </c>
      <c r="B1194" s="19">
        <v>171.1</v>
      </c>
      <c r="C1194" t="s">
        <v>38</v>
      </c>
      <c r="D1194" t="str">
        <f>T_Stocks[[#This Row],[Ticker]] &amp; "-" &amp; DATE(YEAR(T_Stocks[[#This Row],[Fecha]]),MONTH(T_Stocks[[#This Row],[Fecha]]),DAY(T_Stocks[[#This Row],[Fecha]]))</f>
        <v>AAPL-45224</v>
      </c>
    </row>
    <row r="1195" spans="1:4" ht="14.65" thickBot="1" x14ac:dyDescent="0.5">
      <c r="A1195" s="17">
        <v>45225.666666666664</v>
      </c>
      <c r="B1195" s="19">
        <v>166.89</v>
      </c>
      <c r="C1195" t="s">
        <v>38</v>
      </c>
      <c r="D1195" t="str">
        <f>T_Stocks[[#This Row],[Ticker]] &amp; "-" &amp; DATE(YEAR(T_Stocks[[#This Row],[Fecha]]),MONTH(T_Stocks[[#This Row],[Fecha]]),DAY(T_Stocks[[#This Row],[Fecha]]))</f>
        <v>AAPL-45225</v>
      </c>
    </row>
    <row r="1196" spans="1:4" ht="14.65" thickBot="1" x14ac:dyDescent="0.5">
      <c r="A1196" s="17">
        <v>45226.666666666664</v>
      </c>
      <c r="B1196" s="19">
        <v>168.22</v>
      </c>
      <c r="C1196" t="s">
        <v>38</v>
      </c>
      <c r="D1196" t="str">
        <f>T_Stocks[[#This Row],[Ticker]] &amp; "-" &amp; DATE(YEAR(T_Stocks[[#This Row],[Fecha]]),MONTH(T_Stocks[[#This Row],[Fecha]]),DAY(T_Stocks[[#This Row],[Fecha]]))</f>
        <v>AAPL-45226</v>
      </c>
    </row>
    <row r="1197" spans="1:4" ht="14.65" thickBot="1" x14ac:dyDescent="0.5">
      <c r="A1197" s="17">
        <v>45229.666666666664</v>
      </c>
      <c r="B1197" s="19">
        <v>170.29</v>
      </c>
      <c r="C1197" t="s">
        <v>38</v>
      </c>
      <c r="D1197" t="str">
        <f>T_Stocks[[#This Row],[Ticker]] &amp; "-" &amp; DATE(YEAR(T_Stocks[[#This Row],[Fecha]]),MONTH(T_Stocks[[#This Row],[Fecha]]),DAY(T_Stocks[[#This Row],[Fecha]]))</f>
        <v>AAPL-45229</v>
      </c>
    </row>
    <row r="1198" spans="1:4" ht="14.65" thickBot="1" x14ac:dyDescent="0.5">
      <c r="A1198" s="17">
        <v>45230.666666666664</v>
      </c>
      <c r="B1198" s="19">
        <v>170.77</v>
      </c>
      <c r="C1198" t="s">
        <v>38</v>
      </c>
      <c r="D1198" t="str">
        <f>T_Stocks[[#This Row],[Ticker]] &amp; "-" &amp; DATE(YEAR(T_Stocks[[#This Row],[Fecha]]),MONTH(T_Stocks[[#This Row],[Fecha]]),DAY(T_Stocks[[#This Row],[Fecha]]))</f>
        <v>AAPL-45230</v>
      </c>
    </row>
    <row r="1199" spans="1:4" ht="14.65" thickBot="1" x14ac:dyDescent="0.5">
      <c r="A1199" s="17">
        <v>45231.666666666664</v>
      </c>
      <c r="B1199" s="19">
        <v>173.97</v>
      </c>
      <c r="C1199" t="s">
        <v>38</v>
      </c>
      <c r="D1199" t="str">
        <f>T_Stocks[[#This Row],[Ticker]] &amp; "-" &amp; DATE(YEAR(T_Stocks[[#This Row],[Fecha]]),MONTH(T_Stocks[[#This Row],[Fecha]]),DAY(T_Stocks[[#This Row],[Fecha]]))</f>
        <v>AAPL-45231</v>
      </c>
    </row>
    <row r="1200" spans="1:4" ht="14.65" thickBot="1" x14ac:dyDescent="0.5">
      <c r="A1200" s="17">
        <v>45232.666666666664</v>
      </c>
      <c r="B1200" s="19">
        <v>177.57</v>
      </c>
      <c r="C1200" t="s">
        <v>38</v>
      </c>
      <c r="D1200" t="str">
        <f>T_Stocks[[#This Row],[Ticker]] &amp; "-" &amp; DATE(YEAR(T_Stocks[[#This Row],[Fecha]]),MONTH(T_Stocks[[#This Row],[Fecha]]),DAY(T_Stocks[[#This Row],[Fecha]]))</f>
        <v>AAPL-45232</v>
      </c>
    </row>
    <row r="1201" spans="1:4" ht="14.65" thickBot="1" x14ac:dyDescent="0.5">
      <c r="A1201" s="17">
        <v>45233.666666666664</v>
      </c>
      <c r="B1201" s="19">
        <v>176.65</v>
      </c>
      <c r="C1201" t="s">
        <v>38</v>
      </c>
      <c r="D1201" t="str">
        <f>T_Stocks[[#This Row],[Ticker]] &amp; "-" &amp; DATE(YEAR(T_Stocks[[#This Row],[Fecha]]),MONTH(T_Stocks[[#This Row],[Fecha]]),DAY(T_Stocks[[#This Row],[Fecha]]))</f>
        <v>AAPL-45233</v>
      </c>
    </row>
    <row r="1202" spans="1:4" ht="14.65" thickBot="1" x14ac:dyDescent="0.5">
      <c r="A1202" s="17">
        <v>45236.666666666664</v>
      </c>
      <c r="B1202" s="19">
        <v>179.23</v>
      </c>
      <c r="C1202" t="s">
        <v>38</v>
      </c>
      <c r="D1202" t="str">
        <f>T_Stocks[[#This Row],[Ticker]] &amp; "-" &amp; DATE(YEAR(T_Stocks[[#This Row],[Fecha]]),MONTH(T_Stocks[[#This Row],[Fecha]]),DAY(T_Stocks[[#This Row],[Fecha]]))</f>
        <v>AAPL-45236</v>
      </c>
    </row>
    <row r="1203" spans="1:4" ht="14.65" thickBot="1" x14ac:dyDescent="0.5">
      <c r="A1203" s="17">
        <v>45237.666666666664</v>
      </c>
      <c r="B1203" s="19">
        <v>181.82</v>
      </c>
      <c r="C1203" t="s">
        <v>38</v>
      </c>
      <c r="D1203" t="str">
        <f>T_Stocks[[#This Row],[Ticker]] &amp; "-" &amp; DATE(YEAR(T_Stocks[[#This Row],[Fecha]]),MONTH(T_Stocks[[#This Row],[Fecha]]),DAY(T_Stocks[[#This Row],[Fecha]]))</f>
        <v>AAPL-45237</v>
      </c>
    </row>
    <row r="1204" spans="1:4" ht="14.65" thickBot="1" x14ac:dyDescent="0.5">
      <c r="A1204" s="17">
        <v>45238.666666666664</v>
      </c>
      <c r="B1204" s="19">
        <v>182.89</v>
      </c>
      <c r="C1204" t="s">
        <v>38</v>
      </c>
      <c r="D1204" t="str">
        <f>T_Stocks[[#This Row],[Ticker]] &amp; "-" &amp; DATE(YEAR(T_Stocks[[#This Row],[Fecha]]),MONTH(T_Stocks[[#This Row],[Fecha]]),DAY(T_Stocks[[#This Row],[Fecha]]))</f>
        <v>AAPL-45238</v>
      </c>
    </row>
    <row r="1205" spans="1:4" ht="14.65" thickBot="1" x14ac:dyDescent="0.5">
      <c r="A1205" s="17">
        <v>45239.666666666664</v>
      </c>
      <c r="B1205" s="19">
        <v>182.41</v>
      </c>
      <c r="C1205" t="s">
        <v>38</v>
      </c>
      <c r="D1205" t="str">
        <f>T_Stocks[[#This Row],[Ticker]] &amp; "-" &amp; DATE(YEAR(T_Stocks[[#This Row],[Fecha]]),MONTH(T_Stocks[[#This Row],[Fecha]]),DAY(T_Stocks[[#This Row],[Fecha]]))</f>
        <v>AAPL-45239</v>
      </c>
    </row>
    <row r="1206" spans="1:4" ht="14.65" thickBot="1" x14ac:dyDescent="0.5">
      <c r="A1206" s="17">
        <v>45240.666666666664</v>
      </c>
      <c r="B1206" s="19">
        <v>186.4</v>
      </c>
      <c r="C1206" t="s">
        <v>38</v>
      </c>
      <c r="D1206" t="str">
        <f>T_Stocks[[#This Row],[Ticker]] &amp; "-" &amp; DATE(YEAR(T_Stocks[[#This Row],[Fecha]]),MONTH(T_Stocks[[#This Row],[Fecha]]),DAY(T_Stocks[[#This Row],[Fecha]]))</f>
        <v>AAPL-45240</v>
      </c>
    </row>
    <row r="1207" spans="1:4" ht="14.65" thickBot="1" x14ac:dyDescent="0.5">
      <c r="A1207" s="17">
        <v>45243.666666666664</v>
      </c>
      <c r="B1207" s="19">
        <v>184.8</v>
      </c>
      <c r="C1207" t="s">
        <v>38</v>
      </c>
      <c r="D1207" t="str">
        <f>T_Stocks[[#This Row],[Ticker]] &amp; "-" &amp; DATE(YEAR(T_Stocks[[#This Row],[Fecha]]),MONTH(T_Stocks[[#This Row],[Fecha]]),DAY(T_Stocks[[#This Row],[Fecha]]))</f>
        <v>AAPL-45243</v>
      </c>
    </row>
    <row r="1208" spans="1:4" ht="14.65" thickBot="1" x14ac:dyDescent="0.5">
      <c r="A1208" s="17">
        <v>45244.666666666664</v>
      </c>
      <c r="B1208" s="19">
        <v>187.44</v>
      </c>
      <c r="C1208" t="s">
        <v>38</v>
      </c>
      <c r="D1208" t="str">
        <f>T_Stocks[[#This Row],[Ticker]] &amp; "-" &amp; DATE(YEAR(T_Stocks[[#This Row],[Fecha]]),MONTH(T_Stocks[[#This Row],[Fecha]]),DAY(T_Stocks[[#This Row],[Fecha]]))</f>
        <v>AAPL-45244</v>
      </c>
    </row>
    <row r="1209" spans="1:4" ht="14.65" thickBot="1" x14ac:dyDescent="0.5">
      <c r="A1209" s="17">
        <v>45245.666666666664</v>
      </c>
      <c r="B1209" s="19">
        <v>188.01</v>
      </c>
      <c r="C1209" t="s">
        <v>38</v>
      </c>
      <c r="D1209" t="str">
        <f>T_Stocks[[#This Row],[Ticker]] &amp; "-" &amp; DATE(YEAR(T_Stocks[[#This Row],[Fecha]]),MONTH(T_Stocks[[#This Row],[Fecha]]),DAY(T_Stocks[[#This Row],[Fecha]]))</f>
        <v>AAPL-45245</v>
      </c>
    </row>
    <row r="1210" spans="1:4" ht="14.65" thickBot="1" x14ac:dyDescent="0.5">
      <c r="A1210" s="17">
        <v>45246.666666666664</v>
      </c>
      <c r="B1210" s="19">
        <v>189.71</v>
      </c>
      <c r="C1210" t="s">
        <v>38</v>
      </c>
      <c r="D1210" t="str">
        <f>T_Stocks[[#This Row],[Ticker]] &amp; "-" &amp; DATE(YEAR(T_Stocks[[#This Row],[Fecha]]),MONTH(T_Stocks[[#This Row],[Fecha]]),DAY(T_Stocks[[#This Row],[Fecha]]))</f>
        <v>AAPL-45246</v>
      </c>
    </row>
    <row r="1211" spans="1:4" ht="14.65" thickBot="1" x14ac:dyDescent="0.5">
      <c r="A1211" s="17">
        <v>45247.666666666664</v>
      </c>
      <c r="B1211" s="19">
        <v>189.69</v>
      </c>
      <c r="C1211" t="s">
        <v>38</v>
      </c>
      <c r="D1211" t="str">
        <f>T_Stocks[[#This Row],[Ticker]] &amp; "-" &amp; DATE(YEAR(T_Stocks[[#This Row],[Fecha]]),MONTH(T_Stocks[[#This Row],[Fecha]]),DAY(T_Stocks[[#This Row],[Fecha]]))</f>
        <v>AAPL-45247</v>
      </c>
    </row>
    <row r="1212" spans="1:4" ht="14.65" thickBot="1" x14ac:dyDescent="0.5">
      <c r="A1212" s="17">
        <v>45250.666666666664</v>
      </c>
      <c r="B1212" s="19">
        <v>191.45</v>
      </c>
      <c r="C1212" t="s">
        <v>38</v>
      </c>
      <c r="D1212" t="str">
        <f>T_Stocks[[#This Row],[Ticker]] &amp; "-" &amp; DATE(YEAR(T_Stocks[[#This Row],[Fecha]]),MONTH(T_Stocks[[#This Row],[Fecha]]),DAY(T_Stocks[[#This Row],[Fecha]]))</f>
        <v>AAPL-45250</v>
      </c>
    </row>
    <row r="1213" spans="1:4" ht="14.65" thickBot="1" x14ac:dyDescent="0.5">
      <c r="A1213" s="17">
        <v>45251.666666666664</v>
      </c>
      <c r="B1213" s="19">
        <v>190.64</v>
      </c>
      <c r="C1213" t="s">
        <v>38</v>
      </c>
      <c r="D1213" t="str">
        <f>T_Stocks[[#This Row],[Ticker]] &amp; "-" &amp; DATE(YEAR(T_Stocks[[#This Row],[Fecha]]),MONTH(T_Stocks[[#This Row],[Fecha]]),DAY(T_Stocks[[#This Row],[Fecha]]))</f>
        <v>AAPL-45251</v>
      </c>
    </row>
    <row r="1214" spans="1:4" ht="14.65" thickBot="1" x14ac:dyDescent="0.5">
      <c r="A1214" s="17">
        <v>45252.666666666664</v>
      </c>
      <c r="B1214" s="19">
        <v>191.31</v>
      </c>
      <c r="C1214" t="s">
        <v>38</v>
      </c>
      <c r="D1214" t="str">
        <f>T_Stocks[[#This Row],[Ticker]] &amp; "-" &amp; DATE(YEAR(T_Stocks[[#This Row],[Fecha]]),MONTH(T_Stocks[[#This Row],[Fecha]]),DAY(T_Stocks[[#This Row],[Fecha]]))</f>
        <v>AAPL-45252</v>
      </c>
    </row>
    <row r="1215" spans="1:4" ht="14.65" thickBot="1" x14ac:dyDescent="0.5">
      <c r="A1215" s="17">
        <v>45254.545138888891</v>
      </c>
      <c r="B1215" s="19">
        <v>189.97</v>
      </c>
      <c r="C1215" t="s">
        <v>38</v>
      </c>
      <c r="D1215" t="str">
        <f>T_Stocks[[#This Row],[Ticker]] &amp; "-" &amp; DATE(YEAR(T_Stocks[[#This Row],[Fecha]]),MONTH(T_Stocks[[#This Row],[Fecha]]),DAY(T_Stocks[[#This Row],[Fecha]]))</f>
        <v>AAPL-45254</v>
      </c>
    </row>
    <row r="1216" spans="1:4" ht="14.65" thickBot="1" x14ac:dyDescent="0.5">
      <c r="A1216" s="17">
        <v>45257.666666666664</v>
      </c>
      <c r="B1216" s="19">
        <v>189.79</v>
      </c>
      <c r="C1216" t="s">
        <v>38</v>
      </c>
      <c r="D1216" t="str">
        <f>T_Stocks[[#This Row],[Ticker]] &amp; "-" &amp; DATE(YEAR(T_Stocks[[#This Row],[Fecha]]),MONTH(T_Stocks[[#This Row],[Fecha]]),DAY(T_Stocks[[#This Row],[Fecha]]))</f>
        <v>AAPL-45257</v>
      </c>
    </row>
    <row r="1217" spans="1:4" ht="14.65" thickBot="1" x14ac:dyDescent="0.5">
      <c r="A1217" s="17">
        <v>45258.666666666664</v>
      </c>
      <c r="B1217" s="19">
        <v>190.4</v>
      </c>
      <c r="C1217" t="s">
        <v>38</v>
      </c>
      <c r="D1217" t="str">
        <f>T_Stocks[[#This Row],[Ticker]] &amp; "-" &amp; DATE(YEAR(T_Stocks[[#This Row],[Fecha]]),MONTH(T_Stocks[[#This Row],[Fecha]]),DAY(T_Stocks[[#This Row],[Fecha]]))</f>
        <v>AAPL-45258</v>
      </c>
    </row>
    <row r="1218" spans="1:4" ht="14.65" thickBot="1" x14ac:dyDescent="0.5">
      <c r="A1218" s="17">
        <v>45259.666666666664</v>
      </c>
      <c r="B1218" s="19">
        <v>189.37</v>
      </c>
      <c r="C1218" t="s">
        <v>38</v>
      </c>
      <c r="D1218" t="str">
        <f>T_Stocks[[#This Row],[Ticker]] &amp; "-" &amp; DATE(YEAR(T_Stocks[[#This Row],[Fecha]]),MONTH(T_Stocks[[#This Row],[Fecha]]),DAY(T_Stocks[[#This Row],[Fecha]]))</f>
        <v>AAPL-45259</v>
      </c>
    </row>
    <row r="1219" spans="1:4" ht="14.65" thickBot="1" x14ac:dyDescent="0.5">
      <c r="A1219" s="17">
        <v>45260.666666666664</v>
      </c>
      <c r="B1219" s="19">
        <v>189.95</v>
      </c>
      <c r="C1219" t="s">
        <v>38</v>
      </c>
      <c r="D1219" t="str">
        <f>T_Stocks[[#This Row],[Ticker]] &amp; "-" &amp; DATE(YEAR(T_Stocks[[#This Row],[Fecha]]),MONTH(T_Stocks[[#This Row],[Fecha]]),DAY(T_Stocks[[#This Row],[Fecha]]))</f>
        <v>AAPL-45260</v>
      </c>
    </row>
    <row r="1220" spans="1:4" ht="14.65" thickBot="1" x14ac:dyDescent="0.5">
      <c r="A1220" s="17">
        <v>45261.666666666664</v>
      </c>
      <c r="B1220" s="19">
        <v>191.24</v>
      </c>
      <c r="C1220" t="s">
        <v>38</v>
      </c>
      <c r="D1220" t="str">
        <f>T_Stocks[[#This Row],[Ticker]] &amp; "-" &amp; DATE(YEAR(T_Stocks[[#This Row],[Fecha]]),MONTH(T_Stocks[[#This Row],[Fecha]]),DAY(T_Stocks[[#This Row],[Fecha]]))</f>
        <v>AAPL-45261</v>
      </c>
    </row>
    <row r="1221" spans="1:4" ht="14.65" thickBot="1" x14ac:dyDescent="0.5">
      <c r="A1221" s="17">
        <v>45264.666666666664</v>
      </c>
      <c r="B1221" s="19">
        <v>189.43</v>
      </c>
      <c r="C1221" t="s">
        <v>38</v>
      </c>
      <c r="D1221" t="str">
        <f>T_Stocks[[#This Row],[Ticker]] &amp; "-" &amp; DATE(YEAR(T_Stocks[[#This Row],[Fecha]]),MONTH(T_Stocks[[#This Row],[Fecha]]),DAY(T_Stocks[[#This Row],[Fecha]]))</f>
        <v>AAPL-45264</v>
      </c>
    </row>
    <row r="1222" spans="1:4" ht="14.65" thickBot="1" x14ac:dyDescent="0.5">
      <c r="A1222" s="17">
        <v>45265.666666666664</v>
      </c>
      <c r="B1222" s="19">
        <v>193.42</v>
      </c>
      <c r="C1222" t="s">
        <v>38</v>
      </c>
      <c r="D1222" t="str">
        <f>T_Stocks[[#This Row],[Ticker]] &amp; "-" &amp; DATE(YEAR(T_Stocks[[#This Row],[Fecha]]),MONTH(T_Stocks[[#This Row],[Fecha]]),DAY(T_Stocks[[#This Row],[Fecha]]))</f>
        <v>AAPL-45265</v>
      </c>
    </row>
    <row r="1223" spans="1:4" ht="14.65" thickBot="1" x14ac:dyDescent="0.5">
      <c r="A1223" s="17">
        <v>45266.666666666664</v>
      </c>
      <c r="B1223" s="19">
        <v>192.32</v>
      </c>
      <c r="C1223" t="s">
        <v>38</v>
      </c>
      <c r="D1223" t="str">
        <f>T_Stocks[[#This Row],[Ticker]] &amp; "-" &amp; DATE(YEAR(T_Stocks[[#This Row],[Fecha]]),MONTH(T_Stocks[[#This Row],[Fecha]]),DAY(T_Stocks[[#This Row],[Fecha]]))</f>
        <v>AAPL-45266</v>
      </c>
    </row>
    <row r="1224" spans="1:4" ht="14.65" thickBot="1" x14ac:dyDescent="0.5">
      <c r="A1224" s="17">
        <v>45267.666666666664</v>
      </c>
      <c r="B1224" s="19">
        <v>194.27</v>
      </c>
      <c r="C1224" t="s">
        <v>38</v>
      </c>
      <c r="D1224" t="str">
        <f>T_Stocks[[#This Row],[Ticker]] &amp; "-" &amp; DATE(YEAR(T_Stocks[[#This Row],[Fecha]]),MONTH(T_Stocks[[#This Row],[Fecha]]),DAY(T_Stocks[[#This Row],[Fecha]]))</f>
        <v>AAPL-45267</v>
      </c>
    </row>
    <row r="1225" spans="1:4" ht="14.65" thickBot="1" x14ac:dyDescent="0.5">
      <c r="A1225" s="17">
        <v>45268.666666666664</v>
      </c>
      <c r="B1225" s="19">
        <v>195.71</v>
      </c>
      <c r="C1225" t="s">
        <v>38</v>
      </c>
      <c r="D1225" t="str">
        <f>T_Stocks[[#This Row],[Ticker]] &amp; "-" &amp; DATE(YEAR(T_Stocks[[#This Row],[Fecha]]),MONTH(T_Stocks[[#This Row],[Fecha]]),DAY(T_Stocks[[#This Row],[Fecha]]))</f>
        <v>AAPL-45268</v>
      </c>
    </row>
    <row r="1226" spans="1:4" ht="14.65" thickBot="1" x14ac:dyDescent="0.5">
      <c r="A1226" s="17">
        <v>45271.666666666664</v>
      </c>
      <c r="B1226" s="19">
        <v>193.18</v>
      </c>
      <c r="C1226" t="s">
        <v>38</v>
      </c>
      <c r="D1226" t="str">
        <f>T_Stocks[[#This Row],[Ticker]] &amp; "-" &amp; DATE(YEAR(T_Stocks[[#This Row],[Fecha]]),MONTH(T_Stocks[[#This Row],[Fecha]]),DAY(T_Stocks[[#This Row],[Fecha]]))</f>
        <v>AAPL-45271</v>
      </c>
    </row>
    <row r="1227" spans="1:4" ht="14.65" thickBot="1" x14ac:dyDescent="0.5">
      <c r="A1227" s="17">
        <v>45272.666666666664</v>
      </c>
      <c r="B1227" s="19">
        <v>194.71</v>
      </c>
      <c r="C1227" t="s">
        <v>38</v>
      </c>
      <c r="D1227" t="str">
        <f>T_Stocks[[#This Row],[Ticker]] &amp; "-" &amp; DATE(YEAR(T_Stocks[[#This Row],[Fecha]]),MONTH(T_Stocks[[#This Row],[Fecha]]),DAY(T_Stocks[[#This Row],[Fecha]]))</f>
        <v>AAPL-45272</v>
      </c>
    </row>
    <row r="1228" spans="1:4" ht="14.65" thickBot="1" x14ac:dyDescent="0.5">
      <c r="A1228" s="17">
        <v>45273.666666666664</v>
      </c>
      <c r="B1228" s="19">
        <v>197.96</v>
      </c>
      <c r="C1228" t="s">
        <v>38</v>
      </c>
      <c r="D1228" t="str">
        <f>T_Stocks[[#This Row],[Ticker]] &amp; "-" &amp; DATE(YEAR(T_Stocks[[#This Row],[Fecha]]),MONTH(T_Stocks[[#This Row],[Fecha]]),DAY(T_Stocks[[#This Row],[Fecha]]))</f>
        <v>AAPL-45273</v>
      </c>
    </row>
    <row r="1229" spans="1:4" ht="14.65" thickBot="1" x14ac:dyDescent="0.5">
      <c r="A1229" s="17">
        <v>45274.666666666664</v>
      </c>
      <c r="B1229" s="19">
        <v>198.11</v>
      </c>
      <c r="C1229" t="s">
        <v>38</v>
      </c>
      <c r="D1229" t="str">
        <f>T_Stocks[[#This Row],[Ticker]] &amp; "-" &amp; DATE(YEAR(T_Stocks[[#This Row],[Fecha]]),MONTH(T_Stocks[[#This Row],[Fecha]]),DAY(T_Stocks[[#This Row],[Fecha]]))</f>
        <v>AAPL-45274</v>
      </c>
    </row>
    <row r="1230" spans="1:4" ht="14.65" thickBot="1" x14ac:dyDescent="0.5">
      <c r="A1230" s="17">
        <v>45275.666666666664</v>
      </c>
      <c r="B1230" s="19">
        <v>197.57</v>
      </c>
      <c r="C1230" t="s">
        <v>38</v>
      </c>
      <c r="D1230" t="str">
        <f>T_Stocks[[#This Row],[Ticker]] &amp; "-" &amp; DATE(YEAR(T_Stocks[[#This Row],[Fecha]]),MONTH(T_Stocks[[#This Row],[Fecha]]),DAY(T_Stocks[[#This Row],[Fecha]]))</f>
        <v>AAPL-45275</v>
      </c>
    </row>
    <row r="1231" spans="1:4" ht="14.65" thickBot="1" x14ac:dyDescent="0.5">
      <c r="A1231" s="17">
        <v>45278.666666666664</v>
      </c>
      <c r="B1231" s="19">
        <v>195.89</v>
      </c>
      <c r="C1231" t="s">
        <v>38</v>
      </c>
      <c r="D1231" t="str">
        <f>T_Stocks[[#This Row],[Ticker]] &amp; "-" &amp; DATE(YEAR(T_Stocks[[#This Row],[Fecha]]),MONTH(T_Stocks[[#This Row],[Fecha]]),DAY(T_Stocks[[#This Row],[Fecha]]))</f>
        <v>AAPL-45278</v>
      </c>
    </row>
    <row r="1232" spans="1:4" ht="14.65" thickBot="1" x14ac:dyDescent="0.5">
      <c r="A1232" s="17">
        <v>45279.666666666664</v>
      </c>
      <c r="B1232" s="19">
        <v>196.94</v>
      </c>
      <c r="C1232" t="s">
        <v>38</v>
      </c>
      <c r="D1232" t="str">
        <f>T_Stocks[[#This Row],[Ticker]] &amp; "-" &amp; DATE(YEAR(T_Stocks[[#This Row],[Fecha]]),MONTH(T_Stocks[[#This Row],[Fecha]]),DAY(T_Stocks[[#This Row],[Fecha]]))</f>
        <v>AAPL-45279</v>
      </c>
    </row>
    <row r="1233" spans="1:4" ht="14.65" thickBot="1" x14ac:dyDescent="0.5">
      <c r="A1233" s="17">
        <v>45280.666666666664</v>
      </c>
      <c r="B1233" s="19">
        <v>194.83</v>
      </c>
      <c r="C1233" t="s">
        <v>38</v>
      </c>
      <c r="D1233" t="str">
        <f>T_Stocks[[#This Row],[Ticker]] &amp; "-" &amp; DATE(YEAR(T_Stocks[[#This Row],[Fecha]]),MONTH(T_Stocks[[#This Row],[Fecha]]),DAY(T_Stocks[[#This Row],[Fecha]]))</f>
        <v>AAPL-45280</v>
      </c>
    </row>
    <row r="1234" spans="1:4" ht="14.65" thickBot="1" x14ac:dyDescent="0.5">
      <c r="A1234" s="17">
        <v>45281.666666666664</v>
      </c>
      <c r="B1234" s="19">
        <v>194.68</v>
      </c>
      <c r="C1234" t="s">
        <v>38</v>
      </c>
      <c r="D1234" t="str">
        <f>T_Stocks[[#This Row],[Ticker]] &amp; "-" &amp; DATE(YEAR(T_Stocks[[#This Row],[Fecha]]),MONTH(T_Stocks[[#This Row],[Fecha]]),DAY(T_Stocks[[#This Row],[Fecha]]))</f>
        <v>AAPL-45281</v>
      </c>
    </row>
    <row r="1235" spans="1:4" ht="14.65" thickBot="1" x14ac:dyDescent="0.5">
      <c r="A1235" s="17">
        <v>45282.666666666664</v>
      </c>
      <c r="B1235" s="19">
        <v>193.6</v>
      </c>
      <c r="C1235" t="s">
        <v>38</v>
      </c>
      <c r="D1235" t="str">
        <f>T_Stocks[[#This Row],[Ticker]] &amp; "-" &amp; DATE(YEAR(T_Stocks[[#This Row],[Fecha]]),MONTH(T_Stocks[[#This Row],[Fecha]]),DAY(T_Stocks[[#This Row],[Fecha]]))</f>
        <v>AAPL-45282</v>
      </c>
    </row>
    <row r="1236" spans="1:4" ht="14.65" thickBot="1" x14ac:dyDescent="0.5">
      <c r="A1236" s="17">
        <v>45286.666666666664</v>
      </c>
      <c r="B1236" s="19">
        <v>193.05</v>
      </c>
      <c r="C1236" t="s">
        <v>38</v>
      </c>
      <c r="D1236" t="str">
        <f>T_Stocks[[#This Row],[Ticker]] &amp; "-" &amp; DATE(YEAR(T_Stocks[[#This Row],[Fecha]]),MONTH(T_Stocks[[#This Row],[Fecha]]),DAY(T_Stocks[[#This Row],[Fecha]]))</f>
        <v>AAPL-45286</v>
      </c>
    </row>
    <row r="1237" spans="1:4" ht="14.65" thickBot="1" x14ac:dyDescent="0.5">
      <c r="A1237" s="17">
        <v>45287.666666666664</v>
      </c>
      <c r="B1237" s="19">
        <v>193.15</v>
      </c>
      <c r="C1237" t="s">
        <v>38</v>
      </c>
      <c r="D1237" t="str">
        <f>T_Stocks[[#This Row],[Ticker]] &amp; "-" &amp; DATE(YEAR(T_Stocks[[#This Row],[Fecha]]),MONTH(T_Stocks[[#This Row],[Fecha]]),DAY(T_Stocks[[#This Row],[Fecha]]))</f>
        <v>AAPL-45287</v>
      </c>
    </row>
    <row r="1238" spans="1:4" ht="14.65" thickBot="1" x14ac:dyDescent="0.5">
      <c r="A1238" s="17">
        <v>45288.666666666664</v>
      </c>
      <c r="B1238" s="19">
        <v>193.58</v>
      </c>
      <c r="C1238" t="s">
        <v>38</v>
      </c>
      <c r="D1238" t="str">
        <f>T_Stocks[[#This Row],[Ticker]] &amp; "-" &amp; DATE(YEAR(T_Stocks[[#This Row],[Fecha]]),MONTH(T_Stocks[[#This Row],[Fecha]]),DAY(T_Stocks[[#This Row],[Fecha]]))</f>
        <v>AAPL-45288</v>
      </c>
    </row>
    <row r="1239" spans="1:4" ht="14.65" thickBot="1" x14ac:dyDescent="0.5">
      <c r="A1239" s="17">
        <v>45289.666666666664</v>
      </c>
      <c r="B1239" s="19">
        <v>192.53</v>
      </c>
      <c r="C1239" t="s">
        <v>38</v>
      </c>
      <c r="D1239" t="str">
        <f>T_Stocks[[#This Row],[Ticker]] &amp; "-" &amp; DATE(YEAR(T_Stocks[[#This Row],[Fecha]]),MONTH(T_Stocks[[#This Row],[Fecha]]),DAY(T_Stocks[[#This Row],[Fecha]]))</f>
        <v>AAPL-45289</v>
      </c>
    </row>
    <row r="1240" spans="1:4" ht="14.65" thickBot="1" x14ac:dyDescent="0.5">
      <c r="A1240" s="17">
        <v>45293.666666666664</v>
      </c>
      <c r="B1240" s="19">
        <v>185.64</v>
      </c>
      <c r="C1240" t="s">
        <v>38</v>
      </c>
      <c r="D1240" t="str">
        <f>T_Stocks[[#This Row],[Ticker]] &amp; "-" &amp; DATE(YEAR(T_Stocks[[#This Row],[Fecha]]),MONTH(T_Stocks[[#This Row],[Fecha]]),DAY(T_Stocks[[#This Row],[Fecha]]))</f>
        <v>AAPL-45293</v>
      </c>
    </row>
    <row r="1241" spans="1:4" ht="14.65" thickBot="1" x14ac:dyDescent="0.5">
      <c r="A1241" s="17">
        <v>45294.666666666664</v>
      </c>
      <c r="B1241" s="19">
        <v>184.25</v>
      </c>
      <c r="C1241" t="s">
        <v>38</v>
      </c>
      <c r="D1241" t="str">
        <f>T_Stocks[[#This Row],[Ticker]] &amp; "-" &amp; DATE(YEAR(T_Stocks[[#This Row],[Fecha]]),MONTH(T_Stocks[[#This Row],[Fecha]]),DAY(T_Stocks[[#This Row],[Fecha]]))</f>
        <v>AAPL-45294</v>
      </c>
    </row>
    <row r="1242" spans="1:4" ht="14.65" thickBot="1" x14ac:dyDescent="0.5">
      <c r="A1242" s="17">
        <v>45295.666666666664</v>
      </c>
      <c r="B1242" s="19">
        <v>181.91</v>
      </c>
      <c r="C1242" t="s">
        <v>38</v>
      </c>
      <c r="D1242" t="str">
        <f>T_Stocks[[#This Row],[Ticker]] &amp; "-" &amp; DATE(YEAR(T_Stocks[[#This Row],[Fecha]]),MONTH(T_Stocks[[#This Row],[Fecha]]),DAY(T_Stocks[[#This Row],[Fecha]]))</f>
        <v>AAPL-45295</v>
      </c>
    </row>
    <row r="1243" spans="1:4" ht="14.65" thickBot="1" x14ac:dyDescent="0.5">
      <c r="A1243" s="17">
        <v>45296.666666666664</v>
      </c>
      <c r="B1243" s="19">
        <v>181.18</v>
      </c>
      <c r="C1243" t="s">
        <v>38</v>
      </c>
      <c r="D1243" t="str">
        <f>T_Stocks[[#This Row],[Ticker]] &amp; "-" &amp; DATE(YEAR(T_Stocks[[#This Row],[Fecha]]),MONTH(T_Stocks[[#This Row],[Fecha]]),DAY(T_Stocks[[#This Row],[Fecha]]))</f>
        <v>AAPL-45296</v>
      </c>
    </row>
    <row r="1244" spans="1:4" ht="14.65" thickBot="1" x14ac:dyDescent="0.5">
      <c r="A1244" s="17">
        <v>45299.666666666664</v>
      </c>
      <c r="B1244" s="19">
        <v>185.56</v>
      </c>
      <c r="C1244" t="s">
        <v>38</v>
      </c>
      <c r="D1244" t="str">
        <f>T_Stocks[[#This Row],[Ticker]] &amp; "-" &amp; DATE(YEAR(T_Stocks[[#This Row],[Fecha]]),MONTH(T_Stocks[[#This Row],[Fecha]]),DAY(T_Stocks[[#This Row],[Fecha]]))</f>
        <v>AAPL-45299</v>
      </c>
    </row>
    <row r="1245" spans="1:4" ht="14.65" thickBot="1" x14ac:dyDescent="0.5">
      <c r="A1245" s="17">
        <v>45300.666666666664</v>
      </c>
      <c r="B1245" s="19">
        <v>185.14</v>
      </c>
      <c r="C1245" t="s">
        <v>38</v>
      </c>
      <c r="D1245" t="str">
        <f>T_Stocks[[#This Row],[Ticker]] &amp; "-" &amp; DATE(YEAR(T_Stocks[[#This Row],[Fecha]]),MONTH(T_Stocks[[#This Row],[Fecha]]),DAY(T_Stocks[[#This Row],[Fecha]]))</f>
        <v>AAPL-45300</v>
      </c>
    </row>
    <row r="1246" spans="1:4" ht="14.65" thickBot="1" x14ac:dyDescent="0.5">
      <c r="A1246" s="17">
        <v>45301.666666666664</v>
      </c>
      <c r="B1246" s="19">
        <v>186.19</v>
      </c>
      <c r="C1246" t="s">
        <v>38</v>
      </c>
      <c r="D1246" t="str">
        <f>T_Stocks[[#This Row],[Ticker]] &amp; "-" &amp; DATE(YEAR(T_Stocks[[#This Row],[Fecha]]),MONTH(T_Stocks[[#This Row],[Fecha]]),DAY(T_Stocks[[#This Row],[Fecha]]))</f>
        <v>AAPL-45301</v>
      </c>
    </row>
    <row r="1247" spans="1:4" ht="14.65" thickBot="1" x14ac:dyDescent="0.5">
      <c r="A1247" s="17">
        <v>45302.666666666664</v>
      </c>
      <c r="B1247" s="19">
        <v>185.59</v>
      </c>
      <c r="C1247" t="s">
        <v>38</v>
      </c>
      <c r="D1247" t="str">
        <f>T_Stocks[[#This Row],[Ticker]] &amp; "-" &amp; DATE(YEAR(T_Stocks[[#This Row],[Fecha]]),MONTH(T_Stocks[[#This Row],[Fecha]]),DAY(T_Stocks[[#This Row],[Fecha]]))</f>
        <v>AAPL-45302</v>
      </c>
    </row>
    <row r="1248" spans="1:4" ht="14.65" thickBot="1" x14ac:dyDescent="0.5">
      <c r="A1248" s="17">
        <v>45303.666666666664</v>
      </c>
      <c r="B1248" s="19">
        <v>185.92</v>
      </c>
      <c r="C1248" t="s">
        <v>38</v>
      </c>
      <c r="D1248" t="str">
        <f>T_Stocks[[#This Row],[Ticker]] &amp; "-" &amp; DATE(YEAR(T_Stocks[[#This Row],[Fecha]]),MONTH(T_Stocks[[#This Row],[Fecha]]),DAY(T_Stocks[[#This Row],[Fecha]]))</f>
        <v>AAPL-45303</v>
      </c>
    </row>
    <row r="1249" spans="1:4" ht="14.65" thickBot="1" x14ac:dyDescent="0.5">
      <c r="A1249" s="17">
        <v>45307.666666666664</v>
      </c>
      <c r="B1249" s="19">
        <v>183.63</v>
      </c>
      <c r="C1249" t="s">
        <v>38</v>
      </c>
      <c r="D1249" t="str">
        <f>T_Stocks[[#This Row],[Ticker]] &amp; "-" &amp; DATE(YEAR(T_Stocks[[#This Row],[Fecha]]),MONTH(T_Stocks[[#This Row],[Fecha]]),DAY(T_Stocks[[#This Row],[Fecha]]))</f>
        <v>AAPL-45307</v>
      </c>
    </row>
    <row r="1250" spans="1:4" ht="14.65" thickBot="1" x14ac:dyDescent="0.5">
      <c r="A1250" s="17">
        <v>45308.666666666664</v>
      </c>
      <c r="B1250" s="19">
        <v>182.68</v>
      </c>
      <c r="C1250" t="s">
        <v>38</v>
      </c>
      <c r="D1250" t="str">
        <f>T_Stocks[[#This Row],[Ticker]] &amp; "-" &amp; DATE(YEAR(T_Stocks[[#This Row],[Fecha]]),MONTH(T_Stocks[[#This Row],[Fecha]]),DAY(T_Stocks[[#This Row],[Fecha]]))</f>
        <v>AAPL-45308</v>
      </c>
    </row>
    <row r="1251" spans="1:4" ht="14.65" thickBot="1" x14ac:dyDescent="0.5">
      <c r="A1251" s="17">
        <v>45309.666666666664</v>
      </c>
      <c r="B1251" s="19">
        <v>188.63</v>
      </c>
      <c r="C1251" t="s">
        <v>38</v>
      </c>
      <c r="D1251" t="str">
        <f>T_Stocks[[#This Row],[Ticker]] &amp; "-" &amp; DATE(YEAR(T_Stocks[[#This Row],[Fecha]]),MONTH(T_Stocks[[#This Row],[Fecha]]),DAY(T_Stocks[[#This Row],[Fecha]]))</f>
        <v>AAPL-45309</v>
      </c>
    </row>
    <row r="1252" spans="1:4" ht="14.65" thickBot="1" x14ac:dyDescent="0.5">
      <c r="A1252" s="17">
        <v>45310.666666666664</v>
      </c>
      <c r="B1252" s="19">
        <v>191.56</v>
      </c>
      <c r="C1252" t="s">
        <v>38</v>
      </c>
      <c r="D1252" t="str">
        <f>T_Stocks[[#This Row],[Ticker]] &amp; "-" &amp; DATE(YEAR(T_Stocks[[#This Row],[Fecha]]),MONTH(T_Stocks[[#This Row],[Fecha]]),DAY(T_Stocks[[#This Row],[Fecha]]))</f>
        <v>AAPL-45310</v>
      </c>
    </row>
    <row r="1253" spans="1:4" ht="14.65" thickBot="1" x14ac:dyDescent="0.5">
      <c r="A1253" s="17">
        <v>45313.666666666664</v>
      </c>
      <c r="B1253" s="19">
        <v>193.89</v>
      </c>
      <c r="C1253" t="s">
        <v>38</v>
      </c>
      <c r="D1253" t="str">
        <f>T_Stocks[[#This Row],[Ticker]] &amp; "-" &amp; DATE(YEAR(T_Stocks[[#This Row],[Fecha]]),MONTH(T_Stocks[[#This Row],[Fecha]]),DAY(T_Stocks[[#This Row],[Fecha]]))</f>
        <v>AAPL-45313</v>
      </c>
    </row>
    <row r="1254" spans="1:4" ht="14.65" thickBot="1" x14ac:dyDescent="0.5">
      <c r="A1254" s="17">
        <v>45314.666666666664</v>
      </c>
      <c r="B1254" s="19">
        <v>195.18</v>
      </c>
      <c r="C1254" t="s">
        <v>38</v>
      </c>
      <c r="D1254" t="str">
        <f>T_Stocks[[#This Row],[Ticker]] &amp; "-" &amp; DATE(YEAR(T_Stocks[[#This Row],[Fecha]]),MONTH(T_Stocks[[#This Row],[Fecha]]),DAY(T_Stocks[[#This Row],[Fecha]]))</f>
        <v>AAPL-45314</v>
      </c>
    </row>
    <row r="1255" spans="1:4" ht="14.65" thickBot="1" x14ac:dyDescent="0.5">
      <c r="A1255" s="17">
        <v>45315.666666666664</v>
      </c>
      <c r="B1255" s="19">
        <v>194.5</v>
      </c>
      <c r="C1255" t="s">
        <v>38</v>
      </c>
      <c r="D1255" t="str">
        <f>T_Stocks[[#This Row],[Ticker]] &amp; "-" &amp; DATE(YEAR(T_Stocks[[#This Row],[Fecha]]),MONTH(T_Stocks[[#This Row],[Fecha]]),DAY(T_Stocks[[#This Row],[Fecha]]))</f>
        <v>AAPL-45315</v>
      </c>
    </row>
    <row r="1256" spans="1:4" ht="14.65" thickBot="1" x14ac:dyDescent="0.5">
      <c r="A1256" s="17">
        <v>45316.666666666664</v>
      </c>
      <c r="B1256" s="19">
        <v>194.17</v>
      </c>
      <c r="C1256" t="s">
        <v>38</v>
      </c>
      <c r="D1256" t="str">
        <f>T_Stocks[[#This Row],[Ticker]] &amp; "-" &amp; DATE(YEAR(T_Stocks[[#This Row],[Fecha]]),MONTH(T_Stocks[[#This Row],[Fecha]]),DAY(T_Stocks[[#This Row],[Fecha]]))</f>
        <v>AAPL-45316</v>
      </c>
    </row>
    <row r="1257" spans="1:4" ht="14.65" thickBot="1" x14ac:dyDescent="0.5">
      <c r="A1257" s="17">
        <v>45317.666666666664</v>
      </c>
      <c r="B1257" s="19">
        <v>192.42</v>
      </c>
      <c r="C1257" t="s">
        <v>38</v>
      </c>
      <c r="D1257" t="str">
        <f>T_Stocks[[#This Row],[Ticker]] &amp; "-" &amp; DATE(YEAR(T_Stocks[[#This Row],[Fecha]]),MONTH(T_Stocks[[#This Row],[Fecha]]),DAY(T_Stocks[[#This Row],[Fecha]]))</f>
        <v>AAPL-45317</v>
      </c>
    </row>
    <row r="1258" spans="1:4" ht="14.65" thickBot="1" x14ac:dyDescent="0.5">
      <c r="A1258" s="17">
        <v>45320.666666666664</v>
      </c>
      <c r="B1258" s="19">
        <v>191.73</v>
      </c>
      <c r="C1258" t="s">
        <v>38</v>
      </c>
      <c r="D1258" t="str">
        <f>T_Stocks[[#This Row],[Ticker]] &amp; "-" &amp; DATE(YEAR(T_Stocks[[#This Row],[Fecha]]),MONTH(T_Stocks[[#This Row],[Fecha]]),DAY(T_Stocks[[#This Row],[Fecha]]))</f>
        <v>AAPL-45320</v>
      </c>
    </row>
    <row r="1259" spans="1:4" ht="14.65" thickBot="1" x14ac:dyDescent="0.5">
      <c r="A1259" s="17">
        <v>45321.666666666664</v>
      </c>
      <c r="B1259" s="19">
        <v>188.04</v>
      </c>
      <c r="C1259" t="s">
        <v>38</v>
      </c>
      <c r="D1259" t="str">
        <f>T_Stocks[[#This Row],[Ticker]] &amp; "-" &amp; DATE(YEAR(T_Stocks[[#This Row],[Fecha]]),MONTH(T_Stocks[[#This Row],[Fecha]]),DAY(T_Stocks[[#This Row],[Fecha]]))</f>
        <v>AAPL-45321</v>
      </c>
    </row>
    <row r="1260" spans="1:4" ht="14.65" thickBot="1" x14ac:dyDescent="0.5">
      <c r="A1260" s="17">
        <v>45322.666666666664</v>
      </c>
      <c r="B1260" s="19">
        <v>184.4</v>
      </c>
      <c r="C1260" t="s">
        <v>38</v>
      </c>
      <c r="D1260" t="str">
        <f>T_Stocks[[#This Row],[Ticker]] &amp; "-" &amp; DATE(YEAR(T_Stocks[[#This Row],[Fecha]]),MONTH(T_Stocks[[#This Row],[Fecha]]),DAY(T_Stocks[[#This Row],[Fecha]]))</f>
        <v>AAPL-45322</v>
      </c>
    </row>
    <row r="1261" spans="1:4" ht="14.65" thickBot="1" x14ac:dyDescent="0.5">
      <c r="A1261" s="17">
        <v>45323.666666666664</v>
      </c>
      <c r="B1261" s="19">
        <v>186.86</v>
      </c>
      <c r="C1261" t="s">
        <v>38</v>
      </c>
      <c r="D1261" t="str">
        <f>T_Stocks[[#This Row],[Ticker]] &amp; "-" &amp; DATE(YEAR(T_Stocks[[#This Row],[Fecha]]),MONTH(T_Stocks[[#This Row],[Fecha]]),DAY(T_Stocks[[#This Row],[Fecha]]))</f>
        <v>AAPL-45323</v>
      </c>
    </row>
    <row r="1262" spans="1:4" ht="14.65" thickBot="1" x14ac:dyDescent="0.5">
      <c r="A1262" s="17">
        <v>45324.666666666664</v>
      </c>
      <c r="B1262" s="19">
        <v>185.85</v>
      </c>
      <c r="C1262" t="s">
        <v>38</v>
      </c>
      <c r="D1262" t="str">
        <f>T_Stocks[[#This Row],[Ticker]] &amp; "-" &amp; DATE(YEAR(T_Stocks[[#This Row],[Fecha]]),MONTH(T_Stocks[[#This Row],[Fecha]]),DAY(T_Stocks[[#This Row],[Fecha]]))</f>
        <v>AAPL-45324</v>
      </c>
    </row>
    <row r="1263" spans="1:4" ht="14.65" thickBot="1" x14ac:dyDescent="0.5">
      <c r="A1263" s="17">
        <v>45327.666666666664</v>
      </c>
      <c r="B1263" s="19">
        <v>187.68</v>
      </c>
      <c r="C1263" t="s">
        <v>38</v>
      </c>
      <c r="D1263" t="str">
        <f>T_Stocks[[#This Row],[Ticker]] &amp; "-" &amp; DATE(YEAR(T_Stocks[[#This Row],[Fecha]]),MONTH(T_Stocks[[#This Row],[Fecha]]),DAY(T_Stocks[[#This Row],[Fecha]]))</f>
        <v>AAPL-45327</v>
      </c>
    </row>
    <row r="1264" spans="1:4" ht="14.65" thickBot="1" x14ac:dyDescent="0.5">
      <c r="A1264" s="17">
        <v>45328.666666666664</v>
      </c>
      <c r="B1264" s="19">
        <v>189.3</v>
      </c>
      <c r="C1264" t="s">
        <v>38</v>
      </c>
      <c r="D1264" t="str">
        <f>T_Stocks[[#This Row],[Ticker]] &amp; "-" &amp; DATE(YEAR(T_Stocks[[#This Row],[Fecha]]),MONTH(T_Stocks[[#This Row],[Fecha]]),DAY(T_Stocks[[#This Row],[Fecha]]))</f>
        <v>AAPL-45328</v>
      </c>
    </row>
    <row r="1265" spans="1:4" ht="14.65" thickBot="1" x14ac:dyDescent="0.5">
      <c r="A1265" s="17">
        <v>45329.666666666664</v>
      </c>
      <c r="B1265" s="19">
        <v>189.41</v>
      </c>
      <c r="C1265" t="s">
        <v>38</v>
      </c>
      <c r="D1265" t="str">
        <f>T_Stocks[[#This Row],[Ticker]] &amp; "-" &amp; DATE(YEAR(T_Stocks[[#This Row],[Fecha]]),MONTH(T_Stocks[[#This Row],[Fecha]]),DAY(T_Stocks[[#This Row],[Fecha]]))</f>
        <v>AAPL-45329</v>
      </c>
    </row>
    <row r="1266" spans="1:4" ht="14.65" thickBot="1" x14ac:dyDescent="0.5">
      <c r="A1266" s="17">
        <v>45330.666666666664</v>
      </c>
      <c r="B1266" s="19">
        <v>188.32</v>
      </c>
      <c r="C1266" t="s">
        <v>38</v>
      </c>
      <c r="D1266" t="str">
        <f>T_Stocks[[#This Row],[Ticker]] &amp; "-" &amp; DATE(YEAR(T_Stocks[[#This Row],[Fecha]]),MONTH(T_Stocks[[#This Row],[Fecha]]),DAY(T_Stocks[[#This Row],[Fecha]]))</f>
        <v>AAPL-45330</v>
      </c>
    </row>
    <row r="1267" spans="1:4" ht="14.65" thickBot="1" x14ac:dyDescent="0.5">
      <c r="A1267" s="17">
        <v>45331.666666666664</v>
      </c>
      <c r="B1267" s="19">
        <v>188.85</v>
      </c>
      <c r="C1267" t="s">
        <v>38</v>
      </c>
      <c r="D1267" t="str">
        <f>T_Stocks[[#This Row],[Ticker]] &amp; "-" &amp; DATE(YEAR(T_Stocks[[#This Row],[Fecha]]),MONTH(T_Stocks[[#This Row],[Fecha]]),DAY(T_Stocks[[#This Row],[Fecha]]))</f>
        <v>AAPL-45331</v>
      </c>
    </row>
    <row r="1268" spans="1:4" ht="14.65" thickBot="1" x14ac:dyDescent="0.5">
      <c r="A1268" s="17">
        <v>45334.666666666664</v>
      </c>
      <c r="B1268" s="19">
        <v>187.15</v>
      </c>
      <c r="C1268" t="s">
        <v>38</v>
      </c>
      <c r="D1268" t="str">
        <f>T_Stocks[[#This Row],[Ticker]] &amp; "-" &amp; DATE(YEAR(T_Stocks[[#This Row],[Fecha]]),MONTH(T_Stocks[[#This Row],[Fecha]]),DAY(T_Stocks[[#This Row],[Fecha]]))</f>
        <v>AAPL-45334</v>
      </c>
    </row>
    <row r="1269" spans="1:4" ht="14.65" thickBot="1" x14ac:dyDescent="0.5">
      <c r="A1269" s="17">
        <v>45335.666666666664</v>
      </c>
      <c r="B1269" s="19">
        <v>185.04</v>
      </c>
      <c r="C1269" t="s">
        <v>38</v>
      </c>
      <c r="D1269" t="str">
        <f>T_Stocks[[#This Row],[Ticker]] &amp; "-" &amp; DATE(YEAR(T_Stocks[[#This Row],[Fecha]]),MONTH(T_Stocks[[#This Row],[Fecha]]),DAY(T_Stocks[[#This Row],[Fecha]]))</f>
        <v>AAPL-45335</v>
      </c>
    </row>
    <row r="1270" spans="1:4" ht="14.65" thickBot="1" x14ac:dyDescent="0.5">
      <c r="A1270" s="17">
        <v>45336.666666666664</v>
      </c>
      <c r="B1270" s="19">
        <v>184.15</v>
      </c>
      <c r="C1270" t="s">
        <v>38</v>
      </c>
      <c r="D1270" t="str">
        <f>T_Stocks[[#This Row],[Ticker]] &amp; "-" &amp; DATE(YEAR(T_Stocks[[#This Row],[Fecha]]),MONTH(T_Stocks[[#This Row],[Fecha]]),DAY(T_Stocks[[#This Row],[Fecha]]))</f>
        <v>AAPL-45336</v>
      </c>
    </row>
    <row r="1271" spans="1:4" ht="14.65" thickBot="1" x14ac:dyDescent="0.5">
      <c r="A1271" s="17">
        <v>45337.666666666664</v>
      </c>
      <c r="B1271" s="19">
        <v>183.86</v>
      </c>
      <c r="C1271" t="s">
        <v>38</v>
      </c>
      <c r="D1271" t="str">
        <f>T_Stocks[[#This Row],[Ticker]] &amp; "-" &amp; DATE(YEAR(T_Stocks[[#This Row],[Fecha]]),MONTH(T_Stocks[[#This Row],[Fecha]]),DAY(T_Stocks[[#This Row],[Fecha]]))</f>
        <v>AAPL-45337</v>
      </c>
    </row>
    <row r="1272" spans="1:4" ht="14.65" thickBot="1" x14ac:dyDescent="0.5">
      <c r="A1272" s="17">
        <v>45338.666666666664</v>
      </c>
      <c r="B1272" s="19">
        <v>182.31</v>
      </c>
      <c r="C1272" t="s">
        <v>38</v>
      </c>
      <c r="D1272" t="str">
        <f>T_Stocks[[#This Row],[Ticker]] &amp; "-" &amp; DATE(YEAR(T_Stocks[[#This Row],[Fecha]]),MONTH(T_Stocks[[#This Row],[Fecha]]),DAY(T_Stocks[[#This Row],[Fecha]]))</f>
        <v>AAPL-45338</v>
      </c>
    </row>
    <row r="1273" spans="1:4" ht="14.65" thickBot="1" x14ac:dyDescent="0.5">
      <c r="A1273" s="17">
        <v>45342.666666666664</v>
      </c>
      <c r="B1273" s="19">
        <v>181.56</v>
      </c>
      <c r="C1273" t="s">
        <v>38</v>
      </c>
      <c r="D1273" t="str">
        <f>T_Stocks[[#This Row],[Ticker]] &amp; "-" &amp; DATE(YEAR(T_Stocks[[#This Row],[Fecha]]),MONTH(T_Stocks[[#This Row],[Fecha]]),DAY(T_Stocks[[#This Row],[Fecha]]))</f>
        <v>AAPL-45342</v>
      </c>
    </row>
    <row r="1274" spans="1:4" ht="14.65" thickBot="1" x14ac:dyDescent="0.5">
      <c r="A1274" s="17">
        <v>45343.666666666664</v>
      </c>
      <c r="B1274" s="19">
        <v>182.32</v>
      </c>
      <c r="C1274" t="s">
        <v>38</v>
      </c>
      <c r="D1274" t="str">
        <f>T_Stocks[[#This Row],[Ticker]] &amp; "-" &amp; DATE(YEAR(T_Stocks[[#This Row],[Fecha]]),MONTH(T_Stocks[[#This Row],[Fecha]]),DAY(T_Stocks[[#This Row],[Fecha]]))</f>
        <v>AAPL-45343</v>
      </c>
    </row>
    <row r="1275" spans="1:4" ht="14.65" thickBot="1" x14ac:dyDescent="0.5">
      <c r="A1275" s="17">
        <v>45344.666666666664</v>
      </c>
      <c r="B1275" s="19">
        <v>184.37</v>
      </c>
      <c r="C1275" t="s">
        <v>38</v>
      </c>
      <c r="D1275" t="str">
        <f>T_Stocks[[#This Row],[Ticker]] &amp; "-" &amp; DATE(YEAR(T_Stocks[[#This Row],[Fecha]]),MONTH(T_Stocks[[#This Row],[Fecha]]),DAY(T_Stocks[[#This Row],[Fecha]]))</f>
        <v>AAPL-45344</v>
      </c>
    </row>
    <row r="1276" spans="1:4" ht="14.65" thickBot="1" x14ac:dyDescent="0.5">
      <c r="A1276" s="17">
        <v>45345.666666666664</v>
      </c>
      <c r="B1276" s="19">
        <v>182.52</v>
      </c>
      <c r="C1276" t="s">
        <v>38</v>
      </c>
      <c r="D1276" t="str">
        <f>T_Stocks[[#This Row],[Ticker]] &amp; "-" &amp; DATE(YEAR(T_Stocks[[#This Row],[Fecha]]),MONTH(T_Stocks[[#This Row],[Fecha]]),DAY(T_Stocks[[#This Row],[Fecha]]))</f>
        <v>AAPL-45345</v>
      </c>
    </row>
    <row r="1277" spans="1:4" ht="14.65" thickBot="1" x14ac:dyDescent="0.5">
      <c r="A1277" s="17">
        <v>45348.666666666664</v>
      </c>
      <c r="B1277" s="19">
        <v>181.16</v>
      </c>
      <c r="C1277" t="s">
        <v>38</v>
      </c>
      <c r="D1277" t="str">
        <f>T_Stocks[[#This Row],[Ticker]] &amp; "-" &amp; DATE(YEAR(T_Stocks[[#This Row],[Fecha]]),MONTH(T_Stocks[[#This Row],[Fecha]]),DAY(T_Stocks[[#This Row],[Fecha]]))</f>
        <v>AAPL-45348</v>
      </c>
    </row>
    <row r="1278" spans="1:4" ht="14.65" thickBot="1" x14ac:dyDescent="0.5">
      <c r="A1278" s="17">
        <v>45349.666666666664</v>
      </c>
      <c r="B1278" s="19">
        <v>182.63</v>
      </c>
      <c r="C1278" t="s">
        <v>38</v>
      </c>
      <c r="D1278" t="str">
        <f>T_Stocks[[#This Row],[Ticker]] &amp; "-" &amp; DATE(YEAR(T_Stocks[[#This Row],[Fecha]]),MONTH(T_Stocks[[#This Row],[Fecha]]),DAY(T_Stocks[[#This Row],[Fecha]]))</f>
        <v>AAPL-45349</v>
      </c>
    </row>
    <row r="1279" spans="1:4" ht="14.65" thickBot="1" x14ac:dyDescent="0.5">
      <c r="A1279" s="17">
        <v>45350.666666666664</v>
      </c>
      <c r="B1279" s="19">
        <v>181.42</v>
      </c>
      <c r="C1279" t="s">
        <v>38</v>
      </c>
      <c r="D1279" t="str">
        <f>T_Stocks[[#This Row],[Ticker]] &amp; "-" &amp; DATE(YEAR(T_Stocks[[#This Row],[Fecha]]),MONTH(T_Stocks[[#This Row],[Fecha]]),DAY(T_Stocks[[#This Row],[Fecha]]))</f>
        <v>AAPL-45350</v>
      </c>
    </row>
    <row r="1280" spans="1:4" ht="14.65" thickBot="1" x14ac:dyDescent="0.5">
      <c r="A1280" s="17">
        <v>45351.666666666664</v>
      </c>
      <c r="B1280" s="19">
        <v>180.75</v>
      </c>
      <c r="C1280" t="s">
        <v>38</v>
      </c>
      <c r="D1280" t="str">
        <f>T_Stocks[[#This Row],[Ticker]] &amp; "-" &amp; DATE(YEAR(T_Stocks[[#This Row],[Fecha]]),MONTH(T_Stocks[[#This Row],[Fecha]]),DAY(T_Stocks[[#This Row],[Fecha]]))</f>
        <v>AAPL-45351</v>
      </c>
    </row>
    <row r="1281" spans="1:4" ht="14.65" thickBot="1" x14ac:dyDescent="0.5">
      <c r="A1281" s="17">
        <v>45352.666666666664</v>
      </c>
      <c r="B1281" s="19">
        <v>179.66</v>
      </c>
      <c r="C1281" t="s">
        <v>38</v>
      </c>
      <c r="D1281" t="str">
        <f>T_Stocks[[#This Row],[Ticker]] &amp; "-" &amp; DATE(YEAR(T_Stocks[[#This Row],[Fecha]]),MONTH(T_Stocks[[#This Row],[Fecha]]),DAY(T_Stocks[[#This Row],[Fecha]]))</f>
        <v>AAPL-45352</v>
      </c>
    </row>
    <row r="1282" spans="1:4" ht="14.65" thickBot="1" x14ac:dyDescent="0.5">
      <c r="A1282" s="17">
        <v>45355.666666666664</v>
      </c>
      <c r="B1282" s="19">
        <v>175.1</v>
      </c>
      <c r="C1282" t="s">
        <v>38</v>
      </c>
      <c r="D1282" t="str">
        <f>T_Stocks[[#This Row],[Ticker]] &amp; "-" &amp; DATE(YEAR(T_Stocks[[#This Row],[Fecha]]),MONTH(T_Stocks[[#This Row],[Fecha]]),DAY(T_Stocks[[#This Row],[Fecha]]))</f>
        <v>AAPL-45355</v>
      </c>
    </row>
    <row r="1283" spans="1:4" ht="14.65" thickBot="1" x14ac:dyDescent="0.5">
      <c r="A1283" s="17">
        <v>45356.666666666664</v>
      </c>
      <c r="B1283" s="19">
        <v>170.12</v>
      </c>
      <c r="C1283" t="s">
        <v>38</v>
      </c>
      <c r="D1283" t="str">
        <f>T_Stocks[[#This Row],[Ticker]] &amp; "-" &amp; DATE(YEAR(T_Stocks[[#This Row],[Fecha]]),MONTH(T_Stocks[[#This Row],[Fecha]]),DAY(T_Stocks[[#This Row],[Fecha]]))</f>
        <v>AAPL-45356</v>
      </c>
    </row>
    <row r="1284" spans="1:4" ht="14.65" thickBot="1" x14ac:dyDescent="0.5">
      <c r="A1284" s="17">
        <v>45357.666666666664</v>
      </c>
      <c r="B1284" s="19">
        <v>169.12</v>
      </c>
      <c r="C1284" t="s">
        <v>38</v>
      </c>
      <c r="D1284" t="str">
        <f>T_Stocks[[#This Row],[Ticker]] &amp; "-" &amp; DATE(YEAR(T_Stocks[[#This Row],[Fecha]]),MONTH(T_Stocks[[#This Row],[Fecha]]),DAY(T_Stocks[[#This Row],[Fecha]]))</f>
        <v>AAPL-45357</v>
      </c>
    </row>
    <row r="1285" spans="1:4" ht="14.65" thickBot="1" x14ac:dyDescent="0.5">
      <c r="A1285" s="17">
        <v>45358.666666666664</v>
      </c>
      <c r="B1285" s="19">
        <v>169</v>
      </c>
      <c r="C1285" t="s">
        <v>38</v>
      </c>
      <c r="D1285" t="str">
        <f>T_Stocks[[#This Row],[Ticker]] &amp; "-" &amp; DATE(YEAR(T_Stocks[[#This Row],[Fecha]]),MONTH(T_Stocks[[#This Row],[Fecha]]),DAY(T_Stocks[[#This Row],[Fecha]]))</f>
        <v>AAPL-45358</v>
      </c>
    </row>
    <row r="1286" spans="1:4" ht="14.65" thickBot="1" x14ac:dyDescent="0.5">
      <c r="A1286" s="17">
        <v>45359.666666666664</v>
      </c>
      <c r="B1286" s="19">
        <v>170.73</v>
      </c>
      <c r="C1286" t="s">
        <v>38</v>
      </c>
      <c r="D1286" t="str">
        <f>T_Stocks[[#This Row],[Ticker]] &amp; "-" &amp; DATE(YEAR(T_Stocks[[#This Row],[Fecha]]),MONTH(T_Stocks[[#This Row],[Fecha]]),DAY(T_Stocks[[#This Row],[Fecha]]))</f>
        <v>AAPL-45359</v>
      </c>
    </row>
    <row r="1287" spans="1:4" ht="14.65" thickBot="1" x14ac:dyDescent="0.5">
      <c r="A1287" s="17">
        <v>45362.666666666664</v>
      </c>
      <c r="B1287" s="19">
        <v>172.75</v>
      </c>
      <c r="C1287" t="s">
        <v>38</v>
      </c>
      <c r="D1287" t="str">
        <f>T_Stocks[[#This Row],[Ticker]] &amp; "-" &amp; DATE(YEAR(T_Stocks[[#This Row],[Fecha]]),MONTH(T_Stocks[[#This Row],[Fecha]]),DAY(T_Stocks[[#This Row],[Fecha]]))</f>
        <v>AAPL-45362</v>
      </c>
    </row>
    <row r="1288" spans="1:4" ht="14.65" thickBot="1" x14ac:dyDescent="0.5">
      <c r="A1288" s="17">
        <v>45363.666666666664</v>
      </c>
      <c r="B1288" s="19">
        <v>173.23</v>
      </c>
      <c r="C1288" t="s">
        <v>38</v>
      </c>
      <c r="D1288" t="str">
        <f>T_Stocks[[#This Row],[Ticker]] &amp; "-" &amp; DATE(YEAR(T_Stocks[[#This Row],[Fecha]]),MONTH(T_Stocks[[#This Row],[Fecha]]),DAY(T_Stocks[[#This Row],[Fecha]]))</f>
        <v>AAPL-45363</v>
      </c>
    </row>
    <row r="1289" spans="1:4" ht="14.65" thickBot="1" x14ac:dyDescent="0.5">
      <c r="A1289" s="17">
        <v>45364.666666666664</v>
      </c>
      <c r="B1289" s="19">
        <v>171.13</v>
      </c>
      <c r="C1289" t="s">
        <v>38</v>
      </c>
      <c r="D1289" t="str">
        <f>T_Stocks[[#This Row],[Ticker]] &amp; "-" &amp; DATE(YEAR(T_Stocks[[#This Row],[Fecha]]),MONTH(T_Stocks[[#This Row],[Fecha]]),DAY(T_Stocks[[#This Row],[Fecha]]))</f>
        <v>AAPL-45364</v>
      </c>
    </row>
    <row r="1290" spans="1:4" ht="14.65" thickBot="1" x14ac:dyDescent="0.5">
      <c r="A1290" s="17">
        <v>45365.666666666664</v>
      </c>
      <c r="B1290" s="19">
        <v>173</v>
      </c>
      <c r="C1290" t="s">
        <v>38</v>
      </c>
      <c r="D1290" t="str">
        <f>T_Stocks[[#This Row],[Ticker]] &amp; "-" &amp; DATE(YEAR(T_Stocks[[#This Row],[Fecha]]),MONTH(T_Stocks[[#This Row],[Fecha]]),DAY(T_Stocks[[#This Row],[Fecha]]))</f>
        <v>AAPL-45365</v>
      </c>
    </row>
    <row r="1291" spans="1:4" ht="14.65" thickBot="1" x14ac:dyDescent="0.5">
      <c r="A1291" s="17">
        <v>45366.666666666664</v>
      </c>
      <c r="B1291" s="19">
        <v>172.62</v>
      </c>
      <c r="C1291" t="s">
        <v>38</v>
      </c>
      <c r="D1291" t="str">
        <f>T_Stocks[[#This Row],[Ticker]] &amp; "-" &amp; DATE(YEAR(T_Stocks[[#This Row],[Fecha]]),MONTH(T_Stocks[[#This Row],[Fecha]]),DAY(T_Stocks[[#This Row],[Fecha]]))</f>
        <v>AAPL-45366</v>
      </c>
    </row>
    <row r="1292" spans="1:4" ht="14.65" thickBot="1" x14ac:dyDescent="0.5">
      <c r="A1292" s="17">
        <v>45369.666666666664</v>
      </c>
      <c r="B1292" s="19">
        <v>173.72</v>
      </c>
      <c r="C1292" t="s">
        <v>38</v>
      </c>
      <c r="D1292" t="str">
        <f>T_Stocks[[#This Row],[Ticker]] &amp; "-" &amp; DATE(YEAR(T_Stocks[[#This Row],[Fecha]]),MONTH(T_Stocks[[#This Row],[Fecha]]),DAY(T_Stocks[[#This Row],[Fecha]]))</f>
        <v>AAPL-45369</v>
      </c>
    </row>
    <row r="1293" spans="1:4" ht="14.65" thickBot="1" x14ac:dyDescent="0.5">
      <c r="A1293" s="17">
        <v>45370.666666666664</v>
      </c>
      <c r="B1293" s="19">
        <v>176.08</v>
      </c>
      <c r="C1293" t="s">
        <v>38</v>
      </c>
      <c r="D1293" t="str">
        <f>T_Stocks[[#This Row],[Ticker]] &amp; "-" &amp; DATE(YEAR(T_Stocks[[#This Row],[Fecha]]),MONTH(T_Stocks[[#This Row],[Fecha]]),DAY(T_Stocks[[#This Row],[Fecha]]))</f>
        <v>AAPL-45370</v>
      </c>
    </row>
    <row r="1294" spans="1:4" ht="14.65" thickBot="1" x14ac:dyDescent="0.5">
      <c r="A1294" s="17">
        <v>45371.666666666664</v>
      </c>
      <c r="B1294" s="19">
        <v>178.67</v>
      </c>
      <c r="C1294" t="s">
        <v>38</v>
      </c>
      <c r="D1294" t="str">
        <f>T_Stocks[[#This Row],[Ticker]] &amp; "-" &amp; DATE(YEAR(T_Stocks[[#This Row],[Fecha]]),MONTH(T_Stocks[[#This Row],[Fecha]]),DAY(T_Stocks[[#This Row],[Fecha]]))</f>
        <v>AAPL-45371</v>
      </c>
    </row>
    <row r="1295" spans="1:4" ht="14.65" thickBot="1" x14ac:dyDescent="0.5">
      <c r="A1295" s="17">
        <v>45372.666666666664</v>
      </c>
      <c r="B1295" s="19">
        <v>171.37</v>
      </c>
      <c r="C1295" t="s">
        <v>38</v>
      </c>
      <c r="D1295" t="str">
        <f>T_Stocks[[#This Row],[Ticker]] &amp; "-" &amp; DATE(YEAR(T_Stocks[[#This Row],[Fecha]]),MONTH(T_Stocks[[#This Row],[Fecha]]),DAY(T_Stocks[[#This Row],[Fecha]]))</f>
        <v>AAPL-45372</v>
      </c>
    </row>
    <row r="1296" spans="1:4" ht="14.65" thickBot="1" x14ac:dyDescent="0.5">
      <c r="A1296" s="17">
        <v>45373.666666666664</v>
      </c>
      <c r="B1296" s="19">
        <v>172.28</v>
      </c>
      <c r="C1296" t="s">
        <v>38</v>
      </c>
      <c r="D1296" t="str">
        <f>T_Stocks[[#This Row],[Ticker]] &amp; "-" &amp; DATE(YEAR(T_Stocks[[#This Row],[Fecha]]),MONTH(T_Stocks[[#This Row],[Fecha]]),DAY(T_Stocks[[#This Row],[Fecha]]))</f>
        <v>AAPL-45373</v>
      </c>
    </row>
    <row r="1297" spans="1:4" ht="14.65" thickBot="1" x14ac:dyDescent="0.5">
      <c r="A1297" s="17">
        <v>45376.666666666664</v>
      </c>
      <c r="B1297" s="19">
        <v>170.85</v>
      </c>
      <c r="C1297" t="s">
        <v>38</v>
      </c>
      <c r="D1297" t="str">
        <f>T_Stocks[[#This Row],[Ticker]] &amp; "-" &amp; DATE(YEAR(T_Stocks[[#This Row],[Fecha]]),MONTH(T_Stocks[[#This Row],[Fecha]]),DAY(T_Stocks[[#This Row],[Fecha]]))</f>
        <v>AAPL-45376</v>
      </c>
    </row>
    <row r="1298" spans="1:4" ht="14.65" thickBot="1" x14ac:dyDescent="0.5">
      <c r="A1298" s="17">
        <v>45377.666666666664</v>
      </c>
      <c r="B1298" s="19">
        <v>169.71</v>
      </c>
      <c r="C1298" t="s">
        <v>38</v>
      </c>
      <c r="D1298" t="str">
        <f>T_Stocks[[#This Row],[Ticker]] &amp; "-" &amp; DATE(YEAR(T_Stocks[[#This Row],[Fecha]]),MONTH(T_Stocks[[#This Row],[Fecha]]),DAY(T_Stocks[[#This Row],[Fecha]]))</f>
        <v>AAPL-45377</v>
      </c>
    </row>
    <row r="1299" spans="1:4" ht="14.65" thickBot="1" x14ac:dyDescent="0.5">
      <c r="A1299" s="17">
        <v>45378.666666666664</v>
      </c>
      <c r="B1299" s="19">
        <v>173.31</v>
      </c>
      <c r="C1299" t="s">
        <v>38</v>
      </c>
      <c r="D1299" t="str">
        <f>T_Stocks[[#This Row],[Ticker]] &amp; "-" &amp; DATE(YEAR(T_Stocks[[#This Row],[Fecha]]),MONTH(T_Stocks[[#This Row],[Fecha]]),DAY(T_Stocks[[#This Row],[Fecha]]))</f>
        <v>AAPL-45378</v>
      </c>
    </row>
    <row r="1300" spans="1:4" ht="14.65" thickBot="1" x14ac:dyDescent="0.5">
      <c r="A1300" s="17">
        <v>45379.666666666664</v>
      </c>
      <c r="B1300" s="19">
        <v>171.48</v>
      </c>
      <c r="C1300" t="s">
        <v>38</v>
      </c>
      <c r="D1300" t="str">
        <f>T_Stocks[[#This Row],[Ticker]] &amp; "-" &amp; DATE(YEAR(T_Stocks[[#This Row],[Fecha]]),MONTH(T_Stocks[[#This Row],[Fecha]]),DAY(T_Stocks[[#This Row],[Fecha]]))</f>
        <v>AAPL-45379</v>
      </c>
    </row>
    <row r="1301" spans="1:4" ht="14.65" thickBot="1" x14ac:dyDescent="0.5">
      <c r="A1301" s="17">
        <v>45383.666666666664</v>
      </c>
      <c r="B1301" s="19">
        <v>170.03</v>
      </c>
      <c r="C1301" t="s">
        <v>38</v>
      </c>
      <c r="D1301" t="str">
        <f>T_Stocks[[#This Row],[Ticker]] &amp; "-" &amp; DATE(YEAR(T_Stocks[[#This Row],[Fecha]]),MONTH(T_Stocks[[#This Row],[Fecha]]),DAY(T_Stocks[[#This Row],[Fecha]]))</f>
        <v>AAPL-45383</v>
      </c>
    </row>
    <row r="1302" spans="1:4" ht="14.65" thickBot="1" x14ac:dyDescent="0.5">
      <c r="A1302" s="17">
        <v>45384.666666666664</v>
      </c>
      <c r="B1302" s="19">
        <v>168.84</v>
      </c>
      <c r="C1302" t="s">
        <v>38</v>
      </c>
      <c r="D1302" t="str">
        <f>T_Stocks[[#This Row],[Ticker]] &amp; "-" &amp; DATE(YEAR(T_Stocks[[#This Row],[Fecha]]),MONTH(T_Stocks[[#This Row],[Fecha]]),DAY(T_Stocks[[#This Row],[Fecha]]))</f>
        <v>AAPL-45384</v>
      </c>
    </row>
    <row r="1303" spans="1:4" ht="14.65" thickBot="1" x14ac:dyDescent="0.5">
      <c r="A1303" s="17">
        <v>45385.666666666664</v>
      </c>
      <c r="B1303" s="19">
        <v>169.65</v>
      </c>
      <c r="C1303" t="s">
        <v>38</v>
      </c>
      <c r="D1303" t="str">
        <f>T_Stocks[[#This Row],[Ticker]] &amp; "-" &amp; DATE(YEAR(T_Stocks[[#This Row],[Fecha]]),MONTH(T_Stocks[[#This Row],[Fecha]]),DAY(T_Stocks[[#This Row],[Fecha]]))</f>
        <v>AAPL-45385</v>
      </c>
    </row>
    <row r="1304" spans="1:4" ht="14.65" thickBot="1" x14ac:dyDescent="0.5">
      <c r="A1304" s="17">
        <v>45386.666666666664</v>
      </c>
      <c r="B1304" s="19">
        <v>168.82</v>
      </c>
      <c r="C1304" t="s">
        <v>38</v>
      </c>
      <c r="D1304" t="str">
        <f>T_Stocks[[#This Row],[Ticker]] &amp; "-" &amp; DATE(YEAR(T_Stocks[[#This Row],[Fecha]]),MONTH(T_Stocks[[#This Row],[Fecha]]),DAY(T_Stocks[[#This Row],[Fecha]]))</f>
        <v>AAPL-45386</v>
      </c>
    </row>
    <row r="1305" spans="1:4" ht="14.65" thickBot="1" x14ac:dyDescent="0.5">
      <c r="A1305" s="17">
        <v>45387.666666666664</v>
      </c>
      <c r="B1305" s="19">
        <v>169.58</v>
      </c>
      <c r="C1305" t="s">
        <v>38</v>
      </c>
      <c r="D1305" t="str">
        <f>T_Stocks[[#This Row],[Ticker]] &amp; "-" &amp; DATE(YEAR(T_Stocks[[#This Row],[Fecha]]),MONTH(T_Stocks[[#This Row],[Fecha]]),DAY(T_Stocks[[#This Row],[Fecha]]))</f>
        <v>AAPL-45387</v>
      </c>
    </row>
    <row r="1306" spans="1:4" ht="14.65" thickBot="1" x14ac:dyDescent="0.5">
      <c r="A1306" s="17">
        <v>45390.666666666664</v>
      </c>
      <c r="B1306" s="19">
        <v>168.45</v>
      </c>
      <c r="C1306" t="s">
        <v>38</v>
      </c>
      <c r="D1306" t="str">
        <f>T_Stocks[[#This Row],[Ticker]] &amp; "-" &amp; DATE(YEAR(T_Stocks[[#This Row],[Fecha]]),MONTH(T_Stocks[[#This Row],[Fecha]]),DAY(T_Stocks[[#This Row],[Fecha]]))</f>
        <v>AAPL-45390</v>
      </c>
    </row>
    <row r="1307" spans="1:4" ht="14.65" thickBot="1" x14ac:dyDescent="0.5">
      <c r="A1307" s="17">
        <v>45391.666666666664</v>
      </c>
      <c r="B1307" s="19">
        <v>169.67</v>
      </c>
      <c r="C1307" t="s">
        <v>38</v>
      </c>
      <c r="D1307" t="str">
        <f>T_Stocks[[#This Row],[Ticker]] &amp; "-" &amp; DATE(YEAR(T_Stocks[[#This Row],[Fecha]]),MONTH(T_Stocks[[#This Row],[Fecha]]),DAY(T_Stocks[[#This Row],[Fecha]]))</f>
        <v>AAPL-45391</v>
      </c>
    </row>
    <row r="1308" spans="1:4" ht="14.65" thickBot="1" x14ac:dyDescent="0.5">
      <c r="A1308" s="17">
        <v>45392.666666666664</v>
      </c>
      <c r="B1308" s="19">
        <v>167.78</v>
      </c>
      <c r="C1308" t="s">
        <v>38</v>
      </c>
      <c r="D1308" t="str">
        <f>T_Stocks[[#This Row],[Ticker]] &amp; "-" &amp; DATE(YEAR(T_Stocks[[#This Row],[Fecha]]),MONTH(T_Stocks[[#This Row],[Fecha]]),DAY(T_Stocks[[#This Row],[Fecha]]))</f>
        <v>AAPL-45392</v>
      </c>
    </row>
    <row r="1309" spans="1:4" ht="14.65" thickBot="1" x14ac:dyDescent="0.5">
      <c r="A1309" s="17">
        <v>45393.666666666664</v>
      </c>
      <c r="B1309" s="19">
        <v>175.04</v>
      </c>
      <c r="C1309" t="s">
        <v>38</v>
      </c>
      <c r="D1309" t="str">
        <f>T_Stocks[[#This Row],[Ticker]] &amp; "-" &amp; DATE(YEAR(T_Stocks[[#This Row],[Fecha]]),MONTH(T_Stocks[[#This Row],[Fecha]]),DAY(T_Stocks[[#This Row],[Fecha]]))</f>
        <v>AAPL-45393</v>
      </c>
    </row>
    <row r="1310" spans="1:4" ht="14.65" thickBot="1" x14ac:dyDescent="0.5">
      <c r="A1310" s="17">
        <v>45394.666666666664</v>
      </c>
      <c r="B1310" s="19">
        <v>176.55</v>
      </c>
      <c r="C1310" t="s">
        <v>38</v>
      </c>
      <c r="D1310" t="str">
        <f>T_Stocks[[#This Row],[Ticker]] &amp; "-" &amp; DATE(YEAR(T_Stocks[[#This Row],[Fecha]]),MONTH(T_Stocks[[#This Row],[Fecha]]),DAY(T_Stocks[[#This Row],[Fecha]]))</f>
        <v>AAPL-45394</v>
      </c>
    </row>
    <row r="1311" spans="1:4" ht="14.65" thickBot="1" x14ac:dyDescent="0.5">
      <c r="A1311" s="17">
        <v>45397.666666666664</v>
      </c>
      <c r="B1311" s="19">
        <v>172.69</v>
      </c>
      <c r="C1311" t="s">
        <v>38</v>
      </c>
      <c r="D1311" t="str">
        <f>T_Stocks[[#This Row],[Ticker]] &amp; "-" &amp; DATE(YEAR(T_Stocks[[#This Row],[Fecha]]),MONTH(T_Stocks[[#This Row],[Fecha]]),DAY(T_Stocks[[#This Row],[Fecha]]))</f>
        <v>AAPL-45397</v>
      </c>
    </row>
    <row r="1312" spans="1:4" ht="14.65" thickBot="1" x14ac:dyDescent="0.5">
      <c r="A1312" s="17">
        <v>45398.666666666664</v>
      </c>
      <c r="B1312" s="19">
        <v>169.38</v>
      </c>
      <c r="C1312" t="s">
        <v>38</v>
      </c>
      <c r="D1312" t="str">
        <f>T_Stocks[[#This Row],[Ticker]] &amp; "-" &amp; DATE(YEAR(T_Stocks[[#This Row],[Fecha]]),MONTH(T_Stocks[[#This Row],[Fecha]]),DAY(T_Stocks[[#This Row],[Fecha]]))</f>
        <v>AAPL-45398</v>
      </c>
    </row>
    <row r="1313" spans="1:4" ht="14.65" thickBot="1" x14ac:dyDescent="0.5">
      <c r="A1313" s="17">
        <v>45399.666666666664</v>
      </c>
      <c r="B1313" s="19">
        <v>168</v>
      </c>
      <c r="C1313" t="s">
        <v>38</v>
      </c>
      <c r="D1313" t="str">
        <f>T_Stocks[[#This Row],[Ticker]] &amp; "-" &amp; DATE(YEAR(T_Stocks[[#This Row],[Fecha]]),MONTH(T_Stocks[[#This Row],[Fecha]]),DAY(T_Stocks[[#This Row],[Fecha]]))</f>
        <v>AAPL-45399</v>
      </c>
    </row>
    <row r="1314" spans="1:4" ht="14.65" thickBot="1" x14ac:dyDescent="0.5">
      <c r="A1314" s="17">
        <v>45400.666666666664</v>
      </c>
      <c r="B1314" s="19">
        <v>167.04</v>
      </c>
      <c r="C1314" t="s">
        <v>38</v>
      </c>
      <c r="D1314" t="str">
        <f>T_Stocks[[#This Row],[Ticker]] &amp; "-" &amp; DATE(YEAR(T_Stocks[[#This Row],[Fecha]]),MONTH(T_Stocks[[#This Row],[Fecha]]),DAY(T_Stocks[[#This Row],[Fecha]]))</f>
        <v>AAPL-45400</v>
      </c>
    </row>
    <row r="1315" spans="1:4" ht="14.65" thickBot="1" x14ac:dyDescent="0.5">
      <c r="A1315" s="17">
        <v>45401.666666666664</v>
      </c>
      <c r="B1315" s="19">
        <v>165</v>
      </c>
      <c r="C1315" t="s">
        <v>38</v>
      </c>
      <c r="D1315" t="str">
        <f>T_Stocks[[#This Row],[Ticker]] &amp; "-" &amp; DATE(YEAR(T_Stocks[[#This Row],[Fecha]]),MONTH(T_Stocks[[#This Row],[Fecha]]),DAY(T_Stocks[[#This Row],[Fecha]]))</f>
        <v>AAPL-45401</v>
      </c>
    </row>
    <row r="1316" spans="1:4" ht="14.65" thickBot="1" x14ac:dyDescent="0.5">
      <c r="A1316" s="17">
        <v>45404.666666666664</v>
      </c>
      <c r="B1316" s="19">
        <v>165.84</v>
      </c>
      <c r="C1316" t="s">
        <v>38</v>
      </c>
      <c r="D1316" t="str">
        <f>T_Stocks[[#This Row],[Ticker]] &amp; "-" &amp; DATE(YEAR(T_Stocks[[#This Row],[Fecha]]),MONTH(T_Stocks[[#This Row],[Fecha]]),DAY(T_Stocks[[#This Row],[Fecha]]))</f>
        <v>AAPL-45404</v>
      </c>
    </row>
    <row r="1317" spans="1:4" ht="14.65" thickBot="1" x14ac:dyDescent="0.5">
      <c r="A1317" s="17">
        <v>45405.666666666664</v>
      </c>
      <c r="B1317" s="19">
        <v>166.9</v>
      </c>
      <c r="C1317" t="s">
        <v>38</v>
      </c>
      <c r="D1317" t="str">
        <f>T_Stocks[[#This Row],[Ticker]] &amp; "-" &amp; DATE(YEAR(T_Stocks[[#This Row],[Fecha]]),MONTH(T_Stocks[[#This Row],[Fecha]]),DAY(T_Stocks[[#This Row],[Fecha]]))</f>
        <v>AAPL-45405</v>
      </c>
    </row>
    <row r="1318" spans="1:4" ht="14.65" thickBot="1" x14ac:dyDescent="0.5">
      <c r="A1318" s="17">
        <v>45406.666666666664</v>
      </c>
      <c r="B1318" s="19">
        <v>169.02</v>
      </c>
      <c r="C1318" t="s">
        <v>38</v>
      </c>
      <c r="D1318" t="str">
        <f>T_Stocks[[#This Row],[Ticker]] &amp; "-" &amp; DATE(YEAR(T_Stocks[[#This Row],[Fecha]]),MONTH(T_Stocks[[#This Row],[Fecha]]),DAY(T_Stocks[[#This Row],[Fecha]]))</f>
        <v>AAPL-45406</v>
      </c>
    </row>
    <row r="1319" spans="1:4" ht="14.65" thickBot="1" x14ac:dyDescent="0.5">
      <c r="A1319" s="17">
        <v>45407.666666666664</v>
      </c>
      <c r="B1319" s="19">
        <v>169.89</v>
      </c>
      <c r="C1319" t="s">
        <v>38</v>
      </c>
      <c r="D1319" t="str">
        <f>T_Stocks[[#This Row],[Ticker]] &amp; "-" &amp; DATE(YEAR(T_Stocks[[#This Row],[Fecha]]),MONTH(T_Stocks[[#This Row],[Fecha]]),DAY(T_Stocks[[#This Row],[Fecha]]))</f>
        <v>AAPL-45407</v>
      </c>
    </row>
    <row r="1320" spans="1:4" ht="14.65" thickBot="1" x14ac:dyDescent="0.5">
      <c r="A1320" s="17">
        <v>45408.666666666664</v>
      </c>
      <c r="B1320" s="19">
        <v>169.3</v>
      </c>
      <c r="C1320" t="s">
        <v>38</v>
      </c>
      <c r="D1320" t="str">
        <f>T_Stocks[[#This Row],[Ticker]] &amp; "-" &amp; DATE(YEAR(T_Stocks[[#This Row],[Fecha]]),MONTH(T_Stocks[[#This Row],[Fecha]]),DAY(T_Stocks[[#This Row],[Fecha]]))</f>
        <v>AAPL-45408</v>
      </c>
    </row>
    <row r="1321" spans="1:4" ht="14.65" thickBot="1" x14ac:dyDescent="0.5">
      <c r="A1321" s="17">
        <v>45411.666666666664</v>
      </c>
      <c r="B1321" s="19">
        <v>173.5</v>
      </c>
      <c r="C1321" t="s">
        <v>38</v>
      </c>
      <c r="D1321" t="str">
        <f>T_Stocks[[#This Row],[Ticker]] &amp; "-" &amp; DATE(YEAR(T_Stocks[[#This Row],[Fecha]]),MONTH(T_Stocks[[#This Row],[Fecha]]),DAY(T_Stocks[[#This Row],[Fecha]]))</f>
        <v>AAPL-45411</v>
      </c>
    </row>
    <row r="1322" spans="1:4" ht="14.65" thickBot="1" x14ac:dyDescent="0.5">
      <c r="A1322" s="17">
        <v>45412.666666666664</v>
      </c>
      <c r="B1322" s="19">
        <v>170.33</v>
      </c>
      <c r="C1322" t="s">
        <v>38</v>
      </c>
      <c r="D1322" t="str">
        <f>T_Stocks[[#This Row],[Ticker]] &amp; "-" &amp; DATE(YEAR(T_Stocks[[#This Row],[Fecha]]),MONTH(T_Stocks[[#This Row],[Fecha]]),DAY(T_Stocks[[#This Row],[Fecha]]))</f>
        <v>AAPL-45412</v>
      </c>
    </row>
    <row r="1323" spans="1:4" ht="14.65" thickBot="1" x14ac:dyDescent="0.5">
      <c r="A1323" s="17">
        <v>45413.666666666664</v>
      </c>
      <c r="B1323" s="19">
        <v>169.3</v>
      </c>
      <c r="C1323" t="s">
        <v>38</v>
      </c>
      <c r="D1323" t="str">
        <f>T_Stocks[[#This Row],[Ticker]] &amp; "-" &amp; DATE(YEAR(T_Stocks[[#This Row],[Fecha]]),MONTH(T_Stocks[[#This Row],[Fecha]]),DAY(T_Stocks[[#This Row],[Fecha]]))</f>
        <v>AAPL-45413</v>
      </c>
    </row>
    <row r="1324" spans="1:4" ht="14.65" thickBot="1" x14ac:dyDescent="0.5">
      <c r="A1324" s="17">
        <v>45414.666666666664</v>
      </c>
      <c r="B1324" s="19">
        <v>173.03</v>
      </c>
      <c r="C1324" t="s">
        <v>38</v>
      </c>
      <c r="D1324" t="str">
        <f>T_Stocks[[#This Row],[Ticker]] &amp; "-" &amp; DATE(YEAR(T_Stocks[[#This Row],[Fecha]]),MONTH(T_Stocks[[#This Row],[Fecha]]),DAY(T_Stocks[[#This Row],[Fecha]]))</f>
        <v>AAPL-45414</v>
      </c>
    </row>
    <row r="1325" spans="1:4" ht="14.65" thickBot="1" x14ac:dyDescent="0.5">
      <c r="A1325" s="17">
        <v>45415.666666666664</v>
      </c>
      <c r="B1325" s="19">
        <v>183.38</v>
      </c>
      <c r="C1325" t="s">
        <v>38</v>
      </c>
      <c r="D1325" t="str">
        <f>T_Stocks[[#This Row],[Ticker]] &amp; "-" &amp; DATE(YEAR(T_Stocks[[#This Row],[Fecha]]),MONTH(T_Stocks[[#This Row],[Fecha]]),DAY(T_Stocks[[#This Row],[Fecha]]))</f>
        <v>AAPL-45415</v>
      </c>
    </row>
    <row r="1326" spans="1:4" ht="14.65" thickBot="1" x14ac:dyDescent="0.5">
      <c r="A1326" s="17">
        <v>45418.666666666664</v>
      </c>
      <c r="B1326" s="19">
        <v>181.71</v>
      </c>
      <c r="C1326" t="s">
        <v>38</v>
      </c>
      <c r="D1326" t="str">
        <f>T_Stocks[[#This Row],[Ticker]] &amp; "-" &amp; DATE(YEAR(T_Stocks[[#This Row],[Fecha]]),MONTH(T_Stocks[[#This Row],[Fecha]]),DAY(T_Stocks[[#This Row],[Fecha]]))</f>
        <v>AAPL-45418</v>
      </c>
    </row>
    <row r="1327" spans="1:4" ht="14.65" thickBot="1" x14ac:dyDescent="0.5">
      <c r="A1327" s="17">
        <v>45419.666666666664</v>
      </c>
      <c r="B1327" s="19">
        <v>182.4</v>
      </c>
      <c r="C1327" t="s">
        <v>38</v>
      </c>
      <c r="D1327" t="str">
        <f>T_Stocks[[#This Row],[Ticker]] &amp; "-" &amp; DATE(YEAR(T_Stocks[[#This Row],[Fecha]]),MONTH(T_Stocks[[#This Row],[Fecha]]),DAY(T_Stocks[[#This Row],[Fecha]]))</f>
        <v>AAPL-45419</v>
      </c>
    </row>
    <row r="1328" spans="1:4" ht="14.65" thickBot="1" x14ac:dyDescent="0.5">
      <c r="A1328" s="17">
        <v>45420.666666666664</v>
      </c>
      <c r="B1328" s="19">
        <v>182.74</v>
      </c>
      <c r="C1328" t="s">
        <v>38</v>
      </c>
      <c r="D1328" t="str">
        <f>T_Stocks[[#This Row],[Ticker]] &amp; "-" &amp; DATE(YEAR(T_Stocks[[#This Row],[Fecha]]),MONTH(T_Stocks[[#This Row],[Fecha]]),DAY(T_Stocks[[#This Row],[Fecha]]))</f>
        <v>AAPL-45420</v>
      </c>
    </row>
    <row r="1329" spans="1:4" ht="14.65" thickBot="1" x14ac:dyDescent="0.5">
      <c r="A1329" s="17">
        <v>45421.666666666664</v>
      </c>
      <c r="B1329" s="19">
        <v>184.57</v>
      </c>
      <c r="C1329" t="s">
        <v>38</v>
      </c>
      <c r="D1329" t="str">
        <f>T_Stocks[[#This Row],[Ticker]] &amp; "-" &amp; DATE(YEAR(T_Stocks[[#This Row],[Fecha]]),MONTH(T_Stocks[[#This Row],[Fecha]]),DAY(T_Stocks[[#This Row],[Fecha]]))</f>
        <v>AAPL-45421</v>
      </c>
    </row>
    <row r="1330" spans="1:4" ht="14.65" thickBot="1" x14ac:dyDescent="0.5">
      <c r="A1330" s="17">
        <v>45422.666666666664</v>
      </c>
      <c r="B1330" s="19">
        <v>183.05</v>
      </c>
      <c r="C1330" t="s">
        <v>38</v>
      </c>
      <c r="D1330" t="str">
        <f>T_Stocks[[#This Row],[Ticker]] &amp; "-" &amp; DATE(YEAR(T_Stocks[[#This Row],[Fecha]]),MONTH(T_Stocks[[#This Row],[Fecha]]),DAY(T_Stocks[[#This Row],[Fecha]]))</f>
        <v>AAPL-45422</v>
      </c>
    </row>
    <row r="1331" spans="1:4" ht="14.65" thickBot="1" x14ac:dyDescent="0.5">
      <c r="A1331" s="17">
        <v>45425.666666666664</v>
      </c>
      <c r="B1331" s="19">
        <v>186.28</v>
      </c>
      <c r="C1331" t="s">
        <v>38</v>
      </c>
      <c r="D1331" t="str">
        <f>T_Stocks[[#This Row],[Ticker]] &amp; "-" &amp; DATE(YEAR(T_Stocks[[#This Row],[Fecha]]),MONTH(T_Stocks[[#This Row],[Fecha]]),DAY(T_Stocks[[#This Row],[Fecha]]))</f>
        <v>AAPL-45425</v>
      </c>
    </row>
    <row r="1332" spans="1:4" ht="14.65" thickBot="1" x14ac:dyDescent="0.5">
      <c r="A1332" s="17">
        <v>45426.666666666664</v>
      </c>
      <c r="B1332" s="19">
        <v>187.43</v>
      </c>
      <c r="C1332" t="s">
        <v>38</v>
      </c>
      <c r="D1332" t="str">
        <f>T_Stocks[[#This Row],[Ticker]] &amp; "-" &amp; DATE(YEAR(T_Stocks[[#This Row],[Fecha]]),MONTH(T_Stocks[[#This Row],[Fecha]]),DAY(T_Stocks[[#This Row],[Fecha]]))</f>
        <v>AAPL-45426</v>
      </c>
    </row>
    <row r="1333" spans="1:4" ht="14.65" thickBot="1" x14ac:dyDescent="0.5">
      <c r="A1333" s="17">
        <v>45427.666666666664</v>
      </c>
      <c r="B1333" s="19">
        <v>189.72</v>
      </c>
      <c r="C1333" t="s">
        <v>38</v>
      </c>
      <c r="D1333" t="str">
        <f>T_Stocks[[#This Row],[Ticker]] &amp; "-" &amp; DATE(YEAR(T_Stocks[[#This Row],[Fecha]]),MONTH(T_Stocks[[#This Row],[Fecha]]),DAY(T_Stocks[[#This Row],[Fecha]]))</f>
        <v>AAPL-45427</v>
      </c>
    </row>
    <row r="1334" spans="1:4" ht="14.65" thickBot="1" x14ac:dyDescent="0.5">
      <c r="A1334" s="17">
        <v>45428.666666666664</v>
      </c>
      <c r="B1334" s="19">
        <v>189.84</v>
      </c>
      <c r="C1334" t="s">
        <v>38</v>
      </c>
      <c r="D1334" t="str">
        <f>T_Stocks[[#This Row],[Ticker]] &amp; "-" &amp; DATE(YEAR(T_Stocks[[#This Row],[Fecha]]),MONTH(T_Stocks[[#This Row],[Fecha]]),DAY(T_Stocks[[#This Row],[Fecha]]))</f>
        <v>AAPL-45428</v>
      </c>
    </row>
    <row r="1335" spans="1:4" ht="14.65" thickBot="1" x14ac:dyDescent="0.5">
      <c r="A1335" s="17">
        <v>45429.666666666664</v>
      </c>
      <c r="B1335" s="19">
        <v>189.87</v>
      </c>
      <c r="C1335" t="s">
        <v>38</v>
      </c>
      <c r="D1335" t="str">
        <f>T_Stocks[[#This Row],[Ticker]] &amp; "-" &amp; DATE(YEAR(T_Stocks[[#This Row],[Fecha]]),MONTH(T_Stocks[[#This Row],[Fecha]]),DAY(T_Stocks[[#This Row],[Fecha]]))</f>
        <v>AAPL-45429</v>
      </c>
    </row>
    <row r="1336" spans="1:4" ht="14.65" thickBot="1" x14ac:dyDescent="0.5">
      <c r="A1336" s="17">
        <v>45432.666666666664</v>
      </c>
      <c r="B1336" s="19">
        <v>191.04</v>
      </c>
      <c r="C1336" t="s">
        <v>38</v>
      </c>
      <c r="D1336" t="str">
        <f>T_Stocks[[#This Row],[Ticker]] &amp; "-" &amp; DATE(YEAR(T_Stocks[[#This Row],[Fecha]]),MONTH(T_Stocks[[#This Row],[Fecha]]),DAY(T_Stocks[[#This Row],[Fecha]]))</f>
        <v>AAPL-45432</v>
      </c>
    </row>
    <row r="1337" spans="1:4" ht="14.65" thickBot="1" x14ac:dyDescent="0.5">
      <c r="A1337" s="17">
        <v>45433.666666666664</v>
      </c>
      <c r="B1337" s="19">
        <v>192.35</v>
      </c>
      <c r="C1337" t="s">
        <v>38</v>
      </c>
      <c r="D1337" t="str">
        <f>T_Stocks[[#This Row],[Ticker]] &amp; "-" &amp; DATE(YEAR(T_Stocks[[#This Row],[Fecha]]),MONTH(T_Stocks[[#This Row],[Fecha]]),DAY(T_Stocks[[#This Row],[Fecha]]))</f>
        <v>AAPL-45433</v>
      </c>
    </row>
    <row r="1338" spans="1:4" ht="14.65" thickBot="1" x14ac:dyDescent="0.5">
      <c r="A1338" s="17">
        <v>45434.666666666664</v>
      </c>
      <c r="B1338" s="19">
        <v>190.9</v>
      </c>
      <c r="C1338" t="s">
        <v>38</v>
      </c>
      <c r="D1338" t="str">
        <f>T_Stocks[[#This Row],[Ticker]] &amp; "-" &amp; DATE(YEAR(T_Stocks[[#This Row],[Fecha]]),MONTH(T_Stocks[[#This Row],[Fecha]]),DAY(T_Stocks[[#This Row],[Fecha]]))</f>
        <v>AAPL-45434</v>
      </c>
    </row>
    <row r="1339" spans="1:4" ht="14.65" thickBot="1" x14ac:dyDescent="0.5">
      <c r="A1339" s="17">
        <v>45435.666666666664</v>
      </c>
      <c r="B1339" s="19">
        <v>186.88</v>
      </c>
      <c r="C1339" t="s">
        <v>38</v>
      </c>
      <c r="D1339" t="str">
        <f>T_Stocks[[#This Row],[Ticker]] &amp; "-" &amp; DATE(YEAR(T_Stocks[[#This Row],[Fecha]]),MONTH(T_Stocks[[#This Row],[Fecha]]),DAY(T_Stocks[[#This Row],[Fecha]]))</f>
        <v>AAPL-45435</v>
      </c>
    </row>
    <row r="1340" spans="1:4" ht="14.65" thickBot="1" x14ac:dyDescent="0.5">
      <c r="A1340" s="17">
        <v>45436.666666666664</v>
      </c>
      <c r="B1340" s="19">
        <v>189.98</v>
      </c>
      <c r="C1340" t="s">
        <v>38</v>
      </c>
      <c r="D1340" t="str">
        <f>T_Stocks[[#This Row],[Ticker]] &amp; "-" &amp; DATE(YEAR(T_Stocks[[#This Row],[Fecha]]),MONTH(T_Stocks[[#This Row],[Fecha]]),DAY(T_Stocks[[#This Row],[Fecha]]))</f>
        <v>AAPL-45436</v>
      </c>
    </row>
    <row r="1341" spans="1:4" ht="14.65" thickBot="1" x14ac:dyDescent="0.5">
      <c r="A1341" s="17">
        <v>45440.666666666664</v>
      </c>
      <c r="B1341" s="19">
        <v>189.99</v>
      </c>
      <c r="C1341" t="s">
        <v>38</v>
      </c>
      <c r="D1341" t="str">
        <f>T_Stocks[[#This Row],[Ticker]] &amp; "-" &amp; DATE(YEAR(T_Stocks[[#This Row],[Fecha]]),MONTH(T_Stocks[[#This Row],[Fecha]]),DAY(T_Stocks[[#This Row],[Fecha]]))</f>
        <v>AAPL-45440</v>
      </c>
    </row>
    <row r="1342" spans="1:4" ht="14.65" thickBot="1" x14ac:dyDescent="0.5">
      <c r="A1342" s="17">
        <v>45441.666666666664</v>
      </c>
      <c r="B1342" s="19">
        <v>190.29</v>
      </c>
      <c r="C1342" t="s">
        <v>38</v>
      </c>
      <c r="D1342" t="str">
        <f>T_Stocks[[#This Row],[Ticker]] &amp; "-" &amp; DATE(YEAR(T_Stocks[[#This Row],[Fecha]]),MONTH(T_Stocks[[#This Row],[Fecha]]),DAY(T_Stocks[[#This Row],[Fecha]]))</f>
        <v>AAPL-45441</v>
      </c>
    </row>
    <row r="1343" spans="1:4" ht="14.65" thickBot="1" x14ac:dyDescent="0.5">
      <c r="A1343" s="17">
        <v>45442.666666666664</v>
      </c>
      <c r="B1343" s="19">
        <v>191.29</v>
      </c>
      <c r="C1343" t="s">
        <v>38</v>
      </c>
      <c r="D1343" t="str">
        <f>T_Stocks[[#This Row],[Ticker]] &amp; "-" &amp; DATE(YEAR(T_Stocks[[#This Row],[Fecha]]),MONTH(T_Stocks[[#This Row],[Fecha]]),DAY(T_Stocks[[#This Row],[Fecha]]))</f>
        <v>AAPL-45442</v>
      </c>
    </row>
    <row r="1344" spans="1:4" ht="14.65" thickBot="1" x14ac:dyDescent="0.5">
      <c r="A1344" s="17">
        <v>45443.666666666664</v>
      </c>
      <c r="B1344" s="19">
        <v>192.25</v>
      </c>
      <c r="C1344" t="s">
        <v>38</v>
      </c>
      <c r="D1344" t="str">
        <f>T_Stocks[[#This Row],[Ticker]] &amp; "-" &amp; DATE(YEAR(T_Stocks[[#This Row],[Fecha]]),MONTH(T_Stocks[[#This Row],[Fecha]]),DAY(T_Stocks[[#This Row],[Fecha]]))</f>
        <v>AAPL-45443</v>
      </c>
    </row>
    <row r="1345" spans="1:4" ht="14.65" thickBot="1" x14ac:dyDescent="0.5">
      <c r="A1345" s="17">
        <v>45446.666666666664</v>
      </c>
      <c r="B1345" s="19">
        <v>194.03</v>
      </c>
      <c r="C1345" t="s">
        <v>38</v>
      </c>
      <c r="D1345" t="str">
        <f>T_Stocks[[#This Row],[Ticker]] &amp; "-" &amp; DATE(YEAR(T_Stocks[[#This Row],[Fecha]]),MONTH(T_Stocks[[#This Row],[Fecha]]),DAY(T_Stocks[[#This Row],[Fecha]]))</f>
        <v>AAPL-45446</v>
      </c>
    </row>
    <row r="1346" spans="1:4" ht="14.65" thickBot="1" x14ac:dyDescent="0.5">
      <c r="A1346" s="17">
        <v>45447.666666666664</v>
      </c>
      <c r="B1346" s="19">
        <v>194.35</v>
      </c>
      <c r="C1346" t="s">
        <v>38</v>
      </c>
      <c r="D1346" t="str">
        <f>T_Stocks[[#This Row],[Ticker]] &amp; "-" &amp; DATE(YEAR(T_Stocks[[#This Row],[Fecha]]),MONTH(T_Stocks[[#This Row],[Fecha]]),DAY(T_Stocks[[#This Row],[Fecha]]))</f>
        <v>AAPL-45447</v>
      </c>
    </row>
    <row r="1347" spans="1:4" ht="14.65" thickBot="1" x14ac:dyDescent="0.5">
      <c r="A1347" s="17">
        <v>45448.666666666664</v>
      </c>
      <c r="B1347" s="19">
        <v>195.87</v>
      </c>
      <c r="C1347" t="s">
        <v>38</v>
      </c>
      <c r="D1347" t="str">
        <f>T_Stocks[[#This Row],[Ticker]] &amp; "-" &amp; DATE(YEAR(T_Stocks[[#This Row],[Fecha]]),MONTH(T_Stocks[[#This Row],[Fecha]]),DAY(T_Stocks[[#This Row],[Fecha]]))</f>
        <v>AAPL-45448</v>
      </c>
    </row>
    <row r="1348" spans="1:4" ht="14.65" thickBot="1" x14ac:dyDescent="0.5">
      <c r="A1348" s="17">
        <v>45449.666666666664</v>
      </c>
      <c r="B1348" s="19">
        <v>194.48</v>
      </c>
      <c r="C1348" t="s">
        <v>38</v>
      </c>
      <c r="D1348" t="str">
        <f>T_Stocks[[#This Row],[Ticker]] &amp; "-" &amp; DATE(YEAR(T_Stocks[[#This Row],[Fecha]]),MONTH(T_Stocks[[#This Row],[Fecha]]),DAY(T_Stocks[[#This Row],[Fecha]]))</f>
        <v>AAPL-45449</v>
      </c>
    </row>
    <row r="1349" spans="1:4" ht="14.65" thickBot="1" x14ac:dyDescent="0.5">
      <c r="A1349" s="17">
        <v>45450.666666666664</v>
      </c>
      <c r="B1349" s="19">
        <v>196.89</v>
      </c>
      <c r="C1349" t="s">
        <v>38</v>
      </c>
      <c r="D1349" t="str">
        <f>T_Stocks[[#This Row],[Ticker]] &amp; "-" &amp; DATE(YEAR(T_Stocks[[#This Row],[Fecha]]),MONTH(T_Stocks[[#This Row],[Fecha]]),DAY(T_Stocks[[#This Row],[Fecha]]))</f>
        <v>AAPL-45450</v>
      </c>
    </row>
    <row r="1350" spans="1:4" ht="14.65" thickBot="1" x14ac:dyDescent="0.5">
      <c r="A1350" s="17">
        <v>45453.666666666664</v>
      </c>
      <c r="B1350" s="19">
        <v>193.12</v>
      </c>
      <c r="C1350" t="s">
        <v>38</v>
      </c>
      <c r="D1350" t="str">
        <f>T_Stocks[[#This Row],[Ticker]] &amp; "-" &amp; DATE(YEAR(T_Stocks[[#This Row],[Fecha]]),MONTH(T_Stocks[[#This Row],[Fecha]]),DAY(T_Stocks[[#This Row],[Fecha]]))</f>
        <v>AAPL-45453</v>
      </c>
    </row>
    <row r="1351" spans="1:4" ht="14.65" thickBot="1" x14ac:dyDescent="0.5">
      <c r="A1351" s="17">
        <v>45454.666666666664</v>
      </c>
      <c r="B1351" s="19">
        <v>207.15</v>
      </c>
      <c r="C1351" t="s">
        <v>38</v>
      </c>
      <c r="D1351" t="str">
        <f>T_Stocks[[#This Row],[Ticker]] &amp; "-" &amp; DATE(YEAR(T_Stocks[[#This Row],[Fecha]]),MONTH(T_Stocks[[#This Row],[Fecha]]),DAY(T_Stocks[[#This Row],[Fecha]]))</f>
        <v>AAPL-45454</v>
      </c>
    </row>
    <row r="1352" spans="1:4" ht="14.65" thickBot="1" x14ac:dyDescent="0.5">
      <c r="A1352" s="17">
        <v>45455.666666666664</v>
      </c>
      <c r="B1352" s="19">
        <v>213.07</v>
      </c>
      <c r="C1352" t="s">
        <v>38</v>
      </c>
      <c r="D1352" t="str">
        <f>T_Stocks[[#This Row],[Ticker]] &amp; "-" &amp; DATE(YEAR(T_Stocks[[#This Row],[Fecha]]),MONTH(T_Stocks[[#This Row],[Fecha]]),DAY(T_Stocks[[#This Row],[Fecha]]))</f>
        <v>AAPL-45455</v>
      </c>
    </row>
    <row r="1353" spans="1:4" ht="14.65" thickBot="1" x14ac:dyDescent="0.5">
      <c r="A1353" s="17">
        <v>45456.666666666664</v>
      </c>
      <c r="B1353" s="19">
        <v>214.24</v>
      </c>
      <c r="C1353" t="s">
        <v>38</v>
      </c>
      <c r="D1353" t="str">
        <f>T_Stocks[[#This Row],[Ticker]] &amp; "-" &amp; DATE(YEAR(T_Stocks[[#This Row],[Fecha]]),MONTH(T_Stocks[[#This Row],[Fecha]]),DAY(T_Stocks[[#This Row],[Fecha]]))</f>
        <v>AAPL-45456</v>
      </c>
    </row>
    <row r="1354" spans="1:4" ht="14.65" thickBot="1" x14ac:dyDescent="0.5">
      <c r="A1354" s="17">
        <v>45457.666666666664</v>
      </c>
      <c r="B1354" s="19">
        <v>212.49</v>
      </c>
      <c r="C1354" t="s">
        <v>38</v>
      </c>
      <c r="D1354" t="str">
        <f>T_Stocks[[#This Row],[Ticker]] &amp; "-" &amp; DATE(YEAR(T_Stocks[[#This Row],[Fecha]]),MONTH(T_Stocks[[#This Row],[Fecha]]),DAY(T_Stocks[[#This Row],[Fecha]]))</f>
        <v>AAPL-45457</v>
      </c>
    </row>
    <row r="1355" spans="1:4" ht="14.65" thickBot="1" x14ac:dyDescent="0.5">
      <c r="A1355" s="17">
        <v>45460.666666666664</v>
      </c>
      <c r="B1355" s="19">
        <v>216.67</v>
      </c>
      <c r="C1355" t="s">
        <v>38</v>
      </c>
      <c r="D1355" t="str">
        <f>T_Stocks[[#This Row],[Ticker]] &amp; "-" &amp; DATE(YEAR(T_Stocks[[#This Row],[Fecha]]),MONTH(T_Stocks[[#This Row],[Fecha]]),DAY(T_Stocks[[#This Row],[Fecha]]))</f>
        <v>AAPL-45460</v>
      </c>
    </row>
    <row r="1356" spans="1:4" ht="14.65" thickBot="1" x14ac:dyDescent="0.5">
      <c r="A1356" s="17">
        <v>45461.666666666664</v>
      </c>
      <c r="B1356" s="19">
        <v>214.29</v>
      </c>
      <c r="C1356" t="s">
        <v>38</v>
      </c>
      <c r="D1356" t="str">
        <f>T_Stocks[[#This Row],[Ticker]] &amp; "-" &amp; DATE(YEAR(T_Stocks[[#This Row],[Fecha]]),MONTH(T_Stocks[[#This Row],[Fecha]]),DAY(T_Stocks[[#This Row],[Fecha]]))</f>
        <v>AAPL-45461</v>
      </c>
    </row>
    <row r="1357" spans="1:4" ht="14.65" thickBot="1" x14ac:dyDescent="0.5">
      <c r="A1357" s="17">
        <v>45463.666666666664</v>
      </c>
      <c r="B1357" s="19">
        <v>209.68</v>
      </c>
      <c r="C1357" t="s">
        <v>38</v>
      </c>
      <c r="D1357" t="str">
        <f>T_Stocks[[#This Row],[Ticker]] &amp; "-" &amp; DATE(YEAR(T_Stocks[[#This Row],[Fecha]]),MONTH(T_Stocks[[#This Row],[Fecha]]),DAY(T_Stocks[[#This Row],[Fecha]]))</f>
        <v>AAPL-45463</v>
      </c>
    </row>
    <row r="1358" spans="1:4" ht="14.65" thickBot="1" x14ac:dyDescent="0.5">
      <c r="A1358" s="17">
        <v>45464.666666666664</v>
      </c>
      <c r="B1358" s="19">
        <v>207.49</v>
      </c>
      <c r="C1358" t="s">
        <v>38</v>
      </c>
      <c r="D1358" t="str">
        <f>T_Stocks[[#This Row],[Ticker]] &amp; "-" &amp; DATE(YEAR(T_Stocks[[#This Row],[Fecha]]),MONTH(T_Stocks[[#This Row],[Fecha]]),DAY(T_Stocks[[#This Row],[Fecha]]))</f>
        <v>AAPL-45464</v>
      </c>
    </row>
    <row r="1359" spans="1:4" ht="14.65" thickBot="1" x14ac:dyDescent="0.5">
      <c r="A1359" s="17">
        <v>45467.666666666664</v>
      </c>
      <c r="B1359" s="19">
        <v>208.14</v>
      </c>
      <c r="C1359" t="s">
        <v>38</v>
      </c>
      <c r="D1359" t="str">
        <f>T_Stocks[[#This Row],[Ticker]] &amp; "-" &amp; DATE(YEAR(T_Stocks[[#This Row],[Fecha]]),MONTH(T_Stocks[[#This Row],[Fecha]]),DAY(T_Stocks[[#This Row],[Fecha]]))</f>
        <v>AAPL-45467</v>
      </c>
    </row>
    <row r="1360" spans="1:4" ht="14.65" thickBot="1" x14ac:dyDescent="0.5">
      <c r="A1360" s="17">
        <v>45468.666666666664</v>
      </c>
      <c r="B1360" s="19">
        <v>209.07</v>
      </c>
      <c r="C1360" t="s">
        <v>38</v>
      </c>
      <c r="D1360" t="str">
        <f>T_Stocks[[#This Row],[Ticker]] &amp; "-" &amp; DATE(YEAR(T_Stocks[[#This Row],[Fecha]]),MONTH(T_Stocks[[#This Row],[Fecha]]),DAY(T_Stocks[[#This Row],[Fecha]]))</f>
        <v>AAPL-45468</v>
      </c>
    </row>
    <row r="1361" spans="1:4" ht="14.65" thickBot="1" x14ac:dyDescent="0.5">
      <c r="A1361" s="17">
        <v>45469.666666666664</v>
      </c>
      <c r="B1361" s="19">
        <v>213.25</v>
      </c>
      <c r="C1361" t="s">
        <v>38</v>
      </c>
      <c r="D1361" t="str">
        <f>T_Stocks[[#This Row],[Ticker]] &amp; "-" &amp; DATE(YEAR(T_Stocks[[#This Row],[Fecha]]),MONTH(T_Stocks[[#This Row],[Fecha]]),DAY(T_Stocks[[#This Row],[Fecha]]))</f>
        <v>AAPL-45469</v>
      </c>
    </row>
    <row r="1362" spans="1:4" ht="14.65" thickBot="1" x14ac:dyDescent="0.5">
      <c r="A1362" s="17">
        <v>45470.666666666664</v>
      </c>
      <c r="B1362" s="19">
        <v>214.1</v>
      </c>
      <c r="C1362" t="s">
        <v>38</v>
      </c>
      <c r="D1362" t="str">
        <f>T_Stocks[[#This Row],[Ticker]] &amp; "-" &amp; DATE(YEAR(T_Stocks[[#This Row],[Fecha]]),MONTH(T_Stocks[[#This Row],[Fecha]]),DAY(T_Stocks[[#This Row],[Fecha]]))</f>
        <v>AAPL-45470</v>
      </c>
    </row>
    <row r="1363" spans="1:4" ht="14.65" thickBot="1" x14ac:dyDescent="0.5">
      <c r="A1363" s="17">
        <v>45471.666666666664</v>
      </c>
      <c r="B1363" s="19">
        <v>210.62</v>
      </c>
      <c r="C1363" t="s">
        <v>38</v>
      </c>
      <c r="D1363" t="str">
        <f>T_Stocks[[#This Row],[Ticker]] &amp; "-" &amp; DATE(YEAR(T_Stocks[[#This Row],[Fecha]]),MONTH(T_Stocks[[#This Row],[Fecha]]),DAY(T_Stocks[[#This Row],[Fecha]]))</f>
        <v>AAPL-45471</v>
      </c>
    </row>
    <row r="1364" spans="1:4" ht="14.65" thickBot="1" x14ac:dyDescent="0.5">
      <c r="A1364" s="17">
        <v>45474.666666666664</v>
      </c>
      <c r="B1364" s="19">
        <v>216.75</v>
      </c>
      <c r="C1364" t="s">
        <v>38</v>
      </c>
      <c r="D1364" t="str">
        <f>T_Stocks[[#This Row],[Ticker]] &amp; "-" &amp; DATE(YEAR(T_Stocks[[#This Row],[Fecha]]),MONTH(T_Stocks[[#This Row],[Fecha]]),DAY(T_Stocks[[#This Row],[Fecha]]))</f>
        <v>AAPL-45474</v>
      </c>
    </row>
    <row r="1365" spans="1:4" ht="14.65" thickBot="1" x14ac:dyDescent="0.5">
      <c r="A1365" s="17">
        <v>45475.666666666664</v>
      </c>
      <c r="B1365" s="19">
        <v>220.27</v>
      </c>
      <c r="C1365" t="s">
        <v>38</v>
      </c>
      <c r="D1365" t="str">
        <f>T_Stocks[[#This Row],[Ticker]] &amp; "-" &amp; DATE(YEAR(T_Stocks[[#This Row],[Fecha]]),MONTH(T_Stocks[[#This Row],[Fecha]]),DAY(T_Stocks[[#This Row],[Fecha]]))</f>
        <v>AAPL-45475</v>
      </c>
    </row>
    <row r="1366" spans="1:4" ht="14.65" thickBot="1" x14ac:dyDescent="0.5">
      <c r="A1366" s="17">
        <v>45476.545138888891</v>
      </c>
      <c r="B1366" s="19">
        <v>221.55</v>
      </c>
      <c r="C1366" t="s">
        <v>38</v>
      </c>
      <c r="D1366" t="str">
        <f>T_Stocks[[#This Row],[Ticker]] &amp; "-" &amp; DATE(YEAR(T_Stocks[[#This Row],[Fecha]]),MONTH(T_Stocks[[#This Row],[Fecha]]),DAY(T_Stocks[[#This Row],[Fecha]]))</f>
        <v>AAPL-45476</v>
      </c>
    </row>
    <row r="1367" spans="1:4" ht="14.65" thickBot="1" x14ac:dyDescent="0.5">
      <c r="A1367" s="17">
        <v>45478.666666666664</v>
      </c>
      <c r="B1367" s="19">
        <v>226.34</v>
      </c>
      <c r="C1367" t="s">
        <v>38</v>
      </c>
      <c r="D1367" t="str">
        <f>T_Stocks[[#This Row],[Ticker]] &amp; "-" &amp; DATE(YEAR(T_Stocks[[#This Row],[Fecha]]),MONTH(T_Stocks[[#This Row],[Fecha]]),DAY(T_Stocks[[#This Row],[Fecha]]))</f>
        <v>AAPL-45478</v>
      </c>
    </row>
    <row r="1368" spans="1:4" ht="14.65" thickBot="1" x14ac:dyDescent="0.5">
      <c r="A1368" s="17">
        <v>45481.666666666664</v>
      </c>
      <c r="B1368" s="19">
        <v>227.82</v>
      </c>
      <c r="C1368" t="s">
        <v>38</v>
      </c>
      <c r="D1368" t="str">
        <f>T_Stocks[[#This Row],[Ticker]] &amp; "-" &amp; DATE(YEAR(T_Stocks[[#This Row],[Fecha]]),MONTH(T_Stocks[[#This Row],[Fecha]]),DAY(T_Stocks[[#This Row],[Fecha]]))</f>
        <v>AAPL-45481</v>
      </c>
    </row>
    <row r="1369" spans="1:4" ht="14.65" thickBot="1" x14ac:dyDescent="0.5">
      <c r="A1369" s="17">
        <v>45482.666666666664</v>
      </c>
      <c r="B1369" s="19">
        <v>228.68</v>
      </c>
      <c r="C1369" t="s">
        <v>38</v>
      </c>
      <c r="D1369" t="str">
        <f>T_Stocks[[#This Row],[Ticker]] &amp; "-" &amp; DATE(YEAR(T_Stocks[[#This Row],[Fecha]]),MONTH(T_Stocks[[#This Row],[Fecha]]),DAY(T_Stocks[[#This Row],[Fecha]]))</f>
        <v>AAPL-45482</v>
      </c>
    </row>
    <row r="1370" spans="1:4" ht="14.65" thickBot="1" x14ac:dyDescent="0.5">
      <c r="A1370" s="17">
        <v>45483.666666666664</v>
      </c>
      <c r="B1370" s="19">
        <v>232.98</v>
      </c>
      <c r="C1370" t="s">
        <v>38</v>
      </c>
      <c r="D1370" t="str">
        <f>T_Stocks[[#This Row],[Ticker]] &amp; "-" &amp; DATE(YEAR(T_Stocks[[#This Row],[Fecha]]),MONTH(T_Stocks[[#This Row],[Fecha]]),DAY(T_Stocks[[#This Row],[Fecha]]))</f>
        <v>AAPL-45483</v>
      </c>
    </row>
    <row r="1371" spans="1:4" ht="14.65" thickBot="1" x14ac:dyDescent="0.5">
      <c r="A1371" s="17">
        <v>45484.666666666664</v>
      </c>
      <c r="B1371" s="19">
        <v>227.57</v>
      </c>
      <c r="C1371" t="s">
        <v>38</v>
      </c>
      <c r="D1371" t="str">
        <f>T_Stocks[[#This Row],[Ticker]] &amp; "-" &amp; DATE(YEAR(T_Stocks[[#This Row],[Fecha]]),MONTH(T_Stocks[[#This Row],[Fecha]]),DAY(T_Stocks[[#This Row],[Fecha]]))</f>
        <v>AAPL-45484</v>
      </c>
    </row>
    <row r="1372" spans="1:4" ht="14.65" thickBot="1" x14ac:dyDescent="0.5">
      <c r="A1372" s="17">
        <v>45485.666666666664</v>
      </c>
      <c r="B1372" s="19">
        <v>230.54</v>
      </c>
      <c r="C1372" t="s">
        <v>38</v>
      </c>
      <c r="D1372" t="str">
        <f>T_Stocks[[#This Row],[Ticker]] &amp; "-" &amp; DATE(YEAR(T_Stocks[[#This Row],[Fecha]]),MONTH(T_Stocks[[#This Row],[Fecha]]),DAY(T_Stocks[[#This Row],[Fecha]]))</f>
        <v>AAPL-45485</v>
      </c>
    </row>
    <row r="1373" spans="1:4" ht="14.65" thickBot="1" x14ac:dyDescent="0.5">
      <c r="A1373" s="17">
        <v>45488.666666666664</v>
      </c>
      <c r="B1373" s="19">
        <v>234.4</v>
      </c>
      <c r="C1373" t="s">
        <v>38</v>
      </c>
      <c r="D1373" t="str">
        <f>T_Stocks[[#This Row],[Ticker]] &amp; "-" &amp; DATE(YEAR(T_Stocks[[#This Row],[Fecha]]),MONTH(T_Stocks[[#This Row],[Fecha]]),DAY(T_Stocks[[#This Row],[Fecha]]))</f>
        <v>AAPL-45488</v>
      </c>
    </row>
    <row r="1374" spans="1:4" ht="14.65" thickBot="1" x14ac:dyDescent="0.5">
      <c r="A1374" s="17">
        <v>45489.666666666664</v>
      </c>
      <c r="B1374" s="19">
        <v>234.82</v>
      </c>
      <c r="C1374" t="s">
        <v>38</v>
      </c>
      <c r="D1374" t="str">
        <f>T_Stocks[[#This Row],[Ticker]] &amp; "-" &amp; DATE(YEAR(T_Stocks[[#This Row],[Fecha]]),MONTH(T_Stocks[[#This Row],[Fecha]]),DAY(T_Stocks[[#This Row],[Fecha]]))</f>
        <v>AAPL-45489</v>
      </c>
    </row>
    <row r="1375" spans="1:4" ht="14.65" thickBot="1" x14ac:dyDescent="0.5">
      <c r="A1375" s="17">
        <v>45490.666666666664</v>
      </c>
      <c r="B1375" s="19">
        <v>228.88</v>
      </c>
      <c r="C1375" t="s">
        <v>38</v>
      </c>
      <c r="D1375" t="str">
        <f>T_Stocks[[#This Row],[Ticker]] &amp; "-" &amp; DATE(YEAR(T_Stocks[[#This Row],[Fecha]]),MONTH(T_Stocks[[#This Row],[Fecha]]),DAY(T_Stocks[[#This Row],[Fecha]]))</f>
        <v>AAPL-45490</v>
      </c>
    </row>
    <row r="1376" spans="1:4" ht="14.65" thickBot="1" x14ac:dyDescent="0.5">
      <c r="A1376" s="17">
        <v>45491.666666666664</v>
      </c>
      <c r="B1376" s="19">
        <v>224.18</v>
      </c>
      <c r="C1376" t="s">
        <v>38</v>
      </c>
      <c r="D1376" t="str">
        <f>T_Stocks[[#This Row],[Ticker]] &amp; "-" &amp; DATE(YEAR(T_Stocks[[#This Row],[Fecha]]),MONTH(T_Stocks[[#This Row],[Fecha]]),DAY(T_Stocks[[#This Row],[Fecha]]))</f>
        <v>AAPL-45491</v>
      </c>
    </row>
    <row r="1377" spans="1:4" ht="14.65" thickBot="1" x14ac:dyDescent="0.5">
      <c r="A1377" s="17">
        <v>45492.666666666664</v>
      </c>
      <c r="B1377" s="19">
        <v>224.31</v>
      </c>
      <c r="C1377" t="s">
        <v>38</v>
      </c>
      <c r="D1377" t="str">
        <f>T_Stocks[[#This Row],[Ticker]] &amp; "-" &amp; DATE(YEAR(T_Stocks[[#This Row],[Fecha]]),MONTH(T_Stocks[[#This Row],[Fecha]]),DAY(T_Stocks[[#This Row],[Fecha]]))</f>
        <v>AAPL-45492</v>
      </c>
    </row>
    <row r="1378" spans="1:4" ht="14.65" thickBot="1" x14ac:dyDescent="0.5">
      <c r="A1378" s="17">
        <v>45495.666666666664</v>
      </c>
      <c r="B1378" s="19">
        <v>223.96</v>
      </c>
      <c r="C1378" t="s">
        <v>38</v>
      </c>
      <c r="D1378" t="str">
        <f>T_Stocks[[#This Row],[Ticker]] &amp; "-" &amp; DATE(YEAR(T_Stocks[[#This Row],[Fecha]]),MONTH(T_Stocks[[#This Row],[Fecha]]),DAY(T_Stocks[[#This Row],[Fecha]]))</f>
        <v>AAPL-45495</v>
      </c>
    </row>
    <row r="1379" spans="1:4" ht="14.65" thickBot="1" x14ac:dyDescent="0.5">
      <c r="A1379" s="17">
        <v>45496.666666666664</v>
      </c>
      <c r="B1379" s="19">
        <v>225.01</v>
      </c>
      <c r="C1379" t="s">
        <v>38</v>
      </c>
      <c r="D1379" t="str">
        <f>T_Stocks[[#This Row],[Ticker]] &amp; "-" &amp; DATE(YEAR(T_Stocks[[#This Row],[Fecha]]),MONTH(T_Stocks[[#This Row],[Fecha]]),DAY(T_Stocks[[#This Row],[Fecha]]))</f>
        <v>AAPL-45496</v>
      </c>
    </row>
    <row r="1380" spans="1:4" ht="14.65" thickBot="1" x14ac:dyDescent="0.5">
      <c r="A1380" s="17">
        <v>45497.666666666664</v>
      </c>
      <c r="B1380" s="19">
        <v>218.54</v>
      </c>
      <c r="C1380" t="s">
        <v>38</v>
      </c>
      <c r="D1380" t="str">
        <f>T_Stocks[[#This Row],[Ticker]] &amp; "-" &amp; DATE(YEAR(T_Stocks[[#This Row],[Fecha]]),MONTH(T_Stocks[[#This Row],[Fecha]]),DAY(T_Stocks[[#This Row],[Fecha]]))</f>
        <v>AAPL-45497</v>
      </c>
    </row>
    <row r="1381" spans="1:4" ht="14.65" thickBot="1" x14ac:dyDescent="0.5">
      <c r="A1381" s="17">
        <v>45498.666666666664</v>
      </c>
      <c r="B1381" s="19">
        <v>217.49</v>
      </c>
      <c r="C1381" t="s">
        <v>38</v>
      </c>
      <c r="D1381" t="str">
        <f>T_Stocks[[#This Row],[Ticker]] &amp; "-" &amp; DATE(YEAR(T_Stocks[[#This Row],[Fecha]]),MONTH(T_Stocks[[#This Row],[Fecha]]),DAY(T_Stocks[[#This Row],[Fecha]]))</f>
        <v>AAPL-45498</v>
      </c>
    </row>
    <row r="1382" spans="1:4" ht="14.65" thickBot="1" x14ac:dyDescent="0.5">
      <c r="A1382" s="17">
        <v>45499.666666666664</v>
      </c>
      <c r="B1382" s="19">
        <v>217.96</v>
      </c>
      <c r="C1382" t="s">
        <v>38</v>
      </c>
      <c r="D1382" t="str">
        <f>T_Stocks[[#This Row],[Ticker]] &amp; "-" &amp; DATE(YEAR(T_Stocks[[#This Row],[Fecha]]),MONTH(T_Stocks[[#This Row],[Fecha]]),DAY(T_Stocks[[#This Row],[Fecha]]))</f>
        <v>AAPL-45499</v>
      </c>
    </row>
    <row r="1383" spans="1:4" ht="14.65" thickBot="1" x14ac:dyDescent="0.5">
      <c r="A1383" s="17">
        <v>45502.666666666664</v>
      </c>
      <c r="B1383" s="19">
        <v>218.24</v>
      </c>
      <c r="C1383" t="s">
        <v>38</v>
      </c>
      <c r="D1383" t="str">
        <f>T_Stocks[[#This Row],[Ticker]] &amp; "-" &amp; DATE(YEAR(T_Stocks[[#This Row],[Fecha]]),MONTH(T_Stocks[[#This Row],[Fecha]]),DAY(T_Stocks[[#This Row],[Fecha]]))</f>
        <v>AAPL-45502</v>
      </c>
    </row>
    <row r="1384" spans="1:4" ht="14.65" thickBot="1" x14ac:dyDescent="0.5">
      <c r="A1384" s="17">
        <v>45503.666666666664</v>
      </c>
      <c r="B1384" s="19">
        <v>218.8</v>
      </c>
      <c r="C1384" t="s">
        <v>38</v>
      </c>
      <c r="D1384" t="str">
        <f>T_Stocks[[#This Row],[Ticker]] &amp; "-" &amp; DATE(YEAR(T_Stocks[[#This Row],[Fecha]]),MONTH(T_Stocks[[#This Row],[Fecha]]),DAY(T_Stocks[[#This Row],[Fecha]]))</f>
        <v>AAPL-45503</v>
      </c>
    </row>
    <row r="1385" spans="1:4" ht="14.65" thickBot="1" x14ac:dyDescent="0.5">
      <c r="A1385" s="17">
        <v>45504.666666666664</v>
      </c>
      <c r="B1385" s="19">
        <v>222.08</v>
      </c>
      <c r="C1385" t="s">
        <v>38</v>
      </c>
      <c r="D1385" t="str">
        <f>T_Stocks[[#This Row],[Ticker]] &amp; "-" &amp; DATE(YEAR(T_Stocks[[#This Row],[Fecha]]),MONTH(T_Stocks[[#This Row],[Fecha]]),DAY(T_Stocks[[#This Row],[Fecha]]))</f>
        <v>AAPL-45504</v>
      </c>
    </row>
    <row r="1386" spans="1:4" ht="14.65" thickBot="1" x14ac:dyDescent="0.5">
      <c r="A1386" s="17">
        <v>45505.666666666664</v>
      </c>
      <c r="B1386" s="19">
        <v>218.36</v>
      </c>
      <c r="C1386" t="s">
        <v>38</v>
      </c>
      <c r="D1386" t="str">
        <f>T_Stocks[[#This Row],[Ticker]] &amp; "-" &amp; DATE(YEAR(T_Stocks[[#This Row],[Fecha]]),MONTH(T_Stocks[[#This Row],[Fecha]]),DAY(T_Stocks[[#This Row],[Fecha]]))</f>
        <v>AAPL-45505</v>
      </c>
    </row>
    <row r="1387" spans="1:4" ht="14.65" thickBot="1" x14ac:dyDescent="0.5">
      <c r="A1387" s="17">
        <v>45506.666666666664</v>
      </c>
      <c r="B1387" s="19">
        <v>219.86</v>
      </c>
      <c r="C1387" t="s">
        <v>38</v>
      </c>
      <c r="D1387" t="str">
        <f>T_Stocks[[#This Row],[Ticker]] &amp; "-" &amp; DATE(YEAR(T_Stocks[[#This Row],[Fecha]]),MONTH(T_Stocks[[#This Row],[Fecha]]),DAY(T_Stocks[[#This Row],[Fecha]]))</f>
        <v>AAPL-45506</v>
      </c>
    </row>
    <row r="1388" spans="1:4" ht="14.65" thickBot="1" x14ac:dyDescent="0.5">
      <c r="A1388" s="17">
        <v>45509.666666666664</v>
      </c>
      <c r="B1388" s="19">
        <v>209.27</v>
      </c>
      <c r="C1388" t="s">
        <v>38</v>
      </c>
      <c r="D1388" t="str">
        <f>T_Stocks[[#This Row],[Ticker]] &amp; "-" &amp; DATE(YEAR(T_Stocks[[#This Row],[Fecha]]),MONTH(T_Stocks[[#This Row],[Fecha]]),DAY(T_Stocks[[#This Row],[Fecha]]))</f>
        <v>AAPL-45509</v>
      </c>
    </row>
    <row r="1389" spans="1:4" ht="14.65" thickBot="1" x14ac:dyDescent="0.5">
      <c r="A1389" s="17">
        <v>45510.666666666664</v>
      </c>
      <c r="B1389" s="19">
        <v>207.23</v>
      </c>
      <c r="C1389" t="s">
        <v>38</v>
      </c>
      <c r="D1389" t="str">
        <f>T_Stocks[[#This Row],[Ticker]] &amp; "-" &amp; DATE(YEAR(T_Stocks[[#This Row],[Fecha]]),MONTH(T_Stocks[[#This Row],[Fecha]]),DAY(T_Stocks[[#This Row],[Fecha]]))</f>
        <v>AAPL-45510</v>
      </c>
    </row>
    <row r="1390" spans="1:4" ht="14.65" thickBot="1" x14ac:dyDescent="0.5">
      <c r="A1390" s="17">
        <v>45511.666666666664</v>
      </c>
      <c r="B1390" s="19">
        <v>209.82</v>
      </c>
      <c r="C1390" t="s">
        <v>38</v>
      </c>
      <c r="D1390" t="str">
        <f>T_Stocks[[#This Row],[Ticker]] &amp; "-" &amp; DATE(YEAR(T_Stocks[[#This Row],[Fecha]]),MONTH(T_Stocks[[#This Row],[Fecha]]),DAY(T_Stocks[[#This Row],[Fecha]]))</f>
        <v>AAPL-45511</v>
      </c>
    </row>
    <row r="1391" spans="1:4" ht="14.65" thickBot="1" x14ac:dyDescent="0.5">
      <c r="A1391" s="17">
        <v>45512.666666666664</v>
      </c>
      <c r="B1391" s="19">
        <v>213.31</v>
      </c>
      <c r="C1391" t="s">
        <v>38</v>
      </c>
      <c r="D1391" t="str">
        <f>T_Stocks[[#This Row],[Ticker]] &amp; "-" &amp; DATE(YEAR(T_Stocks[[#This Row],[Fecha]]),MONTH(T_Stocks[[#This Row],[Fecha]]),DAY(T_Stocks[[#This Row],[Fecha]]))</f>
        <v>AAPL-45512</v>
      </c>
    </row>
    <row r="1392" spans="1:4" ht="14.65" thickBot="1" x14ac:dyDescent="0.5">
      <c r="A1392" s="17">
        <v>45513.666666666664</v>
      </c>
      <c r="B1392" s="19">
        <v>216.24</v>
      </c>
      <c r="C1392" t="s">
        <v>38</v>
      </c>
      <c r="D1392" t="str">
        <f>T_Stocks[[#This Row],[Ticker]] &amp; "-" &amp; DATE(YEAR(T_Stocks[[#This Row],[Fecha]]),MONTH(T_Stocks[[#This Row],[Fecha]]),DAY(T_Stocks[[#This Row],[Fecha]]))</f>
        <v>AAPL-45513</v>
      </c>
    </row>
    <row r="1393" spans="1:4" ht="14.65" thickBot="1" x14ac:dyDescent="0.5">
      <c r="A1393" s="17">
        <v>45516.666666666664</v>
      </c>
      <c r="B1393" s="19">
        <v>217.53</v>
      </c>
      <c r="C1393" t="s">
        <v>38</v>
      </c>
      <c r="D1393" t="str">
        <f>T_Stocks[[#This Row],[Ticker]] &amp; "-" &amp; DATE(YEAR(T_Stocks[[#This Row],[Fecha]]),MONTH(T_Stocks[[#This Row],[Fecha]]),DAY(T_Stocks[[#This Row],[Fecha]]))</f>
        <v>AAPL-45516</v>
      </c>
    </row>
    <row r="1394" spans="1:4" ht="14.65" thickBot="1" x14ac:dyDescent="0.5">
      <c r="A1394" s="17">
        <v>45517.666666666664</v>
      </c>
      <c r="B1394" s="19">
        <v>221.27</v>
      </c>
      <c r="C1394" t="s">
        <v>38</v>
      </c>
      <c r="D1394" t="str">
        <f>T_Stocks[[#This Row],[Ticker]] &amp; "-" &amp; DATE(YEAR(T_Stocks[[#This Row],[Fecha]]),MONTH(T_Stocks[[#This Row],[Fecha]]),DAY(T_Stocks[[#This Row],[Fecha]]))</f>
        <v>AAPL-45517</v>
      </c>
    </row>
    <row r="1395" spans="1:4" ht="14.65" thickBot="1" x14ac:dyDescent="0.5">
      <c r="A1395" s="17">
        <v>45518.666666666664</v>
      </c>
      <c r="B1395" s="19">
        <v>221.72</v>
      </c>
      <c r="C1395" t="s">
        <v>38</v>
      </c>
      <c r="D1395" t="str">
        <f>T_Stocks[[#This Row],[Ticker]] &amp; "-" &amp; DATE(YEAR(T_Stocks[[#This Row],[Fecha]]),MONTH(T_Stocks[[#This Row],[Fecha]]),DAY(T_Stocks[[#This Row],[Fecha]]))</f>
        <v>AAPL-45518</v>
      </c>
    </row>
    <row r="1396" spans="1:4" ht="14.65" thickBot="1" x14ac:dyDescent="0.5">
      <c r="A1396" s="17">
        <v>45519.666666666664</v>
      </c>
      <c r="B1396" s="19">
        <v>224.72</v>
      </c>
      <c r="C1396" t="s">
        <v>38</v>
      </c>
      <c r="D1396" t="str">
        <f>T_Stocks[[#This Row],[Ticker]] &amp; "-" &amp; DATE(YEAR(T_Stocks[[#This Row],[Fecha]]),MONTH(T_Stocks[[#This Row],[Fecha]]),DAY(T_Stocks[[#This Row],[Fecha]]))</f>
        <v>AAPL-45519</v>
      </c>
    </row>
    <row r="1397" spans="1:4" ht="14.65" thickBot="1" x14ac:dyDescent="0.5">
      <c r="A1397" s="17">
        <v>45520.666666666664</v>
      </c>
      <c r="B1397" s="19">
        <v>226.05</v>
      </c>
      <c r="C1397" t="s">
        <v>38</v>
      </c>
      <c r="D1397" t="str">
        <f>T_Stocks[[#This Row],[Ticker]] &amp; "-" &amp; DATE(YEAR(T_Stocks[[#This Row],[Fecha]]),MONTH(T_Stocks[[#This Row],[Fecha]]),DAY(T_Stocks[[#This Row],[Fecha]]))</f>
        <v>AAPL-45520</v>
      </c>
    </row>
    <row r="1398" spans="1:4" ht="14.65" thickBot="1" x14ac:dyDescent="0.5">
      <c r="A1398" s="17">
        <v>45523.666666666664</v>
      </c>
      <c r="B1398" s="19">
        <v>225.89</v>
      </c>
      <c r="C1398" t="s">
        <v>38</v>
      </c>
      <c r="D1398" t="str">
        <f>T_Stocks[[#This Row],[Ticker]] &amp; "-" &amp; DATE(YEAR(T_Stocks[[#This Row],[Fecha]]),MONTH(T_Stocks[[#This Row],[Fecha]]),DAY(T_Stocks[[#This Row],[Fecha]]))</f>
        <v>AAPL-45523</v>
      </c>
    </row>
    <row r="1399" spans="1:4" ht="14.65" thickBot="1" x14ac:dyDescent="0.5">
      <c r="A1399" s="17">
        <v>45524.666666666664</v>
      </c>
      <c r="B1399" s="19">
        <v>226.51</v>
      </c>
      <c r="C1399" t="s">
        <v>38</v>
      </c>
      <c r="D1399" t="str">
        <f>T_Stocks[[#This Row],[Ticker]] &amp; "-" &amp; DATE(YEAR(T_Stocks[[#This Row],[Fecha]]),MONTH(T_Stocks[[#This Row],[Fecha]]),DAY(T_Stocks[[#This Row],[Fecha]]))</f>
        <v>AAPL-45524</v>
      </c>
    </row>
    <row r="1400" spans="1:4" ht="14.65" thickBot="1" x14ac:dyDescent="0.5">
      <c r="A1400" s="17">
        <v>45525.666666666664</v>
      </c>
      <c r="B1400" s="19">
        <v>226.4</v>
      </c>
      <c r="C1400" t="s">
        <v>38</v>
      </c>
      <c r="D1400" t="str">
        <f>T_Stocks[[#This Row],[Ticker]] &amp; "-" &amp; DATE(YEAR(T_Stocks[[#This Row],[Fecha]]),MONTH(T_Stocks[[#This Row],[Fecha]]),DAY(T_Stocks[[#This Row],[Fecha]]))</f>
        <v>AAPL-45525</v>
      </c>
    </row>
    <row r="1401" spans="1:4" ht="14.65" thickBot="1" x14ac:dyDescent="0.5">
      <c r="A1401" s="17">
        <v>45526.666666666664</v>
      </c>
      <c r="B1401" s="19">
        <v>224.53</v>
      </c>
      <c r="C1401" t="s">
        <v>38</v>
      </c>
      <c r="D1401" t="str">
        <f>T_Stocks[[#This Row],[Ticker]] &amp; "-" &amp; DATE(YEAR(T_Stocks[[#This Row],[Fecha]]),MONTH(T_Stocks[[#This Row],[Fecha]]),DAY(T_Stocks[[#This Row],[Fecha]]))</f>
        <v>AAPL-45526</v>
      </c>
    </row>
    <row r="1402" spans="1:4" ht="14.65" thickBot="1" x14ac:dyDescent="0.5">
      <c r="A1402" s="17">
        <v>45527.666666666664</v>
      </c>
      <c r="B1402" s="19">
        <v>226.84</v>
      </c>
      <c r="C1402" t="s">
        <v>38</v>
      </c>
      <c r="D1402" t="str">
        <f>T_Stocks[[#This Row],[Ticker]] &amp; "-" &amp; DATE(YEAR(T_Stocks[[#This Row],[Fecha]]),MONTH(T_Stocks[[#This Row],[Fecha]]),DAY(T_Stocks[[#This Row],[Fecha]]))</f>
        <v>AAPL-45527</v>
      </c>
    </row>
    <row r="1403" spans="1:4" ht="14.65" thickBot="1" x14ac:dyDescent="0.5">
      <c r="A1403" s="17">
        <v>45530.666666666664</v>
      </c>
      <c r="B1403" s="19">
        <v>227.18</v>
      </c>
      <c r="C1403" t="s">
        <v>38</v>
      </c>
      <c r="D1403" t="str">
        <f>T_Stocks[[#This Row],[Ticker]] &amp; "-" &amp; DATE(YEAR(T_Stocks[[#This Row],[Fecha]]),MONTH(T_Stocks[[#This Row],[Fecha]]),DAY(T_Stocks[[#This Row],[Fecha]]))</f>
        <v>AAPL-45530</v>
      </c>
    </row>
    <row r="1404" spans="1:4" ht="14.65" thickBot="1" x14ac:dyDescent="0.5">
      <c r="A1404" s="17">
        <v>45531.666666666664</v>
      </c>
      <c r="B1404" s="19">
        <v>228.03</v>
      </c>
      <c r="C1404" t="s">
        <v>38</v>
      </c>
      <c r="D1404" t="str">
        <f>T_Stocks[[#This Row],[Ticker]] &amp; "-" &amp; DATE(YEAR(T_Stocks[[#This Row],[Fecha]]),MONTH(T_Stocks[[#This Row],[Fecha]]),DAY(T_Stocks[[#This Row],[Fecha]]))</f>
        <v>AAPL-45531</v>
      </c>
    </row>
    <row r="1405" spans="1:4" ht="14.65" thickBot="1" x14ac:dyDescent="0.5">
      <c r="A1405" s="17">
        <v>45532.666666666664</v>
      </c>
      <c r="B1405" s="19">
        <v>226.49</v>
      </c>
      <c r="C1405" t="s">
        <v>38</v>
      </c>
      <c r="D1405" t="str">
        <f>T_Stocks[[#This Row],[Ticker]] &amp; "-" &amp; DATE(YEAR(T_Stocks[[#This Row],[Fecha]]),MONTH(T_Stocks[[#This Row],[Fecha]]),DAY(T_Stocks[[#This Row],[Fecha]]))</f>
        <v>AAPL-45532</v>
      </c>
    </row>
    <row r="1406" spans="1:4" ht="14.65" thickBot="1" x14ac:dyDescent="0.5">
      <c r="A1406" s="17">
        <v>45533.666666666664</v>
      </c>
      <c r="B1406" s="19">
        <v>229.79</v>
      </c>
      <c r="C1406" t="s">
        <v>38</v>
      </c>
      <c r="D1406" t="str">
        <f>T_Stocks[[#This Row],[Ticker]] &amp; "-" &amp; DATE(YEAR(T_Stocks[[#This Row],[Fecha]]),MONTH(T_Stocks[[#This Row],[Fecha]]),DAY(T_Stocks[[#This Row],[Fecha]]))</f>
        <v>AAPL-45533</v>
      </c>
    </row>
    <row r="1407" spans="1:4" ht="14.65" thickBot="1" x14ac:dyDescent="0.5">
      <c r="A1407" s="17">
        <v>45534.666666666664</v>
      </c>
      <c r="B1407" s="19">
        <v>229</v>
      </c>
      <c r="C1407" t="s">
        <v>38</v>
      </c>
      <c r="D1407" t="str">
        <f>T_Stocks[[#This Row],[Ticker]] &amp; "-" &amp; DATE(YEAR(T_Stocks[[#This Row],[Fecha]]),MONTH(T_Stocks[[#This Row],[Fecha]]),DAY(T_Stocks[[#This Row],[Fecha]]))</f>
        <v>AAPL-45534</v>
      </c>
    </row>
    <row r="1408" spans="1:4" ht="14.65" thickBot="1" x14ac:dyDescent="0.5">
      <c r="A1408" s="17">
        <v>45538.666666666664</v>
      </c>
      <c r="B1408" s="19">
        <v>222.77</v>
      </c>
      <c r="C1408" t="s">
        <v>38</v>
      </c>
      <c r="D1408" t="str">
        <f>T_Stocks[[#This Row],[Ticker]] &amp; "-" &amp; DATE(YEAR(T_Stocks[[#This Row],[Fecha]]),MONTH(T_Stocks[[#This Row],[Fecha]]),DAY(T_Stocks[[#This Row],[Fecha]]))</f>
        <v>AAPL-45538</v>
      </c>
    </row>
    <row r="1409" spans="1:4" ht="14.65" thickBot="1" x14ac:dyDescent="0.5">
      <c r="A1409" s="17">
        <v>45539.666666666664</v>
      </c>
      <c r="B1409" s="19">
        <v>220.85</v>
      </c>
      <c r="C1409" t="s">
        <v>38</v>
      </c>
      <c r="D1409" t="str">
        <f>T_Stocks[[#This Row],[Ticker]] &amp; "-" &amp; DATE(YEAR(T_Stocks[[#This Row],[Fecha]]),MONTH(T_Stocks[[#This Row],[Fecha]]),DAY(T_Stocks[[#This Row],[Fecha]]))</f>
        <v>AAPL-45539</v>
      </c>
    </row>
    <row r="1410" spans="1:4" ht="14.65" thickBot="1" x14ac:dyDescent="0.5">
      <c r="A1410" s="17">
        <v>45540.666666666664</v>
      </c>
      <c r="B1410" s="19">
        <v>222.38</v>
      </c>
      <c r="C1410" t="s">
        <v>38</v>
      </c>
      <c r="D1410" t="str">
        <f>T_Stocks[[#This Row],[Ticker]] &amp; "-" &amp; DATE(YEAR(T_Stocks[[#This Row],[Fecha]]),MONTH(T_Stocks[[#This Row],[Fecha]]),DAY(T_Stocks[[#This Row],[Fecha]]))</f>
        <v>AAPL-45540</v>
      </c>
    </row>
    <row r="1411" spans="1:4" ht="14.65" thickBot="1" x14ac:dyDescent="0.5">
      <c r="A1411" s="17">
        <v>45541.666666666664</v>
      </c>
      <c r="B1411" s="19">
        <v>220.82</v>
      </c>
      <c r="C1411" t="s">
        <v>38</v>
      </c>
      <c r="D1411" t="str">
        <f>T_Stocks[[#This Row],[Ticker]] &amp; "-" &amp; DATE(YEAR(T_Stocks[[#This Row],[Fecha]]),MONTH(T_Stocks[[#This Row],[Fecha]]),DAY(T_Stocks[[#This Row],[Fecha]]))</f>
        <v>AAPL-45541</v>
      </c>
    </row>
    <row r="1412" spans="1:4" ht="14.65" thickBot="1" x14ac:dyDescent="0.5">
      <c r="A1412" s="17">
        <v>45544.666666666664</v>
      </c>
      <c r="B1412" s="19">
        <v>220.91</v>
      </c>
      <c r="C1412" t="s">
        <v>38</v>
      </c>
      <c r="D1412" t="str">
        <f>T_Stocks[[#This Row],[Ticker]] &amp; "-" &amp; DATE(YEAR(T_Stocks[[#This Row],[Fecha]]),MONTH(T_Stocks[[#This Row],[Fecha]]),DAY(T_Stocks[[#This Row],[Fecha]]))</f>
        <v>AAPL-45544</v>
      </c>
    </row>
    <row r="1413" spans="1:4" ht="14.65" thickBot="1" x14ac:dyDescent="0.5">
      <c r="A1413" s="17">
        <v>45545.666666666664</v>
      </c>
      <c r="B1413" s="19">
        <v>220.11</v>
      </c>
      <c r="C1413" t="s">
        <v>38</v>
      </c>
      <c r="D1413" t="str">
        <f>T_Stocks[[#This Row],[Ticker]] &amp; "-" &amp; DATE(YEAR(T_Stocks[[#This Row],[Fecha]]),MONTH(T_Stocks[[#This Row],[Fecha]]),DAY(T_Stocks[[#This Row],[Fecha]]))</f>
        <v>AAPL-45545</v>
      </c>
    </row>
    <row r="1414" spans="1:4" ht="14.65" thickBot="1" x14ac:dyDescent="0.5">
      <c r="A1414" s="17">
        <v>45546.666666666664</v>
      </c>
      <c r="B1414" s="19">
        <v>222.66</v>
      </c>
      <c r="C1414" t="s">
        <v>38</v>
      </c>
      <c r="D1414" t="str">
        <f>T_Stocks[[#This Row],[Ticker]] &amp; "-" &amp; DATE(YEAR(T_Stocks[[#This Row],[Fecha]]),MONTH(T_Stocks[[#This Row],[Fecha]]),DAY(T_Stocks[[#This Row],[Fecha]]))</f>
        <v>AAPL-45546</v>
      </c>
    </row>
    <row r="1415" spans="1:4" ht="14.65" thickBot="1" x14ac:dyDescent="0.5">
      <c r="A1415" s="17">
        <v>45547.666666666664</v>
      </c>
      <c r="B1415" s="19">
        <v>222.77</v>
      </c>
      <c r="C1415" t="s">
        <v>38</v>
      </c>
      <c r="D1415" t="str">
        <f>T_Stocks[[#This Row],[Ticker]] &amp; "-" &amp; DATE(YEAR(T_Stocks[[#This Row],[Fecha]]),MONTH(T_Stocks[[#This Row],[Fecha]]),DAY(T_Stocks[[#This Row],[Fecha]]))</f>
        <v>AAPL-45547</v>
      </c>
    </row>
    <row r="1416" spans="1:4" ht="14.65" thickBot="1" x14ac:dyDescent="0.5">
      <c r="A1416" s="17">
        <v>45548.666666666664</v>
      </c>
      <c r="B1416" s="19">
        <v>222.5</v>
      </c>
      <c r="C1416" t="s">
        <v>38</v>
      </c>
      <c r="D1416" t="str">
        <f>T_Stocks[[#This Row],[Ticker]] &amp; "-" &amp; DATE(YEAR(T_Stocks[[#This Row],[Fecha]]),MONTH(T_Stocks[[#This Row],[Fecha]]),DAY(T_Stocks[[#This Row],[Fecha]]))</f>
        <v>AAPL-45548</v>
      </c>
    </row>
    <row r="1417" spans="1:4" ht="14.65" thickBot="1" x14ac:dyDescent="0.5">
      <c r="A1417" s="17">
        <v>45551.666666666664</v>
      </c>
      <c r="B1417" s="19">
        <v>216.32</v>
      </c>
      <c r="C1417" t="s">
        <v>38</v>
      </c>
      <c r="D1417" t="str">
        <f>T_Stocks[[#This Row],[Ticker]] &amp; "-" &amp; DATE(YEAR(T_Stocks[[#This Row],[Fecha]]),MONTH(T_Stocks[[#This Row],[Fecha]]),DAY(T_Stocks[[#This Row],[Fecha]]))</f>
        <v>AAPL-45551</v>
      </c>
    </row>
    <row r="1418" spans="1:4" ht="14.65" thickBot="1" x14ac:dyDescent="0.5">
      <c r="A1418" s="17">
        <v>45552.666666666664</v>
      </c>
      <c r="B1418" s="19">
        <v>216.79</v>
      </c>
      <c r="C1418" t="s">
        <v>38</v>
      </c>
      <c r="D1418" t="str">
        <f>T_Stocks[[#This Row],[Ticker]] &amp; "-" &amp; DATE(YEAR(T_Stocks[[#This Row],[Fecha]]),MONTH(T_Stocks[[#This Row],[Fecha]]),DAY(T_Stocks[[#This Row],[Fecha]]))</f>
        <v>AAPL-45552</v>
      </c>
    </row>
    <row r="1419" spans="1:4" ht="14.65" thickBot="1" x14ac:dyDescent="0.5">
      <c r="A1419" s="17">
        <v>45553.666666666664</v>
      </c>
      <c r="B1419" s="19">
        <v>220.69</v>
      </c>
      <c r="C1419" t="s">
        <v>38</v>
      </c>
      <c r="D1419" t="str">
        <f>T_Stocks[[#This Row],[Ticker]] &amp; "-" &amp; DATE(YEAR(T_Stocks[[#This Row],[Fecha]]),MONTH(T_Stocks[[#This Row],[Fecha]]),DAY(T_Stocks[[#This Row],[Fecha]]))</f>
        <v>AAPL-45553</v>
      </c>
    </row>
    <row r="1420" spans="1:4" ht="14.65" thickBot="1" x14ac:dyDescent="0.5">
      <c r="A1420" s="17">
        <v>45554.666666666664</v>
      </c>
      <c r="B1420" s="19">
        <v>228.87</v>
      </c>
      <c r="C1420" t="s">
        <v>38</v>
      </c>
      <c r="D1420" t="str">
        <f>T_Stocks[[#This Row],[Ticker]] &amp; "-" &amp; DATE(YEAR(T_Stocks[[#This Row],[Fecha]]),MONTH(T_Stocks[[#This Row],[Fecha]]),DAY(T_Stocks[[#This Row],[Fecha]]))</f>
        <v>AAPL-45554</v>
      </c>
    </row>
    <row r="1421" spans="1:4" ht="14.65" thickBot="1" x14ac:dyDescent="0.5">
      <c r="A1421" s="17">
        <v>45555.666666666664</v>
      </c>
      <c r="B1421" s="19">
        <v>228.2</v>
      </c>
      <c r="C1421" t="s">
        <v>38</v>
      </c>
      <c r="D1421" t="str">
        <f>T_Stocks[[#This Row],[Ticker]] &amp; "-" &amp; DATE(YEAR(T_Stocks[[#This Row],[Fecha]]),MONTH(T_Stocks[[#This Row],[Fecha]]),DAY(T_Stocks[[#This Row],[Fecha]]))</f>
        <v>AAPL-45555</v>
      </c>
    </row>
    <row r="1422" spans="1:4" ht="14.65" thickBot="1" x14ac:dyDescent="0.5">
      <c r="A1422" s="17">
        <v>45558.666666666664</v>
      </c>
      <c r="B1422" s="19">
        <v>226.47</v>
      </c>
      <c r="C1422" t="s">
        <v>38</v>
      </c>
      <c r="D1422" t="str">
        <f>T_Stocks[[#This Row],[Ticker]] &amp; "-" &amp; DATE(YEAR(T_Stocks[[#This Row],[Fecha]]),MONTH(T_Stocks[[#This Row],[Fecha]]),DAY(T_Stocks[[#This Row],[Fecha]]))</f>
        <v>AAPL-45558</v>
      </c>
    </row>
    <row r="1423" spans="1:4" ht="14.65" thickBot="1" x14ac:dyDescent="0.5">
      <c r="A1423" s="17">
        <v>45559.666666666664</v>
      </c>
      <c r="B1423" s="19">
        <v>227.37</v>
      </c>
      <c r="C1423" t="s">
        <v>38</v>
      </c>
      <c r="D1423" t="str">
        <f>T_Stocks[[#This Row],[Ticker]] &amp; "-" &amp; DATE(YEAR(T_Stocks[[#This Row],[Fecha]]),MONTH(T_Stocks[[#This Row],[Fecha]]),DAY(T_Stocks[[#This Row],[Fecha]]))</f>
        <v>AAPL-45559</v>
      </c>
    </row>
    <row r="1424" spans="1:4" ht="14.65" thickBot="1" x14ac:dyDescent="0.5">
      <c r="A1424" s="17">
        <v>45560.666666666664</v>
      </c>
      <c r="B1424" s="19">
        <v>226.37</v>
      </c>
      <c r="C1424" t="s">
        <v>38</v>
      </c>
      <c r="D1424" t="str">
        <f>T_Stocks[[#This Row],[Ticker]] &amp; "-" &amp; DATE(YEAR(T_Stocks[[#This Row],[Fecha]]),MONTH(T_Stocks[[#This Row],[Fecha]]),DAY(T_Stocks[[#This Row],[Fecha]]))</f>
        <v>AAPL-45560</v>
      </c>
    </row>
    <row r="1425" spans="1:4" ht="14.65" thickBot="1" x14ac:dyDescent="0.5">
      <c r="A1425" s="17">
        <v>45561.666666666664</v>
      </c>
      <c r="B1425" s="19">
        <v>227.52</v>
      </c>
      <c r="C1425" t="s">
        <v>38</v>
      </c>
      <c r="D1425" t="str">
        <f>T_Stocks[[#This Row],[Ticker]] &amp; "-" &amp; DATE(YEAR(T_Stocks[[#This Row],[Fecha]]),MONTH(T_Stocks[[#This Row],[Fecha]]),DAY(T_Stocks[[#This Row],[Fecha]]))</f>
        <v>AAPL-45561</v>
      </c>
    </row>
    <row r="1426" spans="1:4" ht="14.65" thickBot="1" x14ac:dyDescent="0.5">
      <c r="A1426" s="17">
        <v>45562.666666666664</v>
      </c>
      <c r="B1426" s="19">
        <v>227.79</v>
      </c>
      <c r="C1426" t="s">
        <v>38</v>
      </c>
      <c r="D1426" t="str">
        <f>T_Stocks[[#This Row],[Ticker]] &amp; "-" &amp; DATE(YEAR(T_Stocks[[#This Row],[Fecha]]),MONTH(T_Stocks[[#This Row],[Fecha]]),DAY(T_Stocks[[#This Row],[Fecha]]))</f>
        <v>AAPL-45562</v>
      </c>
    </row>
    <row r="1427" spans="1:4" ht="14.65" thickBot="1" x14ac:dyDescent="0.5">
      <c r="A1427" s="17">
        <v>45565.666666666664</v>
      </c>
      <c r="B1427" s="19">
        <v>233</v>
      </c>
      <c r="C1427" t="s">
        <v>38</v>
      </c>
      <c r="D1427" t="str">
        <f>T_Stocks[[#This Row],[Ticker]] &amp; "-" &amp; DATE(YEAR(T_Stocks[[#This Row],[Fecha]]),MONTH(T_Stocks[[#This Row],[Fecha]]),DAY(T_Stocks[[#This Row],[Fecha]]))</f>
        <v>AAPL-45565</v>
      </c>
    </row>
    <row r="1428" spans="1:4" ht="14.65" thickBot="1" x14ac:dyDescent="0.5">
      <c r="A1428" s="17">
        <v>45566.666666666664</v>
      </c>
      <c r="B1428" s="19">
        <v>226.21</v>
      </c>
      <c r="C1428" t="s">
        <v>38</v>
      </c>
      <c r="D1428" t="str">
        <f>T_Stocks[[#This Row],[Ticker]] &amp; "-" &amp; DATE(YEAR(T_Stocks[[#This Row],[Fecha]]),MONTH(T_Stocks[[#This Row],[Fecha]]),DAY(T_Stocks[[#This Row],[Fecha]]))</f>
        <v>AAPL-45566</v>
      </c>
    </row>
    <row r="1429" spans="1:4" ht="14.65" thickBot="1" x14ac:dyDescent="0.5">
      <c r="A1429" s="17">
        <v>45567.666666666664</v>
      </c>
      <c r="B1429" s="19">
        <v>226.78</v>
      </c>
      <c r="C1429" t="s">
        <v>38</v>
      </c>
      <c r="D1429" t="str">
        <f>T_Stocks[[#This Row],[Ticker]] &amp; "-" &amp; DATE(YEAR(T_Stocks[[#This Row],[Fecha]]),MONTH(T_Stocks[[#This Row],[Fecha]]),DAY(T_Stocks[[#This Row],[Fecha]]))</f>
        <v>AAPL-45567</v>
      </c>
    </row>
    <row r="1430" spans="1:4" ht="14.65" thickBot="1" x14ac:dyDescent="0.5">
      <c r="A1430" s="17">
        <v>45568.666666666664</v>
      </c>
      <c r="B1430" s="19">
        <v>225.67</v>
      </c>
      <c r="C1430" t="s">
        <v>38</v>
      </c>
      <c r="D1430" t="str">
        <f>T_Stocks[[#This Row],[Ticker]] &amp; "-" &amp; DATE(YEAR(T_Stocks[[#This Row],[Fecha]]),MONTH(T_Stocks[[#This Row],[Fecha]]),DAY(T_Stocks[[#This Row],[Fecha]]))</f>
        <v>AAPL-45568</v>
      </c>
    </row>
    <row r="1431" spans="1:4" ht="14.65" thickBot="1" x14ac:dyDescent="0.5">
      <c r="A1431" s="17">
        <v>45569.666666666664</v>
      </c>
      <c r="B1431" s="19">
        <v>226.8</v>
      </c>
      <c r="C1431" t="s">
        <v>38</v>
      </c>
      <c r="D1431" t="str">
        <f>T_Stocks[[#This Row],[Ticker]] &amp; "-" &amp; DATE(YEAR(T_Stocks[[#This Row],[Fecha]]),MONTH(T_Stocks[[#This Row],[Fecha]]),DAY(T_Stocks[[#This Row],[Fecha]]))</f>
        <v>AAPL-45569</v>
      </c>
    </row>
    <row r="1432" spans="1:4" ht="14.65" thickBot="1" x14ac:dyDescent="0.5">
      <c r="A1432" s="17">
        <v>45572.666666666664</v>
      </c>
      <c r="B1432" s="19">
        <v>221.69</v>
      </c>
      <c r="C1432" t="s">
        <v>38</v>
      </c>
      <c r="D1432" t="str">
        <f>T_Stocks[[#This Row],[Ticker]] &amp; "-" &amp; DATE(YEAR(T_Stocks[[#This Row],[Fecha]]),MONTH(T_Stocks[[#This Row],[Fecha]]),DAY(T_Stocks[[#This Row],[Fecha]]))</f>
        <v>AAPL-45572</v>
      </c>
    </row>
    <row r="1433" spans="1:4" ht="14.65" thickBot="1" x14ac:dyDescent="0.5">
      <c r="A1433" s="17">
        <v>45573.666666666664</v>
      </c>
      <c r="B1433" s="19">
        <v>225.77</v>
      </c>
      <c r="C1433" t="s">
        <v>38</v>
      </c>
      <c r="D1433" t="str">
        <f>T_Stocks[[#This Row],[Ticker]] &amp; "-" &amp; DATE(YEAR(T_Stocks[[#This Row],[Fecha]]),MONTH(T_Stocks[[#This Row],[Fecha]]),DAY(T_Stocks[[#This Row],[Fecha]]))</f>
        <v>AAPL-45573</v>
      </c>
    </row>
    <row r="1434" spans="1:4" ht="14.65" thickBot="1" x14ac:dyDescent="0.5">
      <c r="A1434" s="17">
        <v>45574.666666666664</v>
      </c>
      <c r="B1434" s="19">
        <v>229.54</v>
      </c>
      <c r="C1434" t="s">
        <v>38</v>
      </c>
      <c r="D1434" t="str">
        <f>T_Stocks[[#This Row],[Ticker]] &amp; "-" &amp; DATE(YEAR(T_Stocks[[#This Row],[Fecha]]),MONTH(T_Stocks[[#This Row],[Fecha]]),DAY(T_Stocks[[#This Row],[Fecha]]))</f>
        <v>AAPL-45574</v>
      </c>
    </row>
    <row r="1435" spans="1:4" ht="14.65" thickBot="1" x14ac:dyDescent="0.5">
      <c r="A1435" s="17">
        <v>45575.666666666664</v>
      </c>
      <c r="B1435" s="19">
        <v>229.04</v>
      </c>
      <c r="C1435" t="s">
        <v>38</v>
      </c>
      <c r="D1435" t="str">
        <f>T_Stocks[[#This Row],[Ticker]] &amp; "-" &amp; DATE(YEAR(T_Stocks[[#This Row],[Fecha]]),MONTH(T_Stocks[[#This Row],[Fecha]]),DAY(T_Stocks[[#This Row],[Fecha]]))</f>
        <v>AAPL-45575</v>
      </c>
    </row>
    <row r="1436" spans="1:4" ht="14.65" thickBot="1" x14ac:dyDescent="0.5">
      <c r="A1436" s="17">
        <v>45576.666666666664</v>
      </c>
      <c r="B1436" s="19">
        <v>227.55</v>
      </c>
      <c r="C1436" t="s">
        <v>38</v>
      </c>
      <c r="D1436" t="str">
        <f>T_Stocks[[#This Row],[Ticker]] &amp; "-" &amp; DATE(YEAR(T_Stocks[[#This Row],[Fecha]]),MONTH(T_Stocks[[#This Row],[Fecha]]),DAY(T_Stocks[[#This Row],[Fecha]]))</f>
        <v>AAPL-45576</v>
      </c>
    </row>
    <row r="1437" spans="1:4" ht="14.65" thickBot="1" x14ac:dyDescent="0.5">
      <c r="A1437" s="17">
        <v>45579.666666666664</v>
      </c>
      <c r="B1437" s="19">
        <v>231.3</v>
      </c>
      <c r="C1437" t="s">
        <v>38</v>
      </c>
      <c r="D1437" t="str">
        <f>T_Stocks[[#This Row],[Ticker]] &amp; "-" &amp; DATE(YEAR(T_Stocks[[#This Row],[Fecha]]),MONTH(T_Stocks[[#This Row],[Fecha]]),DAY(T_Stocks[[#This Row],[Fecha]]))</f>
        <v>AAPL-45579</v>
      </c>
    </row>
    <row r="1438" spans="1:4" ht="14.65" thickBot="1" x14ac:dyDescent="0.5">
      <c r="A1438" s="17">
        <v>45580.666666666664</v>
      </c>
      <c r="B1438" s="19">
        <v>233.85</v>
      </c>
      <c r="C1438" t="s">
        <v>38</v>
      </c>
      <c r="D1438" t="str">
        <f>T_Stocks[[#This Row],[Ticker]] &amp; "-" &amp; DATE(YEAR(T_Stocks[[#This Row],[Fecha]]),MONTH(T_Stocks[[#This Row],[Fecha]]),DAY(T_Stocks[[#This Row],[Fecha]]))</f>
        <v>AAPL-45580</v>
      </c>
    </row>
    <row r="1439" spans="1:4" ht="14.65" thickBot="1" x14ac:dyDescent="0.5">
      <c r="A1439" s="17">
        <v>45581.666666666664</v>
      </c>
      <c r="B1439" s="19">
        <v>231.78</v>
      </c>
      <c r="C1439" t="s">
        <v>38</v>
      </c>
      <c r="D1439" t="str">
        <f>T_Stocks[[#This Row],[Ticker]] &amp; "-" &amp; DATE(YEAR(T_Stocks[[#This Row],[Fecha]]),MONTH(T_Stocks[[#This Row],[Fecha]]),DAY(T_Stocks[[#This Row],[Fecha]]))</f>
        <v>AAPL-45581</v>
      </c>
    </row>
    <row r="1440" spans="1:4" ht="14.65" thickBot="1" x14ac:dyDescent="0.5">
      <c r="A1440" s="17">
        <v>45582.666666666664</v>
      </c>
      <c r="B1440" s="19">
        <v>232.15</v>
      </c>
      <c r="C1440" t="s">
        <v>38</v>
      </c>
      <c r="D1440" t="str">
        <f>T_Stocks[[#This Row],[Ticker]] &amp; "-" &amp; DATE(YEAR(T_Stocks[[#This Row],[Fecha]]),MONTH(T_Stocks[[#This Row],[Fecha]]),DAY(T_Stocks[[#This Row],[Fecha]]))</f>
        <v>AAPL-45582</v>
      </c>
    </row>
    <row r="1441" spans="1:4" ht="14.65" thickBot="1" x14ac:dyDescent="0.5">
      <c r="A1441" s="17">
        <v>45583.666666666664</v>
      </c>
      <c r="B1441" s="19">
        <v>235</v>
      </c>
      <c r="C1441" t="s">
        <v>38</v>
      </c>
      <c r="D1441" t="str">
        <f>T_Stocks[[#This Row],[Ticker]] &amp; "-" &amp; DATE(YEAR(T_Stocks[[#This Row],[Fecha]]),MONTH(T_Stocks[[#This Row],[Fecha]]),DAY(T_Stocks[[#This Row],[Fecha]]))</f>
        <v>AAPL-45583</v>
      </c>
    </row>
    <row r="1442" spans="1:4" ht="14.65" thickBot="1" x14ac:dyDescent="0.5">
      <c r="A1442" s="17">
        <v>45586.666666666664</v>
      </c>
      <c r="B1442" s="19">
        <v>236.48</v>
      </c>
      <c r="C1442" t="s">
        <v>38</v>
      </c>
      <c r="D1442" t="str">
        <f>T_Stocks[[#This Row],[Ticker]] &amp; "-" &amp; DATE(YEAR(T_Stocks[[#This Row],[Fecha]]),MONTH(T_Stocks[[#This Row],[Fecha]]),DAY(T_Stocks[[#This Row],[Fecha]]))</f>
        <v>AAPL-45586</v>
      </c>
    </row>
    <row r="1443" spans="1:4" ht="14.65" thickBot="1" x14ac:dyDescent="0.5">
      <c r="A1443" s="17">
        <v>45587.666666666664</v>
      </c>
      <c r="B1443" s="19">
        <v>235.86</v>
      </c>
      <c r="C1443" t="s">
        <v>38</v>
      </c>
      <c r="D1443" t="str">
        <f>T_Stocks[[#This Row],[Ticker]] &amp; "-" &amp; DATE(YEAR(T_Stocks[[#This Row],[Fecha]]),MONTH(T_Stocks[[#This Row],[Fecha]]),DAY(T_Stocks[[#This Row],[Fecha]]))</f>
        <v>AAPL-45587</v>
      </c>
    </row>
    <row r="1444" spans="1:4" ht="14.65" thickBot="1" x14ac:dyDescent="0.5">
      <c r="A1444" s="17">
        <v>45588.666666666664</v>
      </c>
      <c r="B1444" s="19">
        <v>230.76</v>
      </c>
      <c r="C1444" t="s">
        <v>38</v>
      </c>
      <c r="D1444" t="str">
        <f>T_Stocks[[#This Row],[Ticker]] &amp; "-" &amp; DATE(YEAR(T_Stocks[[#This Row],[Fecha]]),MONTH(T_Stocks[[#This Row],[Fecha]]),DAY(T_Stocks[[#This Row],[Fecha]]))</f>
        <v>AAPL-45588</v>
      </c>
    </row>
    <row r="1445" spans="1:4" ht="14.65" thickBot="1" x14ac:dyDescent="0.5">
      <c r="A1445" s="17">
        <v>45589.666666666664</v>
      </c>
      <c r="B1445" s="19">
        <v>230.57</v>
      </c>
      <c r="C1445" t="s">
        <v>38</v>
      </c>
      <c r="D1445" t="str">
        <f>T_Stocks[[#This Row],[Ticker]] &amp; "-" &amp; DATE(YEAR(T_Stocks[[#This Row],[Fecha]]),MONTH(T_Stocks[[#This Row],[Fecha]]),DAY(T_Stocks[[#This Row],[Fecha]]))</f>
        <v>AAPL-45589</v>
      </c>
    </row>
    <row r="1446" spans="1:4" ht="14.65" thickBot="1" x14ac:dyDescent="0.5">
      <c r="A1446" s="17">
        <v>45590.666666666664</v>
      </c>
      <c r="B1446" s="19">
        <v>231.41</v>
      </c>
      <c r="C1446" t="s">
        <v>38</v>
      </c>
      <c r="D1446" t="str">
        <f>T_Stocks[[#This Row],[Ticker]] &amp; "-" &amp; DATE(YEAR(T_Stocks[[#This Row],[Fecha]]),MONTH(T_Stocks[[#This Row],[Fecha]]),DAY(T_Stocks[[#This Row],[Fecha]]))</f>
        <v>AAPL-45590</v>
      </c>
    </row>
    <row r="1447" spans="1:4" ht="14.65" thickBot="1" x14ac:dyDescent="0.5">
      <c r="A1447" s="17">
        <v>45593.666666666664</v>
      </c>
      <c r="B1447" s="19">
        <v>233.4</v>
      </c>
      <c r="C1447" t="s">
        <v>38</v>
      </c>
      <c r="D1447" t="str">
        <f>T_Stocks[[#This Row],[Ticker]] &amp; "-" &amp; DATE(YEAR(T_Stocks[[#This Row],[Fecha]]),MONTH(T_Stocks[[#This Row],[Fecha]]),DAY(T_Stocks[[#This Row],[Fecha]]))</f>
        <v>AAPL-45593</v>
      </c>
    </row>
    <row r="1448" spans="1:4" ht="14.65" thickBot="1" x14ac:dyDescent="0.5">
      <c r="A1448" s="17">
        <v>45594.666666666664</v>
      </c>
      <c r="B1448" s="19">
        <v>233.67</v>
      </c>
      <c r="C1448" t="s">
        <v>38</v>
      </c>
      <c r="D1448" t="str">
        <f>T_Stocks[[#This Row],[Ticker]] &amp; "-" &amp; DATE(YEAR(T_Stocks[[#This Row],[Fecha]]),MONTH(T_Stocks[[#This Row],[Fecha]]),DAY(T_Stocks[[#This Row],[Fecha]]))</f>
        <v>AAPL-45594</v>
      </c>
    </row>
    <row r="1449" spans="1:4" ht="14.65" thickBot="1" x14ac:dyDescent="0.5">
      <c r="A1449" s="17">
        <v>45595.666666666664</v>
      </c>
      <c r="B1449" s="19">
        <v>230.1</v>
      </c>
      <c r="C1449" t="s">
        <v>38</v>
      </c>
      <c r="D1449" t="str">
        <f>T_Stocks[[#This Row],[Ticker]] &amp; "-" &amp; DATE(YEAR(T_Stocks[[#This Row],[Fecha]]),MONTH(T_Stocks[[#This Row],[Fecha]]),DAY(T_Stocks[[#This Row],[Fecha]]))</f>
        <v>AAPL-45595</v>
      </c>
    </row>
    <row r="1450" spans="1:4" ht="14.65" thickBot="1" x14ac:dyDescent="0.5">
      <c r="A1450" s="17">
        <v>45596.666666666664</v>
      </c>
      <c r="B1450" s="19">
        <v>225.91</v>
      </c>
      <c r="C1450" t="s">
        <v>38</v>
      </c>
      <c r="D1450" t="str">
        <f>T_Stocks[[#This Row],[Ticker]] &amp; "-" &amp; DATE(YEAR(T_Stocks[[#This Row],[Fecha]]),MONTH(T_Stocks[[#This Row],[Fecha]]),DAY(T_Stocks[[#This Row],[Fecha]]))</f>
        <v>AAPL-45596</v>
      </c>
    </row>
    <row r="1451" spans="1:4" ht="14.65" thickBot="1" x14ac:dyDescent="0.5">
      <c r="A1451" s="17">
        <v>45597.666666666664</v>
      </c>
      <c r="B1451" s="19">
        <v>222.91</v>
      </c>
      <c r="C1451" t="s">
        <v>38</v>
      </c>
      <c r="D1451" t="str">
        <f>T_Stocks[[#This Row],[Ticker]] &amp; "-" &amp; DATE(YEAR(T_Stocks[[#This Row],[Fecha]]),MONTH(T_Stocks[[#This Row],[Fecha]]),DAY(T_Stocks[[#This Row],[Fecha]]))</f>
        <v>AAPL-45597</v>
      </c>
    </row>
    <row r="1452" spans="1:4" ht="14.65" thickBot="1" x14ac:dyDescent="0.5">
      <c r="A1452" s="17">
        <v>45600.666666666664</v>
      </c>
      <c r="B1452" s="19">
        <v>222.01</v>
      </c>
      <c r="C1452" t="s">
        <v>38</v>
      </c>
      <c r="D1452" t="str">
        <f>T_Stocks[[#This Row],[Ticker]] &amp; "-" &amp; DATE(YEAR(T_Stocks[[#This Row],[Fecha]]),MONTH(T_Stocks[[#This Row],[Fecha]]),DAY(T_Stocks[[#This Row],[Fecha]]))</f>
        <v>AAPL-45600</v>
      </c>
    </row>
    <row r="1453" spans="1:4" ht="14.65" thickBot="1" x14ac:dyDescent="0.5">
      <c r="A1453" s="17">
        <v>45601.666666666664</v>
      </c>
      <c r="B1453" s="19">
        <v>223.45</v>
      </c>
      <c r="C1453" t="s">
        <v>38</v>
      </c>
      <c r="D1453" t="str">
        <f>T_Stocks[[#This Row],[Ticker]] &amp; "-" &amp; DATE(YEAR(T_Stocks[[#This Row],[Fecha]]),MONTH(T_Stocks[[#This Row],[Fecha]]),DAY(T_Stocks[[#This Row],[Fecha]]))</f>
        <v>AAPL-45601</v>
      </c>
    </row>
    <row r="1454" spans="1:4" ht="14.65" thickBot="1" x14ac:dyDescent="0.5">
      <c r="A1454" s="17">
        <v>45602.666666666664</v>
      </c>
      <c r="B1454" s="19">
        <v>222.72</v>
      </c>
      <c r="C1454" t="s">
        <v>38</v>
      </c>
      <c r="D1454" t="str">
        <f>T_Stocks[[#This Row],[Ticker]] &amp; "-" &amp; DATE(YEAR(T_Stocks[[#This Row],[Fecha]]),MONTH(T_Stocks[[#This Row],[Fecha]]),DAY(T_Stocks[[#This Row],[Fecha]]))</f>
        <v>AAPL-45602</v>
      </c>
    </row>
    <row r="1455" spans="1:4" ht="14.65" thickBot="1" x14ac:dyDescent="0.5">
      <c r="A1455" s="17">
        <v>45603.666666666664</v>
      </c>
      <c r="B1455" s="19">
        <v>227.48</v>
      </c>
      <c r="C1455" t="s">
        <v>38</v>
      </c>
      <c r="D1455" t="str">
        <f>T_Stocks[[#This Row],[Ticker]] &amp; "-" &amp; DATE(YEAR(T_Stocks[[#This Row],[Fecha]]),MONTH(T_Stocks[[#This Row],[Fecha]]),DAY(T_Stocks[[#This Row],[Fecha]]))</f>
        <v>AAPL-45603</v>
      </c>
    </row>
    <row r="1456" spans="1:4" ht="14.65" thickBot="1" x14ac:dyDescent="0.5">
      <c r="A1456" s="17">
        <v>45604.666666666664</v>
      </c>
      <c r="B1456" s="19">
        <v>226.96</v>
      </c>
      <c r="C1456" t="s">
        <v>38</v>
      </c>
      <c r="D1456" t="str">
        <f>T_Stocks[[#This Row],[Ticker]] &amp; "-" &amp; DATE(YEAR(T_Stocks[[#This Row],[Fecha]]),MONTH(T_Stocks[[#This Row],[Fecha]]),DAY(T_Stocks[[#This Row],[Fecha]]))</f>
        <v>AAPL-45604</v>
      </c>
    </row>
    <row r="1457" spans="1:4" ht="14.65" thickBot="1" x14ac:dyDescent="0.5">
      <c r="A1457" s="17">
        <v>45607.666666666664</v>
      </c>
      <c r="B1457" s="19">
        <v>224.23</v>
      </c>
      <c r="C1457" t="s">
        <v>38</v>
      </c>
      <c r="D1457" t="str">
        <f>T_Stocks[[#This Row],[Ticker]] &amp; "-" &amp; DATE(YEAR(T_Stocks[[#This Row],[Fecha]]),MONTH(T_Stocks[[#This Row],[Fecha]]),DAY(T_Stocks[[#This Row],[Fecha]]))</f>
        <v>AAPL-45607</v>
      </c>
    </row>
    <row r="1458" spans="1:4" ht="14.65" thickBot="1" x14ac:dyDescent="0.5">
      <c r="A1458" s="17">
        <v>45608.666666666664</v>
      </c>
      <c r="B1458" s="19">
        <v>224.23</v>
      </c>
      <c r="C1458" t="s">
        <v>38</v>
      </c>
      <c r="D1458" t="str">
        <f>T_Stocks[[#This Row],[Ticker]] &amp; "-" &amp; DATE(YEAR(T_Stocks[[#This Row],[Fecha]]),MONTH(T_Stocks[[#This Row],[Fecha]]),DAY(T_Stocks[[#This Row],[Fecha]]))</f>
        <v>AAPL-45608</v>
      </c>
    </row>
    <row r="1459" spans="1:4" ht="14.65" thickBot="1" x14ac:dyDescent="0.5">
      <c r="A1459" s="17">
        <v>45609.666666666664</v>
      </c>
      <c r="B1459" s="19">
        <v>225.12</v>
      </c>
      <c r="C1459" t="s">
        <v>38</v>
      </c>
      <c r="D1459" t="str">
        <f>T_Stocks[[#This Row],[Ticker]] &amp; "-" &amp; DATE(YEAR(T_Stocks[[#This Row],[Fecha]]),MONTH(T_Stocks[[#This Row],[Fecha]]),DAY(T_Stocks[[#This Row],[Fecha]]))</f>
        <v>AAPL-45609</v>
      </c>
    </row>
    <row r="1460" spans="1:4" ht="14.65" thickBot="1" x14ac:dyDescent="0.5">
      <c r="A1460" s="17">
        <v>45610.666666666664</v>
      </c>
      <c r="B1460" s="19">
        <v>228.22</v>
      </c>
      <c r="C1460" t="s">
        <v>38</v>
      </c>
      <c r="D1460" t="str">
        <f>T_Stocks[[#This Row],[Ticker]] &amp; "-" &amp; DATE(YEAR(T_Stocks[[#This Row],[Fecha]]),MONTH(T_Stocks[[#This Row],[Fecha]]),DAY(T_Stocks[[#This Row],[Fecha]]))</f>
        <v>AAPL-45610</v>
      </c>
    </row>
    <row r="1461" spans="1:4" ht="14.65" thickBot="1" x14ac:dyDescent="0.5">
      <c r="A1461" s="17">
        <v>45611.666666666664</v>
      </c>
      <c r="B1461" s="19">
        <v>225</v>
      </c>
      <c r="C1461" t="s">
        <v>38</v>
      </c>
      <c r="D1461" t="str">
        <f>T_Stocks[[#This Row],[Ticker]] &amp; "-" &amp; DATE(YEAR(T_Stocks[[#This Row],[Fecha]]),MONTH(T_Stocks[[#This Row],[Fecha]]),DAY(T_Stocks[[#This Row],[Fecha]]))</f>
        <v>AAPL-45611</v>
      </c>
    </row>
    <row r="1462" spans="1:4" ht="14.65" thickBot="1" x14ac:dyDescent="0.5">
      <c r="A1462" s="17">
        <v>45614.666666666664</v>
      </c>
      <c r="B1462" s="19">
        <v>228.02</v>
      </c>
      <c r="C1462" t="s">
        <v>38</v>
      </c>
      <c r="D1462" t="str">
        <f>T_Stocks[[#This Row],[Ticker]] &amp; "-" &amp; DATE(YEAR(T_Stocks[[#This Row],[Fecha]]),MONTH(T_Stocks[[#This Row],[Fecha]]),DAY(T_Stocks[[#This Row],[Fecha]]))</f>
        <v>AAPL-45614</v>
      </c>
    </row>
    <row r="1463" spans="1:4" ht="14.65" thickBot="1" x14ac:dyDescent="0.5">
      <c r="A1463" s="17">
        <v>45615.666666666664</v>
      </c>
      <c r="B1463" s="19">
        <v>228.28</v>
      </c>
      <c r="C1463" t="s">
        <v>38</v>
      </c>
      <c r="D1463" t="str">
        <f>T_Stocks[[#This Row],[Ticker]] &amp; "-" &amp; DATE(YEAR(T_Stocks[[#This Row],[Fecha]]),MONTH(T_Stocks[[#This Row],[Fecha]]),DAY(T_Stocks[[#This Row],[Fecha]]))</f>
        <v>AAPL-45615</v>
      </c>
    </row>
    <row r="1464" spans="1:4" ht="14.65" thickBot="1" x14ac:dyDescent="0.5">
      <c r="A1464" s="17">
        <v>45616.666666666664</v>
      </c>
      <c r="B1464" s="19">
        <v>229</v>
      </c>
      <c r="C1464" t="s">
        <v>38</v>
      </c>
      <c r="D1464" t="str">
        <f>T_Stocks[[#This Row],[Ticker]] &amp; "-" &amp; DATE(YEAR(T_Stocks[[#This Row],[Fecha]]),MONTH(T_Stocks[[#This Row],[Fecha]]),DAY(T_Stocks[[#This Row],[Fecha]]))</f>
        <v>AAPL-45616</v>
      </c>
    </row>
    <row r="1465" spans="1:4" ht="14.65" thickBot="1" x14ac:dyDescent="0.5">
      <c r="A1465" s="17">
        <v>45617.666666666664</v>
      </c>
      <c r="B1465" s="19">
        <v>228.52</v>
      </c>
      <c r="C1465" t="s">
        <v>38</v>
      </c>
      <c r="D1465" t="str">
        <f>T_Stocks[[#This Row],[Ticker]] &amp; "-" &amp; DATE(YEAR(T_Stocks[[#This Row],[Fecha]]),MONTH(T_Stocks[[#This Row],[Fecha]]),DAY(T_Stocks[[#This Row],[Fecha]]))</f>
        <v>AAPL-45617</v>
      </c>
    </row>
    <row r="1466" spans="1:4" ht="14.65" thickBot="1" x14ac:dyDescent="0.5">
      <c r="A1466" s="17">
        <v>45618.666666666664</v>
      </c>
      <c r="B1466" s="19">
        <v>229.87</v>
      </c>
      <c r="C1466" t="s">
        <v>38</v>
      </c>
      <c r="D1466" t="str">
        <f>T_Stocks[[#This Row],[Ticker]] &amp; "-" &amp; DATE(YEAR(T_Stocks[[#This Row],[Fecha]]),MONTH(T_Stocks[[#This Row],[Fecha]]),DAY(T_Stocks[[#This Row],[Fecha]]))</f>
        <v>AAPL-45618</v>
      </c>
    </row>
    <row r="1467" spans="1:4" ht="14.65" thickBot="1" x14ac:dyDescent="0.5">
      <c r="A1467" s="17">
        <v>45621.666666666664</v>
      </c>
      <c r="B1467" s="19">
        <v>232.87</v>
      </c>
      <c r="C1467" t="s">
        <v>38</v>
      </c>
      <c r="D1467" t="str">
        <f>T_Stocks[[#This Row],[Ticker]] &amp; "-" &amp; DATE(YEAR(T_Stocks[[#This Row],[Fecha]]),MONTH(T_Stocks[[#This Row],[Fecha]]),DAY(T_Stocks[[#This Row],[Fecha]]))</f>
        <v>AAPL-45621</v>
      </c>
    </row>
    <row r="1468" spans="1:4" ht="14.65" thickBot="1" x14ac:dyDescent="0.5">
      <c r="A1468" s="17">
        <v>45622.666666666664</v>
      </c>
      <c r="B1468" s="19">
        <v>235.06</v>
      </c>
      <c r="C1468" t="s">
        <v>38</v>
      </c>
      <c r="D1468" t="str">
        <f>T_Stocks[[#This Row],[Ticker]] &amp; "-" &amp; DATE(YEAR(T_Stocks[[#This Row],[Fecha]]),MONTH(T_Stocks[[#This Row],[Fecha]]),DAY(T_Stocks[[#This Row],[Fecha]]))</f>
        <v>AAPL-45622</v>
      </c>
    </row>
    <row r="1469" spans="1:4" ht="14.65" thickBot="1" x14ac:dyDescent="0.5">
      <c r="A1469" s="17">
        <v>45623.666666666664</v>
      </c>
      <c r="B1469" s="19">
        <v>234.93</v>
      </c>
      <c r="C1469" t="s">
        <v>38</v>
      </c>
      <c r="D1469" t="str">
        <f>T_Stocks[[#This Row],[Ticker]] &amp; "-" &amp; DATE(YEAR(T_Stocks[[#This Row],[Fecha]]),MONTH(T_Stocks[[#This Row],[Fecha]]),DAY(T_Stocks[[#This Row],[Fecha]]))</f>
        <v>AAPL-45623</v>
      </c>
    </row>
    <row r="1470" spans="1:4" ht="14.65" thickBot="1" x14ac:dyDescent="0.5">
      <c r="A1470" s="17">
        <v>45625.545138888891</v>
      </c>
      <c r="B1470" s="19">
        <v>237.33</v>
      </c>
      <c r="C1470" t="s">
        <v>38</v>
      </c>
      <c r="D1470" t="str">
        <f>T_Stocks[[#This Row],[Ticker]] &amp; "-" &amp; DATE(YEAR(T_Stocks[[#This Row],[Fecha]]),MONTH(T_Stocks[[#This Row],[Fecha]]),DAY(T_Stocks[[#This Row],[Fecha]]))</f>
        <v>AAPL-45625</v>
      </c>
    </row>
    <row r="1471" spans="1:4" ht="14.65" thickBot="1" x14ac:dyDescent="0.5">
      <c r="A1471" s="17">
        <v>45628.666666666664</v>
      </c>
      <c r="B1471" s="19">
        <v>239.59</v>
      </c>
      <c r="C1471" t="s">
        <v>38</v>
      </c>
      <c r="D1471" t="str">
        <f>T_Stocks[[#This Row],[Ticker]] &amp; "-" &amp; DATE(YEAR(T_Stocks[[#This Row],[Fecha]]),MONTH(T_Stocks[[#This Row],[Fecha]]),DAY(T_Stocks[[#This Row],[Fecha]]))</f>
        <v>AAPL-45628</v>
      </c>
    </row>
    <row r="1472" spans="1:4" ht="14.65" thickBot="1" x14ac:dyDescent="0.5">
      <c r="A1472" s="17">
        <v>45629.666666666664</v>
      </c>
      <c r="B1472" s="19">
        <v>242.65</v>
      </c>
      <c r="C1472" t="s">
        <v>38</v>
      </c>
      <c r="D1472" t="str">
        <f>T_Stocks[[#This Row],[Ticker]] &amp; "-" &amp; DATE(YEAR(T_Stocks[[#This Row],[Fecha]]),MONTH(T_Stocks[[#This Row],[Fecha]]),DAY(T_Stocks[[#This Row],[Fecha]]))</f>
        <v>AAPL-45629</v>
      </c>
    </row>
    <row r="1473" spans="1:4" ht="14.65" thickBot="1" x14ac:dyDescent="0.5">
      <c r="A1473" s="17">
        <v>45630.666666666664</v>
      </c>
      <c r="B1473" s="19">
        <v>243.01</v>
      </c>
      <c r="C1473" t="s">
        <v>38</v>
      </c>
      <c r="D1473" t="str">
        <f>T_Stocks[[#This Row],[Ticker]] &amp; "-" &amp; DATE(YEAR(T_Stocks[[#This Row],[Fecha]]),MONTH(T_Stocks[[#This Row],[Fecha]]),DAY(T_Stocks[[#This Row],[Fecha]]))</f>
        <v>AAPL-45630</v>
      </c>
    </row>
    <row r="1474" spans="1:4" ht="14.65" thickBot="1" x14ac:dyDescent="0.5">
      <c r="A1474" s="17">
        <v>45631.666666666664</v>
      </c>
      <c r="B1474" s="19">
        <v>243.04</v>
      </c>
      <c r="C1474" t="s">
        <v>38</v>
      </c>
      <c r="D1474" t="str">
        <f>T_Stocks[[#This Row],[Ticker]] &amp; "-" &amp; DATE(YEAR(T_Stocks[[#This Row],[Fecha]]),MONTH(T_Stocks[[#This Row],[Fecha]]),DAY(T_Stocks[[#This Row],[Fecha]]))</f>
        <v>AAPL-45631</v>
      </c>
    </row>
    <row r="1475" spans="1:4" ht="14.65" thickBot="1" x14ac:dyDescent="0.5">
      <c r="A1475" s="17">
        <v>45632.666666666664</v>
      </c>
      <c r="B1475" s="19">
        <v>242.84</v>
      </c>
      <c r="C1475" t="s">
        <v>38</v>
      </c>
      <c r="D1475" t="str">
        <f>T_Stocks[[#This Row],[Ticker]] &amp; "-" &amp; DATE(YEAR(T_Stocks[[#This Row],[Fecha]]),MONTH(T_Stocks[[#This Row],[Fecha]]),DAY(T_Stocks[[#This Row],[Fecha]]))</f>
        <v>AAPL-45632</v>
      </c>
    </row>
    <row r="1476" spans="1:4" ht="14.65" thickBot="1" x14ac:dyDescent="0.5">
      <c r="A1476" s="17">
        <v>45635.666666666664</v>
      </c>
      <c r="B1476" s="19">
        <v>246.75</v>
      </c>
      <c r="C1476" t="s">
        <v>38</v>
      </c>
      <c r="D1476" t="str">
        <f>T_Stocks[[#This Row],[Ticker]] &amp; "-" &amp; DATE(YEAR(T_Stocks[[#This Row],[Fecha]]),MONTH(T_Stocks[[#This Row],[Fecha]]),DAY(T_Stocks[[#This Row],[Fecha]]))</f>
        <v>AAPL-45635</v>
      </c>
    </row>
    <row r="1477" spans="1:4" ht="14.65" thickBot="1" x14ac:dyDescent="0.5">
      <c r="A1477" s="17">
        <v>45636.666666666664</v>
      </c>
      <c r="B1477" s="19">
        <v>247.77</v>
      </c>
      <c r="C1477" t="s">
        <v>38</v>
      </c>
      <c r="D1477" t="str">
        <f>T_Stocks[[#This Row],[Ticker]] &amp; "-" &amp; DATE(YEAR(T_Stocks[[#This Row],[Fecha]]),MONTH(T_Stocks[[#This Row],[Fecha]]),DAY(T_Stocks[[#This Row],[Fecha]]))</f>
        <v>AAPL-45636</v>
      </c>
    </row>
    <row r="1478" spans="1:4" ht="14.65" thickBot="1" x14ac:dyDescent="0.5">
      <c r="A1478" s="17">
        <v>45637.666666666664</v>
      </c>
      <c r="B1478" s="19">
        <v>246.49</v>
      </c>
      <c r="C1478" t="s">
        <v>38</v>
      </c>
      <c r="D1478" t="str">
        <f>T_Stocks[[#This Row],[Ticker]] &amp; "-" &amp; DATE(YEAR(T_Stocks[[#This Row],[Fecha]]),MONTH(T_Stocks[[#This Row],[Fecha]]),DAY(T_Stocks[[#This Row],[Fecha]]))</f>
        <v>AAPL-45637</v>
      </c>
    </row>
    <row r="1479" spans="1:4" ht="14.65" thickBot="1" x14ac:dyDescent="0.5">
      <c r="A1479" s="17">
        <v>45638.666666666664</v>
      </c>
      <c r="B1479" s="19">
        <v>247.96</v>
      </c>
      <c r="C1479" t="s">
        <v>38</v>
      </c>
      <c r="D1479" t="str">
        <f>T_Stocks[[#This Row],[Ticker]] &amp; "-" &amp; DATE(YEAR(T_Stocks[[#This Row],[Fecha]]),MONTH(T_Stocks[[#This Row],[Fecha]]),DAY(T_Stocks[[#This Row],[Fecha]]))</f>
        <v>AAPL-45638</v>
      </c>
    </row>
    <row r="1480" spans="1:4" ht="14.65" thickBot="1" x14ac:dyDescent="0.5">
      <c r="A1480" s="17">
        <v>45639.666666666664</v>
      </c>
      <c r="B1480" s="19">
        <v>248.13</v>
      </c>
      <c r="C1480" t="s">
        <v>38</v>
      </c>
      <c r="D1480" t="str">
        <f>T_Stocks[[#This Row],[Ticker]] &amp; "-" &amp; DATE(YEAR(T_Stocks[[#This Row],[Fecha]]),MONTH(T_Stocks[[#This Row],[Fecha]]),DAY(T_Stocks[[#This Row],[Fecha]]))</f>
        <v>AAPL-45639</v>
      </c>
    </row>
    <row r="1481" spans="1:4" ht="14.65" thickBot="1" x14ac:dyDescent="0.5">
      <c r="A1481" s="17">
        <v>45642.666666666664</v>
      </c>
      <c r="B1481" s="19">
        <v>251.04</v>
      </c>
      <c r="C1481" t="s">
        <v>38</v>
      </c>
      <c r="D1481" t="str">
        <f>T_Stocks[[#This Row],[Ticker]] &amp; "-" &amp; DATE(YEAR(T_Stocks[[#This Row],[Fecha]]),MONTH(T_Stocks[[#This Row],[Fecha]]),DAY(T_Stocks[[#This Row],[Fecha]]))</f>
        <v>AAPL-45642</v>
      </c>
    </row>
    <row r="1482" spans="1:4" ht="14.65" thickBot="1" x14ac:dyDescent="0.5">
      <c r="A1482" s="17">
        <v>45643.666666666664</v>
      </c>
      <c r="B1482" s="19">
        <v>253.48</v>
      </c>
      <c r="C1482" t="s">
        <v>38</v>
      </c>
      <c r="D1482" t="str">
        <f>T_Stocks[[#This Row],[Ticker]] &amp; "-" &amp; DATE(YEAR(T_Stocks[[#This Row],[Fecha]]),MONTH(T_Stocks[[#This Row],[Fecha]]),DAY(T_Stocks[[#This Row],[Fecha]]))</f>
        <v>AAPL-45643</v>
      </c>
    </row>
    <row r="1483" spans="1:4" ht="14.65" thickBot="1" x14ac:dyDescent="0.5">
      <c r="A1483" s="17">
        <v>45644.666666666664</v>
      </c>
      <c r="B1483" s="19">
        <v>248.05</v>
      </c>
      <c r="C1483" t="s">
        <v>38</v>
      </c>
      <c r="D1483" t="str">
        <f>T_Stocks[[#This Row],[Ticker]] &amp; "-" &amp; DATE(YEAR(T_Stocks[[#This Row],[Fecha]]),MONTH(T_Stocks[[#This Row],[Fecha]]),DAY(T_Stocks[[#This Row],[Fecha]]))</f>
        <v>AAPL-45644</v>
      </c>
    </row>
    <row r="1484" spans="1:4" ht="14.65" thickBot="1" x14ac:dyDescent="0.5">
      <c r="A1484" s="17">
        <v>45645.666666666664</v>
      </c>
      <c r="B1484" s="19">
        <v>249.79</v>
      </c>
      <c r="C1484" t="s">
        <v>38</v>
      </c>
      <c r="D1484" t="str">
        <f>T_Stocks[[#This Row],[Ticker]] &amp; "-" &amp; DATE(YEAR(T_Stocks[[#This Row],[Fecha]]),MONTH(T_Stocks[[#This Row],[Fecha]]),DAY(T_Stocks[[#This Row],[Fecha]]))</f>
        <v>AAPL-45645</v>
      </c>
    </row>
    <row r="1485" spans="1:4" ht="14.65" thickBot="1" x14ac:dyDescent="0.5">
      <c r="A1485" s="17">
        <v>45646.666666666664</v>
      </c>
      <c r="B1485" s="19">
        <v>254.49</v>
      </c>
      <c r="C1485" t="s">
        <v>38</v>
      </c>
      <c r="D1485" t="str">
        <f>T_Stocks[[#This Row],[Ticker]] &amp; "-" &amp; DATE(YEAR(T_Stocks[[#This Row],[Fecha]]),MONTH(T_Stocks[[#This Row],[Fecha]]),DAY(T_Stocks[[#This Row],[Fecha]]))</f>
        <v>AAPL-45646</v>
      </c>
    </row>
    <row r="1486" spans="1:4" ht="14.65" thickBot="1" x14ac:dyDescent="0.5">
      <c r="A1486" s="17">
        <v>45649.666666666664</v>
      </c>
      <c r="B1486" s="19">
        <v>255.27</v>
      </c>
      <c r="C1486" t="s">
        <v>38</v>
      </c>
      <c r="D1486" t="str">
        <f>T_Stocks[[#This Row],[Ticker]] &amp; "-" &amp; DATE(YEAR(T_Stocks[[#This Row],[Fecha]]),MONTH(T_Stocks[[#This Row],[Fecha]]),DAY(T_Stocks[[#This Row],[Fecha]]))</f>
        <v>AAPL-45649</v>
      </c>
    </row>
    <row r="1487" spans="1:4" ht="14.65" thickBot="1" x14ac:dyDescent="0.5">
      <c r="A1487" s="17">
        <v>45650.545138888891</v>
      </c>
      <c r="B1487" s="19">
        <v>258.2</v>
      </c>
      <c r="C1487" t="s">
        <v>38</v>
      </c>
      <c r="D1487" t="str">
        <f>T_Stocks[[#This Row],[Ticker]] &amp; "-" &amp; DATE(YEAR(T_Stocks[[#This Row],[Fecha]]),MONTH(T_Stocks[[#This Row],[Fecha]]),DAY(T_Stocks[[#This Row],[Fecha]]))</f>
        <v>AAPL-45650</v>
      </c>
    </row>
    <row r="1488" spans="1:4" ht="14.65" thickBot="1" x14ac:dyDescent="0.5">
      <c r="A1488" s="17">
        <v>45652.666666666664</v>
      </c>
      <c r="B1488" s="19">
        <v>259.02</v>
      </c>
      <c r="C1488" t="s">
        <v>38</v>
      </c>
      <c r="D1488" t="str">
        <f>T_Stocks[[#This Row],[Ticker]] &amp; "-" &amp; DATE(YEAR(T_Stocks[[#This Row],[Fecha]]),MONTH(T_Stocks[[#This Row],[Fecha]]),DAY(T_Stocks[[#This Row],[Fecha]]))</f>
        <v>AAPL-45652</v>
      </c>
    </row>
    <row r="1489" spans="1:4" ht="14.65" thickBot="1" x14ac:dyDescent="0.5">
      <c r="A1489" s="17">
        <v>45653.666666666664</v>
      </c>
      <c r="B1489" s="19">
        <v>255.59</v>
      </c>
      <c r="C1489" t="s">
        <v>38</v>
      </c>
      <c r="D1489" t="str">
        <f>T_Stocks[[#This Row],[Ticker]] &amp; "-" &amp; DATE(YEAR(T_Stocks[[#This Row],[Fecha]]),MONTH(T_Stocks[[#This Row],[Fecha]]),DAY(T_Stocks[[#This Row],[Fecha]]))</f>
        <v>AAPL-45653</v>
      </c>
    </row>
    <row r="1490" spans="1:4" ht="14.65" thickBot="1" x14ac:dyDescent="0.5">
      <c r="A1490" s="17">
        <v>45656.666666666664</v>
      </c>
      <c r="B1490" s="19">
        <v>252.2</v>
      </c>
      <c r="C1490" t="s">
        <v>38</v>
      </c>
      <c r="D1490" t="str">
        <f>T_Stocks[[#This Row],[Ticker]] &amp; "-" &amp; DATE(YEAR(T_Stocks[[#This Row],[Fecha]]),MONTH(T_Stocks[[#This Row],[Fecha]]),DAY(T_Stocks[[#This Row],[Fecha]]))</f>
        <v>AAPL-45656</v>
      </c>
    </row>
    <row r="1491" spans="1:4" ht="14.65" thickBot="1" x14ac:dyDescent="0.5">
      <c r="A1491" s="17">
        <v>45657.666666666664</v>
      </c>
      <c r="B1491" s="19">
        <v>250.42</v>
      </c>
      <c r="C1491" t="s">
        <v>38</v>
      </c>
      <c r="D1491" t="str">
        <f>T_Stocks[[#This Row],[Ticker]] &amp; "-" &amp; DATE(YEAR(T_Stocks[[#This Row],[Fecha]]),MONTH(T_Stocks[[#This Row],[Fecha]]),DAY(T_Stocks[[#This Row],[Fecha]]))</f>
        <v>AAPL-45657</v>
      </c>
    </row>
    <row r="1492" spans="1:4" ht="14.65" thickBot="1" x14ac:dyDescent="0.5">
      <c r="A1492" s="17">
        <v>45023</v>
      </c>
      <c r="B1492" s="19">
        <v>2000</v>
      </c>
      <c r="C1492" t="s">
        <v>43</v>
      </c>
      <c r="D1492" t="str">
        <f>T_Stocks[[#This Row],[Ticker]] &amp; "-" &amp; DATE(YEAR(T_Stocks[[#This Row],[Fecha]]),MONTH(T_Stocks[[#This Row],[Fecha]]),DAY(T_Stocks[[#This Row],[Fecha]]))</f>
        <v>Bonos-45023</v>
      </c>
    </row>
    <row r="1493" spans="1:4" ht="14.65" thickBot="1" x14ac:dyDescent="0.5">
      <c r="A1493" s="17">
        <v>43496</v>
      </c>
      <c r="B1493" s="19">
        <v>3010.9763870000002</v>
      </c>
      <c r="C1493" t="s">
        <v>155</v>
      </c>
      <c r="D1493" t="str">
        <f>T_Stocks[[#This Row],[Ticker]] &amp; "-" &amp; DATE(YEAR(T_Stocks[[#This Row],[Fecha]]),MONTH(T_Stocks[[#This Row],[Fecha]]),DAY(T_Stocks[[#This Row],[Fecha]]))</f>
        <v>BTCEUR-43496</v>
      </c>
    </row>
    <row r="1494" spans="1:4" ht="14.65" thickBot="1" x14ac:dyDescent="0.5">
      <c r="A1494" s="17">
        <v>43497.998611111114</v>
      </c>
      <c r="B1494" s="19">
        <v>3010.9763870000002</v>
      </c>
      <c r="C1494" t="s">
        <v>155</v>
      </c>
      <c r="D1494" t="str">
        <f>T_Stocks[[#This Row],[Ticker]] &amp; "-" &amp; DATE(YEAR(T_Stocks[[#This Row],[Fecha]]),MONTH(T_Stocks[[#This Row],[Fecha]]),DAY(T_Stocks[[#This Row],[Fecha]]))</f>
        <v>BTCEUR-43497</v>
      </c>
    </row>
    <row r="1495" spans="1:4" ht="14.65" thickBot="1" x14ac:dyDescent="0.5">
      <c r="A1495" s="17">
        <v>43498.998611111114</v>
      </c>
      <c r="B1495" s="19">
        <v>3048.691871</v>
      </c>
      <c r="C1495" t="s">
        <v>155</v>
      </c>
      <c r="D1495" t="str">
        <f>T_Stocks[[#This Row],[Ticker]] &amp; "-" &amp; DATE(YEAR(T_Stocks[[#This Row],[Fecha]]),MONTH(T_Stocks[[#This Row],[Fecha]]),DAY(T_Stocks[[#This Row],[Fecha]]))</f>
        <v>BTCEUR-43498</v>
      </c>
    </row>
    <row r="1496" spans="1:4" ht="14.65" thickBot="1" x14ac:dyDescent="0.5">
      <c r="A1496" s="17">
        <v>43499.998611111114</v>
      </c>
      <c r="B1496" s="19">
        <v>2990.8360339999999</v>
      </c>
      <c r="C1496" t="s">
        <v>155</v>
      </c>
      <c r="D1496" t="str">
        <f>T_Stocks[[#This Row],[Ticker]] &amp; "-" &amp; DATE(YEAR(T_Stocks[[#This Row],[Fecha]]),MONTH(T_Stocks[[#This Row],[Fecha]]),DAY(T_Stocks[[#This Row],[Fecha]]))</f>
        <v>BTCEUR-43499</v>
      </c>
    </row>
    <row r="1497" spans="1:4" ht="14.65" thickBot="1" x14ac:dyDescent="0.5">
      <c r="A1497" s="17">
        <v>43500.998611111114</v>
      </c>
      <c r="B1497" s="19">
        <v>2988.8251930000001</v>
      </c>
      <c r="C1497" t="s">
        <v>155</v>
      </c>
      <c r="D1497" t="str">
        <f>T_Stocks[[#This Row],[Ticker]] &amp; "-" &amp; DATE(YEAR(T_Stocks[[#This Row],[Fecha]]),MONTH(T_Stocks[[#This Row],[Fecha]]),DAY(T_Stocks[[#This Row],[Fecha]]))</f>
        <v>BTCEUR-43500</v>
      </c>
    </row>
    <row r="1498" spans="1:4" ht="14.65" thickBot="1" x14ac:dyDescent="0.5">
      <c r="A1498" s="17">
        <v>43501.998611111114</v>
      </c>
      <c r="B1498" s="19">
        <v>3021.2259899999999</v>
      </c>
      <c r="C1498" t="s">
        <v>155</v>
      </c>
      <c r="D1498" t="str">
        <f>T_Stocks[[#This Row],[Ticker]] &amp; "-" &amp; DATE(YEAR(T_Stocks[[#This Row],[Fecha]]),MONTH(T_Stocks[[#This Row],[Fecha]]),DAY(T_Stocks[[#This Row],[Fecha]]))</f>
        <v>BTCEUR-43501</v>
      </c>
    </row>
    <row r="1499" spans="1:4" ht="14.65" thickBot="1" x14ac:dyDescent="0.5">
      <c r="A1499" s="17">
        <v>43502.998611111114</v>
      </c>
      <c r="B1499" s="19">
        <v>2974.026511</v>
      </c>
      <c r="C1499" t="s">
        <v>155</v>
      </c>
      <c r="D1499" t="str">
        <f>T_Stocks[[#This Row],[Ticker]] &amp; "-" &amp; DATE(YEAR(T_Stocks[[#This Row],[Fecha]]),MONTH(T_Stocks[[#This Row],[Fecha]]),DAY(T_Stocks[[#This Row],[Fecha]]))</f>
        <v>BTCEUR-43502</v>
      </c>
    </row>
    <row r="1500" spans="1:4" ht="14.65" thickBot="1" x14ac:dyDescent="0.5">
      <c r="A1500" s="17">
        <v>43503.998611111114</v>
      </c>
      <c r="B1500" s="19">
        <v>2969.5509120000002</v>
      </c>
      <c r="C1500" t="s">
        <v>155</v>
      </c>
      <c r="D1500" t="str">
        <f>T_Stocks[[#This Row],[Ticker]] &amp; "-" &amp; DATE(YEAR(T_Stocks[[#This Row],[Fecha]]),MONTH(T_Stocks[[#This Row],[Fecha]]),DAY(T_Stocks[[#This Row],[Fecha]]))</f>
        <v>BTCEUR-43503</v>
      </c>
    </row>
    <row r="1501" spans="1:4" ht="14.65" thickBot="1" x14ac:dyDescent="0.5">
      <c r="A1501" s="17">
        <v>43504.998611111114</v>
      </c>
      <c r="B1501" s="19">
        <v>3214.8011419999998</v>
      </c>
      <c r="C1501" t="s">
        <v>155</v>
      </c>
      <c r="D1501" t="str">
        <f>T_Stocks[[#This Row],[Ticker]] &amp; "-" &amp; DATE(YEAR(T_Stocks[[#This Row],[Fecha]]),MONTH(T_Stocks[[#This Row],[Fecha]]),DAY(T_Stocks[[#This Row],[Fecha]]))</f>
        <v>BTCEUR-43504</v>
      </c>
    </row>
    <row r="1502" spans="1:4" ht="14.65" thickBot="1" x14ac:dyDescent="0.5">
      <c r="A1502" s="17">
        <v>43505.998611111114</v>
      </c>
      <c r="B1502" s="19">
        <v>3209.5078400000002</v>
      </c>
      <c r="C1502" t="s">
        <v>155</v>
      </c>
      <c r="D1502" t="str">
        <f>T_Stocks[[#This Row],[Ticker]] &amp; "-" &amp; DATE(YEAR(T_Stocks[[#This Row],[Fecha]]),MONTH(T_Stocks[[#This Row],[Fecha]]),DAY(T_Stocks[[#This Row],[Fecha]]))</f>
        <v>BTCEUR-43505</v>
      </c>
    </row>
    <row r="1503" spans="1:4" ht="14.65" thickBot="1" x14ac:dyDescent="0.5">
      <c r="A1503" s="17">
        <v>43506.998611111114</v>
      </c>
      <c r="B1503" s="19">
        <v>3226.2084920000002</v>
      </c>
      <c r="C1503" t="s">
        <v>155</v>
      </c>
      <c r="D1503" t="str">
        <f>T_Stocks[[#This Row],[Ticker]] &amp; "-" &amp; DATE(YEAR(T_Stocks[[#This Row],[Fecha]]),MONTH(T_Stocks[[#This Row],[Fecha]]),DAY(T_Stocks[[#This Row],[Fecha]]))</f>
        <v>BTCEUR-43506</v>
      </c>
    </row>
    <row r="1504" spans="1:4" ht="14.65" thickBot="1" x14ac:dyDescent="0.5">
      <c r="A1504" s="17">
        <v>43507.998611111114</v>
      </c>
      <c r="B1504" s="19">
        <v>3206.3844669999999</v>
      </c>
      <c r="C1504" t="s">
        <v>155</v>
      </c>
      <c r="D1504" t="str">
        <f>T_Stocks[[#This Row],[Ticker]] &amp; "-" &amp; DATE(YEAR(T_Stocks[[#This Row],[Fecha]]),MONTH(T_Stocks[[#This Row],[Fecha]]),DAY(T_Stocks[[#This Row],[Fecha]]))</f>
        <v>BTCEUR-43507</v>
      </c>
    </row>
    <row r="1505" spans="1:4" ht="14.65" thickBot="1" x14ac:dyDescent="0.5">
      <c r="A1505" s="17">
        <v>43508.998611111114</v>
      </c>
      <c r="B1505" s="19">
        <v>3186.4602610000002</v>
      </c>
      <c r="C1505" t="s">
        <v>155</v>
      </c>
      <c r="D1505" t="str">
        <f>T_Stocks[[#This Row],[Ticker]] &amp; "-" &amp; DATE(YEAR(T_Stocks[[#This Row],[Fecha]]),MONTH(T_Stocks[[#This Row],[Fecha]]),DAY(T_Stocks[[#This Row],[Fecha]]))</f>
        <v>BTCEUR-43508</v>
      </c>
    </row>
    <row r="1506" spans="1:4" ht="14.65" thickBot="1" x14ac:dyDescent="0.5">
      <c r="A1506" s="17">
        <v>43509.998611111114</v>
      </c>
      <c r="B1506" s="19">
        <v>3182.94812</v>
      </c>
      <c r="C1506" t="s">
        <v>155</v>
      </c>
      <c r="D1506" t="str">
        <f>T_Stocks[[#This Row],[Ticker]] &amp; "-" &amp; DATE(YEAR(T_Stocks[[#This Row],[Fecha]]),MONTH(T_Stocks[[#This Row],[Fecha]]),DAY(T_Stocks[[#This Row],[Fecha]]))</f>
        <v>BTCEUR-43509</v>
      </c>
    </row>
    <row r="1507" spans="1:4" ht="14.65" thickBot="1" x14ac:dyDescent="0.5">
      <c r="A1507" s="17">
        <v>43510.998611111114</v>
      </c>
      <c r="B1507" s="19">
        <v>3159.1944789999998</v>
      </c>
      <c r="C1507" t="s">
        <v>155</v>
      </c>
      <c r="D1507" t="str">
        <f>T_Stocks[[#This Row],[Ticker]] &amp; "-" &amp; DATE(YEAR(T_Stocks[[#This Row],[Fecha]]),MONTH(T_Stocks[[#This Row],[Fecha]]),DAY(T_Stocks[[#This Row],[Fecha]]))</f>
        <v>BTCEUR-43510</v>
      </c>
    </row>
    <row r="1508" spans="1:4" ht="14.65" thickBot="1" x14ac:dyDescent="0.5">
      <c r="A1508" s="17">
        <v>43511.998611111114</v>
      </c>
      <c r="B1508" s="19">
        <v>3165.9756269999998</v>
      </c>
      <c r="C1508" t="s">
        <v>155</v>
      </c>
      <c r="D1508" t="str">
        <f>T_Stocks[[#This Row],[Ticker]] &amp; "-" &amp; DATE(YEAR(T_Stocks[[#This Row],[Fecha]]),MONTH(T_Stocks[[#This Row],[Fecha]]),DAY(T_Stocks[[#This Row],[Fecha]]))</f>
        <v>BTCEUR-43511</v>
      </c>
    </row>
    <row r="1509" spans="1:4" ht="14.65" thickBot="1" x14ac:dyDescent="0.5">
      <c r="A1509" s="17">
        <v>43512.998611111114</v>
      </c>
      <c r="B1509" s="19">
        <v>3188.6645360000002</v>
      </c>
      <c r="C1509" t="s">
        <v>155</v>
      </c>
      <c r="D1509" t="str">
        <f>T_Stocks[[#This Row],[Ticker]] &amp; "-" &amp; DATE(YEAR(T_Stocks[[#This Row],[Fecha]]),MONTH(T_Stocks[[#This Row],[Fecha]]),DAY(T_Stocks[[#This Row],[Fecha]]))</f>
        <v>BTCEUR-43512</v>
      </c>
    </row>
    <row r="1510" spans="1:4" ht="14.65" thickBot="1" x14ac:dyDescent="0.5">
      <c r="A1510" s="17">
        <v>43513.998611111114</v>
      </c>
      <c r="B1510" s="19">
        <v>3220.7701310000002</v>
      </c>
      <c r="C1510" t="s">
        <v>155</v>
      </c>
      <c r="D1510" t="str">
        <f>T_Stocks[[#This Row],[Ticker]] &amp; "-" &amp; DATE(YEAR(T_Stocks[[#This Row],[Fecha]]),MONTH(T_Stocks[[#This Row],[Fecha]]),DAY(T_Stocks[[#This Row],[Fecha]]))</f>
        <v>BTCEUR-43513</v>
      </c>
    </row>
    <row r="1511" spans="1:4" ht="14.65" thickBot="1" x14ac:dyDescent="0.5">
      <c r="A1511" s="17">
        <v>43515.998611111114</v>
      </c>
      <c r="B1511" s="19">
        <v>3461.0522810000002</v>
      </c>
      <c r="C1511" t="s">
        <v>155</v>
      </c>
      <c r="D1511" t="str">
        <f>T_Stocks[[#This Row],[Ticker]] &amp; "-" &amp; DATE(YEAR(T_Stocks[[#This Row],[Fecha]]),MONTH(T_Stocks[[#This Row],[Fecha]]),DAY(T_Stocks[[#This Row],[Fecha]]))</f>
        <v>BTCEUR-43515</v>
      </c>
    </row>
    <row r="1512" spans="1:4" ht="14.65" thickBot="1" x14ac:dyDescent="0.5">
      <c r="A1512" s="17">
        <v>43516.998611111114</v>
      </c>
      <c r="B1512" s="19">
        <v>3483.5430609999999</v>
      </c>
      <c r="C1512" t="s">
        <v>155</v>
      </c>
      <c r="D1512" t="str">
        <f>T_Stocks[[#This Row],[Ticker]] &amp; "-" &amp; DATE(YEAR(T_Stocks[[#This Row],[Fecha]]),MONTH(T_Stocks[[#This Row],[Fecha]]),DAY(T_Stocks[[#This Row],[Fecha]]))</f>
        <v>BTCEUR-43516</v>
      </c>
    </row>
    <row r="1513" spans="1:4" ht="14.65" thickBot="1" x14ac:dyDescent="0.5">
      <c r="A1513" s="17">
        <v>43517.998611111114</v>
      </c>
      <c r="B1513" s="19">
        <v>3451.7196640000002</v>
      </c>
      <c r="C1513" t="s">
        <v>155</v>
      </c>
      <c r="D1513" t="str">
        <f>T_Stocks[[#This Row],[Ticker]] &amp; "-" &amp; DATE(YEAR(T_Stocks[[#This Row],[Fecha]]),MONTH(T_Stocks[[#This Row],[Fecha]]),DAY(T_Stocks[[#This Row],[Fecha]]))</f>
        <v>BTCEUR-43517</v>
      </c>
    </row>
    <row r="1514" spans="1:4" ht="14.65" thickBot="1" x14ac:dyDescent="0.5">
      <c r="A1514" s="17">
        <v>43518.998611111114</v>
      </c>
      <c r="B1514" s="19">
        <v>3487.6589690000001</v>
      </c>
      <c r="C1514" t="s">
        <v>155</v>
      </c>
      <c r="D1514" t="str">
        <f>T_Stocks[[#This Row],[Ticker]] &amp; "-" &amp; DATE(YEAR(T_Stocks[[#This Row],[Fecha]]),MONTH(T_Stocks[[#This Row],[Fecha]]),DAY(T_Stocks[[#This Row],[Fecha]]))</f>
        <v>BTCEUR-43518</v>
      </c>
    </row>
    <row r="1515" spans="1:4" ht="14.65" thickBot="1" x14ac:dyDescent="0.5">
      <c r="A1515" s="17">
        <v>43519.998611111114</v>
      </c>
      <c r="B1515" s="19">
        <v>3632.0297850000002</v>
      </c>
      <c r="C1515" t="s">
        <v>155</v>
      </c>
      <c r="D1515" t="str">
        <f>T_Stocks[[#This Row],[Ticker]] &amp; "-" &amp; DATE(YEAR(T_Stocks[[#This Row],[Fecha]]),MONTH(T_Stocks[[#This Row],[Fecha]]),DAY(T_Stocks[[#This Row],[Fecha]]))</f>
        <v>BTCEUR-43519</v>
      </c>
    </row>
    <row r="1516" spans="1:4" ht="14.65" thickBot="1" x14ac:dyDescent="0.5">
      <c r="A1516" s="17">
        <v>43520.998611111114</v>
      </c>
      <c r="B1516" s="19">
        <v>3306.1800349999999</v>
      </c>
      <c r="C1516" t="s">
        <v>155</v>
      </c>
      <c r="D1516" t="str">
        <f>T_Stocks[[#This Row],[Ticker]] &amp; "-" &amp; DATE(YEAR(T_Stocks[[#This Row],[Fecha]]),MONTH(T_Stocks[[#This Row],[Fecha]]),DAY(T_Stocks[[#This Row],[Fecha]]))</f>
        <v>BTCEUR-43520</v>
      </c>
    </row>
    <row r="1517" spans="1:4" ht="14.65" thickBot="1" x14ac:dyDescent="0.5">
      <c r="A1517" s="17">
        <v>43521.998611111114</v>
      </c>
      <c r="B1517" s="19">
        <v>3365.8808690000001</v>
      </c>
      <c r="C1517" t="s">
        <v>155</v>
      </c>
      <c r="D1517" t="str">
        <f>T_Stocks[[#This Row],[Ticker]] &amp; "-" &amp; DATE(YEAR(T_Stocks[[#This Row],[Fecha]]),MONTH(T_Stocks[[#This Row],[Fecha]]),DAY(T_Stocks[[#This Row],[Fecha]]))</f>
        <v>BTCEUR-43521</v>
      </c>
    </row>
    <row r="1518" spans="1:4" ht="14.65" thickBot="1" x14ac:dyDescent="0.5">
      <c r="A1518" s="17">
        <v>43522.998611111114</v>
      </c>
      <c r="B1518" s="19">
        <v>3337.675123</v>
      </c>
      <c r="C1518" t="s">
        <v>155</v>
      </c>
      <c r="D1518" t="str">
        <f>T_Stocks[[#This Row],[Ticker]] &amp; "-" &amp; DATE(YEAR(T_Stocks[[#This Row],[Fecha]]),MONTH(T_Stocks[[#This Row],[Fecha]]),DAY(T_Stocks[[#This Row],[Fecha]]))</f>
        <v>BTCEUR-43522</v>
      </c>
    </row>
    <row r="1519" spans="1:4" ht="14.65" thickBot="1" x14ac:dyDescent="0.5">
      <c r="A1519" s="17">
        <v>43523.998611111114</v>
      </c>
      <c r="B1519" s="19">
        <v>3348.246568</v>
      </c>
      <c r="C1519" t="s">
        <v>155</v>
      </c>
      <c r="D1519" t="str">
        <f>T_Stocks[[#This Row],[Ticker]] &amp; "-" &amp; DATE(YEAR(T_Stocks[[#This Row],[Fecha]]),MONTH(T_Stocks[[#This Row],[Fecha]]),DAY(T_Stocks[[#This Row],[Fecha]]))</f>
        <v>BTCEUR-43523</v>
      </c>
    </row>
    <row r="1520" spans="1:4" ht="14.65" thickBot="1" x14ac:dyDescent="0.5">
      <c r="A1520" s="17">
        <v>43524.998611111114</v>
      </c>
      <c r="B1520" s="19">
        <v>3342.761454</v>
      </c>
      <c r="C1520" t="s">
        <v>155</v>
      </c>
      <c r="D1520" t="str">
        <f>T_Stocks[[#This Row],[Ticker]] &amp; "-" &amp; DATE(YEAR(T_Stocks[[#This Row],[Fecha]]),MONTH(T_Stocks[[#This Row],[Fecha]]),DAY(T_Stocks[[#This Row],[Fecha]]))</f>
        <v>BTCEUR-43524</v>
      </c>
    </row>
    <row r="1521" spans="1:4" ht="14.65" thickBot="1" x14ac:dyDescent="0.5">
      <c r="A1521" s="17">
        <v>43525.998611111114</v>
      </c>
      <c r="B1521" s="19">
        <v>3347.2660139999998</v>
      </c>
      <c r="C1521" t="s">
        <v>155</v>
      </c>
      <c r="D1521" t="str">
        <f>T_Stocks[[#This Row],[Ticker]] &amp; "-" &amp; DATE(YEAR(T_Stocks[[#This Row],[Fecha]]),MONTH(T_Stocks[[#This Row],[Fecha]]),DAY(T_Stocks[[#This Row],[Fecha]]))</f>
        <v>BTCEUR-43525</v>
      </c>
    </row>
    <row r="1522" spans="1:4" ht="14.65" thickBot="1" x14ac:dyDescent="0.5">
      <c r="A1522" s="17">
        <v>43526.998611111114</v>
      </c>
      <c r="B1522" s="19">
        <v>3350.1476320000002</v>
      </c>
      <c r="C1522" t="s">
        <v>155</v>
      </c>
      <c r="D1522" t="str">
        <f>T_Stocks[[#This Row],[Ticker]] &amp; "-" &amp; DATE(YEAR(T_Stocks[[#This Row],[Fecha]]),MONTH(T_Stocks[[#This Row],[Fecha]]),DAY(T_Stocks[[#This Row],[Fecha]]))</f>
        <v>BTCEUR-43526</v>
      </c>
    </row>
    <row r="1523" spans="1:4" ht="14.65" thickBot="1" x14ac:dyDescent="0.5">
      <c r="A1523" s="17">
        <v>43527.998611111114</v>
      </c>
      <c r="B1523" s="19">
        <v>3337.6341779999998</v>
      </c>
      <c r="C1523" t="s">
        <v>155</v>
      </c>
      <c r="D1523" t="str">
        <f>T_Stocks[[#This Row],[Ticker]] &amp; "-" &amp; DATE(YEAR(T_Stocks[[#This Row],[Fecha]]),MONTH(T_Stocks[[#This Row],[Fecha]]),DAY(T_Stocks[[#This Row],[Fecha]]))</f>
        <v>BTCEUR-43527</v>
      </c>
    </row>
    <row r="1524" spans="1:4" ht="14.65" thickBot="1" x14ac:dyDescent="0.5">
      <c r="A1524" s="17">
        <v>43528.998611111114</v>
      </c>
      <c r="B1524" s="19">
        <v>3272.1011410000001</v>
      </c>
      <c r="C1524" t="s">
        <v>155</v>
      </c>
      <c r="D1524" t="str">
        <f>T_Stocks[[#This Row],[Ticker]] &amp; "-" &amp; DATE(YEAR(T_Stocks[[#This Row],[Fecha]]),MONTH(T_Stocks[[#This Row],[Fecha]]),DAY(T_Stocks[[#This Row],[Fecha]]))</f>
        <v>BTCEUR-43528</v>
      </c>
    </row>
    <row r="1525" spans="1:4" ht="14.65" thickBot="1" x14ac:dyDescent="0.5">
      <c r="A1525" s="17">
        <v>43529.998611111114</v>
      </c>
      <c r="B1525" s="19">
        <v>3409.0851819999998</v>
      </c>
      <c r="C1525" t="s">
        <v>155</v>
      </c>
      <c r="D1525" t="str">
        <f>T_Stocks[[#This Row],[Ticker]] &amp; "-" &amp; DATE(YEAR(T_Stocks[[#This Row],[Fecha]]),MONTH(T_Stocks[[#This Row],[Fecha]]),DAY(T_Stocks[[#This Row],[Fecha]]))</f>
        <v>BTCEUR-43529</v>
      </c>
    </row>
    <row r="1526" spans="1:4" ht="14.65" thickBot="1" x14ac:dyDescent="0.5">
      <c r="A1526" s="17">
        <v>43530.998611111114</v>
      </c>
      <c r="B1526" s="19">
        <v>3416.907303</v>
      </c>
      <c r="C1526" t="s">
        <v>155</v>
      </c>
      <c r="D1526" t="str">
        <f>T_Stocks[[#This Row],[Ticker]] &amp; "-" &amp; DATE(YEAR(T_Stocks[[#This Row],[Fecha]]),MONTH(T_Stocks[[#This Row],[Fecha]]),DAY(T_Stocks[[#This Row],[Fecha]]))</f>
        <v>BTCEUR-43530</v>
      </c>
    </row>
    <row r="1527" spans="1:4" ht="14.65" thickBot="1" x14ac:dyDescent="0.5">
      <c r="A1527" s="17">
        <v>43531.998611111114</v>
      </c>
      <c r="B1527" s="19">
        <v>3454.426442</v>
      </c>
      <c r="C1527" t="s">
        <v>155</v>
      </c>
      <c r="D1527" t="str">
        <f>T_Stocks[[#This Row],[Ticker]] &amp; "-" &amp; DATE(YEAR(T_Stocks[[#This Row],[Fecha]]),MONTH(T_Stocks[[#This Row],[Fecha]]),DAY(T_Stocks[[#This Row],[Fecha]]))</f>
        <v>BTCEUR-43531</v>
      </c>
    </row>
    <row r="1528" spans="1:4" ht="14.65" thickBot="1" x14ac:dyDescent="0.5">
      <c r="A1528" s="17">
        <v>43532.998611111114</v>
      </c>
      <c r="B1528" s="19">
        <v>3429.2105080000001</v>
      </c>
      <c r="C1528" t="s">
        <v>155</v>
      </c>
      <c r="D1528" t="str">
        <f>T_Stocks[[#This Row],[Ticker]] &amp; "-" &amp; DATE(YEAR(T_Stocks[[#This Row],[Fecha]]),MONTH(T_Stocks[[#This Row],[Fecha]]),DAY(T_Stocks[[#This Row],[Fecha]]))</f>
        <v>BTCEUR-43532</v>
      </c>
    </row>
    <row r="1529" spans="1:4" ht="14.65" thickBot="1" x14ac:dyDescent="0.5">
      <c r="A1529" s="17">
        <v>43533.998611111114</v>
      </c>
      <c r="B1529" s="19">
        <v>3501.6186109999999</v>
      </c>
      <c r="C1529" t="s">
        <v>155</v>
      </c>
      <c r="D1529" t="str">
        <f>T_Stocks[[#This Row],[Ticker]] &amp; "-" &amp; DATE(YEAR(T_Stocks[[#This Row],[Fecha]]),MONTH(T_Stocks[[#This Row],[Fecha]]),DAY(T_Stocks[[#This Row],[Fecha]]))</f>
        <v>BTCEUR-43533</v>
      </c>
    </row>
    <row r="1530" spans="1:4" ht="14.65" thickBot="1" x14ac:dyDescent="0.5">
      <c r="A1530" s="17">
        <v>43534.998611111114</v>
      </c>
      <c r="B1530" s="19">
        <v>3473.4941909999998</v>
      </c>
      <c r="C1530" t="s">
        <v>155</v>
      </c>
      <c r="D1530" t="str">
        <f>T_Stocks[[#This Row],[Ticker]] &amp; "-" &amp; DATE(YEAR(T_Stocks[[#This Row],[Fecha]]),MONTH(T_Stocks[[#This Row],[Fecha]]),DAY(T_Stocks[[#This Row],[Fecha]]))</f>
        <v>BTCEUR-43534</v>
      </c>
    </row>
    <row r="1531" spans="1:4" ht="14.65" thickBot="1" x14ac:dyDescent="0.5">
      <c r="A1531" s="17">
        <v>43535.998611111114</v>
      </c>
      <c r="B1531" s="19">
        <v>3436.8026199999999</v>
      </c>
      <c r="C1531" t="s">
        <v>155</v>
      </c>
      <c r="D1531" t="str">
        <f>T_Stocks[[#This Row],[Ticker]] &amp; "-" &amp; DATE(YEAR(T_Stocks[[#This Row],[Fecha]]),MONTH(T_Stocks[[#This Row],[Fecha]]),DAY(T_Stocks[[#This Row],[Fecha]]))</f>
        <v>BTCEUR-43535</v>
      </c>
    </row>
    <row r="1532" spans="1:4" ht="14.65" thickBot="1" x14ac:dyDescent="0.5">
      <c r="A1532" s="17">
        <v>43536.998611111114</v>
      </c>
      <c r="B1532" s="19">
        <v>3437.5765470000001</v>
      </c>
      <c r="C1532" t="s">
        <v>155</v>
      </c>
      <c r="D1532" t="str">
        <f>T_Stocks[[#This Row],[Ticker]] &amp; "-" &amp; DATE(YEAR(T_Stocks[[#This Row],[Fecha]]),MONTH(T_Stocks[[#This Row],[Fecha]]),DAY(T_Stocks[[#This Row],[Fecha]]))</f>
        <v>BTCEUR-43536</v>
      </c>
    </row>
    <row r="1533" spans="1:4" ht="14.65" thickBot="1" x14ac:dyDescent="0.5">
      <c r="A1533" s="17">
        <v>43537.998611111114</v>
      </c>
      <c r="B1533" s="19">
        <v>3404.3744780000002</v>
      </c>
      <c r="C1533" t="s">
        <v>155</v>
      </c>
      <c r="D1533" t="str">
        <f>T_Stocks[[#This Row],[Ticker]] &amp; "-" &amp; DATE(YEAR(T_Stocks[[#This Row],[Fecha]]),MONTH(T_Stocks[[#This Row],[Fecha]]),DAY(T_Stocks[[#This Row],[Fecha]]))</f>
        <v>BTCEUR-43537</v>
      </c>
    </row>
    <row r="1534" spans="1:4" ht="14.65" thickBot="1" x14ac:dyDescent="0.5">
      <c r="A1534" s="17">
        <v>43538.998611111114</v>
      </c>
      <c r="B1534" s="19">
        <v>3416.478901</v>
      </c>
      <c r="C1534" t="s">
        <v>155</v>
      </c>
      <c r="D1534" t="str">
        <f>T_Stocks[[#This Row],[Ticker]] &amp; "-" &amp; DATE(YEAR(T_Stocks[[#This Row],[Fecha]]),MONTH(T_Stocks[[#This Row],[Fecha]]),DAY(T_Stocks[[#This Row],[Fecha]]))</f>
        <v>BTCEUR-43538</v>
      </c>
    </row>
    <row r="1535" spans="1:4" ht="14.65" thickBot="1" x14ac:dyDescent="0.5">
      <c r="A1535" s="17">
        <v>43539.998611111114</v>
      </c>
      <c r="B1535" s="19">
        <v>3444.371044</v>
      </c>
      <c r="C1535" t="s">
        <v>155</v>
      </c>
      <c r="D1535" t="str">
        <f>T_Stocks[[#This Row],[Ticker]] &amp; "-" &amp; DATE(YEAR(T_Stocks[[#This Row],[Fecha]]),MONTH(T_Stocks[[#This Row],[Fecha]]),DAY(T_Stocks[[#This Row],[Fecha]]))</f>
        <v>BTCEUR-43539</v>
      </c>
    </row>
    <row r="1536" spans="1:4" ht="14.65" thickBot="1" x14ac:dyDescent="0.5">
      <c r="A1536" s="17">
        <v>43540.998611111114</v>
      </c>
      <c r="B1536" s="19">
        <v>3535.3028680000002</v>
      </c>
      <c r="C1536" t="s">
        <v>155</v>
      </c>
      <c r="D1536" t="str">
        <f>T_Stocks[[#This Row],[Ticker]] &amp; "-" &amp; DATE(YEAR(T_Stocks[[#This Row],[Fecha]]),MONTH(T_Stocks[[#This Row],[Fecha]]),DAY(T_Stocks[[#This Row],[Fecha]]))</f>
        <v>BTCEUR-43540</v>
      </c>
    </row>
    <row r="1537" spans="1:4" ht="14.65" thickBot="1" x14ac:dyDescent="0.5">
      <c r="A1537" s="17">
        <v>43541.998611111114</v>
      </c>
      <c r="B1537" s="19">
        <v>3518.4930519999998</v>
      </c>
      <c r="C1537" t="s">
        <v>155</v>
      </c>
      <c r="D1537" t="str">
        <f>T_Stocks[[#This Row],[Ticker]] &amp; "-" &amp; DATE(YEAR(T_Stocks[[#This Row],[Fecha]]),MONTH(T_Stocks[[#This Row],[Fecha]]),DAY(T_Stocks[[#This Row],[Fecha]]))</f>
        <v>BTCEUR-43541</v>
      </c>
    </row>
    <row r="1538" spans="1:4" ht="14.65" thickBot="1" x14ac:dyDescent="0.5">
      <c r="A1538" s="17">
        <v>43542.998611111114</v>
      </c>
      <c r="B1538" s="19">
        <v>3504.0788240000002</v>
      </c>
      <c r="C1538" t="s">
        <v>155</v>
      </c>
      <c r="D1538" t="str">
        <f>T_Stocks[[#This Row],[Ticker]] &amp; "-" &amp; DATE(YEAR(T_Stocks[[#This Row],[Fecha]]),MONTH(T_Stocks[[#This Row],[Fecha]]),DAY(T_Stocks[[#This Row],[Fecha]]))</f>
        <v>BTCEUR-43542</v>
      </c>
    </row>
    <row r="1539" spans="1:4" ht="14.65" thickBot="1" x14ac:dyDescent="0.5">
      <c r="A1539" s="17">
        <v>43543.998611111114</v>
      </c>
      <c r="B1539" s="19">
        <v>3534.1706009999998</v>
      </c>
      <c r="C1539" t="s">
        <v>155</v>
      </c>
      <c r="D1539" t="str">
        <f>T_Stocks[[#This Row],[Ticker]] &amp; "-" &amp; DATE(YEAR(T_Stocks[[#This Row],[Fecha]]),MONTH(T_Stocks[[#This Row],[Fecha]]),DAY(T_Stocks[[#This Row],[Fecha]]))</f>
        <v>BTCEUR-43543</v>
      </c>
    </row>
    <row r="1540" spans="1:4" ht="14.65" thickBot="1" x14ac:dyDescent="0.5">
      <c r="A1540" s="17">
        <v>43544.998611111114</v>
      </c>
      <c r="B1540" s="19">
        <v>3539.6533789999999</v>
      </c>
      <c r="C1540" t="s">
        <v>155</v>
      </c>
      <c r="D1540" t="str">
        <f>T_Stocks[[#This Row],[Ticker]] &amp; "-" &amp; DATE(YEAR(T_Stocks[[#This Row],[Fecha]]),MONTH(T_Stocks[[#This Row],[Fecha]]),DAY(T_Stocks[[#This Row],[Fecha]]))</f>
        <v>BTCEUR-43544</v>
      </c>
    </row>
    <row r="1541" spans="1:4" ht="14.65" thickBot="1" x14ac:dyDescent="0.5">
      <c r="A1541" s="17">
        <v>43545.998611111114</v>
      </c>
      <c r="B1541" s="19">
        <v>3498.6954019999998</v>
      </c>
      <c r="C1541" t="s">
        <v>155</v>
      </c>
      <c r="D1541" t="str">
        <f>T_Stocks[[#This Row],[Ticker]] &amp; "-" &amp; DATE(YEAR(T_Stocks[[#This Row],[Fecha]]),MONTH(T_Stocks[[#This Row],[Fecha]]),DAY(T_Stocks[[#This Row],[Fecha]]))</f>
        <v>BTCEUR-43545</v>
      </c>
    </row>
    <row r="1542" spans="1:4" ht="14.65" thickBot="1" x14ac:dyDescent="0.5">
      <c r="A1542" s="17">
        <v>43546.998611111114</v>
      </c>
      <c r="B1542" s="19">
        <v>3524.613382</v>
      </c>
      <c r="C1542" t="s">
        <v>155</v>
      </c>
      <c r="D1542" t="str">
        <f>T_Stocks[[#This Row],[Ticker]] &amp; "-" &amp; DATE(YEAR(T_Stocks[[#This Row],[Fecha]]),MONTH(T_Stocks[[#This Row],[Fecha]]),DAY(T_Stocks[[#This Row],[Fecha]]))</f>
        <v>BTCEUR-43546</v>
      </c>
    </row>
    <row r="1543" spans="1:4" ht="14.65" thickBot="1" x14ac:dyDescent="0.5">
      <c r="A1543" s="17">
        <v>43547.998611111114</v>
      </c>
      <c r="B1543" s="19">
        <v>3535.8349459999999</v>
      </c>
      <c r="C1543" t="s">
        <v>155</v>
      </c>
      <c r="D1543" t="str">
        <f>T_Stocks[[#This Row],[Ticker]] &amp; "-" &amp; DATE(YEAR(T_Stocks[[#This Row],[Fecha]]),MONTH(T_Stocks[[#This Row],[Fecha]]),DAY(T_Stocks[[#This Row],[Fecha]]))</f>
        <v>BTCEUR-43547</v>
      </c>
    </row>
    <row r="1544" spans="1:4" ht="14.65" thickBot="1" x14ac:dyDescent="0.5">
      <c r="A1544" s="17">
        <v>43548.998611111114</v>
      </c>
      <c r="B1544" s="19">
        <v>3529.381187</v>
      </c>
      <c r="C1544" t="s">
        <v>155</v>
      </c>
      <c r="D1544" t="str">
        <f>T_Stocks[[#This Row],[Ticker]] &amp; "-" &amp; DATE(YEAR(T_Stocks[[#This Row],[Fecha]]),MONTH(T_Stocks[[#This Row],[Fecha]]),DAY(T_Stocks[[#This Row],[Fecha]]))</f>
        <v>BTCEUR-43548</v>
      </c>
    </row>
    <row r="1545" spans="1:4" ht="14.65" thickBot="1" x14ac:dyDescent="0.5">
      <c r="A1545" s="17">
        <v>43549.998611111114</v>
      </c>
      <c r="B1545" s="19">
        <v>3462.3283550000001</v>
      </c>
      <c r="C1545" t="s">
        <v>155</v>
      </c>
      <c r="D1545" t="str">
        <f>T_Stocks[[#This Row],[Ticker]] &amp; "-" &amp; DATE(YEAR(T_Stocks[[#This Row],[Fecha]]),MONTH(T_Stocks[[#This Row],[Fecha]]),DAY(T_Stocks[[#This Row],[Fecha]]))</f>
        <v>BTCEUR-43549</v>
      </c>
    </row>
    <row r="1546" spans="1:4" ht="14.65" thickBot="1" x14ac:dyDescent="0.5">
      <c r="A1546" s="17">
        <v>43550.998611111114</v>
      </c>
      <c r="B1546" s="19">
        <v>3490.0127859999998</v>
      </c>
      <c r="C1546" t="s">
        <v>155</v>
      </c>
      <c r="D1546" t="str">
        <f>T_Stocks[[#This Row],[Ticker]] &amp; "-" &amp; DATE(YEAR(T_Stocks[[#This Row],[Fecha]]),MONTH(T_Stocks[[#This Row],[Fecha]]),DAY(T_Stocks[[#This Row],[Fecha]]))</f>
        <v>BTCEUR-43550</v>
      </c>
    </row>
    <row r="1547" spans="1:4" ht="14.65" thickBot="1" x14ac:dyDescent="0.5">
      <c r="A1547" s="17">
        <v>43551.998611111114</v>
      </c>
      <c r="B1547" s="19">
        <v>3596.5375079999999</v>
      </c>
      <c r="C1547" t="s">
        <v>155</v>
      </c>
      <c r="D1547" t="str">
        <f>T_Stocks[[#This Row],[Ticker]] &amp; "-" &amp; DATE(YEAR(T_Stocks[[#This Row],[Fecha]]),MONTH(T_Stocks[[#This Row],[Fecha]]),DAY(T_Stocks[[#This Row],[Fecha]]))</f>
        <v>BTCEUR-43551</v>
      </c>
    </row>
    <row r="1548" spans="1:4" ht="14.65" thickBot="1" x14ac:dyDescent="0.5">
      <c r="A1548" s="17">
        <v>43552.998611111114</v>
      </c>
      <c r="B1548" s="19">
        <v>3585.175585</v>
      </c>
      <c r="C1548" t="s">
        <v>155</v>
      </c>
      <c r="D1548" t="str">
        <f>T_Stocks[[#This Row],[Ticker]] &amp; "-" &amp; DATE(YEAR(T_Stocks[[#This Row],[Fecha]]),MONTH(T_Stocks[[#This Row],[Fecha]]),DAY(T_Stocks[[#This Row],[Fecha]]))</f>
        <v>BTCEUR-43552</v>
      </c>
    </row>
    <row r="1549" spans="1:4" ht="14.65" thickBot="1" x14ac:dyDescent="0.5">
      <c r="A1549" s="17">
        <v>43553.998611111114</v>
      </c>
      <c r="B1549" s="19">
        <v>3651.2053460000002</v>
      </c>
      <c r="C1549" t="s">
        <v>155</v>
      </c>
      <c r="D1549" t="str">
        <f>T_Stocks[[#This Row],[Ticker]] &amp; "-" &amp; DATE(YEAR(T_Stocks[[#This Row],[Fecha]]),MONTH(T_Stocks[[#This Row],[Fecha]]),DAY(T_Stocks[[#This Row],[Fecha]]))</f>
        <v>BTCEUR-43553</v>
      </c>
    </row>
    <row r="1550" spans="1:4" ht="14.65" thickBot="1" x14ac:dyDescent="0.5">
      <c r="A1550" s="17">
        <v>43554.998611111114</v>
      </c>
      <c r="B1550" s="19">
        <v>3664.593515</v>
      </c>
      <c r="C1550" t="s">
        <v>155</v>
      </c>
      <c r="D1550" t="str">
        <f>T_Stocks[[#This Row],[Ticker]] &amp; "-" &amp; DATE(YEAR(T_Stocks[[#This Row],[Fecha]]),MONTH(T_Stocks[[#This Row],[Fecha]]),DAY(T_Stocks[[#This Row],[Fecha]]))</f>
        <v>BTCEUR-43554</v>
      </c>
    </row>
    <row r="1551" spans="1:4" ht="14.65" thickBot="1" x14ac:dyDescent="0.5">
      <c r="A1551" s="17">
        <v>43555.998611111114</v>
      </c>
      <c r="B1551" s="19">
        <v>3671.8706809999999</v>
      </c>
      <c r="C1551" t="s">
        <v>155</v>
      </c>
      <c r="D1551" t="str">
        <f>T_Stocks[[#This Row],[Ticker]] &amp; "-" &amp; DATE(YEAR(T_Stocks[[#This Row],[Fecha]]),MONTH(T_Stocks[[#This Row],[Fecha]]),DAY(T_Stocks[[#This Row],[Fecha]]))</f>
        <v>BTCEUR-43555</v>
      </c>
    </row>
    <row r="1552" spans="1:4" ht="14.65" thickBot="1" x14ac:dyDescent="0.5">
      <c r="A1552" s="17">
        <v>43556.998611111114</v>
      </c>
      <c r="B1552" s="19">
        <v>3706.3424519999999</v>
      </c>
      <c r="C1552" t="s">
        <v>155</v>
      </c>
      <c r="D1552" t="str">
        <f>T_Stocks[[#This Row],[Ticker]] &amp; "-" &amp; DATE(YEAR(T_Stocks[[#This Row],[Fecha]]),MONTH(T_Stocks[[#This Row],[Fecha]]),DAY(T_Stocks[[#This Row],[Fecha]]))</f>
        <v>BTCEUR-43556</v>
      </c>
    </row>
    <row r="1553" spans="1:4" ht="14.65" thickBot="1" x14ac:dyDescent="0.5">
      <c r="A1553" s="17">
        <v>43557.998611111114</v>
      </c>
      <c r="B1553" s="19">
        <v>4370.8932160000004</v>
      </c>
      <c r="C1553" t="s">
        <v>155</v>
      </c>
      <c r="D1553" t="str">
        <f>T_Stocks[[#This Row],[Ticker]] &amp; "-" &amp; DATE(YEAR(T_Stocks[[#This Row],[Fecha]]),MONTH(T_Stocks[[#This Row],[Fecha]]),DAY(T_Stocks[[#This Row],[Fecha]]))</f>
        <v>BTCEUR-43557</v>
      </c>
    </row>
    <row r="1554" spans="1:4" ht="14.65" thickBot="1" x14ac:dyDescent="0.5">
      <c r="A1554" s="17">
        <v>43558.998611111114</v>
      </c>
      <c r="B1554" s="19">
        <v>4421.2318219999997</v>
      </c>
      <c r="C1554" t="s">
        <v>155</v>
      </c>
      <c r="D1554" t="str">
        <f>T_Stocks[[#This Row],[Ticker]] &amp; "-" &amp; DATE(YEAR(T_Stocks[[#This Row],[Fecha]]),MONTH(T_Stocks[[#This Row],[Fecha]]),DAY(T_Stocks[[#This Row],[Fecha]]))</f>
        <v>BTCEUR-43558</v>
      </c>
    </row>
    <row r="1555" spans="1:4" ht="14.65" thickBot="1" x14ac:dyDescent="0.5">
      <c r="A1555" s="17">
        <v>43559.998611111114</v>
      </c>
      <c r="B1555" s="19">
        <v>4377.1898789999996</v>
      </c>
      <c r="C1555" t="s">
        <v>155</v>
      </c>
      <c r="D1555" t="str">
        <f>T_Stocks[[#This Row],[Ticker]] &amp; "-" &amp; DATE(YEAR(T_Stocks[[#This Row],[Fecha]]),MONTH(T_Stocks[[#This Row],[Fecha]]),DAY(T_Stocks[[#This Row],[Fecha]]))</f>
        <v>BTCEUR-43559</v>
      </c>
    </row>
    <row r="1556" spans="1:4" ht="14.65" thickBot="1" x14ac:dyDescent="0.5">
      <c r="A1556" s="17">
        <v>43560.998611111114</v>
      </c>
      <c r="B1556" s="19">
        <v>4488.0544060000002</v>
      </c>
      <c r="C1556" t="s">
        <v>155</v>
      </c>
      <c r="D1556" t="str">
        <f>T_Stocks[[#This Row],[Ticker]] &amp; "-" &amp; DATE(YEAR(T_Stocks[[#This Row],[Fecha]]),MONTH(T_Stocks[[#This Row],[Fecha]]),DAY(T_Stocks[[#This Row],[Fecha]]))</f>
        <v>BTCEUR-43560</v>
      </c>
    </row>
    <row r="1557" spans="1:4" ht="14.65" thickBot="1" x14ac:dyDescent="0.5">
      <c r="A1557" s="17">
        <v>43561.998611111114</v>
      </c>
      <c r="B1557" s="19">
        <v>4502.7000440000002</v>
      </c>
      <c r="C1557" t="s">
        <v>155</v>
      </c>
      <c r="D1557" t="str">
        <f>T_Stocks[[#This Row],[Ticker]] &amp; "-" &amp; DATE(YEAR(T_Stocks[[#This Row],[Fecha]]),MONTH(T_Stocks[[#This Row],[Fecha]]),DAY(T_Stocks[[#This Row],[Fecha]]))</f>
        <v>BTCEUR-43561</v>
      </c>
    </row>
    <row r="1558" spans="1:4" ht="14.65" thickBot="1" x14ac:dyDescent="0.5">
      <c r="A1558" s="17">
        <v>43562.998611111114</v>
      </c>
      <c r="B1558" s="19">
        <v>4634.9551940000001</v>
      </c>
      <c r="C1558" t="s">
        <v>155</v>
      </c>
      <c r="D1558" t="str">
        <f>T_Stocks[[#This Row],[Ticker]] &amp; "-" &amp; DATE(YEAR(T_Stocks[[#This Row],[Fecha]]),MONTH(T_Stocks[[#This Row],[Fecha]]),DAY(T_Stocks[[#This Row],[Fecha]]))</f>
        <v>BTCEUR-43562</v>
      </c>
    </row>
    <row r="1559" spans="1:4" ht="14.65" thickBot="1" x14ac:dyDescent="0.5">
      <c r="A1559" s="17">
        <v>43563.998611111114</v>
      </c>
      <c r="B1559" s="19">
        <v>4698.668471</v>
      </c>
      <c r="C1559" t="s">
        <v>155</v>
      </c>
      <c r="D1559" t="str">
        <f>T_Stocks[[#This Row],[Ticker]] &amp; "-" &amp; DATE(YEAR(T_Stocks[[#This Row],[Fecha]]),MONTH(T_Stocks[[#This Row],[Fecha]]),DAY(T_Stocks[[#This Row],[Fecha]]))</f>
        <v>BTCEUR-43563</v>
      </c>
    </row>
    <row r="1560" spans="1:4" ht="14.65" thickBot="1" x14ac:dyDescent="0.5">
      <c r="A1560" s="17">
        <v>43564.998611111114</v>
      </c>
      <c r="B1560" s="19">
        <v>4614.8180000000002</v>
      </c>
      <c r="C1560" t="s">
        <v>155</v>
      </c>
      <c r="D1560" t="str">
        <f>T_Stocks[[#This Row],[Ticker]] &amp; "-" &amp; DATE(YEAR(T_Stocks[[#This Row],[Fecha]]),MONTH(T_Stocks[[#This Row],[Fecha]]),DAY(T_Stocks[[#This Row],[Fecha]]))</f>
        <v>BTCEUR-43564</v>
      </c>
    </row>
    <row r="1561" spans="1:4" ht="14.65" thickBot="1" x14ac:dyDescent="0.5">
      <c r="A1561" s="17">
        <v>43565.998611111114</v>
      </c>
      <c r="B1561" s="19">
        <v>4711.1702260000002</v>
      </c>
      <c r="C1561" t="s">
        <v>155</v>
      </c>
      <c r="D1561" t="str">
        <f>T_Stocks[[#This Row],[Ticker]] &amp; "-" &amp; DATE(YEAR(T_Stocks[[#This Row],[Fecha]]),MONTH(T_Stocks[[#This Row],[Fecha]]),DAY(T_Stocks[[#This Row],[Fecha]]))</f>
        <v>BTCEUR-43565</v>
      </c>
    </row>
    <row r="1562" spans="1:4" ht="14.65" thickBot="1" x14ac:dyDescent="0.5">
      <c r="A1562" s="17">
        <v>43566.998611111114</v>
      </c>
      <c r="B1562" s="19">
        <v>4475.7180470000003</v>
      </c>
      <c r="C1562" t="s">
        <v>155</v>
      </c>
      <c r="D1562" t="str">
        <f>T_Stocks[[#This Row],[Ticker]] &amp; "-" &amp; DATE(YEAR(T_Stocks[[#This Row],[Fecha]]),MONTH(T_Stocks[[#This Row],[Fecha]]),DAY(T_Stocks[[#This Row],[Fecha]]))</f>
        <v>BTCEUR-43566</v>
      </c>
    </row>
    <row r="1563" spans="1:4" ht="14.65" thickBot="1" x14ac:dyDescent="0.5">
      <c r="A1563" s="17">
        <v>43567.998611111114</v>
      </c>
      <c r="B1563" s="19">
        <v>4493.7618929999999</v>
      </c>
      <c r="C1563" t="s">
        <v>155</v>
      </c>
      <c r="D1563" t="str">
        <f>T_Stocks[[#This Row],[Ticker]] &amp; "-" &amp; DATE(YEAR(T_Stocks[[#This Row],[Fecha]]),MONTH(T_Stocks[[#This Row],[Fecha]]),DAY(T_Stocks[[#This Row],[Fecha]]))</f>
        <v>BTCEUR-43567</v>
      </c>
    </row>
    <row r="1564" spans="1:4" ht="14.65" thickBot="1" x14ac:dyDescent="0.5">
      <c r="A1564" s="17">
        <v>43568.998611111114</v>
      </c>
      <c r="B1564" s="19">
        <v>4476.0506439999999</v>
      </c>
      <c r="C1564" t="s">
        <v>155</v>
      </c>
      <c r="D1564" t="str">
        <f>T_Stocks[[#This Row],[Ticker]] &amp; "-" &amp; DATE(YEAR(T_Stocks[[#This Row],[Fecha]]),MONTH(T_Stocks[[#This Row],[Fecha]]),DAY(T_Stocks[[#This Row],[Fecha]]))</f>
        <v>BTCEUR-43568</v>
      </c>
    </row>
    <row r="1565" spans="1:4" ht="14.65" thickBot="1" x14ac:dyDescent="0.5">
      <c r="A1565" s="17">
        <v>43569.998611111114</v>
      </c>
      <c r="B1565" s="19">
        <v>4576.2764669999997</v>
      </c>
      <c r="C1565" t="s">
        <v>155</v>
      </c>
      <c r="D1565" t="str">
        <f>T_Stocks[[#This Row],[Ticker]] &amp; "-" &amp; DATE(YEAR(T_Stocks[[#This Row],[Fecha]]),MONTH(T_Stocks[[#This Row],[Fecha]]),DAY(T_Stocks[[#This Row],[Fecha]]))</f>
        <v>BTCEUR-43569</v>
      </c>
    </row>
    <row r="1566" spans="1:4" ht="14.65" thickBot="1" x14ac:dyDescent="0.5">
      <c r="A1566" s="17">
        <v>43570.998611111114</v>
      </c>
      <c r="B1566" s="19">
        <v>4455.9753769999998</v>
      </c>
      <c r="C1566" t="s">
        <v>155</v>
      </c>
      <c r="D1566" t="str">
        <f>T_Stocks[[#This Row],[Ticker]] &amp; "-" &amp; DATE(YEAR(T_Stocks[[#This Row],[Fecha]]),MONTH(T_Stocks[[#This Row],[Fecha]]),DAY(T_Stocks[[#This Row],[Fecha]]))</f>
        <v>BTCEUR-43570</v>
      </c>
    </row>
    <row r="1567" spans="1:4" ht="14.65" thickBot="1" x14ac:dyDescent="0.5">
      <c r="A1567" s="17">
        <v>43571.998611111114</v>
      </c>
      <c r="B1567" s="19">
        <v>4609.9238459999997</v>
      </c>
      <c r="C1567" t="s">
        <v>155</v>
      </c>
      <c r="D1567" t="str">
        <f>T_Stocks[[#This Row],[Ticker]] &amp; "-" &amp; DATE(YEAR(T_Stocks[[#This Row],[Fecha]]),MONTH(T_Stocks[[#This Row],[Fecha]]),DAY(T_Stocks[[#This Row],[Fecha]]))</f>
        <v>BTCEUR-43571</v>
      </c>
    </row>
    <row r="1568" spans="1:4" ht="14.65" thickBot="1" x14ac:dyDescent="0.5">
      <c r="A1568" s="17">
        <v>43572.998611111114</v>
      </c>
      <c r="B1568" s="19">
        <v>4636.2895820000003</v>
      </c>
      <c r="C1568" t="s">
        <v>155</v>
      </c>
      <c r="D1568" t="str">
        <f>T_Stocks[[#This Row],[Ticker]] &amp; "-" &amp; DATE(YEAR(T_Stocks[[#This Row],[Fecha]]),MONTH(T_Stocks[[#This Row],[Fecha]]),DAY(T_Stocks[[#This Row],[Fecha]]))</f>
        <v>BTCEUR-43572</v>
      </c>
    </row>
    <row r="1569" spans="1:4" ht="14.65" thickBot="1" x14ac:dyDescent="0.5">
      <c r="A1569" s="17">
        <v>43573.998611111114</v>
      </c>
      <c r="B1569" s="19">
        <v>4706.3867499999997</v>
      </c>
      <c r="C1569" t="s">
        <v>155</v>
      </c>
      <c r="D1569" t="str">
        <f>T_Stocks[[#This Row],[Ticker]] &amp; "-" &amp; DATE(YEAR(T_Stocks[[#This Row],[Fecha]]),MONTH(T_Stocks[[#This Row],[Fecha]]),DAY(T_Stocks[[#This Row],[Fecha]]))</f>
        <v>BTCEUR-43573</v>
      </c>
    </row>
    <row r="1570" spans="1:4" ht="14.65" thickBot="1" x14ac:dyDescent="0.5">
      <c r="A1570" s="17">
        <v>43574.998611111114</v>
      </c>
      <c r="B1570" s="19">
        <v>4711.6618330000001</v>
      </c>
      <c r="C1570" t="s">
        <v>155</v>
      </c>
      <c r="D1570" t="str">
        <f>T_Stocks[[#This Row],[Ticker]] &amp; "-" &amp; DATE(YEAR(T_Stocks[[#This Row],[Fecha]]),MONTH(T_Stocks[[#This Row],[Fecha]]),DAY(T_Stocks[[#This Row],[Fecha]]))</f>
        <v>BTCEUR-43574</v>
      </c>
    </row>
    <row r="1571" spans="1:4" ht="14.65" thickBot="1" x14ac:dyDescent="0.5">
      <c r="A1571" s="17">
        <v>43575.998611111114</v>
      </c>
      <c r="B1571" s="19">
        <v>4736.089371</v>
      </c>
      <c r="C1571" t="s">
        <v>155</v>
      </c>
      <c r="D1571" t="str">
        <f>T_Stocks[[#This Row],[Ticker]] &amp; "-" &amp; DATE(YEAR(T_Stocks[[#This Row],[Fecha]]),MONTH(T_Stocks[[#This Row],[Fecha]]),DAY(T_Stocks[[#This Row],[Fecha]]))</f>
        <v>BTCEUR-43575</v>
      </c>
    </row>
    <row r="1572" spans="1:4" ht="14.65" thickBot="1" x14ac:dyDescent="0.5">
      <c r="A1572" s="17">
        <v>43576.998611111114</v>
      </c>
      <c r="B1572" s="19">
        <v>4719.0271739999998</v>
      </c>
      <c r="C1572" t="s">
        <v>155</v>
      </c>
      <c r="D1572" t="str">
        <f>T_Stocks[[#This Row],[Ticker]] &amp; "-" &amp; DATE(YEAR(T_Stocks[[#This Row],[Fecha]]),MONTH(T_Stocks[[#This Row],[Fecha]]),DAY(T_Stocks[[#This Row],[Fecha]]))</f>
        <v>BTCEUR-43576</v>
      </c>
    </row>
    <row r="1573" spans="1:4" ht="14.65" thickBot="1" x14ac:dyDescent="0.5">
      <c r="A1573" s="17">
        <v>43577.998611111114</v>
      </c>
      <c r="B1573" s="19">
        <v>4793.1903789999997</v>
      </c>
      <c r="C1573" t="s">
        <v>155</v>
      </c>
      <c r="D1573" t="str">
        <f>T_Stocks[[#This Row],[Ticker]] &amp; "-" &amp; DATE(YEAR(T_Stocks[[#This Row],[Fecha]]),MONTH(T_Stocks[[#This Row],[Fecha]]),DAY(T_Stocks[[#This Row],[Fecha]]))</f>
        <v>BTCEUR-43577</v>
      </c>
    </row>
    <row r="1574" spans="1:4" ht="14.65" thickBot="1" x14ac:dyDescent="0.5">
      <c r="A1574" s="17">
        <v>43578.998611111114</v>
      </c>
      <c r="B1574" s="19">
        <v>4923.4323949999998</v>
      </c>
      <c r="C1574" t="s">
        <v>155</v>
      </c>
      <c r="D1574" t="str">
        <f>T_Stocks[[#This Row],[Ticker]] &amp; "-" &amp; DATE(YEAR(T_Stocks[[#This Row],[Fecha]]),MONTH(T_Stocks[[#This Row],[Fecha]]),DAY(T_Stocks[[#This Row],[Fecha]]))</f>
        <v>BTCEUR-43578</v>
      </c>
    </row>
    <row r="1575" spans="1:4" ht="14.65" thickBot="1" x14ac:dyDescent="0.5">
      <c r="A1575" s="17">
        <v>43579.998611111114</v>
      </c>
      <c r="B1575" s="19">
        <v>4874.4320029999999</v>
      </c>
      <c r="C1575" t="s">
        <v>155</v>
      </c>
      <c r="D1575" t="str">
        <f>T_Stocks[[#This Row],[Ticker]] &amp; "-" &amp; DATE(YEAR(T_Stocks[[#This Row],[Fecha]]),MONTH(T_Stocks[[#This Row],[Fecha]]),DAY(T_Stocks[[#This Row],[Fecha]]))</f>
        <v>BTCEUR-43579</v>
      </c>
    </row>
    <row r="1576" spans="1:4" ht="14.65" thickBot="1" x14ac:dyDescent="0.5">
      <c r="A1576" s="17">
        <v>43580.998611111114</v>
      </c>
      <c r="B1576" s="19">
        <v>4631.3510379999998</v>
      </c>
      <c r="C1576" t="s">
        <v>155</v>
      </c>
      <c r="D1576" t="str">
        <f>T_Stocks[[#This Row],[Ticker]] &amp; "-" &amp; DATE(YEAR(T_Stocks[[#This Row],[Fecha]]),MONTH(T_Stocks[[#This Row],[Fecha]]),DAY(T_Stocks[[#This Row],[Fecha]]))</f>
        <v>BTCEUR-43580</v>
      </c>
    </row>
    <row r="1577" spans="1:4" ht="14.65" thickBot="1" x14ac:dyDescent="0.5">
      <c r="A1577" s="17">
        <v>43581.998611111114</v>
      </c>
      <c r="B1577" s="19">
        <v>4662.0589790000004</v>
      </c>
      <c r="C1577" t="s">
        <v>155</v>
      </c>
      <c r="D1577" t="str">
        <f>T_Stocks[[#This Row],[Ticker]] &amp; "-" &amp; DATE(YEAR(T_Stocks[[#This Row],[Fecha]]),MONTH(T_Stocks[[#This Row],[Fecha]]),DAY(T_Stocks[[#This Row],[Fecha]]))</f>
        <v>BTCEUR-43581</v>
      </c>
    </row>
    <row r="1578" spans="1:4" ht="14.65" thickBot="1" x14ac:dyDescent="0.5">
      <c r="A1578" s="17">
        <v>43582.998611111114</v>
      </c>
      <c r="B1578" s="19">
        <v>4642.7637759999998</v>
      </c>
      <c r="C1578" t="s">
        <v>155</v>
      </c>
      <c r="D1578" t="str">
        <f>T_Stocks[[#This Row],[Ticker]] &amp; "-" &amp; DATE(YEAR(T_Stocks[[#This Row],[Fecha]]),MONTH(T_Stocks[[#This Row],[Fecha]]),DAY(T_Stocks[[#This Row],[Fecha]]))</f>
        <v>BTCEUR-43582</v>
      </c>
    </row>
    <row r="1579" spans="1:4" ht="14.65" thickBot="1" x14ac:dyDescent="0.5">
      <c r="A1579" s="17">
        <v>43583.998611111114</v>
      </c>
      <c r="B1579" s="19">
        <v>4646.056302</v>
      </c>
      <c r="C1579" t="s">
        <v>155</v>
      </c>
      <c r="D1579" t="str">
        <f>T_Stocks[[#This Row],[Ticker]] &amp; "-" &amp; DATE(YEAR(T_Stocks[[#This Row],[Fecha]]),MONTH(T_Stocks[[#This Row],[Fecha]]),DAY(T_Stocks[[#This Row],[Fecha]]))</f>
        <v>BTCEUR-43583</v>
      </c>
    </row>
    <row r="1580" spans="1:4" ht="14.65" thickBot="1" x14ac:dyDescent="0.5">
      <c r="A1580" s="17">
        <v>43584.998611111114</v>
      </c>
      <c r="B1580" s="19">
        <v>4619.8622960000002</v>
      </c>
      <c r="C1580" t="s">
        <v>155</v>
      </c>
      <c r="D1580" t="str">
        <f>T_Stocks[[#This Row],[Ticker]] &amp; "-" &amp; DATE(YEAR(T_Stocks[[#This Row],[Fecha]]),MONTH(T_Stocks[[#This Row],[Fecha]]),DAY(T_Stocks[[#This Row],[Fecha]]))</f>
        <v>BTCEUR-43584</v>
      </c>
    </row>
    <row r="1581" spans="1:4" ht="14.65" thickBot="1" x14ac:dyDescent="0.5">
      <c r="A1581" s="17">
        <v>43585.998611111114</v>
      </c>
      <c r="B1581" s="19">
        <v>4713.3777909999999</v>
      </c>
      <c r="C1581" t="s">
        <v>155</v>
      </c>
      <c r="D1581" t="str">
        <f>T_Stocks[[#This Row],[Ticker]] &amp; "-" &amp; DATE(YEAR(T_Stocks[[#This Row],[Fecha]]),MONTH(T_Stocks[[#This Row],[Fecha]]),DAY(T_Stocks[[#This Row],[Fecha]]))</f>
        <v>BTCEUR-43585</v>
      </c>
    </row>
    <row r="1582" spans="1:4" ht="14.65" thickBot="1" x14ac:dyDescent="0.5">
      <c r="A1582" s="17">
        <v>43586.998611111114</v>
      </c>
      <c r="B1582" s="19">
        <v>4778.8736369999997</v>
      </c>
      <c r="C1582" t="s">
        <v>155</v>
      </c>
      <c r="D1582" t="str">
        <f>T_Stocks[[#This Row],[Ticker]] &amp; "-" &amp; DATE(YEAR(T_Stocks[[#This Row],[Fecha]]),MONTH(T_Stocks[[#This Row],[Fecha]]),DAY(T_Stocks[[#This Row],[Fecha]]))</f>
        <v>BTCEUR-43586</v>
      </c>
    </row>
    <row r="1583" spans="1:4" ht="14.65" thickBot="1" x14ac:dyDescent="0.5">
      <c r="A1583" s="17">
        <v>43587.998611111114</v>
      </c>
      <c r="B1583" s="19">
        <v>4836.9960300000002</v>
      </c>
      <c r="C1583" t="s">
        <v>155</v>
      </c>
      <c r="D1583" t="str">
        <f>T_Stocks[[#This Row],[Ticker]] &amp; "-" &amp; DATE(YEAR(T_Stocks[[#This Row],[Fecha]]),MONTH(T_Stocks[[#This Row],[Fecha]]),DAY(T_Stocks[[#This Row],[Fecha]]))</f>
        <v>BTCEUR-43587</v>
      </c>
    </row>
    <row r="1584" spans="1:4" ht="14.65" thickBot="1" x14ac:dyDescent="0.5">
      <c r="A1584" s="17">
        <v>43588.998611111114</v>
      </c>
      <c r="B1584" s="19">
        <v>5066.6131340000002</v>
      </c>
      <c r="C1584" t="s">
        <v>155</v>
      </c>
      <c r="D1584" t="str">
        <f>T_Stocks[[#This Row],[Ticker]] &amp; "-" &amp; DATE(YEAR(T_Stocks[[#This Row],[Fecha]]),MONTH(T_Stocks[[#This Row],[Fecha]]),DAY(T_Stocks[[#This Row],[Fecha]]))</f>
        <v>BTCEUR-43588</v>
      </c>
    </row>
    <row r="1585" spans="1:4" ht="14.65" thickBot="1" x14ac:dyDescent="0.5">
      <c r="A1585" s="17">
        <v>43589.998611111114</v>
      </c>
      <c r="B1585" s="19">
        <v>5171.3395570000002</v>
      </c>
      <c r="C1585" t="s">
        <v>155</v>
      </c>
      <c r="D1585" t="str">
        <f>T_Stocks[[#This Row],[Ticker]] &amp; "-" &amp; DATE(YEAR(T_Stocks[[#This Row],[Fecha]]),MONTH(T_Stocks[[#This Row],[Fecha]]),DAY(T_Stocks[[#This Row],[Fecha]]))</f>
        <v>BTCEUR-43589</v>
      </c>
    </row>
    <row r="1586" spans="1:4" ht="14.65" thickBot="1" x14ac:dyDescent="0.5">
      <c r="A1586" s="17">
        <v>43590.998611111114</v>
      </c>
      <c r="B1586" s="19">
        <v>5114.2485930000003</v>
      </c>
      <c r="C1586" t="s">
        <v>155</v>
      </c>
      <c r="D1586" t="str">
        <f>T_Stocks[[#This Row],[Ticker]] &amp; "-" &amp; DATE(YEAR(T_Stocks[[#This Row],[Fecha]]),MONTH(T_Stocks[[#This Row],[Fecha]]),DAY(T_Stocks[[#This Row],[Fecha]]))</f>
        <v>BTCEUR-43590</v>
      </c>
    </row>
    <row r="1587" spans="1:4" ht="14.65" thickBot="1" x14ac:dyDescent="0.5">
      <c r="A1587" s="17">
        <v>43591.998611111114</v>
      </c>
      <c r="B1587" s="19">
        <v>5082.2721240000001</v>
      </c>
      <c r="C1587" t="s">
        <v>155</v>
      </c>
      <c r="D1587" t="str">
        <f>T_Stocks[[#This Row],[Ticker]] &amp; "-" &amp; DATE(YEAR(T_Stocks[[#This Row],[Fecha]]),MONTH(T_Stocks[[#This Row],[Fecha]]),DAY(T_Stocks[[#This Row],[Fecha]]))</f>
        <v>BTCEUR-43591</v>
      </c>
    </row>
    <row r="1588" spans="1:4" ht="14.65" thickBot="1" x14ac:dyDescent="0.5">
      <c r="A1588" s="17">
        <v>43592.998611111114</v>
      </c>
      <c r="B1588" s="19">
        <v>5150.1523509999997</v>
      </c>
      <c r="C1588" t="s">
        <v>155</v>
      </c>
      <c r="D1588" t="str">
        <f>T_Stocks[[#This Row],[Ticker]] &amp; "-" &amp; DATE(YEAR(T_Stocks[[#This Row],[Fecha]]),MONTH(T_Stocks[[#This Row],[Fecha]]),DAY(T_Stocks[[#This Row],[Fecha]]))</f>
        <v>BTCEUR-43592</v>
      </c>
    </row>
    <row r="1589" spans="1:4" ht="14.65" thickBot="1" x14ac:dyDescent="0.5">
      <c r="A1589" s="17">
        <v>43593.998611111114</v>
      </c>
      <c r="B1589" s="19">
        <v>5320.2290320000002</v>
      </c>
      <c r="C1589" t="s">
        <v>155</v>
      </c>
      <c r="D1589" t="str">
        <f>T_Stocks[[#This Row],[Ticker]] &amp; "-" &amp; DATE(YEAR(T_Stocks[[#This Row],[Fecha]]),MONTH(T_Stocks[[#This Row],[Fecha]]),DAY(T_Stocks[[#This Row],[Fecha]]))</f>
        <v>BTCEUR-43593</v>
      </c>
    </row>
    <row r="1590" spans="1:4" ht="14.65" thickBot="1" x14ac:dyDescent="0.5">
      <c r="A1590" s="17">
        <v>43594.998611111114</v>
      </c>
      <c r="B1590" s="19">
        <v>5490.6507700000002</v>
      </c>
      <c r="C1590" t="s">
        <v>155</v>
      </c>
      <c r="D1590" t="str">
        <f>T_Stocks[[#This Row],[Ticker]] &amp; "-" &amp; DATE(YEAR(T_Stocks[[#This Row],[Fecha]]),MONTH(T_Stocks[[#This Row],[Fecha]]),DAY(T_Stocks[[#This Row],[Fecha]]))</f>
        <v>BTCEUR-43594</v>
      </c>
    </row>
    <row r="1591" spans="1:4" ht="14.65" thickBot="1" x14ac:dyDescent="0.5">
      <c r="A1591" s="17">
        <v>43595.998611111114</v>
      </c>
      <c r="B1591" s="19">
        <v>5658.2706550000003</v>
      </c>
      <c r="C1591" t="s">
        <v>155</v>
      </c>
      <c r="D1591" t="str">
        <f>T_Stocks[[#This Row],[Ticker]] &amp; "-" &amp; DATE(YEAR(T_Stocks[[#This Row],[Fecha]]),MONTH(T_Stocks[[#This Row],[Fecha]]),DAY(T_Stocks[[#This Row],[Fecha]]))</f>
        <v>BTCEUR-43595</v>
      </c>
    </row>
    <row r="1592" spans="1:4" ht="14.65" thickBot="1" x14ac:dyDescent="0.5">
      <c r="A1592" s="17">
        <v>43596.998611111114</v>
      </c>
      <c r="B1592" s="19">
        <v>6396.0766299999996</v>
      </c>
      <c r="C1592" t="s">
        <v>155</v>
      </c>
      <c r="D1592" t="str">
        <f>T_Stocks[[#This Row],[Ticker]] &amp; "-" &amp; DATE(YEAR(T_Stocks[[#This Row],[Fecha]]),MONTH(T_Stocks[[#This Row],[Fecha]]),DAY(T_Stocks[[#This Row],[Fecha]]))</f>
        <v>BTCEUR-43596</v>
      </c>
    </row>
    <row r="1593" spans="1:4" ht="14.65" thickBot="1" x14ac:dyDescent="0.5">
      <c r="A1593" s="17">
        <v>43597.998611111114</v>
      </c>
      <c r="B1593" s="19">
        <v>6210.2912829999996</v>
      </c>
      <c r="C1593" t="s">
        <v>155</v>
      </c>
      <c r="D1593" t="str">
        <f>T_Stocks[[#This Row],[Ticker]] &amp; "-" &amp; DATE(YEAR(T_Stocks[[#This Row],[Fecha]]),MONTH(T_Stocks[[#This Row],[Fecha]]),DAY(T_Stocks[[#This Row],[Fecha]]))</f>
        <v>BTCEUR-43597</v>
      </c>
    </row>
    <row r="1594" spans="1:4" ht="14.65" thickBot="1" x14ac:dyDescent="0.5">
      <c r="A1594" s="17">
        <v>43598.998611111114</v>
      </c>
      <c r="B1594" s="19">
        <v>6952.121991</v>
      </c>
      <c r="C1594" t="s">
        <v>155</v>
      </c>
      <c r="D1594" t="str">
        <f>T_Stocks[[#This Row],[Ticker]] &amp; "-" &amp; DATE(YEAR(T_Stocks[[#This Row],[Fecha]]),MONTH(T_Stocks[[#This Row],[Fecha]]),DAY(T_Stocks[[#This Row],[Fecha]]))</f>
        <v>BTCEUR-43598</v>
      </c>
    </row>
    <row r="1595" spans="1:4" ht="14.65" thickBot="1" x14ac:dyDescent="0.5">
      <c r="A1595" s="17">
        <v>43599.998611111114</v>
      </c>
      <c r="B1595" s="19">
        <v>7132.4449869999999</v>
      </c>
      <c r="C1595" t="s">
        <v>155</v>
      </c>
      <c r="D1595" t="str">
        <f>T_Stocks[[#This Row],[Ticker]] &amp; "-" &amp; DATE(YEAR(T_Stocks[[#This Row],[Fecha]]),MONTH(T_Stocks[[#This Row],[Fecha]]),DAY(T_Stocks[[#This Row],[Fecha]]))</f>
        <v>BTCEUR-43599</v>
      </c>
    </row>
    <row r="1596" spans="1:4" ht="14.65" thickBot="1" x14ac:dyDescent="0.5">
      <c r="A1596" s="17">
        <v>43600.998611111114</v>
      </c>
      <c r="B1596" s="19">
        <v>7301.1819269999996</v>
      </c>
      <c r="C1596" t="s">
        <v>155</v>
      </c>
      <c r="D1596" t="str">
        <f>T_Stocks[[#This Row],[Ticker]] &amp; "-" &amp; DATE(YEAR(T_Stocks[[#This Row],[Fecha]]),MONTH(T_Stocks[[#This Row],[Fecha]]),DAY(T_Stocks[[#This Row],[Fecha]]))</f>
        <v>BTCEUR-43600</v>
      </c>
    </row>
    <row r="1597" spans="1:4" ht="14.65" thickBot="1" x14ac:dyDescent="0.5">
      <c r="A1597" s="17">
        <v>43601.998611111114</v>
      </c>
      <c r="B1597" s="19">
        <v>7048.3183349999999</v>
      </c>
      <c r="C1597" t="s">
        <v>155</v>
      </c>
      <c r="D1597" t="str">
        <f>T_Stocks[[#This Row],[Ticker]] &amp; "-" &amp; DATE(YEAR(T_Stocks[[#This Row],[Fecha]]),MONTH(T_Stocks[[#This Row],[Fecha]]),DAY(T_Stocks[[#This Row],[Fecha]]))</f>
        <v>BTCEUR-43601</v>
      </c>
    </row>
    <row r="1598" spans="1:4" ht="14.65" thickBot="1" x14ac:dyDescent="0.5">
      <c r="A1598" s="17">
        <v>43602.998611111114</v>
      </c>
      <c r="B1598" s="19">
        <v>6601.058892</v>
      </c>
      <c r="C1598" t="s">
        <v>155</v>
      </c>
      <c r="D1598" t="str">
        <f>T_Stocks[[#This Row],[Ticker]] &amp; "-" &amp; DATE(YEAR(T_Stocks[[#This Row],[Fecha]]),MONTH(T_Stocks[[#This Row],[Fecha]]),DAY(T_Stocks[[#This Row],[Fecha]]))</f>
        <v>BTCEUR-43602</v>
      </c>
    </row>
    <row r="1599" spans="1:4" ht="14.65" thickBot="1" x14ac:dyDescent="0.5">
      <c r="A1599" s="17">
        <v>43603.998611111114</v>
      </c>
      <c r="B1599" s="19">
        <v>6501.8928239999996</v>
      </c>
      <c r="C1599" t="s">
        <v>155</v>
      </c>
      <c r="D1599" t="str">
        <f>T_Stocks[[#This Row],[Ticker]] &amp; "-" &amp; DATE(YEAR(T_Stocks[[#This Row],[Fecha]]),MONTH(T_Stocks[[#This Row],[Fecha]]),DAY(T_Stocks[[#This Row],[Fecha]]))</f>
        <v>BTCEUR-43603</v>
      </c>
    </row>
    <row r="1600" spans="1:4" ht="14.65" thickBot="1" x14ac:dyDescent="0.5">
      <c r="A1600" s="17">
        <v>43604.998611111114</v>
      </c>
      <c r="B1600" s="19">
        <v>7326.8498890000001</v>
      </c>
      <c r="C1600" t="s">
        <v>155</v>
      </c>
      <c r="D1600" t="str">
        <f>T_Stocks[[#This Row],[Ticker]] &amp; "-" &amp; DATE(YEAR(T_Stocks[[#This Row],[Fecha]]),MONTH(T_Stocks[[#This Row],[Fecha]]),DAY(T_Stocks[[#This Row],[Fecha]]))</f>
        <v>BTCEUR-43604</v>
      </c>
    </row>
    <row r="1601" spans="1:4" ht="14.65" thickBot="1" x14ac:dyDescent="0.5">
      <c r="A1601" s="17">
        <v>43605.998611111114</v>
      </c>
      <c r="B1601" s="19">
        <v>7145.2451039999996</v>
      </c>
      <c r="C1601" t="s">
        <v>155</v>
      </c>
      <c r="D1601" t="str">
        <f>T_Stocks[[#This Row],[Ticker]] &amp; "-" &amp; DATE(YEAR(T_Stocks[[#This Row],[Fecha]]),MONTH(T_Stocks[[#This Row],[Fecha]]),DAY(T_Stocks[[#This Row],[Fecha]]))</f>
        <v>BTCEUR-43605</v>
      </c>
    </row>
    <row r="1602" spans="1:4" ht="14.65" thickBot="1" x14ac:dyDescent="0.5">
      <c r="A1602" s="17">
        <v>43606.998611111114</v>
      </c>
      <c r="B1602" s="19">
        <v>7113.9001710000002</v>
      </c>
      <c r="C1602" t="s">
        <v>155</v>
      </c>
      <c r="D1602" t="str">
        <f>T_Stocks[[#This Row],[Ticker]] &amp; "-" &amp; DATE(YEAR(T_Stocks[[#This Row],[Fecha]]),MONTH(T_Stocks[[#This Row],[Fecha]]),DAY(T_Stocks[[#This Row],[Fecha]]))</f>
        <v>BTCEUR-43606</v>
      </c>
    </row>
    <row r="1603" spans="1:4" ht="14.65" thickBot="1" x14ac:dyDescent="0.5">
      <c r="A1603" s="17">
        <v>43607.998611111114</v>
      </c>
      <c r="B1603" s="19">
        <v>6835.0653469999997</v>
      </c>
      <c r="C1603" t="s">
        <v>155</v>
      </c>
      <c r="D1603" t="str">
        <f>T_Stocks[[#This Row],[Ticker]] &amp; "-" &amp; DATE(YEAR(T_Stocks[[#This Row],[Fecha]]),MONTH(T_Stocks[[#This Row],[Fecha]]),DAY(T_Stocks[[#This Row],[Fecha]]))</f>
        <v>BTCEUR-43607</v>
      </c>
    </row>
    <row r="1604" spans="1:4" ht="14.65" thickBot="1" x14ac:dyDescent="0.5">
      <c r="A1604" s="17">
        <v>43608.998611111114</v>
      </c>
      <c r="B1604" s="19">
        <v>7030.1447310000003</v>
      </c>
      <c r="C1604" t="s">
        <v>155</v>
      </c>
      <c r="D1604" t="str">
        <f>T_Stocks[[#This Row],[Ticker]] &amp; "-" &amp; DATE(YEAR(T_Stocks[[#This Row],[Fecha]]),MONTH(T_Stocks[[#This Row],[Fecha]]),DAY(T_Stocks[[#This Row],[Fecha]]))</f>
        <v>BTCEUR-43608</v>
      </c>
    </row>
    <row r="1605" spans="1:4" ht="14.65" thickBot="1" x14ac:dyDescent="0.5">
      <c r="A1605" s="17">
        <v>43609.998611111114</v>
      </c>
      <c r="B1605" s="19">
        <v>7136.1183149999997</v>
      </c>
      <c r="C1605" t="s">
        <v>155</v>
      </c>
      <c r="D1605" t="str">
        <f>T_Stocks[[#This Row],[Ticker]] &amp; "-" &amp; DATE(YEAR(T_Stocks[[#This Row],[Fecha]]),MONTH(T_Stocks[[#This Row],[Fecha]]),DAY(T_Stocks[[#This Row],[Fecha]]))</f>
        <v>BTCEUR-43609</v>
      </c>
    </row>
    <row r="1606" spans="1:4" ht="14.65" thickBot="1" x14ac:dyDescent="0.5">
      <c r="A1606" s="17">
        <v>43610.998611111114</v>
      </c>
      <c r="B1606" s="19">
        <v>7185.5624699999998</v>
      </c>
      <c r="C1606" t="s">
        <v>155</v>
      </c>
      <c r="D1606" t="str">
        <f>T_Stocks[[#This Row],[Ticker]] &amp; "-" &amp; DATE(YEAR(T_Stocks[[#This Row],[Fecha]]),MONTH(T_Stocks[[#This Row],[Fecha]]),DAY(T_Stocks[[#This Row],[Fecha]]))</f>
        <v>BTCEUR-43610</v>
      </c>
    </row>
    <row r="1607" spans="1:4" ht="14.65" thickBot="1" x14ac:dyDescent="0.5">
      <c r="A1607" s="17">
        <v>43611.998611111114</v>
      </c>
      <c r="B1607" s="19">
        <v>7760.6673709999995</v>
      </c>
      <c r="C1607" t="s">
        <v>155</v>
      </c>
      <c r="D1607" t="str">
        <f>T_Stocks[[#This Row],[Ticker]] &amp; "-" &amp; DATE(YEAR(T_Stocks[[#This Row],[Fecha]]),MONTH(T_Stocks[[#This Row],[Fecha]]),DAY(T_Stocks[[#This Row],[Fecha]]))</f>
        <v>BTCEUR-43611</v>
      </c>
    </row>
    <row r="1608" spans="1:4" ht="14.65" thickBot="1" x14ac:dyDescent="0.5">
      <c r="A1608" s="17">
        <v>43612.998611111114</v>
      </c>
      <c r="B1608" s="19">
        <v>7834.8733560000001</v>
      </c>
      <c r="C1608" t="s">
        <v>155</v>
      </c>
      <c r="D1608" t="str">
        <f>T_Stocks[[#This Row],[Ticker]] &amp; "-" &amp; DATE(YEAR(T_Stocks[[#This Row],[Fecha]]),MONTH(T_Stocks[[#This Row],[Fecha]]),DAY(T_Stocks[[#This Row],[Fecha]]))</f>
        <v>BTCEUR-43612</v>
      </c>
    </row>
    <row r="1609" spans="1:4" ht="14.65" thickBot="1" x14ac:dyDescent="0.5">
      <c r="A1609" s="17">
        <v>43613.998611111114</v>
      </c>
      <c r="B1609" s="19">
        <v>7805.7116180000003</v>
      </c>
      <c r="C1609" t="s">
        <v>155</v>
      </c>
      <c r="D1609" t="str">
        <f>T_Stocks[[#This Row],[Ticker]] &amp; "-" &amp; DATE(YEAR(T_Stocks[[#This Row],[Fecha]]),MONTH(T_Stocks[[#This Row],[Fecha]]),DAY(T_Stocks[[#This Row],[Fecha]]))</f>
        <v>BTCEUR-43613</v>
      </c>
    </row>
    <row r="1610" spans="1:4" ht="14.65" thickBot="1" x14ac:dyDescent="0.5">
      <c r="A1610" s="17">
        <v>43614.998611111114</v>
      </c>
      <c r="B1610" s="19">
        <v>7773.9016060000004</v>
      </c>
      <c r="C1610" t="s">
        <v>155</v>
      </c>
      <c r="D1610" t="str">
        <f>T_Stocks[[#This Row],[Ticker]] &amp; "-" &amp; DATE(YEAR(T_Stocks[[#This Row],[Fecha]]),MONTH(T_Stocks[[#This Row],[Fecha]]),DAY(T_Stocks[[#This Row],[Fecha]]))</f>
        <v>BTCEUR-43614</v>
      </c>
    </row>
    <row r="1611" spans="1:4" ht="14.65" thickBot="1" x14ac:dyDescent="0.5">
      <c r="A1611" s="17">
        <v>43615.998611111114</v>
      </c>
      <c r="B1611" s="19">
        <v>7432.5933070000001</v>
      </c>
      <c r="C1611" t="s">
        <v>155</v>
      </c>
      <c r="D1611" t="str">
        <f>T_Stocks[[#This Row],[Ticker]] &amp; "-" &amp; DATE(YEAR(T_Stocks[[#This Row],[Fecha]]),MONTH(T_Stocks[[#This Row],[Fecha]]),DAY(T_Stocks[[#This Row],[Fecha]]))</f>
        <v>BTCEUR-43615</v>
      </c>
    </row>
    <row r="1612" spans="1:4" ht="14.65" thickBot="1" x14ac:dyDescent="0.5">
      <c r="A1612" s="17">
        <v>43616.998611111114</v>
      </c>
      <c r="B1612" s="19">
        <v>7637.869976</v>
      </c>
      <c r="C1612" t="s">
        <v>155</v>
      </c>
      <c r="D1612" t="str">
        <f>T_Stocks[[#This Row],[Ticker]] &amp; "-" &amp; DATE(YEAR(T_Stocks[[#This Row],[Fecha]]),MONTH(T_Stocks[[#This Row],[Fecha]]),DAY(T_Stocks[[#This Row],[Fecha]]))</f>
        <v>BTCEUR-43616</v>
      </c>
    </row>
    <row r="1613" spans="1:4" ht="14.65" thickBot="1" x14ac:dyDescent="0.5">
      <c r="A1613" s="17">
        <v>43617.998611111114</v>
      </c>
      <c r="B1613" s="19">
        <v>7636.3119360000001</v>
      </c>
      <c r="C1613" t="s">
        <v>155</v>
      </c>
      <c r="D1613" t="str">
        <f>T_Stocks[[#This Row],[Ticker]] &amp; "-" &amp; DATE(YEAR(T_Stocks[[#This Row],[Fecha]]),MONTH(T_Stocks[[#This Row],[Fecha]]),DAY(T_Stocks[[#This Row],[Fecha]]))</f>
        <v>BTCEUR-43617</v>
      </c>
    </row>
    <row r="1614" spans="1:4" ht="14.65" thickBot="1" x14ac:dyDescent="0.5">
      <c r="A1614" s="17">
        <v>43618.998611111114</v>
      </c>
      <c r="B1614" s="19">
        <v>7818.0887910000001</v>
      </c>
      <c r="C1614" t="s">
        <v>155</v>
      </c>
      <c r="D1614" t="str">
        <f>T_Stocks[[#This Row],[Ticker]] &amp; "-" &amp; DATE(YEAR(T_Stocks[[#This Row],[Fecha]]),MONTH(T_Stocks[[#This Row],[Fecha]]),DAY(T_Stocks[[#This Row],[Fecha]]))</f>
        <v>BTCEUR-43618</v>
      </c>
    </row>
    <row r="1615" spans="1:4" ht="14.65" thickBot="1" x14ac:dyDescent="0.5">
      <c r="A1615" s="17">
        <v>43619.998611111114</v>
      </c>
      <c r="B1615" s="19">
        <v>7211.9735920000003</v>
      </c>
      <c r="C1615" t="s">
        <v>155</v>
      </c>
      <c r="D1615" t="str">
        <f>T_Stocks[[#This Row],[Ticker]] &amp; "-" &amp; DATE(YEAR(T_Stocks[[#This Row],[Fecha]]),MONTH(T_Stocks[[#This Row],[Fecha]]),DAY(T_Stocks[[#This Row],[Fecha]]))</f>
        <v>BTCEUR-43619</v>
      </c>
    </row>
    <row r="1616" spans="1:4" ht="14.65" thickBot="1" x14ac:dyDescent="0.5">
      <c r="A1616" s="17">
        <v>43620.998611111114</v>
      </c>
      <c r="B1616" s="19">
        <v>6820.4518399999997</v>
      </c>
      <c r="C1616" t="s">
        <v>155</v>
      </c>
      <c r="D1616" t="str">
        <f>T_Stocks[[#This Row],[Ticker]] &amp; "-" &amp; DATE(YEAR(T_Stocks[[#This Row],[Fecha]]),MONTH(T_Stocks[[#This Row],[Fecha]]),DAY(T_Stocks[[#This Row],[Fecha]]))</f>
        <v>BTCEUR-43620</v>
      </c>
    </row>
    <row r="1617" spans="1:4" ht="14.65" thickBot="1" x14ac:dyDescent="0.5">
      <c r="A1617" s="17">
        <v>43621.998611111114</v>
      </c>
      <c r="B1617" s="19">
        <v>6935.9720870000001</v>
      </c>
      <c r="C1617" t="s">
        <v>155</v>
      </c>
      <c r="D1617" t="str">
        <f>T_Stocks[[#This Row],[Ticker]] &amp; "-" &amp; DATE(YEAR(T_Stocks[[#This Row],[Fecha]]),MONTH(T_Stocks[[#This Row],[Fecha]]),DAY(T_Stocks[[#This Row],[Fecha]]))</f>
        <v>BTCEUR-43621</v>
      </c>
    </row>
    <row r="1618" spans="1:4" ht="14.65" thickBot="1" x14ac:dyDescent="0.5">
      <c r="A1618" s="17">
        <v>43622.998611111114</v>
      </c>
      <c r="B1618" s="19">
        <v>6919.7952869999999</v>
      </c>
      <c r="C1618" t="s">
        <v>155</v>
      </c>
      <c r="D1618" t="str">
        <f>T_Stocks[[#This Row],[Ticker]] &amp; "-" &amp; DATE(YEAR(T_Stocks[[#This Row],[Fecha]]),MONTH(T_Stocks[[#This Row],[Fecha]]),DAY(T_Stocks[[#This Row],[Fecha]]))</f>
        <v>BTCEUR-43622</v>
      </c>
    </row>
    <row r="1619" spans="1:4" ht="14.65" thickBot="1" x14ac:dyDescent="0.5">
      <c r="A1619" s="17">
        <v>43623.998611111114</v>
      </c>
      <c r="B1619" s="19">
        <v>7059.4596060000003</v>
      </c>
      <c r="C1619" t="s">
        <v>155</v>
      </c>
      <c r="D1619" t="str">
        <f>T_Stocks[[#This Row],[Ticker]] &amp; "-" &amp; DATE(YEAR(T_Stocks[[#This Row],[Fecha]]),MONTH(T_Stocks[[#This Row],[Fecha]]),DAY(T_Stocks[[#This Row],[Fecha]]))</f>
        <v>BTCEUR-43623</v>
      </c>
    </row>
    <row r="1620" spans="1:4" ht="14.65" thickBot="1" x14ac:dyDescent="0.5">
      <c r="A1620" s="17">
        <v>43624.998611111114</v>
      </c>
      <c r="B1620" s="19">
        <v>6988.8028919999997</v>
      </c>
      <c r="C1620" t="s">
        <v>155</v>
      </c>
      <c r="D1620" t="str">
        <f>T_Stocks[[#This Row],[Ticker]] &amp; "-" &amp; DATE(YEAR(T_Stocks[[#This Row],[Fecha]]),MONTH(T_Stocks[[#This Row],[Fecha]]),DAY(T_Stocks[[#This Row],[Fecha]]))</f>
        <v>BTCEUR-43624</v>
      </c>
    </row>
    <row r="1621" spans="1:4" ht="14.65" thickBot="1" x14ac:dyDescent="0.5">
      <c r="A1621" s="17">
        <v>43625.998611111114</v>
      </c>
      <c r="B1621" s="19">
        <v>6745.7829620000002</v>
      </c>
      <c r="C1621" t="s">
        <v>155</v>
      </c>
      <c r="D1621" t="str">
        <f>T_Stocks[[#This Row],[Ticker]] &amp; "-" &amp; DATE(YEAR(T_Stocks[[#This Row],[Fecha]]),MONTH(T_Stocks[[#This Row],[Fecha]]),DAY(T_Stocks[[#This Row],[Fecha]]))</f>
        <v>BTCEUR-43625</v>
      </c>
    </row>
    <row r="1622" spans="1:4" ht="14.65" thickBot="1" x14ac:dyDescent="0.5">
      <c r="A1622" s="17">
        <v>43626.998611111114</v>
      </c>
      <c r="B1622" s="19">
        <v>7074.5109640000001</v>
      </c>
      <c r="C1622" t="s">
        <v>155</v>
      </c>
      <c r="D1622" t="str">
        <f>T_Stocks[[#This Row],[Ticker]] &amp; "-" &amp; DATE(YEAR(T_Stocks[[#This Row],[Fecha]]),MONTH(T_Stocks[[#This Row],[Fecha]]),DAY(T_Stocks[[#This Row],[Fecha]]))</f>
        <v>BTCEUR-43626</v>
      </c>
    </row>
    <row r="1623" spans="1:4" ht="14.65" thickBot="1" x14ac:dyDescent="0.5">
      <c r="A1623" s="17">
        <v>43627.998611111114</v>
      </c>
      <c r="B1623" s="19">
        <v>6982.8745209999997</v>
      </c>
      <c r="C1623" t="s">
        <v>155</v>
      </c>
      <c r="D1623" t="str">
        <f>T_Stocks[[#This Row],[Ticker]] &amp; "-" &amp; DATE(YEAR(T_Stocks[[#This Row],[Fecha]]),MONTH(T_Stocks[[#This Row],[Fecha]]),DAY(T_Stocks[[#This Row],[Fecha]]))</f>
        <v>BTCEUR-43627</v>
      </c>
    </row>
    <row r="1624" spans="1:4" ht="14.65" thickBot="1" x14ac:dyDescent="0.5">
      <c r="A1624" s="17">
        <v>43628.998611111114</v>
      </c>
      <c r="B1624" s="19">
        <v>7225.789385</v>
      </c>
      <c r="C1624" t="s">
        <v>155</v>
      </c>
      <c r="D1624" t="str">
        <f>T_Stocks[[#This Row],[Ticker]] &amp; "-" &amp; DATE(YEAR(T_Stocks[[#This Row],[Fecha]]),MONTH(T_Stocks[[#This Row],[Fecha]]),DAY(T_Stocks[[#This Row],[Fecha]]))</f>
        <v>BTCEUR-43628</v>
      </c>
    </row>
    <row r="1625" spans="1:4" ht="14.65" thickBot="1" x14ac:dyDescent="0.5">
      <c r="A1625" s="17">
        <v>43629.998611111114</v>
      </c>
      <c r="B1625" s="19">
        <v>7296.7904980000003</v>
      </c>
      <c r="C1625" t="s">
        <v>155</v>
      </c>
      <c r="D1625" t="str">
        <f>T_Stocks[[#This Row],[Ticker]] &amp; "-" &amp; DATE(YEAR(T_Stocks[[#This Row],[Fecha]]),MONTH(T_Stocks[[#This Row],[Fecha]]),DAY(T_Stocks[[#This Row],[Fecha]]))</f>
        <v>BTCEUR-43629</v>
      </c>
    </row>
    <row r="1626" spans="1:4" ht="14.65" thickBot="1" x14ac:dyDescent="0.5">
      <c r="A1626" s="17">
        <v>43630.998611111114</v>
      </c>
      <c r="B1626" s="19">
        <v>7735.204189</v>
      </c>
      <c r="C1626" t="s">
        <v>155</v>
      </c>
      <c r="D1626" t="str">
        <f>T_Stocks[[#This Row],[Ticker]] &amp; "-" &amp; DATE(YEAR(T_Stocks[[#This Row],[Fecha]]),MONTH(T_Stocks[[#This Row],[Fecha]]),DAY(T_Stocks[[#This Row],[Fecha]]))</f>
        <v>BTCEUR-43630</v>
      </c>
    </row>
    <row r="1627" spans="1:4" ht="14.65" thickBot="1" x14ac:dyDescent="0.5">
      <c r="A1627" s="17">
        <v>43631.998611111114</v>
      </c>
      <c r="B1627" s="19">
        <v>7876.6626829999996</v>
      </c>
      <c r="C1627" t="s">
        <v>155</v>
      </c>
      <c r="D1627" t="str">
        <f>T_Stocks[[#This Row],[Ticker]] &amp; "-" &amp; DATE(YEAR(T_Stocks[[#This Row],[Fecha]]),MONTH(T_Stocks[[#This Row],[Fecha]]),DAY(T_Stocks[[#This Row],[Fecha]]))</f>
        <v>BTCEUR-43631</v>
      </c>
    </row>
    <row r="1628" spans="1:4" ht="14.65" thickBot="1" x14ac:dyDescent="0.5">
      <c r="A1628" s="17">
        <v>43632.998611111114</v>
      </c>
      <c r="B1628" s="19">
        <v>7999.4357399999999</v>
      </c>
      <c r="C1628" t="s">
        <v>155</v>
      </c>
      <c r="D1628" t="str">
        <f>T_Stocks[[#This Row],[Ticker]] &amp; "-" &amp; DATE(YEAR(T_Stocks[[#This Row],[Fecha]]),MONTH(T_Stocks[[#This Row],[Fecha]]),DAY(T_Stocks[[#This Row],[Fecha]]))</f>
        <v>BTCEUR-43632</v>
      </c>
    </row>
    <row r="1629" spans="1:4" ht="14.65" thickBot="1" x14ac:dyDescent="0.5">
      <c r="A1629" s="17">
        <v>43633.998611111114</v>
      </c>
      <c r="B1629" s="19">
        <v>8313.5215489999991</v>
      </c>
      <c r="C1629" t="s">
        <v>155</v>
      </c>
      <c r="D1629" t="str">
        <f>T_Stocks[[#This Row],[Ticker]] &amp; "-" &amp; DATE(YEAR(T_Stocks[[#This Row],[Fecha]]),MONTH(T_Stocks[[#This Row],[Fecha]]),DAY(T_Stocks[[#This Row],[Fecha]]))</f>
        <v>BTCEUR-43633</v>
      </c>
    </row>
    <row r="1630" spans="1:4" ht="14.65" thickBot="1" x14ac:dyDescent="0.5">
      <c r="A1630" s="17">
        <v>43634.998611111114</v>
      </c>
      <c r="B1630" s="19">
        <v>8103.8874859999996</v>
      </c>
      <c r="C1630" t="s">
        <v>155</v>
      </c>
      <c r="D1630" t="str">
        <f>T_Stocks[[#This Row],[Ticker]] &amp; "-" &amp; DATE(YEAR(T_Stocks[[#This Row],[Fecha]]),MONTH(T_Stocks[[#This Row],[Fecha]]),DAY(T_Stocks[[#This Row],[Fecha]]))</f>
        <v>BTCEUR-43634</v>
      </c>
    </row>
    <row r="1631" spans="1:4" ht="14.65" thickBot="1" x14ac:dyDescent="0.5">
      <c r="A1631" s="17">
        <v>43635.998611111114</v>
      </c>
      <c r="B1631" s="19">
        <v>8254.0294950000007</v>
      </c>
      <c r="C1631" t="s">
        <v>155</v>
      </c>
      <c r="D1631" t="str">
        <f>T_Stocks[[#This Row],[Ticker]] &amp; "-" &amp; DATE(YEAR(T_Stocks[[#This Row],[Fecha]]),MONTH(T_Stocks[[#This Row],[Fecha]]),DAY(T_Stocks[[#This Row],[Fecha]]))</f>
        <v>BTCEUR-43635</v>
      </c>
    </row>
    <row r="1632" spans="1:4" ht="14.65" thickBot="1" x14ac:dyDescent="0.5">
      <c r="A1632" s="17">
        <v>43636.998611111114</v>
      </c>
      <c r="B1632" s="19">
        <v>8440.5644030000003</v>
      </c>
      <c r="C1632" t="s">
        <v>155</v>
      </c>
      <c r="D1632" t="str">
        <f>T_Stocks[[#This Row],[Ticker]] &amp; "-" &amp; DATE(YEAR(T_Stocks[[#This Row],[Fecha]]),MONTH(T_Stocks[[#This Row],[Fecha]]),DAY(T_Stocks[[#This Row],[Fecha]]))</f>
        <v>BTCEUR-43636</v>
      </c>
    </row>
    <row r="1633" spans="1:4" ht="14.65" thickBot="1" x14ac:dyDescent="0.5">
      <c r="A1633" s="17">
        <v>43637.998611111114</v>
      </c>
      <c r="B1633" s="19">
        <v>8959.1338130000004</v>
      </c>
      <c r="C1633" t="s">
        <v>155</v>
      </c>
      <c r="D1633" t="str">
        <f>T_Stocks[[#This Row],[Ticker]] &amp; "-" &amp; DATE(YEAR(T_Stocks[[#This Row],[Fecha]]),MONTH(T_Stocks[[#This Row],[Fecha]]),DAY(T_Stocks[[#This Row],[Fecha]]))</f>
        <v>BTCEUR-43637</v>
      </c>
    </row>
    <row r="1634" spans="1:4" ht="14.65" thickBot="1" x14ac:dyDescent="0.5">
      <c r="A1634" s="17">
        <v>43638.998611111114</v>
      </c>
      <c r="B1634" s="19">
        <v>9391.1140020000003</v>
      </c>
      <c r="C1634" t="s">
        <v>155</v>
      </c>
      <c r="D1634" t="str">
        <f>T_Stocks[[#This Row],[Ticker]] &amp; "-" &amp; DATE(YEAR(T_Stocks[[#This Row],[Fecha]]),MONTH(T_Stocks[[#This Row],[Fecha]]),DAY(T_Stocks[[#This Row],[Fecha]]))</f>
        <v>BTCEUR-43638</v>
      </c>
    </row>
    <row r="1635" spans="1:4" ht="14.65" thickBot="1" x14ac:dyDescent="0.5">
      <c r="A1635" s="17">
        <v>43639.998611111114</v>
      </c>
      <c r="B1635" s="19">
        <v>9538.7029330000005</v>
      </c>
      <c r="C1635" t="s">
        <v>155</v>
      </c>
      <c r="D1635" t="str">
        <f>T_Stocks[[#This Row],[Ticker]] &amp; "-" &amp; DATE(YEAR(T_Stocks[[#This Row],[Fecha]]),MONTH(T_Stocks[[#This Row],[Fecha]]),DAY(T_Stocks[[#This Row],[Fecha]]))</f>
        <v>BTCEUR-43639</v>
      </c>
    </row>
    <row r="1636" spans="1:4" ht="14.65" thickBot="1" x14ac:dyDescent="0.5">
      <c r="A1636" s="17">
        <v>43640.998611111114</v>
      </c>
      <c r="B1636" s="19">
        <v>9681.3954630000007</v>
      </c>
      <c r="C1636" t="s">
        <v>155</v>
      </c>
      <c r="D1636" t="str">
        <f>T_Stocks[[#This Row],[Ticker]] &amp; "-" &amp; DATE(YEAR(T_Stocks[[#This Row],[Fecha]]),MONTH(T_Stocks[[#This Row],[Fecha]]),DAY(T_Stocks[[#This Row],[Fecha]]))</f>
        <v>BTCEUR-43640</v>
      </c>
    </row>
    <row r="1637" spans="1:4" ht="14.65" thickBot="1" x14ac:dyDescent="0.5">
      <c r="A1637" s="17">
        <v>43641.998611111114</v>
      </c>
      <c r="B1637" s="19">
        <v>10325.579320000001</v>
      </c>
      <c r="C1637" t="s">
        <v>155</v>
      </c>
      <c r="D1637" t="str">
        <f>T_Stocks[[#This Row],[Ticker]] &amp; "-" &amp; DATE(YEAR(T_Stocks[[#This Row],[Fecha]]),MONTH(T_Stocks[[#This Row],[Fecha]]),DAY(T_Stocks[[#This Row],[Fecha]]))</f>
        <v>BTCEUR-43641</v>
      </c>
    </row>
    <row r="1638" spans="1:4" ht="14.65" thickBot="1" x14ac:dyDescent="0.5">
      <c r="A1638" s="17">
        <v>43642.998611111114</v>
      </c>
      <c r="B1638" s="19">
        <v>11374.6386</v>
      </c>
      <c r="C1638" t="s">
        <v>155</v>
      </c>
      <c r="D1638" t="str">
        <f>T_Stocks[[#This Row],[Ticker]] &amp; "-" &amp; DATE(YEAR(T_Stocks[[#This Row],[Fecha]]),MONTH(T_Stocks[[#This Row],[Fecha]]),DAY(T_Stocks[[#This Row],[Fecha]]))</f>
        <v>BTCEUR-43642</v>
      </c>
    </row>
    <row r="1639" spans="1:4" ht="14.65" thickBot="1" x14ac:dyDescent="0.5">
      <c r="A1639" s="17">
        <v>43643.998611111114</v>
      </c>
      <c r="B1639" s="19">
        <v>9789.806799</v>
      </c>
      <c r="C1639" t="s">
        <v>155</v>
      </c>
      <c r="D1639" t="str">
        <f>T_Stocks[[#This Row],[Ticker]] &amp; "-" &amp; DATE(YEAR(T_Stocks[[#This Row],[Fecha]]),MONTH(T_Stocks[[#This Row],[Fecha]]),DAY(T_Stocks[[#This Row],[Fecha]]))</f>
        <v>BTCEUR-43643</v>
      </c>
    </row>
    <row r="1640" spans="1:4" ht="14.65" thickBot="1" x14ac:dyDescent="0.5">
      <c r="A1640" s="17">
        <v>43644.998611111114</v>
      </c>
      <c r="B1640" s="19">
        <v>10853.70522</v>
      </c>
      <c r="C1640" t="s">
        <v>155</v>
      </c>
      <c r="D1640" t="str">
        <f>T_Stocks[[#This Row],[Ticker]] &amp; "-" &amp; DATE(YEAR(T_Stocks[[#This Row],[Fecha]]),MONTH(T_Stocks[[#This Row],[Fecha]]),DAY(T_Stocks[[#This Row],[Fecha]]))</f>
        <v>BTCEUR-43644</v>
      </c>
    </row>
    <row r="1641" spans="1:4" ht="14.65" thickBot="1" x14ac:dyDescent="0.5">
      <c r="A1641" s="17">
        <v>43645.998611111114</v>
      </c>
      <c r="B1641" s="19">
        <v>10441.614879999999</v>
      </c>
      <c r="C1641" t="s">
        <v>155</v>
      </c>
      <c r="D1641" t="str">
        <f>T_Stocks[[#This Row],[Ticker]] &amp; "-" &amp; DATE(YEAR(T_Stocks[[#This Row],[Fecha]]),MONTH(T_Stocks[[#This Row],[Fecha]]),DAY(T_Stocks[[#This Row],[Fecha]]))</f>
        <v>BTCEUR-43645</v>
      </c>
    </row>
    <row r="1642" spans="1:4" ht="14.65" thickBot="1" x14ac:dyDescent="0.5">
      <c r="A1642" s="17">
        <v>43646.998611111114</v>
      </c>
      <c r="B1642" s="19">
        <v>9475.8014820000008</v>
      </c>
      <c r="C1642" t="s">
        <v>155</v>
      </c>
      <c r="D1642" t="str">
        <f>T_Stocks[[#This Row],[Ticker]] &amp; "-" &amp; DATE(YEAR(T_Stocks[[#This Row],[Fecha]]),MONTH(T_Stocks[[#This Row],[Fecha]]),DAY(T_Stocks[[#This Row],[Fecha]]))</f>
        <v>BTCEUR-43646</v>
      </c>
    </row>
    <row r="1643" spans="1:4" ht="14.65" thickBot="1" x14ac:dyDescent="0.5">
      <c r="A1643" s="17">
        <v>43647.998611111114</v>
      </c>
      <c r="B1643" s="19">
        <v>9380.8111270000009</v>
      </c>
      <c r="C1643" t="s">
        <v>155</v>
      </c>
      <c r="D1643" t="str">
        <f>T_Stocks[[#This Row],[Ticker]] &amp; "-" &amp; DATE(YEAR(T_Stocks[[#This Row],[Fecha]]),MONTH(T_Stocks[[#This Row],[Fecha]]),DAY(T_Stocks[[#This Row],[Fecha]]))</f>
        <v>BTCEUR-43647</v>
      </c>
    </row>
    <row r="1644" spans="1:4" ht="14.65" thickBot="1" x14ac:dyDescent="0.5">
      <c r="A1644" s="17">
        <v>43648.998611111114</v>
      </c>
      <c r="B1644" s="19">
        <v>9596.4645700000001</v>
      </c>
      <c r="C1644" t="s">
        <v>155</v>
      </c>
      <c r="D1644" t="str">
        <f>T_Stocks[[#This Row],[Ticker]] &amp; "-" &amp; DATE(YEAR(T_Stocks[[#This Row],[Fecha]]),MONTH(T_Stocks[[#This Row],[Fecha]]),DAY(T_Stocks[[#This Row],[Fecha]]))</f>
        <v>BTCEUR-43648</v>
      </c>
    </row>
    <row r="1645" spans="1:4" ht="14.65" thickBot="1" x14ac:dyDescent="0.5">
      <c r="A1645" s="17">
        <v>43649.998611111114</v>
      </c>
      <c r="B1645" s="19">
        <v>10606.04795</v>
      </c>
      <c r="C1645" t="s">
        <v>155</v>
      </c>
      <c r="D1645" t="str">
        <f>T_Stocks[[#This Row],[Ticker]] &amp; "-" &amp; DATE(YEAR(T_Stocks[[#This Row],[Fecha]]),MONTH(T_Stocks[[#This Row],[Fecha]]),DAY(T_Stocks[[#This Row],[Fecha]]))</f>
        <v>BTCEUR-43649</v>
      </c>
    </row>
    <row r="1646" spans="1:4" ht="14.65" thickBot="1" x14ac:dyDescent="0.5">
      <c r="A1646" s="17">
        <v>43650.998611111114</v>
      </c>
      <c r="B1646" s="19">
        <v>9888.2665180000004</v>
      </c>
      <c r="C1646" t="s">
        <v>155</v>
      </c>
      <c r="D1646" t="str">
        <f>T_Stocks[[#This Row],[Ticker]] &amp; "-" &amp; DATE(YEAR(T_Stocks[[#This Row],[Fecha]]),MONTH(T_Stocks[[#This Row],[Fecha]]),DAY(T_Stocks[[#This Row],[Fecha]]))</f>
        <v>BTCEUR-43650</v>
      </c>
    </row>
    <row r="1647" spans="1:4" ht="14.65" thickBot="1" x14ac:dyDescent="0.5">
      <c r="A1647" s="17">
        <v>43651.998611111114</v>
      </c>
      <c r="B1647" s="19">
        <v>9777.3782850000007</v>
      </c>
      <c r="C1647" t="s">
        <v>155</v>
      </c>
      <c r="D1647" t="str">
        <f>T_Stocks[[#This Row],[Ticker]] &amp; "-" &amp; DATE(YEAR(T_Stocks[[#This Row],[Fecha]]),MONTH(T_Stocks[[#This Row],[Fecha]]),DAY(T_Stocks[[#This Row],[Fecha]]))</f>
        <v>BTCEUR-43651</v>
      </c>
    </row>
    <row r="1648" spans="1:4" ht="14.65" thickBot="1" x14ac:dyDescent="0.5">
      <c r="A1648" s="17">
        <v>43652.998611111114</v>
      </c>
      <c r="B1648" s="19">
        <v>10015.21213</v>
      </c>
      <c r="C1648" t="s">
        <v>155</v>
      </c>
      <c r="D1648" t="str">
        <f>T_Stocks[[#This Row],[Ticker]] &amp; "-" &amp; DATE(YEAR(T_Stocks[[#This Row],[Fecha]]),MONTH(T_Stocks[[#This Row],[Fecha]]),DAY(T_Stocks[[#This Row],[Fecha]]))</f>
        <v>BTCEUR-43652</v>
      </c>
    </row>
    <row r="1649" spans="1:4" ht="14.65" thickBot="1" x14ac:dyDescent="0.5">
      <c r="A1649" s="17">
        <v>43653.998611111114</v>
      </c>
      <c r="B1649" s="19">
        <v>10217.88096</v>
      </c>
      <c r="C1649" t="s">
        <v>155</v>
      </c>
      <c r="D1649" t="str">
        <f>T_Stocks[[#This Row],[Ticker]] &amp; "-" &amp; DATE(YEAR(T_Stocks[[#This Row],[Fecha]]),MONTH(T_Stocks[[#This Row],[Fecha]]),DAY(T_Stocks[[#This Row],[Fecha]]))</f>
        <v>BTCEUR-43653</v>
      </c>
    </row>
    <row r="1650" spans="1:4" ht="14.65" thickBot="1" x14ac:dyDescent="0.5">
      <c r="A1650" s="17">
        <v>43654.998611111114</v>
      </c>
      <c r="B1650" s="19">
        <v>10954.63839</v>
      </c>
      <c r="C1650" t="s">
        <v>155</v>
      </c>
      <c r="D1650" t="str">
        <f>T_Stocks[[#This Row],[Ticker]] &amp; "-" &amp; DATE(YEAR(T_Stocks[[#This Row],[Fecha]]),MONTH(T_Stocks[[#This Row],[Fecha]]),DAY(T_Stocks[[#This Row],[Fecha]]))</f>
        <v>BTCEUR-43654</v>
      </c>
    </row>
    <row r="1651" spans="1:4" ht="14.65" thickBot="1" x14ac:dyDescent="0.5">
      <c r="A1651" s="17">
        <v>43655.998611111114</v>
      </c>
      <c r="B1651" s="19">
        <v>11204.62232</v>
      </c>
      <c r="C1651" t="s">
        <v>155</v>
      </c>
      <c r="D1651" t="str">
        <f>T_Stocks[[#This Row],[Ticker]] &amp; "-" &amp; DATE(YEAR(T_Stocks[[#This Row],[Fecha]]),MONTH(T_Stocks[[#This Row],[Fecha]]),DAY(T_Stocks[[#This Row],[Fecha]]))</f>
        <v>BTCEUR-43655</v>
      </c>
    </row>
    <row r="1652" spans="1:4" ht="14.65" thickBot="1" x14ac:dyDescent="0.5">
      <c r="A1652" s="17">
        <v>43656.998611111114</v>
      </c>
      <c r="B1652" s="19">
        <v>10748.635560000001</v>
      </c>
      <c r="C1652" t="s">
        <v>155</v>
      </c>
      <c r="D1652" t="str">
        <f>T_Stocks[[#This Row],[Ticker]] &amp; "-" &amp; DATE(YEAR(T_Stocks[[#This Row],[Fecha]]),MONTH(T_Stocks[[#This Row],[Fecha]]),DAY(T_Stocks[[#This Row],[Fecha]]))</f>
        <v>BTCEUR-43656</v>
      </c>
    </row>
    <row r="1653" spans="1:4" ht="14.65" thickBot="1" x14ac:dyDescent="0.5">
      <c r="A1653" s="17">
        <v>43657.998611111114</v>
      </c>
      <c r="B1653" s="19">
        <v>10086.958280000001</v>
      </c>
      <c r="C1653" t="s">
        <v>155</v>
      </c>
      <c r="D1653" t="str">
        <f>T_Stocks[[#This Row],[Ticker]] &amp; "-" &amp; DATE(YEAR(T_Stocks[[#This Row],[Fecha]]),MONTH(T_Stocks[[#This Row],[Fecha]]),DAY(T_Stocks[[#This Row],[Fecha]]))</f>
        <v>BTCEUR-43657</v>
      </c>
    </row>
    <row r="1654" spans="1:4" ht="14.65" thickBot="1" x14ac:dyDescent="0.5">
      <c r="A1654" s="17">
        <v>43658.998611111114</v>
      </c>
      <c r="B1654" s="19">
        <v>10455.75865</v>
      </c>
      <c r="C1654" t="s">
        <v>155</v>
      </c>
      <c r="D1654" t="str">
        <f>T_Stocks[[#This Row],[Ticker]] &amp; "-" &amp; DATE(YEAR(T_Stocks[[#This Row],[Fecha]]),MONTH(T_Stocks[[#This Row],[Fecha]]),DAY(T_Stocks[[#This Row],[Fecha]]))</f>
        <v>BTCEUR-43658</v>
      </c>
    </row>
    <row r="1655" spans="1:4" ht="14.65" thickBot="1" x14ac:dyDescent="0.5">
      <c r="A1655" s="17">
        <v>43659.998611111114</v>
      </c>
      <c r="B1655" s="19">
        <v>10067.07855</v>
      </c>
      <c r="C1655" t="s">
        <v>155</v>
      </c>
      <c r="D1655" t="str">
        <f>T_Stocks[[#This Row],[Ticker]] &amp; "-" &amp; DATE(YEAR(T_Stocks[[#This Row],[Fecha]]),MONTH(T_Stocks[[#This Row],[Fecha]]),DAY(T_Stocks[[#This Row],[Fecha]]))</f>
        <v>BTCEUR-43659</v>
      </c>
    </row>
    <row r="1656" spans="1:4" ht="14.65" thickBot="1" x14ac:dyDescent="0.5">
      <c r="A1656" s="17">
        <v>43660.998611111114</v>
      </c>
      <c r="B1656" s="19">
        <v>9059.0612529999999</v>
      </c>
      <c r="C1656" t="s">
        <v>155</v>
      </c>
      <c r="D1656" t="str">
        <f>T_Stocks[[#This Row],[Ticker]] &amp; "-" &amp; DATE(YEAR(T_Stocks[[#This Row],[Fecha]]),MONTH(T_Stocks[[#This Row],[Fecha]]),DAY(T_Stocks[[#This Row],[Fecha]]))</f>
        <v>BTCEUR-43660</v>
      </c>
    </row>
    <row r="1657" spans="1:4" ht="14.65" thickBot="1" x14ac:dyDescent="0.5">
      <c r="A1657" s="17">
        <v>43661.998611111114</v>
      </c>
      <c r="B1657" s="19">
        <v>9631.1249459999999</v>
      </c>
      <c r="C1657" t="s">
        <v>155</v>
      </c>
      <c r="D1657" t="str">
        <f>T_Stocks[[#This Row],[Ticker]] &amp; "-" &amp; DATE(YEAR(T_Stocks[[#This Row],[Fecha]]),MONTH(T_Stocks[[#This Row],[Fecha]]),DAY(T_Stocks[[#This Row],[Fecha]]))</f>
        <v>BTCEUR-43661</v>
      </c>
    </row>
    <row r="1658" spans="1:4" ht="14.65" thickBot="1" x14ac:dyDescent="0.5">
      <c r="A1658" s="17">
        <v>43662.998611111114</v>
      </c>
      <c r="B1658" s="19">
        <v>8406.4595339999996</v>
      </c>
      <c r="C1658" t="s">
        <v>155</v>
      </c>
      <c r="D1658" t="str">
        <f>T_Stocks[[#This Row],[Ticker]] &amp; "-" &amp; DATE(YEAR(T_Stocks[[#This Row],[Fecha]]),MONTH(T_Stocks[[#This Row],[Fecha]]),DAY(T_Stocks[[#This Row],[Fecha]]))</f>
        <v>BTCEUR-43662</v>
      </c>
    </row>
    <row r="1659" spans="1:4" ht="14.65" thickBot="1" x14ac:dyDescent="0.5">
      <c r="A1659" s="17">
        <v>43663.998611111114</v>
      </c>
      <c r="B1659" s="19">
        <v>8624.1915110000009</v>
      </c>
      <c r="C1659" t="s">
        <v>155</v>
      </c>
      <c r="D1659" t="str">
        <f>T_Stocks[[#This Row],[Ticker]] &amp; "-" &amp; DATE(YEAR(T_Stocks[[#This Row],[Fecha]]),MONTH(T_Stocks[[#This Row],[Fecha]]),DAY(T_Stocks[[#This Row],[Fecha]]))</f>
        <v>BTCEUR-43663</v>
      </c>
    </row>
    <row r="1660" spans="1:4" ht="14.65" thickBot="1" x14ac:dyDescent="0.5">
      <c r="A1660" s="17">
        <v>43664.998611111114</v>
      </c>
      <c r="B1660" s="19">
        <v>9440.3640140000007</v>
      </c>
      <c r="C1660" t="s">
        <v>155</v>
      </c>
      <c r="D1660" t="str">
        <f>T_Stocks[[#This Row],[Ticker]] &amp; "-" &amp; DATE(YEAR(T_Stocks[[#This Row],[Fecha]]),MONTH(T_Stocks[[#This Row],[Fecha]]),DAY(T_Stocks[[#This Row],[Fecha]]))</f>
        <v>BTCEUR-43664</v>
      </c>
    </row>
    <row r="1661" spans="1:4" ht="14.65" thickBot="1" x14ac:dyDescent="0.5">
      <c r="A1661" s="17">
        <v>43665.998611111114</v>
      </c>
      <c r="B1661" s="19">
        <v>9371.0915690000002</v>
      </c>
      <c r="C1661" t="s">
        <v>155</v>
      </c>
      <c r="D1661" t="str">
        <f>T_Stocks[[#This Row],[Ticker]] &amp; "-" &amp; DATE(YEAR(T_Stocks[[#This Row],[Fecha]]),MONTH(T_Stocks[[#This Row],[Fecha]]),DAY(T_Stocks[[#This Row],[Fecha]]))</f>
        <v>BTCEUR-43665</v>
      </c>
    </row>
    <row r="1662" spans="1:4" ht="14.65" thickBot="1" x14ac:dyDescent="0.5">
      <c r="A1662" s="17">
        <v>43666.998611111114</v>
      </c>
      <c r="B1662" s="19">
        <v>9567.7280429999992</v>
      </c>
      <c r="C1662" t="s">
        <v>155</v>
      </c>
      <c r="D1662" t="str">
        <f>T_Stocks[[#This Row],[Ticker]] &amp; "-" &amp; DATE(YEAR(T_Stocks[[#This Row],[Fecha]]),MONTH(T_Stocks[[#This Row],[Fecha]]),DAY(T_Stocks[[#This Row],[Fecha]]))</f>
        <v>BTCEUR-43666</v>
      </c>
    </row>
    <row r="1663" spans="1:4" ht="14.65" thickBot="1" x14ac:dyDescent="0.5">
      <c r="A1663" s="17">
        <v>43667.998611111114</v>
      </c>
      <c r="B1663" s="19">
        <v>9436.1553779999995</v>
      </c>
      <c r="C1663" t="s">
        <v>155</v>
      </c>
      <c r="D1663" t="str">
        <f>T_Stocks[[#This Row],[Ticker]] &amp; "-" &amp; DATE(YEAR(T_Stocks[[#This Row],[Fecha]]),MONTH(T_Stocks[[#This Row],[Fecha]]),DAY(T_Stocks[[#This Row],[Fecha]]))</f>
        <v>BTCEUR-43667</v>
      </c>
    </row>
    <row r="1664" spans="1:4" ht="14.65" thickBot="1" x14ac:dyDescent="0.5">
      <c r="A1664" s="17">
        <v>43668.998611111114</v>
      </c>
      <c r="B1664" s="19">
        <v>9213.9611889999996</v>
      </c>
      <c r="C1664" t="s">
        <v>155</v>
      </c>
      <c r="D1664" t="str">
        <f>T_Stocks[[#This Row],[Ticker]] &amp; "-" &amp; DATE(YEAR(T_Stocks[[#This Row],[Fecha]]),MONTH(T_Stocks[[#This Row],[Fecha]]),DAY(T_Stocks[[#This Row],[Fecha]]))</f>
        <v>BTCEUR-43668</v>
      </c>
    </row>
    <row r="1665" spans="1:4" ht="14.65" thickBot="1" x14ac:dyDescent="0.5">
      <c r="A1665" s="17">
        <v>43669.998611111114</v>
      </c>
      <c r="B1665" s="19">
        <v>8842.3692589999991</v>
      </c>
      <c r="C1665" t="s">
        <v>155</v>
      </c>
      <c r="D1665" t="str">
        <f>T_Stocks[[#This Row],[Ticker]] &amp; "-" &amp; DATE(YEAR(T_Stocks[[#This Row],[Fecha]]),MONTH(T_Stocks[[#This Row],[Fecha]]),DAY(T_Stocks[[#This Row],[Fecha]]))</f>
        <v>BTCEUR-43669</v>
      </c>
    </row>
    <row r="1666" spans="1:4" ht="14.65" thickBot="1" x14ac:dyDescent="0.5">
      <c r="A1666" s="17">
        <v>43670.998611111114</v>
      </c>
      <c r="B1666" s="19">
        <v>8771.7497239999993</v>
      </c>
      <c r="C1666" t="s">
        <v>155</v>
      </c>
      <c r="D1666" t="str">
        <f>T_Stocks[[#This Row],[Ticker]] &amp; "-" &amp; DATE(YEAR(T_Stocks[[#This Row],[Fecha]]),MONTH(T_Stocks[[#This Row],[Fecha]]),DAY(T_Stocks[[#This Row],[Fecha]]))</f>
        <v>BTCEUR-43670</v>
      </c>
    </row>
    <row r="1667" spans="1:4" ht="14.65" thickBot="1" x14ac:dyDescent="0.5">
      <c r="A1667" s="17">
        <v>43671.998611111114</v>
      </c>
      <c r="B1667" s="19">
        <v>8863.5802480000002</v>
      </c>
      <c r="C1667" t="s">
        <v>155</v>
      </c>
      <c r="D1667" t="str">
        <f>T_Stocks[[#This Row],[Ticker]] &amp; "-" &amp; DATE(YEAR(T_Stocks[[#This Row],[Fecha]]),MONTH(T_Stocks[[#This Row],[Fecha]]),DAY(T_Stocks[[#This Row],[Fecha]]))</f>
        <v>BTCEUR-43671</v>
      </c>
    </row>
    <row r="1668" spans="1:4" ht="14.65" thickBot="1" x14ac:dyDescent="0.5">
      <c r="A1668" s="17">
        <v>43672.998611111114</v>
      </c>
      <c r="B1668" s="19">
        <v>8831.3412009999993</v>
      </c>
      <c r="C1668" t="s">
        <v>155</v>
      </c>
      <c r="D1668" t="str">
        <f>T_Stocks[[#This Row],[Ticker]] &amp; "-" &amp; DATE(YEAR(T_Stocks[[#This Row],[Fecha]]),MONTH(T_Stocks[[#This Row],[Fecha]]),DAY(T_Stocks[[#This Row],[Fecha]]))</f>
        <v>BTCEUR-43672</v>
      </c>
    </row>
    <row r="1669" spans="1:4" ht="14.65" thickBot="1" x14ac:dyDescent="0.5">
      <c r="A1669" s="17">
        <v>43673.998611111114</v>
      </c>
      <c r="B1669" s="19">
        <v>8496.0408110000008</v>
      </c>
      <c r="C1669" t="s">
        <v>155</v>
      </c>
      <c r="D1669" t="str">
        <f>T_Stocks[[#This Row],[Ticker]] &amp; "-" &amp; DATE(YEAR(T_Stocks[[#This Row],[Fecha]]),MONTH(T_Stocks[[#This Row],[Fecha]]),DAY(T_Stocks[[#This Row],[Fecha]]))</f>
        <v>BTCEUR-43673</v>
      </c>
    </row>
    <row r="1670" spans="1:4" ht="14.65" thickBot="1" x14ac:dyDescent="0.5">
      <c r="A1670" s="17">
        <v>43674.998611111114</v>
      </c>
      <c r="B1670" s="19">
        <v>8556.6210059999994</v>
      </c>
      <c r="C1670" t="s">
        <v>155</v>
      </c>
      <c r="D1670" t="str">
        <f>T_Stocks[[#This Row],[Ticker]] &amp; "-" &amp; DATE(YEAR(T_Stocks[[#This Row],[Fecha]]),MONTH(T_Stocks[[#This Row],[Fecha]]),DAY(T_Stocks[[#This Row],[Fecha]]))</f>
        <v>BTCEUR-43674</v>
      </c>
    </row>
    <row r="1671" spans="1:4" ht="14.65" thickBot="1" x14ac:dyDescent="0.5">
      <c r="A1671" s="17">
        <v>43675.998611111114</v>
      </c>
      <c r="B1671" s="19">
        <v>8532.7698710000004</v>
      </c>
      <c r="C1671" t="s">
        <v>155</v>
      </c>
      <c r="D1671" t="str">
        <f>T_Stocks[[#This Row],[Ticker]] &amp; "-" &amp; DATE(YEAR(T_Stocks[[#This Row],[Fecha]]),MONTH(T_Stocks[[#This Row],[Fecha]]),DAY(T_Stocks[[#This Row],[Fecha]]))</f>
        <v>BTCEUR-43675</v>
      </c>
    </row>
    <row r="1672" spans="1:4" ht="14.65" thickBot="1" x14ac:dyDescent="0.5">
      <c r="A1672" s="17">
        <v>43676.998611111114</v>
      </c>
      <c r="B1672" s="19">
        <v>8595.6460200000001</v>
      </c>
      <c r="C1672" t="s">
        <v>155</v>
      </c>
      <c r="D1672" t="str">
        <f>T_Stocks[[#This Row],[Ticker]] &amp; "-" &amp; DATE(YEAR(T_Stocks[[#This Row],[Fecha]]),MONTH(T_Stocks[[#This Row],[Fecha]]),DAY(T_Stocks[[#This Row],[Fecha]]))</f>
        <v>BTCEUR-43676</v>
      </c>
    </row>
    <row r="1673" spans="1:4" ht="14.65" thickBot="1" x14ac:dyDescent="0.5">
      <c r="A1673" s="17">
        <v>43677.998611111114</v>
      </c>
      <c r="B1673" s="19">
        <v>9108.5462000000007</v>
      </c>
      <c r="C1673" t="s">
        <v>155</v>
      </c>
      <c r="D1673" t="str">
        <f>T_Stocks[[#This Row],[Ticker]] &amp; "-" &amp; DATE(YEAR(T_Stocks[[#This Row],[Fecha]]),MONTH(T_Stocks[[#This Row],[Fecha]]),DAY(T_Stocks[[#This Row],[Fecha]]))</f>
        <v>BTCEUR-43677</v>
      </c>
    </row>
    <row r="1674" spans="1:4" ht="14.65" thickBot="1" x14ac:dyDescent="0.5">
      <c r="A1674" s="17">
        <v>43678.998611111114</v>
      </c>
      <c r="B1674" s="19">
        <v>9387.4917069999992</v>
      </c>
      <c r="C1674" t="s">
        <v>155</v>
      </c>
      <c r="D1674" t="str">
        <f>T_Stocks[[#This Row],[Ticker]] &amp; "-" &amp; DATE(YEAR(T_Stocks[[#This Row],[Fecha]]),MONTH(T_Stocks[[#This Row],[Fecha]]),DAY(T_Stocks[[#This Row],[Fecha]]))</f>
        <v>BTCEUR-43678</v>
      </c>
    </row>
    <row r="1675" spans="1:4" ht="14.65" thickBot="1" x14ac:dyDescent="0.5">
      <c r="A1675" s="17">
        <v>43679.998611111114</v>
      </c>
      <c r="B1675" s="19">
        <v>9451.3682520000002</v>
      </c>
      <c r="C1675" t="s">
        <v>155</v>
      </c>
      <c r="D1675" t="str">
        <f>T_Stocks[[#This Row],[Ticker]] &amp; "-" &amp; DATE(YEAR(T_Stocks[[#This Row],[Fecha]]),MONTH(T_Stocks[[#This Row],[Fecha]]),DAY(T_Stocks[[#This Row],[Fecha]]))</f>
        <v>BTCEUR-43679</v>
      </c>
    </row>
    <row r="1676" spans="1:4" ht="14.65" thickBot="1" x14ac:dyDescent="0.5">
      <c r="A1676" s="17">
        <v>43680.998611111114</v>
      </c>
      <c r="B1676" s="19">
        <v>9716.7436739999994</v>
      </c>
      <c r="C1676" t="s">
        <v>155</v>
      </c>
      <c r="D1676" t="str">
        <f>T_Stocks[[#This Row],[Ticker]] &amp; "-" &amp; DATE(YEAR(T_Stocks[[#This Row],[Fecha]]),MONTH(T_Stocks[[#This Row],[Fecha]]),DAY(T_Stocks[[#This Row],[Fecha]]))</f>
        <v>BTCEUR-43680</v>
      </c>
    </row>
    <row r="1677" spans="1:4" ht="14.65" thickBot="1" x14ac:dyDescent="0.5">
      <c r="A1677" s="17">
        <v>43681.998611111114</v>
      </c>
      <c r="B1677" s="19">
        <v>9875.3373869999996</v>
      </c>
      <c r="C1677" t="s">
        <v>155</v>
      </c>
      <c r="D1677" t="str">
        <f>T_Stocks[[#This Row],[Ticker]] &amp; "-" &amp; DATE(YEAR(T_Stocks[[#This Row],[Fecha]]),MONTH(T_Stocks[[#This Row],[Fecha]]),DAY(T_Stocks[[#This Row],[Fecha]]))</f>
        <v>BTCEUR-43681</v>
      </c>
    </row>
    <row r="1678" spans="1:4" ht="14.65" thickBot="1" x14ac:dyDescent="0.5">
      <c r="A1678" s="17">
        <v>43682.998611111114</v>
      </c>
      <c r="B1678" s="19">
        <v>10485.487810000001</v>
      </c>
      <c r="C1678" t="s">
        <v>155</v>
      </c>
      <c r="D1678" t="str">
        <f>T_Stocks[[#This Row],[Ticker]] &amp; "-" &amp; DATE(YEAR(T_Stocks[[#This Row],[Fecha]]),MONTH(T_Stocks[[#This Row],[Fecha]]),DAY(T_Stocks[[#This Row],[Fecha]]))</f>
        <v>BTCEUR-43682</v>
      </c>
    </row>
    <row r="1679" spans="1:4" ht="14.65" thickBot="1" x14ac:dyDescent="0.5">
      <c r="A1679" s="17">
        <v>43683.998611111114</v>
      </c>
      <c r="B1679" s="19">
        <v>10232.593010000001</v>
      </c>
      <c r="C1679" t="s">
        <v>155</v>
      </c>
      <c r="D1679" t="str">
        <f>T_Stocks[[#This Row],[Ticker]] &amp; "-" &amp; DATE(YEAR(T_Stocks[[#This Row],[Fecha]]),MONTH(T_Stocks[[#This Row],[Fecha]]),DAY(T_Stocks[[#This Row],[Fecha]]))</f>
        <v>BTCEUR-43683</v>
      </c>
    </row>
    <row r="1680" spans="1:4" ht="14.65" thickBot="1" x14ac:dyDescent="0.5">
      <c r="A1680" s="17">
        <v>43684.998611111114</v>
      </c>
      <c r="B1680" s="19">
        <v>10651.401760000001</v>
      </c>
      <c r="C1680" t="s">
        <v>155</v>
      </c>
      <c r="D1680" t="str">
        <f>T_Stocks[[#This Row],[Ticker]] &amp; "-" &amp; DATE(YEAR(T_Stocks[[#This Row],[Fecha]]),MONTH(T_Stocks[[#This Row],[Fecha]]),DAY(T_Stocks[[#This Row],[Fecha]]))</f>
        <v>BTCEUR-43684</v>
      </c>
    </row>
    <row r="1681" spans="1:4" ht="14.65" thickBot="1" x14ac:dyDescent="0.5">
      <c r="A1681" s="17">
        <v>43685.998611111114</v>
      </c>
      <c r="B1681" s="19">
        <v>10714.573060000001</v>
      </c>
      <c r="C1681" t="s">
        <v>155</v>
      </c>
      <c r="D1681" t="str">
        <f>T_Stocks[[#This Row],[Ticker]] &amp; "-" &amp; DATE(YEAR(T_Stocks[[#This Row],[Fecha]]),MONTH(T_Stocks[[#This Row],[Fecha]]),DAY(T_Stocks[[#This Row],[Fecha]]))</f>
        <v>BTCEUR-43685</v>
      </c>
    </row>
    <row r="1682" spans="1:4" ht="14.65" thickBot="1" x14ac:dyDescent="0.5">
      <c r="A1682" s="17">
        <v>43686.998611111114</v>
      </c>
      <c r="B1682" s="19">
        <v>10478.31315</v>
      </c>
      <c r="C1682" t="s">
        <v>155</v>
      </c>
      <c r="D1682" t="str">
        <f>T_Stocks[[#This Row],[Ticker]] &amp; "-" &amp; DATE(YEAR(T_Stocks[[#This Row],[Fecha]]),MONTH(T_Stocks[[#This Row],[Fecha]]),DAY(T_Stocks[[#This Row],[Fecha]]))</f>
        <v>BTCEUR-43686</v>
      </c>
    </row>
    <row r="1683" spans="1:4" ht="14.65" thickBot="1" x14ac:dyDescent="0.5">
      <c r="A1683" s="17">
        <v>43687.998611111114</v>
      </c>
      <c r="B1683" s="19">
        <v>9978.5069590000003</v>
      </c>
      <c r="C1683" t="s">
        <v>155</v>
      </c>
      <c r="D1683" t="str">
        <f>T_Stocks[[#This Row],[Ticker]] &amp; "-" &amp; DATE(YEAR(T_Stocks[[#This Row],[Fecha]]),MONTH(T_Stocks[[#This Row],[Fecha]]),DAY(T_Stocks[[#This Row],[Fecha]]))</f>
        <v>BTCEUR-43687</v>
      </c>
    </row>
    <row r="1684" spans="1:4" ht="14.65" thickBot="1" x14ac:dyDescent="0.5">
      <c r="A1684" s="17">
        <v>43688.998611111114</v>
      </c>
      <c r="B1684" s="19">
        <v>10292.92006</v>
      </c>
      <c r="C1684" t="s">
        <v>155</v>
      </c>
      <c r="D1684" t="str">
        <f>T_Stocks[[#This Row],[Ticker]] &amp; "-" &amp; DATE(YEAR(T_Stocks[[#This Row],[Fecha]]),MONTH(T_Stocks[[#This Row],[Fecha]]),DAY(T_Stocks[[#This Row],[Fecha]]))</f>
        <v>BTCEUR-43688</v>
      </c>
    </row>
    <row r="1685" spans="1:4" ht="14.65" thickBot="1" x14ac:dyDescent="0.5">
      <c r="A1685" s="17">
        <v>43689.998611111114</v>
      </c>
      <c r="B1685" s="19">
        <v>10151.771290000001</v>
      </c>
      <c r="C1685" t="s">
        <v>155</v>
      </c>
      <c r="D1685" t="str">
        <f>T_Stocks[[#This Row],[Ticker]] &amp; "-" &amp; DATE(YEAR(T_Stocks[[#This Row],[Fecha]]),MONTH(T_Stocks[[#This Row],[Fecha]]),DAY(T_Stocks[[#This Row],[Fecha]]))</f>
        <v>BTCEUR-43689</v>
      </c>
    </row>
    <row r="1686" spans="1:4" ht="14.65" thickBot="1" x14ac:dyDescent="0.5">
      <c r="A1686" s="17">
        <v>43690.998611111114</v>
      </c>
      <c r="B1686" s="19">
        <v>9715.8413199999995</v>
      </c>
      <c r="C1686" t="s">
        <v>155</v>
      </c>
      <c r="D1686" t="str">
        <f>T_Stocks[[#This Row],[Ticker]] &amp; "-" &amp; DATE(YEAR(T_Stocks[[#This Row],[Fecha]]),MONTH(T_Stocks[[#This Row],[Fecha]]),DAY(T_Stocks[[#This Row],[Fecha]]))</f>
        <v>BTCEUR-43690</v>
      </c>
    </row>
    <row r="1687" spans="1:4" ht="14.65" thickBot="1" x14ac:dyDescent="0.5">
      <c r="A1687" s="17">
        <v>43691.998611111114</v>
      </c>
      <c r="B1687" s="19">
        <v>9014.6163240000005</v>
      </c>
      <c r="C1687" t="s">
        <v>155</v>
      </c>
      <c r="D1687" t="str">
        <f>T_Stocks[[#This Row],[Ticker]] &amp; "-" &amp; DATE(YEAR(T_Stocks[[#This Row],[Fecha]]),MONTH(T_Stocks[[#This Row],[Fecha]]),DAY(T_Stocks[[#This Row],[Fecha]]))</f>
        <v>BTCEUR-43691</v>
      </c>
    </row>
    <row r="1688" spans="1:4" ht="14.65" thickBot="1" x14ac:dyDescent="0.5">
      <c r="A1688" s="17">
        <v>43692.998611111114</v>
      </c>
      <c r="B1688" s="19">
        <v>9268.0479759999998</v>
      </c>
      <c r="C1688" t="s">
        <v>155</v>
      </c>
      <c r="D1688" t="str">
        <f>T_Stocks[[#This Row],[Ticker]] &amp; "-" &amp; DATE(YEAR(T_Stocks[[#This Row],[Fecha]]),MONTH(T_Stocks[[#This Row],[Fecha]]),DAY(T_Stocks[[#This Row],[Fecha]]))</f>
        <v>BTCEUR-43692</v>
      </c>
    </row>
    <row r="1689" spans="1:4" ht="14.65" thickBot="1" x14ac:dyDescent="0.5">
      <c r="A1689" s="17">
        <v>43693.998611111114</v>
      </c>
      <c r="B1689" s="19">
        <v>9328.9561720000002</v>
      </c>
      <c r="C1689" t="s">
        <v>155</v>
      </c>
      <c r="D1689" t="str">
        <f>T_Stocks[[#This Row],[Ticker]] &amp; "-" &amp; DATE(YEAR(T_Stocks[[#This Row],[Fecha]]),MONTH(T_Stocks[[#This Row],[Fecha]]),DAY(T_Stocks[[#This Row],[Fecha]]))</f>
        <v>BTCEUR-43693</v>
      </c>
    </row>
    <row r="1690" spans="1:4" ht="14.65" thickBot="1" x14ac:dyDescent="0.5">
      <c r="A1690" s="17">
        <v>43694.998611111114</v>
      </c>
      <c r="B1690" s="19">
        <v>9210.1109720000004</v>
      </c>
      <c r="C1690" t="s">
        <v>155</v>
      </c>
      <c r="D1690" t="str">
        <f>T_Stocks[[#This Row],[Ticker]] &amp; "-" &amp; DATE(YEAR(T_Stocks[[#This Row],[Fecha]]),MONTH(T_Stocks[[#This Row],[Fecha]]),DAY(T_Stocks[[#This Row],[Fecha]]))</f>
        <v>BTCEUR-43694</v>
      </c>
    </row>
    <row r="1691" spans="1:4" ht="14.65" thickBot="1" x14ac:dyDescent="0.5">
      <c r="A1691" s="17">
        <v>43695.998611111114</v>
      </c>
      <c r="B1691" s="19">
        <v>9312.2552319999995</v>
      </c>
      <c r="C1691" t="s">
        <v>155</v>
      </c>
      <c r="D1691" t="str">
        <f>T_Stocks[[#This Row],[Ticker]] &amp; "-" &amp; DATE(YEAR(T_Stocks[[#This Row],[Fecha]]),MONTH(T_Stocks[[#This Row],[Fecha]]),DAY(T_Stocks[[#This Row],[Fecha]]))</f>
        <v>BTCEUR-43695</v>
      </c>
    </row>
    <row r="1692" spans="1:4" ht="14.65" thickBot="1" x14ac:dyDescent="0.5">
      <c r="A1692" s="17">
        <v>43696.998611111114</v>
      </c>
      <c r="B1692" s="19">
        <v>9852.6711039999991</v>
      </c>
      <c r="C1692" t="s">
        <v>155</v>
      </c>
      <c r="D1692" t="str">
        <f>T_Stocks[[#This Row],[Ticker]] &amp; "-" &amp; DATE(YEAR(T_Stocks[[#This Row],[Fecha]]),MONTH(T_Stocks[[#This Row],[Fecha]]),DAY(T_Stocks[[#This Row],[Fecha]]))</f>
        <v>BTCEUR-43696</v>
      </c>
    </row>
    <row r="1693" spans="1:4" ht="14.65" thickBot="1" x14ac:dyDescent="0.5">
      <c r="A1693" s="17">
        <v>43697.998611111114</v>
      </c>
      <c r="B1693" s="19">
        <v>9698.8827089999995</v>
      </c>
      <c r="C1693" t="s">
        <v>155</v>
      </c>
      <c r="D1693" t="str">
        <f>T_Stocks[[#This Row],[Ticker]] &amp; "-" &amp; DATE(YEAR(T_Stocks[[#This Row],[Fecha]]),MONTH(T_Stocks[[#This Row],[Fecha]]),DAY(T_Stocks[[#This Row],[Fecha]]))</f>
        <v>BTCEUR-43697</v>
      </c>
    </row>
    <row r="1694" spans="1:4" ht="14.65" thickBot="1" x14ac:dyDescent="0.5">
      <c r="A1694" s="17">
        <v>43698.998611111114</v>
      </c>
      <c r="B1694" s="19">
        <v>9134.7784470000006</v>
      </c>
      <c r="C1694" t="s">
        <v>155</v>
      </c>
      <c r="D1694" t="str">
        <f>T_Stocks[[#This Row],[Ticker]] &amp; "-" &amp; DATE(YEAR(T_Stocks[[#This Row],[Fecha]]),MONTH(T_Stocks[[#This Row],[Fecha]]),DAY(T_Stocks[[#This Row],[Fecha]]))</f>
        <v>BTCEUR-43698</v>
      </c>
    </row>
    <row r="1695" spans="1:4" ht="14.65" thickBot="1" x14ac:dyDescent="0.5">
      <c r="A1695" s="17">
        <v>43699.998611111114</v>
      </c>
      <c r="B1695" s="19">
        <v>9124.5169860000005</v>
      </c>
      <c r="C1695" t="s">
        <v>155</v>
      </c>
      <c r="D1695" t="str">
        <f>T_Stocks[[#This Row],[Ticker]] &amp; "-" &amp; DATE(YEAR(T_Stocks[[#This Row],[Fecha]]),MONTH(T_Stocks[[#This Row],[Fecha]]),DAY(T_Stocks[[#This Row],[Fecha]]))</f>
        <v>BTCEUR-43699</v>
      </c>
    </row>
    <row r="1696" spans="1:4" ht="14.65" thickBot="1" x14ac:dyDescent="0.5">
      <c r="A1696" s="17">
        <v>43700.998611111114</v>
      </c>
      <c r="B1696" s="19">
        <v>9256.9677840000004</v>
      </c>
      <c r="C1696" t="s">
        <v>155</v>
      </c>
      <c r="D1696" t="str">
        <f>T_Stocks[[#This Row],[Ticker]] &amp; "-" &amp; DATE(YEAR(T_Stocks[[#This Row],[Fecha]]),MONTH(T_Stocks[[#This Row],[Fecha]]),DAY(T_Stocks[[#This Row],[Fecha]]))</f>
        <v>BTCEUR-43700</v>
      </c>
    </row>
    <row r="1697" spans="1:4" ht="14.65" thickBot="1" x14ac:dyDescent="0.5">
      <c r="A1697" s="17">
        <v>43701.998611111114</v>
      </c>
      <c r="B1697" s="19">
        <v>9010.0370320000002</v>
      </c>
      <c r="C1697" t="s">
        <v>155</v>
      </c>
      <c r="D1697" t="str">
        <f>T_Stocks[[#This Row],[Ticker]] &amp; "-" &amp; DATE(YEAR(T_Stocks[[#This Row],[Fecha]]),MONTH(T_Stocks[[#This Row],[Fecha]]),DAY(T_Stocks[[#This Row],[Fecha]]))</f>
        <v>BTCEUR-43701</v>
      </c>
    </row>
    <row r="1698" spans="1:4" ht="14.65" thickBot="1" x14ac:dyDescent="0.5">
      <c r="A1698" s="17">
        <v>43702.998611111114</v>
      </c>
      <c r="B1698" s="19">
        <v>9099.2734249999994</v>
      </c>
      <c r="C1698" t="s">
        <v>155</v>
      </c>
      <c r="D1698" t="str">
        <f>T_Stocks[[#This Row],[Ticker]] &amp; "-" &amp; DATE(YEAR(T_Stocks[[#This Row],[Fecha]]),MONTH(T_Stocks[[#This Row],[Fecha]]),DAY(T_Stocks[[#This Row],[Fecha]]))</f>
        <v>BTCEUR-43702</v>
      </c>
    </row>
    <row r="1699" spans="1:4" ht="14.65" thickBot="1" x14ac:dyDescent="0.5">
      <c r="A1699" s="17">
        <v>43703.998611111114</v>
      </c>
      <c r="B1699" s="19">
        <v>9313.8160740000003</v>
      </c>
      <c r="C1699" t="s">
        <v>155</v>
      </c>
      <c r="D1699" t="str">
        <f>T_Stocks[[#This Row],[Ticker]] &amp; "-" &amp; DATE(YEAR(T_Stocks[[#This Row],[Fecha]]),MONTH(T_Stocks[[#This Row],[Fecha]]),DAY(T_Stocks[[#This Row],[Fecha]]))</f>
        <v>BTCEUR-43703</v>
      </c>
    </row>
    <row r="1700" spans="1:4" ht="14.65" thickBot="1" x14ac:dyDescent="0.5">
      <c r="A1700" s="17">
        <v>43704.998611111114</v>
      </c>
      <c r="B1700" s="19">
        <v>9178.9028419999995</v>
      </c>
      <c r="C1700" t="s">
        <v>155</v>
      </c>
      <c r="D1700" t="str">
        <f>T_Stocks[[#This Row],[Ticker]] &amp; "-" &amp; DATE(YEAR(T_Stocks[[#This Row],[Fecha]]),MONTH(T_Stocks[[#This Row],[Fecha]]),DAY(T_Stocks[[#This Row],[Fecha]]))</f>
        <v>BTCEUR-43704</v>
      </c>
    </row>
    <row r="1701" spans="1:4" ht="14.65" thickBot="1" x14ac:dyDescent="0.5">
      <c r="A1701" s="17">
        <v>43705.998611111114</v>
      </c>
      <c r="B1701" s="19">
        <v>8771.7822629999991</v>
      </c>
      <c r="C1701" t="s">
        <v>155</v>
      </c>
      <c r="D1701" t="str">
        <f>T_Stocks[[#This Row],[Ticker]] &amp; "-" &amp; DATE(YEAR(T_Stocks[[#This Row],[Fecha]]),MONTH(T_Stocks[[#This Row],[Fecha]]),DAY(T_Stocks[[#This Row],[Fecha]]))</f>
        <v>BTCEUR-43705</v>
      </c>
    </row>
    <row r="1702" spans="1:4" ht="14.65" thickBot="1" x14ac:dyDescent="0.5">
      <c r="A1702" s="17">
        <v>43706.998611111114</v>
      </c>
      <c r="B1702" s="19">
        <v>8559.3730319999995</v>
      </c>
      <c r="C1702" t="s">
        <v>155</v>
      </c>
      <c r="D1702" t="str">
        <f>T_Stocks[[#This Row],[Ticker]] &amp; "-" &amp; DATE(YEAR(T_Stocks[[#This Row],[Fecha]]),MONTH(T_Stocks[[#This Row],[Fecha]]),DAY(T_Stocks[[#This Row],[Fecha]]))</f>
        <v>BTCEUR-43706</v>
      </c>
    </row>
    <row r="1703" spans="1:4" ht="14.65" thickBot="1" x14ac:dyDescent="0.5">
      <c r="A1703" s="17">
        <v>43707.998611111114</v>
      </c>
      <c r="B1703" s="19">
        <v>8704.3664329999992</v>
      </c>
      <c r="C1703" t="s">
        <v>155</v>
      </c>
      <c r="D1703" t="str">
        <f>T_Stocks[[#This Row],[Ticker]] &amp; "-" &amp; DATE(YEAR(T_Stocks[[#This Row],[Fecha]]),MONTH(T_Stocks[[#This Row],[Fecha]]),DAY(T_Stocks[[#This Row],[Fecha]]))</f>
        <v>BTCEUR-43707</v>
      </c>
    </row>
    <row r="1704" spans="1:4" ht="14.65" thickBot="1" x14ac:dyDescent="0.5">
      <c r="A1704" s="17">
        <v>43708.998611111114</v>
      </c>
      <c r="B1704" s="19">
        <v>8735.0702020000008</v>
      </c>
      <c r="C1704" t="s">
        <v>155</v>
      </c>
      <c r="D1704" t="str">
        <f>T_Stocks[[#This Row],[Ticker]] &amp; "-" &amp; DATE(YEAR(T_Stocks[[#This Row],[Fecha]]),MONTH(T_Stocks[[#This Row],[Fecha]]),DAY(T_Stocks[[#This Row],[Fecha]]))</f>
        <v>BTCEUR-43708</v>
      </c>
    </row>
    <row r="1705" spans="1:4" ht="14.65" thickBot="1" x14ac:dyDescent="0.5">
      <c r="A1705" s="17">
        <v>43709.998611111114</v>
      </c>
      <c r="B1705" s="19">
        <v>8894.3372920000002</v>
      </c>
      <c r="C1705" t="s">
        <v>155</v>
      </c>
      <c r="D1705" t="str">
        <f>T_Stocks[[#This Row],[Ticker]] &amp; "-" &amp; DATE(YEAR(T_Stocks[[#This Row],[Fecha]]),MONTH(T_Stocks[[#This Row],[Fecha]]),DAY(T_Stocks[[#This Row],[Fecha]]))</f>
        <v>BTCEUR-43709</v>
      </c>
    </row>
    <row r="1706" spans="1:4" ht="14.65" thickBot="1" x14ac:dyDescent="0.5">
      <c r="A1706" s="17">
        <v>43710.998611111114</v>
      </c>
      <c r="B1706" s="19">
        <v>9443.4615360000007</v>
      </c>
      <c r="C1706" t="s">
        <v>155</v>
      </c>
      <c r="D1706" t="str">
        <f>T_Stocks[[#This Row],[Ticker]] &amp; "-" &amp; DATE(YEAR(T_Stocks[[#This Row],[Fecha]]),MONTH(T_Stocks[[#This Row],[Fecha]]),DAY(T_Stocks[[#This Row],[Fecha]]))</f>
        <v>BTCEUR-43710</v>
      </c>
    </row>
    <row r="1707" spans="1:4" ht="14.65" thickBot="1" x14ac:dyDescent="0.5">
      <c r="A1707" s="17">
        <v>43711.998611111114</v>
      </c>
      <c r="B1707" s="19">
        <v>9673.1534080000001</v>
      </c>
      <c r="C1707" t="s">
        <v>155</v>
      </c>
      <c r="D1707" t="str">
        <f>T_Stocks[[#This Row],[Ticker]] &amp; "-" &amp; DATE(YEAR(T_Stocks[[#This Row],[Fecha]]),MONTH(T_Stocks[[#This Row],[Fecha]]),DAY(T_Stocks[[#This Row],[Fecha]]))</f>
        <v>BTCEUR-43711</v>
      </c>
    </row>
    <row r="1708" spans="1:4" ht="14.65" thickBot="1" x14ac:dyDescent="0.5">
      <c r="A1708" s="17">
        <v>43712.998611111114</v>
      </c>
      <c r="B1708" s="19">
        <v>9580.1530700000003</v>
      </c>
      <c r="C1708" t="s">
        <v>155</v>
      </c>
      <c r="D1708" t="str">
        <f>T_Stocks[[#This Row],[Ticker]] &amp; "-" &amp; DATE(YEAR(T_Stocks[[#This Row],[Fecha]]),MONTH(T_Stocks[[#This Row],[Fecha]]),DAY(T_Stocks[[#This Row],[Fecha]]))</f>
        <v>BTCEUR-43712</v>
      </c>
    </row>
    <row r="1709" spans="1:4" ht="14.65" thickBot="1" x14ac:dyDescent="0.5">
      <c r="A1709" s="17">
        <v>43713.998611111114</v>
      </c>
      <c r="B1709" s="19">
        <v>9589.6187399999999</v>
      </c>
      <c r="C1709" t="s">
        <v>155</v>
      </c>
      <c r="D1709" t="str">
        <f>T_Stocks[[#This Row],[Ticker]] &amp; "-" &amp; DATE(YEAR(T_Stocks[[#This Row],[Fecha]]),MONTH(T_Stocks[[#This Row],[Fecha]]),DAY(T_Stocks[[#This Row],[Fecha]]))</f>
        <v>BTCEUR-43713</v>
      </c>
    </row>
    <row r="1710" spans="1:4" ht="14.65" thickBot="1" x14ac:dyDescent="0.5">
      <c r="A1710" s="17">
        <v>43714.998611111114</v>
      </c>
      <c r="B1710" s="19">
        <v>9260.8156679999993</v>
      </c>
      <c r="C1710" t="s">
        <v>155</v>
      </c>
      <c r="D1710" t="str">
        <f>T_Stocks[[#This Row],[Ticker]] &amp; "-" &amp; DATE(YEAR(T_Stocks[[#This Row],[Fecha]]),MONTH(T_Stocks[[#This Row],[Fecha]]),DAY(T_Stocks[[#This Row],[Fecha]]))</f>
        <v>BTCEUR-43714</v>
      </c>
    </row>
    <row r="1711" spans="1:4" ht="14.65" thickBot="1" x14ac:dyDescent="0.5">
      <c r="A1711" s="17">
        <v>43715.998611111114</v>
      </c>
      <c r="B1711" s="19">
        <v>9413.4293159999997</v>
      </c>
      <c r="C1711" t="s">
        <v>155</v>
      </c>
      <c r="D1711" t="str">
        <f>T_Stocks[[#This Row],[Ticker]] &amp; "-" &amp; DATE(YEAR(T_Stocks[[#This Row],[Fecha]]),MONTH(T_Stocks[[#This Row],[Fecha]]),DAY(T_Stocks[[#This Row],[Fecha]]))</f>
        <v>BTCEUR-43715</v>
      </c>
    </row>
    <row r="1712" spans="1:4" ht="14.65" thickBot="1" x14ac:dyDescent="0.5">
      <c r="A1712" s="17">
        <v>43716.998611111114</v>
      </c>
      <c r="B1712" s="19">
        <v>9457.3539400000009</v>
      </c>
      <c r="C1712" t="s">
        <v>155</v>
      </c>
      <c r="D1712" t="str">
        <f>T_Stocks[[#This Row],[Ticker]] &amp; "-" &amp; DATE(YEAR(T_Stocks[[#This Row],[Fecha]]),MONTH(T_Stocks[[#This Row],[Fecha]]),DAY(T_Stocks[[#This Row],[Fecha]]))</f>
        <v>BTCEUR-43716</v>
      </c>
    </row>
    <row r="1713" spans="1:4" ht="14.65" thickBot="1" x14ac:dyDescent="0.5">
      <c r="A1713" s="17">
        <v>43717.998611111114</v>
      </c>
      <c r="B1713" s="19">
        <v>9324.5337309999995</v>
      </c>
      <c r="C1713" t="s">
        <v>155</v>
      </c>
      <c r="D1713" t="str">
        <f>T_Stocks[[#This Row],[Ticker]] &amp; "-" &amp; DATE(YEAR(T_Stocks[[#This Row],[Fecha]]),MONTH(T_Stocks[[#This Row],[Fecha]]),DAY(T_Stocks[[#This Row],[Fecha]]))</f>
        <v>BTCEUR-43717</v>
      </c>
    </row>
    <row r="1714" spans="1:4" ht="14.65" thickBot="1" x14ac:dyDescent="0.5">
      <c r="A1714" s="17">
        <v>43718.998611111114</v>
      </c>
      <c r="B1714" s="19">
        <v>9133.1264289999999</v>
      </c>
      <c r="C1714" t="s">
        <v>155</v>
      </c>
      <c r="D1714" t="str">
        <f>T_Stocks[[#This Row],[Ticker]] &amp; "-" &amp; DATE(YEAR(T_Stocks[[#This Row],[Fecha]]),MONTH(T_Stocks[[#This Row],[Fecha]]),DAY(T_Stocks[[#This Row],[Fecha]]))</f>
        <v>BTCEUR-43718</v>
      </c>
    </row>
    <row r="1715" spans="1:4" ht="14.65" thickBot="1" x14ac:dyDescent="0.5">
      <c r="A1715" s="17">
        <v>43719.998611111114</v>
      </c>
      <c r="B1715" s="19">
        <v>9200.2707859999991</v>
      </c>
      <c r="C1715" t="s">
        <v>155</v>
      </c>
      <c r="D1715" t="str">
        <f>T_Stocks[[#This Row],[Ticker]] &amp; "-" &amp; DATE(YEAR(T_Stocks[[#This Row],[Fecha]]),MONTH(T_Stocks[[#This Row],[Fecha]]),DAY(T_Stocks[[#This Row],[Fecha]]))</f>
        <v>BTCEUR-43719</v>
      </c>
    </row>
    <row r="1716" spans="1:4" ht="14.65" thickBot="1" x14ac:dyDescent="0.5">
      <c r="A1716" s="17">
        <v>43720.998611111114</v>
      </c>
      <c r="B1716" s="19">
        <v>9418.0312959999992</v>
      </c>
      <c r="C1716" t="s">
        <v>155</v>
      </c>
      <c r="D1716" t="str">
        <f>T_Stocks[[#This Row],[Ticker]] &amp; "-" &amp; DATE(YEAR(T_Stocks[[#This Row],[Fecha]]),MONTH(T_Stocks[[#This Row],[Fecha]]),DAY(T_Stocks[[#This Row],[Fecha]]))</f>
        <v>BTCEUR-43720</v>
      </c>
    </row>
    <row r="1717" spans="1:4" ht="14.65" thickBot="1" x14ac:dyDescent="0.5">
      <c r="A1717" s="17">
        <v>43721.998611111114</v>
      </c>
      <c r="B1717" s="19">
        <v>9284.5972199999997</v>
      </c>
      <c r="C1717" t="s">
        <v>155</v>
      </c>
      <c r="D1717" t="str">
        <f>T_Stocks[[#This Row],[Ticker]] &amp; "-" &amp; DATE(YEAR(T_Stocks[[#This Row],[Fecha]]),MONTH(T_Stocks[[#This Row],[Fecha]]),DAY(T_Stocks[[#This Row],[Fecha]]))</f>
        <v>BTCEUR-43721</v>
      </c>
    </row>
    <row r="1718" spans="1:4" ht="14.65" thickBot="1" x14ac:dyDescent="0.5">
      <c r="A1718" s="17">
        <v>43722.998611111114</v>
      </c>
      <c r="B1718" s="19">
        <v>9282.8137420000003</v>
      </c>
      <c r="C1718" t="s">
        <v>155</v>
      </c>
      <c r="D1718" t="str">
        <f>T_Stocks[[#This Row],[Ticker]] &amp; "-" &amp; DATE(YEAR(T_Stocks[[#This Row],[Fecha]]),MONTH(T_Stocks[[#This Row],[Fecha]]),DAY(T_Stocks[[#This Row],[Fecha]]))</f>
        <v>BTCEUR-43722</v>
      </c>
    </row>
    <row r="1719" spans="1:4" ht="14.65" thickBot="1" x14ac:dyDescent="0.5">
      <c r="A1719" s="17">
        <v>43723.998611111114</v>
      </c>
      <c r="B1719" s="19">
        <v>9307.7463370000005</v>
      </c>
      <c r="C1719" t="s">
        <v>155</v>
      </c>
      <c r="D1719" t="str">
        <f>T_Stocks[[#This Row],[Ticker]] &amp; "-" &amp; DATE(YEAR(T_Stocks[[#This Row],[Fecha]]),MONTH(T_Stocks[[#This Row],[Fecha]]),DAY(T_Stocks[[#This Row],[Fecha]]))</f>
        <v>BTCEUR-43723</v>
      </c>
    </row>
    <row r="1720" spans="1:4" ht="14.65" thickBot="1" x14ac:dyDescent="0.5">
      <c r="A1720" s="17">
        <v>43724.998611111114</v>
      </c>
      <c r="B1720" s="19">
        <v>9323.0809979999995</v>
      </c>
      <c r="C1720" t="s">
        <v>155</v>
      </c>
      <c r="D1720" t="str">
        <f>T_Stocks[[#This Row],[Ticker]] &amp; "-" &amp; DATE(YEAR(T_Stocks[[#This Row],[Fecha]]),MONTH(T_Stocks[[#This Row],[Fecha]]),DAY(T_Stocks[[#This Row],[Fecha]]))</f>
        <v>BTCEUR-43724</v>
      </c>
    </row>
    <row r="1721" spans="1:4" ht="14.65" thickBot="1" x14ac:dyDescent="0.5">
      <c r="A1721" s="17">
        <v>43725.998611111114</v>
      </c>
      <c r="B1721" s="19">
        <v>9195.5550179999991</v>
      </c>
      <c r="C1721" t="s">
        <v>155</v>
      </c>
      <c r="D1721" t="str">
        <f>T_Stocks[[#This Row],[Ticker]] &amp; "-" &amp; DATE(YEAR(T_Stocks[[#This Row],[Fecha]]),MONTH(T_Stocks[[#This Row],[Fecha]]),DAY(T_Stocks[[#This Row],[Fecha]]))</f>
        <v>BTCEUR-43725</v>
      </c>
    </row>
    <row r="1722" spans="1:4" ht="14.65" thickBot="1" x14ac:dyDescent="0.5">
      <c r="A1722" s="17">
        <v>43726.998611111114</v>
      </c>
      <c r="B1722" s="19">
        <v>9199.2254549999998</v>
      </c>
      <c r="C1722" t="s">
        <v>155</v>
      </c>
      <c r="D1722" t="str">
        <f>T_Stocks[[#This Row],[Ticker]] &amp; "-" &amp; DATE(YEAR(T_Stocks[[#This Row],[Fecha]]),MONTH(T_Stocks[[#This Row],[Fecha]]),DAY(T_Stocks[[#This Row],[Fecha]]))</f>
        <v>BTCEUR-43726</v>
      </c>
    </row>
    <row r="1723" spans="1:4" ht="14.65" thickBot="1" x14ac:dyDescent="0.5">
      <c r="A1723" s="17">
        <v>43727.998611111114</v>
      </c>
      <c r="B1723" s="19">
        <v>9290.7247860000007</v>
      </c>
      <c r="C1723" t="s">
        <v>155</v>
      </c>
      <c r="D1723" t="str">
        <f>T_Stocks[[#This Row],[Ticker]] &amp; "-" &amp; DATE(YEAR(T_Stocks[[#This Row],[Fecha]]),MONTH(T_Stocks[[#This Row],[Fecha]]),DAY(T_Stocks[[#This Row],[Fecha]]))</f>
        <v>BTCEUR-43727</v>
      </c>
    </row>
    <row r="1724" spans="1:4" ht="14.65" thickBot="1" x14ac:dyDescent="0.5">
      <c r="A1724" s="17">
        <v>43728.998611111114</v>
      </c>
      <c r="B1724" s="19">
        <v>9226.3780509999997</v>
      </c>
      <c r="C1724" t="s">
        <v>155</v>
      </c>
      <c r="D1724" t="str">
        <f>T_Stocks[[#This Row],[Ticker]] &amp; "-" &amp; DATE(YEAR(T_Stocks[[#This Row],[Fecha]]),MONTH(T_Stocks[[#This Row],[Fecha]]),DAY(T_Stocks[[#This Row],[Fecha]]))</f>
        <v>BTCEUR-43728</v>
      </c>
    </row>
    <row r="1725" spans="1:4" ht="14.65" thickBot="1" x14ac:dyDescent="0.5">
      <c r="A1725" s="17">
        <v>43729.998611111114</v>
      </c>
      <c r="B1725" s="19">
        <v>9048.2893210000002</v>
      </c>
      <c r="C1725" t="s">
        <v>155</v>
      </c>
      <c r="D1725" t="str">
        <f>T_Stocks[[#This Row],[Ticker]] &amp; "-" &amp; DATE(YEAR(T_Stocks[[#This Row],[Fecha]]),MONTH(T_Stocks[[#This Row],[Fecha]]),DAY(T_Stocks[[#This Row],[Fecha]]))</f>
        <v>BTCEUR-43729</v>
      </c>
    </row>
    <row r="1726" spans="1:4" ht="14.65" thickBot="1" x14ac:dyDescent="0.5">
      <c r="A1726" s="17">
        <v>43730.998611111114</v>
      </c>
      <c r="B1726" s="19">
        <v>9095.1019130000004</v>
      </c>
      <c r="C1726" t="s">
        <v>155</v>
      </c>
      <c r="D1726" t="str">
        <f>T_Stocks[[#This Row],[Ticker]] &amp; "-" &amp; DATE(YEAR(T_Stocks[[#This Row],[Fecha]]),MONTH(T_Stocks[[#This Row],[Fecha]]),DAY(T_Stocks[[#This Row],[Fecha]]))</f>
        <v>BTCEUR-43730</v>
      </c>
    </row>
    <row r="1727" spans="1:4" ht="14.65" thickBot="1" x14ac:dyDescent="0.5">
      <c r="A1727" s="17">
        <v>43731.998611111114</v>
      </c>
      <c r="B1727" s="19">
        <v>8811.5330589999994</v>
      </c>
      <c r="C1727" t="s">
        <v>155</v>
      </c>
      <c r="D1727" t="str">
        <f>T_Stocks[[#This Row],[Ticker]] &amp; "-" &amp; DATE(YEAR(T_Stocks[[#This Row],[Fecha]]),MONTH(T_Stocks[[#This Row],[Fecha]]),DAY(T_Stocks[[#This Row],[Fecha]]))</f>
        <v>BTCEUR-43731</v>
      </c>
    </row>
    <row r="1728" spans="1:4" ht="14.65" thickBot="1" x14ac:dyDescent="0.5">
      <c r="A1728" s="17">
        <v>43732.998611111114</v>
      </c>
      <c r="B1728" s="19">
        <v>7746.7338799999998</v>
      </c>
      <c r="C1728" t="s">
        <v>155</v>
      </c>
      <c r="D1728" t="str">
        <f>T_Stocks[[#This Row],[Ticker]] &amp; "-" &amp; DATE(YEAR(T_Stocks[[#This Row],[Fecha]]),MONTH(T_Stocks[[#This Row],[Fecha]]),DAY(T_Stocks[[#This Row],[Fecha]]))</f>
        <v>BTCEUR-43732</v>
      </c>
    </row>
    <row r="1729" spans="1:4" ht="14.65" thickBot="1" x14ac:dyDescent="0.5">
      <c r="A1729" s="17">
        <v>43733.998611111114</v>
      </c>
      <c r="B1729" s="19">
        <v>7699.7371110000004</v>
      </c>
      <c r="C1729" t="s">
        <v>155</v>
      </c>
      <c r="D1729" t="str">
        <f>T_Stocks[[#This Row],[Ticker]] &amp; "-" &amp; DATE(YEAR(T_Stocks[[#This Row],[Fecha]]),MONTH(T_Stocks[[#This Row],[Fecha]]),DAY(T_Stocks[[#This Row],[Fecha]]))</f>
        <v>BTCEUR-43733</v>
      </c>
    </row>
    <row r="1730" spans="1:4" ht="14.65" thickBot="1" x14ac:dyDescent="0.5">
      <c r="A1730" s="17">
        <v>43734.998611111114</v>
      </c>
      <c r="B1730" s="19">
        <v>7376.8765569999996</v>
      </c>
      <c r="C1730" t="s">
        <v>155</v>
      </c>
      <c r="D1730" t="str">
        <f>T_Stocks[[#This Row],[Ticker]] &amp; "-" &amp; DATE(YEAR(T_Stocks[[#This Row],[Fecha]]),MONTH(T_Stocks[[#This Row],[Fecha]]),DAY(T_Stocks[[#This Row],[Fecha]]))</f>
        <v>BTCEUR-43734</v>
      </c>
    </row>
    <row r="1731" spans="1:4" ht="14.65" thickBot="1" x14ac:dyDescent="0.5">
      <c r="A1731" s="17">
        <v>43735.998611111114</v>
      </c>
      <c r="B1731" s="19">
        <v>7498.9335330000004</v>
      </c>
      <c r="C1731" t="s">
        <v>155</v>
      </c>
      <c r="D1731" t="str">
        <f>T_Stocks[[#This Row],[Ticker]] &amp; "-" &amp; DATE(YEAR(T_Stocks[[#This Row],[Fecha]]),MONTH(T_Stocks[[#This Row],[Fecha]]),DAY(T_Stocks[[#This Row],[Fecha]]))</f>
        <v>BTCEUR-43735</v>
      </c>
    </row>
    <row r="1732" spans="1:4" ht="14.65" thickBot="1" x14ac:dyDescent="0.5">
      <c r="A1732" s="17">
        <v>43736.998611111114</v>
      </c>
      <c r="B1732" s="19">
        <v>7492.6161039999997</v>
      </c>
      <c r="C1732" t="s">
        <v>155</v>
      </c>
      <c r="D1732" t="str">
        <f>T_Stocks[[#This Row],[Ticker]] &amp; "-" &amp; DATE(YEAR(T_Stocks[[#This Row],[Fecha]]),MONTH(T_Stocks[[#This Row],[Fecha]]),DAY(T_Stocks[[#This Row],[Fecha]]))</f>
        <v>BTCEUR-43736</v>
      </c>
    </row>
    <row r="1733" spans="1:4" ht="14.65" thickBot="1" x14ac:dyDescent="0.5">
      <c r="A1733" s="17">
        <v>43737.998611111114</v>
      </c>
      <c r="B1733" s="19">
        <v>7362.5248229999997</v>
      </c>
      <c r="C1733" t="s">
        <v>155</v>
      </c>
      <c r="D1733" t="str">
        <f>T_Stocks[[#This Row],[Ticker]] &amp; "-" &amp; DATE(YEAR(T_Stocks[[#This Row],[Fecha]]),MONTH(T_Stocks[[#This Row],[Fecha]]),DAY(T_Stocks[[#This Row],[Fecha]]))</f>
        <v>BTCEUR-43737</v>
      </c>
    </row>
    <row r="1734" spans="1:4" ht="14.65" thickBot="1" x14ac:dyDescent="0.5">
      <c r="A1734" s="17">
        <v>43738.998611111114</v>
      </c>
      <c r="B1734" s="19">
        <v>7611.3564200000001</v>
      </c>
      <c r="C1734" t="s">
        <v>155</v>
      </c>
      <c r="D1734" t="str">
        <f>T_Stocks[[#This Row],[Ticker]] &amp; "-" &amp; DATE(YEAR(T_Stocks[[#This Row],[Fecha]]),MONTH(T_Stocks[[#This Row],[Fecha]]),DAY(T_Stocks[[#This Row],[Fecha]]))</f>
        <v>BTCEUR-43738</v>
      </c>
    </row>
    <row r="1735" spans="1:4" ht="14.65" thickBot="1" x14ac:dyDescent="0.5">
      <c r="A1735" s="17">
        <v>43739.998611111114</v>
      </c>
      <c r="B1735" s="19">
        <v>7612.3793900000001</v>
      </c>
      <c r="C1735" t="s">
        <v>155</v>
      </c>
      <c r="D1735" t="str">
        <f>T_Stocks[[#This Row],[Ticker]] &amp; "-" &amp; DATE(YEAR(T_Stocks[[#This Row],[Fecha]]),MONTH(T_Stocks[[#This Row],[Fecha]]),DAY(T_Stocks[[#This Row],[Fecha]]))</f>
        <v>BTCEUR-43739</v>
      </c>
    </row>
    <row r="1736" spans="1:4" ht="14.65" thickBot="1" x14ac:dyDescent="0.5">
      <c r="A1736" s="17">
        <v>43740.998611111114</v>
      </c>
      <c r="B1736" s="19">
        <v>7636.6858560000001</v>
      </c>
      <c r="C1736" t="s">
        <v>155</v>
      </c>
      <c r="D1736" t="str">
        <f>T_Stocks[[#This Row],[Ticker]] &amp; "-" &amp; DATE(YEAR(T_Stocks[[#This Row],[Fecha]]),MONTH(T_Stocks[[#This Row],[Fecha]]),DAY(T_Stocks[[#This Row],[Fecha]]))</f>
        <v>BTCEUR-43740</v>
      </c>
    </row>
    <row r="1737" spans="1:4" ht="14.65" thickBot="1" x14ac:dyDescent="0.5">
      <c r="A1737" s="17">
        <v>43741.998611111114</v>
      </c>
      <c r="B1737" s="19">
        <v>7509.2619430000004</v>
      </c>
      <c r="C1737" t="s">
        <v>155</v>
      </c>
      <c r="D1737" t="str">
        <f>T_Stocks[[#This Row],[Ticker]] &amp; "-" &amp; DATE(YEAR(T_Stocks[[#This Row],[Fecha]]),MONTH(T_Stocks[[#This Row],[Fecha]]),DAY(T_Stocks[[#This Row],[Fecha]]))</f>
        <v>BTCEUR-43741</v>
      </c>
    </row>
    <row r="1738" spans="1:4" ht="14.65" thickBot="1" x14ac:dyDescent="0.5">
      <c r="A1738" s="17">
        <v>43742.998611111114</v>
      </c>
      <c r="B1738" s="19">
        <v>7429.6444000000001</v>
      </c>
      <c r="C1738" t="s">
        <v>155</v>
      </c>
      <c r="D1738" t="str">
        <f>T_Stocks[[#This Row],[Ticker]] &amp; "-" &amp; DATE(YEAR(T_Stocks[[#This Row],[Fecha]]),MONTH(T_Stocks[[#This Row],[Fecha]]),DAY(T_Stocks[[#This Row],[Fecha]]))</f>
        <v>BTCEUR-43742</v>
      </c>
    </row>
    <row r="1739" spans="1:4" ht="14.65" thickBot="1" x14ac:dyDescent="0.5">
      <c r="A1739" s="17">
        <v>43743.998611111114</v>
      </c>
      <c r="B1739" s="19">
        <v>7428.935837</v>
      </c>
      <c r="C1739" t="s">
        <v>155</v>
      </c>
      <c r="D1739" t="str">
        <f>T_Stocks[[#This Row],[Ticker]] &amp; "-" &amp; DATE(YEAR(T_Stocks[[#This Row],[Fecha]]),MONTH(T_Stocks[[#This Row],[Fecha]]),DAY(T_Stocks[[#This Row],[Fecha]]))</f>
        <v>BTCEUR-43743</v>
      </c>
    </row>
    <row r="1740" spans="1:4" ht="14.65" thickBot="1" x14ac:dyDescent="0.5">
      <c r="A1740" s="17">
        <v>43744.998611111114</v>
      </c>
      <c r="B1740" s="19">
        <v>7167.263406</v>
      </c>
      <c r="C1740" t="s">
        <v>155</v>
      </c>
      <c r="D1740" t="str">
        <f>T_Stocks[[#This Row],[Ticker]] &amp; "-" &amp; DATE(YEAR(T_Stocks[[#This Row],[Fecha]]),MONTH(T_Stocks[[#This Row],[Fecha]]),DAY(T_Stocks[[#This Row],[Fecha]]))</f>
        <v>BTCEUR-43744</v>
      </c>
    </row>
    <row r="1741" spans="1:4" ht="14.65" thickBot="1" x14ac:dyDescent="0.5">
      <c r="A1741" s="17">
        <v>43745.998611111114</v>
      </c>
      <c r="B1741" s="19">
        <v>7494.2754130000003</v>
      </c>
      <c r="C1741" t="s">
        <v>155</v>
      </c>
      <c r="D1741" t="str">
        <f>T_Stocks[[#This Row],[Ticker]] &amp; "-" &amp; DATE(YEAR(T_Stocks[[#This Row],[Fecha]]),MONTH(T_Stocks[[#This Row],[Fecha]]),DAY(T_Stocks[[#This Row],[Fecha]]))</f>
        <v>BTCEUR-43745</v>
      </c>
    </row>
    <row r="1742" spans="1:4" ht="14.65" thickBot="1" x14ac:dyDescent="0.5">
      <c r="A1742" s="17">
        <v>43746.998611111114</v>
      </c>
      <c r="B1742" s="19">
        <v>7479.6836679999997</v>
      </c>
      <c r="C1742" t="s">
        <v>155</v>
      </c>
      <c r="D1742" t="str">
        <f>T_Stocks[[#This Row],[Ticker]] &amp; "-" &amp; DATE(YEAR(T_Stocks[[#This Row],[Fecha]]),MONTH(T_Stocks[[#This Row],[Fecha]]),DAY(T_Stocks[[#This Row],[Fecha]]))</f>
        <v>BTCEUR-43746</v>
      </c>
    </row>
    <row r="1743" spans="1:4" ht="14.65" thickBot="1" x14ac:dyDescent="0.5">
      <c r="A1743" s="17">
        <v>43747.998611111114</v>
      </c>
      <c r="B1743" s="19">
        <v>7823.3188</v>
      </c>
      <c r="C1743" t="s">
        <v>155</v>
      </c>
      <c r="D1743" t="str">
        <f>T_Stocks[[#This Row],[Ticker]] &amp; "-" &amp; DATE(YEAR(T_Stocks[[#This Row],[Fecha]]),MONTH(T_Stocks[[#This Row],[Fecha]]),DAY(T_Stocks[[#This Row],[Fecha]]))</f>
        <v>BTCEUR-43747</v>
      </c>
    </row>
    <row r="1744" spans="1:4" ht="14.65" thickBot="1" x14ac:dyDescent="0.5">
      <c r="A1744" s="17">
        <v>43748.998611111114</v>
      </c>
      <c r="B1744" s="19">
        <v>7801.1363300000003</v>
      </c>
      <c r="C1744" t="s">
        <v>155</v>
      </c>
      <c r="D1744" t="str">
        <f>T_Stocks[[#This Row],[Ticker]] &amp; "-" &amp; DATE(YEAR(T_Stocks[[#This Row],[Fecha]]),MONTH(T_Stocks[[#This Row],[Fecha]]),DAY(T_Stocks[[#This Row],[Fecha]]))</f>
        <v>BTCEUR-43748</v>
      </c>
    </row>
    <row r="1745" spans="1:4" ht="14.65" thickBot="1" x14ac:dyDescent="0.5">
      <c r="A1745" s="17">
        <v>43749.998611111114</v>
      </c>
      <c r="B1745" s="19">
        <v>7491.3518700000004</v>
      </c>
      <c r="C1745" t="s">
        <v>155</v>
      </c>
      <c r="D1745" t="str">
        <f>T_Stocks[[#This Row],[Ticker]] &amp; "-" &amp; DATE(YEAR(T_Stocks[[#This Row],[Fecha]]),MONTH(T_Stocks[[#This Row],[Fecha]]),DAY(T_Stocks[[#This Row],[Fecha]]))</f>
        <v>BTCEUR-43749</v>
      </c>
    </row>
    <row r="1746" spans="1:4" ht="14.65" thickBot="1" x14ac:dyDescent="0.5">
      <c r="A1746" s="17">
        <v>43750.998611111114</v>
      </c>
      <c r="B1746" s="19">
        <v>7536.7210020000002</v>
      </c>
      <c r="C1746" t="s">
        <v>155</v>
      </c>
      <c r="D1746" t="str">
        <f>T_Stocks[[#This Row],[Ticker]] &amp; "-" &amp; DATE(YEAR(T_Stocks[[#This Row],[Fecha]]),MONTH(T_Stocks[[#This Row],[Fecha]]),DAY(T_Stocks[[#This Row],[Fecha]]))</f>
        <v>BTCEUR-43750</v>
      </c>
    </row>
    <row r="1747" spans="1:4" ht="14.65" thickBot="1" x14ac:dyDescent="0.5">
      <c r="A1747" s="17">
        <v>43751.998611111114</v>
      </c>
      <c r="B1747" s="19">
        <v>7522.819469</v>
      </c>
      <c r="C1747" t="s">
        <v>155</v>
      </c>
      <c r="D1747" t="str">
        <f>T_Stocks[[#This Row],[Ticker]] &amp; "-" &amp; DATE(YEAR(T_Stocks[[#This Row],[Fecha]]),MONTH(T_Stocks[[#This Row],[Fecha]]),DAY(T_Stocks[[#This Row],[Fecha]]))</f>
        <v>BTCEUR-43751</v>
      </c>
    </row>
    <row r="1748" spans="1:4" ht="14.65" thickBot="1" x14ac:dyDescent="0.5">
      <c r="A1748" s="17">
        <v>43752.998611111114</v>
      </c>
      <c r="B1748" s="19">
        <v>7588.9837960000004</v>
      </c>
      <c r="C1748" t="s">
        <v>155</v>
      </c>
      <c r="D1748" t="str">
        <f>T_Stocks[[#This Row],[Ticker]] &amp; "-" &amp; DATE(YEAR(T_Stocks[[#This Row],[Fecha]]),MONTH(T_Stocks[[#This Row],[Fecha]]),DAY(T_Stocks[[#This Row],[Fecha]]))</f>
        <v>BTCEUR-43752</v>
      </c>
    </row>
    <row r="1749" spans="1:4" ht="14.65" thickBot="1" x14ac:dyDescent="0.5">
      <c r="A1749" s="17">
        <v>43753.998611111114</v>
      </c>
      <c r="B1749" s="19">
        <v>7404.1238450000001</v>
      </c>
      <c r="C1749" t="s">
        <v>155</v>
      </c>
      <c r="D1749" t="str">
        <f>T_Stocks[[#This Row],[Ticker]] &amp; "-" &amp; DATE(YEAR(T_Stocks[[#This Row],[Fecha]]),MONTH(T_Stocks[[#This Row],[Fecha]]),DAY(T_Stocks[[#This Row],[Fecha]]))</f>
        <v>BTCEUR-43753</v>
      </c>
    </row>
    <row r="1750" spans="1:4" ht="14.65" thickBot="1" x14ac:dyDescent="0.5">
      <c r="A1750" s="17">
        <v>43754.998611111114</v>
      </c>
      <c r="B1750" s="19">
        <v>7227.5010620000003</v>
      </c>
      <c r="C1750" t="s">
        <v>155</v>
      </c>
      <c r="D1750" t="str">
        <f>T_Stocks[[#This Row],[Ticker]] &amp; "-" &amp; DATE(YEAR(T_Stocks[[#This Row],[Fecha]]),MONTH(T_Stocks[[#This Row],[Fecha]]),DAY(T_Stocks[[#This Row],[Fecha]]))</f>
        <v>BTCEUR-43754</v>
      </c>
    </row>
    <row r="1751" spans="1:4" ht="14.65" thickBot="1" x14ac:dyDescent="0.5">
      <c r="A1751" s="17">
        <v>43755.998611111114</v>
      </c>
      <c r="B1751" s="19">
        <v>7267.1614040000004</v>
      </c>
      <c r="C1751" t="s">
        <v>155</v>
      </c>
      <c r="D1751" t="str">
        <f>T_Stocks[[#This Row],[Ticker]] &amp; "-" &amp; DATE(YEAR(T_Stocks[[#This Row],[Fecha]]),MONTH(T_Stocks[[#This Row],[Fecha]]),DAY(T_Stocks[[#This Row],[Fecha]]))</f>
        <v>BTCEUR-43755</v>
      </c>
    </row>
    <row r="1752" spans="1:4" ht="14.65" thickBot="1" x14ac:dyDescent="0.5">
      <c r="A1752" s="17">
        <v>43756.998611111114</v>
      </c>
      <c r="B1752" s="19">
        <v>7131.4185989999996</v>
      </c>
      <c r="C1752" t="s">
        <v>155</v>
      </c>
      <c r="D1752" t="str">
        <f>T_Stocks[[#This Row],[Ticker]] &amp; "-" &amp; DATE(YEAR(T_Stocks[[#This Row],[Fecha]]),MONTH(T_Stocks[[#This Row],[Fecha]]),DAY(T_Stocks[[#This Row],[Fecha]]))</f>
        <v>BTCEUR-43756</v>
      </c>
    </row>
    <row r="1753" spans="1:4" ht="14.65" thickBot="1" x14ac:dyDescent="0.5">
      <c r="A1753" s="17">
        <v>43757.998611111114</v>
      </c>
      <c r="B1753" s="19">
        <v>7137.8671210000002</v>
      </c>
      <c r="C1753" t="s">
        <v>155</v>
      </c>
      <c r="D1753" t="str">
        <f>T_Stocks[[#This Row],[Ticker]] &amp; "-" &amp; DATE(YEAR(T_Stocks[[#This Row],[Fecha]]),MONTH(T_Stocks[[#This Row],[Fecha]]),DAY(T_Stocks[[#This Row],[Fecha]]))</f>
        <v>BTCEUR-43757</v>
      </c>
    </row>
    <row r="1754" spans="1:4" ht="14.65" thickBot="1" x14ac:dyDescent="0.5">
      <c r="A1754" s="17">
        <v>43758.998611111114</v>
      </c>
      <c r="B1754" s="19">
        <v>7385.864493</v>
      </c>
      <c r="C1754" t="s">
        <v>155</v>
      </c>
      <c r="D1754" t="str">
        <f>T_Stocks[[#This Row],[Ticker]] &amp; "-" &amp; DATE(YEAR(T_Stocks[[#This Row],[Fecha]]),MONTH(T_Stocks[[#This Row],[Fecha]]),DAY(T_Stocks[[#This Row],[Fecha]]))</f>
        <v>BTCEUR-43758</v>
      </c>
    </row>
    <row r="1755" spans="1:4" ht="14.65" thickBot="1" x14ac:dyDescent="0.5">
      <c r="A1755" s="17">
        <v>43759.998611111114</v>
      </c>
      <c r="B1755" s="19">
        <v>7371.2123629999996</v>
      </c>
      <c r="C1755" t="s">
        <v>155</v>
      </c>
      <c r="D1755" t="str">
        <f>T_Stocks[[#This Row],[Ticker]] &amp; "-" &amp; DATE(YEAR(T_Stocks[[#This Row],[Fecha]]),MONTH(T_Stocks[[#This Row],[Fecha]]),DAY(T_Stocks[[#This Row],[Fecha]]))</f>
        <v>BTCEUR-43759</v>
      </c>
    </row>
    <row r="1756" spans="1:4" ht="14.65" thickBot="1" x14ac:dyDescent="0.5">
      <c r="A1756" s="17">
        <v>43760.998611111114</v>
      </c>
      <c r="B1756" s="19">
        <v>7218.4458830000003</v>
      </c>
      <c r="C1756" t="s">
        <v>155</v>
      </c>
      <c r="D1756" t="str">
        <f>T_Stocks[[#This Row],[Ticker]] &amp; "-" &amp; DATE(YEAR(T_Stocks[[#This Row],[Fecha]]),MONTH(T_Stocks[[#This Row],[Fecha]]),DAY(T_Stocks[[#This Row],[Fecha]]))</f>
        <v>BTCEUR-43760</v>
      </c>
    </row>
    <row r="1757" spans="1:4" ht="14.65" thickBot="1" x14ac:dyDescent="0.5">
      <c r="A1757" s="17">
        <v>43761.998611111114</v>
      </c>
      <c r="B1757" s="19">
        <v>6704.3316430000004</v>
      </c>
      <c r="C1757" t="s">
        <v>155</v>
      </c>
      <c r="D1757" t="str">
        <f>T_Stocks[[#This Row],[Ticker]] &amp; "-" &amp; DATE(YEAR(T_Stocks[[#This Row],[Fecha]]),MONTH(T_Stocks[[#This Row],[Fecha]]),DAY(T_Stocks[[#This Row],[Fecha]]))</f>
        <v>BTCEUR-43761</v>
      </c>
    </row>
    <row r="1758" spans="1:4" ht="14.65" thickBot="1" x14ac:dyDescent="0.5">
      <c r="A1758" s="17">
        <v>43762.998611111114</v>
      </c>
      <c r="B1758" s="19">
        <v>6699.57132</v>
      </c>
      <c r="C1758" t="s">
        <v>155</v>
      </c>
      <c r="D1758" t="str">
        <f>T_Stocks[[#This Row],[Ticker]] &amp; "-" &amp; DATE(YEAR(T_Stocks[[#This Row],[Fecha]]),MONTH(T_Stocks[[#This Row],[Fecha]]),DAY(T_Stocks[[#This Row],[Fecha]]))</f>
        <v>BTCEUR-43762</v>
      </c>
    </row>
    <row r="1759" spans="1:4" ht="14.65" thickBot="1" x14ac:dyDescent="0.5">
      <c r="A1759" s="17">
        <v>43763.998611111114</v>
      </c>
      <c r="B1759" s="19">
        <v>7823.2025400000002</v>
      </c>
      <c r="C1759" t="s">
        <v>155</v>
      </c>
      <c r="D1759" t="str">
        <f>T_Stocks[[#This Row],[Ticker]] &amp; "-" &amp; DATE(YEAR(T_Stocks[[#This Row],[Fecha]]),MONTH(T_Stocks[[#This Row],[Fecha]]),DAY(T_Stocks[[#This Row],[Fecha]]))</f>
        <v>BTCEUR-43763</v>
      </c>
    </row>
    <row r="1760" spans="1:4" ht="14.65" thickBot="1" x14ac:dyDescent="0.5">
      <c r="A1760" s="17">
        <v>43764.998611111114</v>
      </c>
      <c r="B1760" s="19">
        <v>8353.8161510000009</v>
      </c>
      <c r="C1760" t="s">
        <v>155</v>
      </c>
      <c r="D1760" t="str">
        <f>T_Stocks[[#This Row],[Ticker]] &amp; "-" &amp; DATE(YEAR(T_Stocks[[#This Row],[Fecha]]),MONTH(T_Stocks[[#This Row],[Fecha]]),DAY(T_Stocks[[#This Row],[Fecha]]))</f>
        <v>BTCEUR-43764</v>
      </c>
    </row>
    <row r="1761" spans="1:4" ht="14.65" thickBot="1" x14ac:dyDescent="0.5">
      <c r="A1761" s="17">
        <v>43765.998611111114</v>
      </c>
      <c r="B1761" s="19">
        <v>8616.4793950000003</v>
      </c>
      <c r="C1761" t="s">
        <v>155</v>
      </c>
      <c r="D1761" t="str">
        <f>T_Stocks[[#This Row],[Ticker]] &amp; "-" &amp; DATE(YEAR(T_Stocks[[#This Row],[Fecha]]),MONTH(T_Stocks[[#This Row],[Fecha]]),DAY(T_Stocks[[#This Row],[Fecha]]))</f>
        <v>BTCEUR-43765</v>
      </c>
    </row>
    <row r="1762" spans="1:4" ht="14.65" thickBot="1" x14ac:dyDescent="0.5">
      <c r="A1762" s="17">
        <v>43766.998611111114</v>
      </c>
      <c r="B1762" s="19">
        <v>8308.3597239999999</v>
      </c>
      <c r="C1762" t="s">
        <v>155</v>
      </c>
      <c r="D1762" t="str">
        <f>T_Stocks[[#This Row],[Ticker]] &amp; "-" &amp; DATE(YEAR(T_Stocks[[#This Row],[Fecha]]),MONTH(T_Stocks[[#This Row],[Fecha]]),DAY(T_Stocks[[#This Row],[Fecha]]))</f>
        <v>BTCEUR-43766</v>
      </c>
    </row>
    <row r="1763" spans="1:4" ht="14.65" thickBot="1" x14ac:dyDescent="0.5">
      <c r="A1763" s="17">
        <v>43767.998611111114</v>
      </c>
      <c r="B1763" s="19">
        <v>8487.4063210000004</v>
      </c>
      <c r="C1763" t="s">
        <v>155</v>
      </c>
      <c r="D1763" t="str">
        <f>T_Stocks[[#This Row],[Ticker]] &amp; "-" &amp; DATE(YEAR(T_Stocks[[#This Row],[Fecha]]),MONTH(T_Stocks[[#This Row],[Fecha]]),DAY(T_Stocks[[#This Row],[Fecha]]))</f>
        <v>BTCEUR-43767</v>
      </c>
    </row>
    <row r="1764" spans="1:4" ht="14.65" thickBot="1" x14ac:dyDescent="0.5">
      <c r="A1764" s="17">
        <v>43768.998611111114</v>
      </c>
      <c r="B1764" s="19">
        <v>8219.9457450000009</v>
      </c>
      <c r="C1764" t="s">
        <v>155</v>
      </c>
      <c r="D1764" t="str">
        <f>T_Stocks[[#This Row],[Ticker]] &amp; "-" &amp; DATE(YEAR(T_Stocks[[#This Row],[Fecha]]),MONTH(T_Stocks[[#This Row],[Fecha]]),DAY(T_Stocks[[#This Row],[Fecha]]))</f>
        <v>BTCEUR-43768</v>
      </c>
    </row>
    <row r="1765" spans="1:4" ht="14.65" thickBot="1" x14ac:dyDescent="0.5">
      <c r="A1765" s="17">
        <v>43769.998611111114</v>
      </c>
      <c r="B1765" s="19">
        <v>8209.4427739999992</v>
      </c>
      <c r="C1765" t="s">
        <v>155</v>
      </c>
      <c r="D1765" t="str">
        <f>T_Stocks[[#This Row],[Ticker]] &amp; "-" &amp; DATE(YEAR(T_Stocks[[#This Row],[Fecha]]),MONTH(T_Stocks[[#This Row],[Fecha]]),DAY(T_Stocks[[#This Row],[Fecha]]))</f>
        <v>BTCEUR-43769</v>
      </c>
    </row>
    <row r="1766" spans="1:4" ht="14.65" thickBot="1" x14ac:dyDescent="0.5">
      <c r="A1766" s="17">
        <v>43770.998611111114</v>
      </c>
      <c r="B1766" s="19">
        <v>8269.7747350000009</v>
      </c>
      <c r="C1766" t="s">
        <v>155</v>
      </c>
      <c r="D1766" t="str">
        <f>T_Stocks[[#This Row],[Ticker]] &amp; "-" &amp; DATE(YEAR(T_Stocks[[#This Row],[Fecha]]),MONTH(T_Stocks[[#This Row],[Fecha]]),DAY(T_Stocks[[#This Row],[Fecha]]))</f>
        <v>BTCEUR-43770</v>
      </c>
    </row>
    <row r="1767" spans="1:4" ht="14.65" thickBot="1" x14ac:dyDescent="0.5">
      <c r="A1767" s="17">
        <v>43771.998611111114</v>
      </c>
      <c r="B1767" s="19">
        <v>8338.3740419999995</v>
      </c>
      <c r="C1767" t="s">
        <v>155</v>
      </c>
      <c r="D1767" t="str">
        <f>T_Stocks[[#This Row],[Ticker]] &amp; "-" &amp; DATE(YEAR(T_Stocks[[#This Row],[Fecha]]),MONTH(T_Stocks[[#This Row],[Fecha]]),DAY(T_Stocks[[#This Row],[Fecha]]))</f>
        <v>BTCEUR-43771</v>
      </c>
    </row>
    <row r="1768" spans="1:4" ht="14.65" thickBot="1" x14ac:dyDescent="0.5">
      <c r="A1768" s="17">
        <v>43772.998611111114</v>
      </c>
      <c r="B1768" s="19">
        <v>8250.743563</v>
      </c>
      <c r="C1768" t="s">
        <v>155</v>
      </c>
      <c r="D1768" t="str">
        <f>T_Stocks[[#This Row],[Ticker]] &amp; "-" &amp; DATE(YEAR(T_Stocks[[#This Row],[Fecha]]),MONTH(T_Stocks[[#This Row],[Fecha]]),DAY(T_Stocks[[#This Row],[Fecha]]))</f>
        <v>BTCEUR-43772</v>
      </c>
    </row>
    <row r="1769" spans="1:4" ht="14.65" thickBot="1" x14ac:dyDescent="0.5">
      <c r="A1769" s="17">
        <v>43773.998611111114</v>
      </c>
      <c r="B1769" s="19">
        <v>8468.1261510000004</v>
      </c>
      <c r="C1769" t="s">
        <v>155</v>
      </c>
      <c r="D1769" t="str">
        <f>T_Stocks[[#This Row],[Ticker]] &amp; "-" &amp; DATE(YEAR(T_Stocks[[#This Row],[Fecha]]),MONTH(T_Stocks[[#This Row],[Fecha]]),DAY(T_Stocks[[#This Row],[Fecha]]))</f>
        <v>BTCEUR-43773</v>
      </c>
    </row>
    <row r="1770" spans="1:4" ht="14.65" thickBot="1" x14ac:dyDescent="0.5">
      <c r="A1770" s="17">
        <v>43774.998611111114</v>
      </c>
      <c r="B1770" s="19">
        <v>8416.8539700000001</v>
      </c>
      <c r="C1770" t="s">
        <v>155</v>
      </c>
      <c r="D1770" t="str">
        <f>T_Stocks[[#This Row],[Ticker]] &amp; "-" &amp; DATE(YEAR(T_Stocks[[#This Row],[Fecha]]),MONTH(T_Stocks[[#This Row],[Fecha]]),DAY(T_Stocks[[#This Row],[Fecha]]))</f>
        <v>BTCEUR-43774</v>
      </c>
    </row>
    <row r="1771" spans="1:4" ht="14.65" thickBot="1" x14ac:dyDescent="0.5">
      <c r="A1771" s="17">
        <v>43775.998611111114</v>
      </c>
      <c r="B1771" s="19">
        <v>8445.6513109999996</v>
      </c>
      <c r="C1771" t="s">
        <v>155</v>
      </c>
      <c r="D1771" t="str">
        <f>T_Stocks[[#This Row],[Ticker]] &amp; "-" &amp; DATE(YEAR(T_Stocks[[#This Row],[Fecha]]),MONTH(T_Stocks[[#This Row],[Fecha]]),DAY(T_Stocks[[#This Row],[Fecha]]))</f>
        <v>BTCEUR-43775</v>
      </c>
    </row>
    <row r="1772" spans="1:4" ht="14.65" thickBot="1" x14ac:dyDescent="0.5">
      <c r="A1772" s="17">
        <v>43776.998611111114</v>
      </c>
      <c r="B1772" s="19">
        <v>8327.9367050000001</v>
      </c>
      <c r="C1772" t="s">
        <v>155</v>
      </c>
      <c r="D1772" t="str">
        <f>T_Stocks[[#This Row],[Ticker]] &amp; "-" &amp; DATE(YEAR(T_Stocks[[#This Row],[Fecha]]),MONTH(T_Stocks[[#This Row],[Fecha]]),DAY(T_Stocks[[#This Row],[Fecha]]))</f>
        <v>BTCEUR-43776</v>
      </c>
    </row>
    <row r="1773" spans="1:4" ht="14.65" thickBot="1" x14ac:dyDescent="0.5">
      <c r="A1773" s="17">
        <v>43777.998611111114</v>
      </c>
      <c r="B1773" s="19">
        <v>7957.7182700000003</v>
      </c>
      <c r="C1773" t="s">
        <v>155</v>
      </c>
      <c r="D1773" t="str">
        <f>T_Stocks[[#This Row],[Ticker]] &amp; "-" &amp; DATE(YEAR(T_Stocks[[#This Row],[Fecha]]),MONTH(T_Stocks[[#This Row],[Fecha]]),DAY(T_Stocks[[#This Row],[Fecha]]))</f>
        <v>BTCEUR-43777</v>
      </c>
    </row>
    <row r="1774" spans="1:4" ht="14.65" thickBot="1" x14ac:dyDescent="0.5">
      <c r="A1774" s="17">
        <v>43778.998611111114</v>
      </c>
      <c r="B1774" s="19">
        <v>7998.1150129999996</v>
      </c>
      <c r="C1774" t="s">
        <v>155</v>
      </c>
      <c r="D1774" t="str">
        <f>T_Stocks[[#This Row],[Ticker]] &amp; "-" &amp; DATE(YEAR(T_Stocks[[#This Row],[Fecha]]),MONTH(T_Stocks[[#This Row],[Fecha]]),DAY(T_Stocks[[#This Row],[Fecha]]))</f>
        <v>BTCEUR-43778</v>
      </c>
    </row>
    <row r="1775" spans="1:4" ht="14.65" thickBot="1" x14ac:dyDescent="0.5">
      <c r="A1775" s="17">
        <v>43779.998611111114</v>
      </c>
      <c r="B1775" s="19">
        <v>8207.1125919999995</v>
      </c>
      <c r="C1775" t="s">
        <v>155</v>
      </c>
      <c r="D1775" t="str">
        <f>T_Stocks[[#This Row],[Ticker]] &amp; "-" &amp; DATE(YEAR(T_Stocks[[#This Row],[Fecha]]),MONTH(T_Stocks[[#This Row],[Fecha]]),DAY(T_Stocks[[#This Row],[Fecha]]))</f>
        <v>BTCEUR-43779</v>
      </c>
    </row>
    <row r="1776" spans="1:4" ht="14.65" thickBot="1" x14ac:dyDescent="0.5">
      <c r="A1776" s="17">
        <v>43780.998611111114</v>
      </c>
      <c r="B1776" s="19">
        <v>7906.5099529999998</v>
      </c>
      <c r="C1776" t="s">
        <v>155</v>
      </c>
      <c r="D1776" t="str">
        <f>T_Stocks[[#This Row],[Ticker]] &amp; "-" &amp; DATE(YEAR(T_Stocks[[#This Row],[Fecha]]),MONTH(T_Stocks[[#This Row],[Fecha]]),DAY(T_Stocks[[#This Row],[Fecha]]))</f>
        <v>BTCEUR-43780</v>
      </c>
    </row>
    <row r="1777" spans="1:4" ht="14.65" thickBot="1" x14ac:dyDescent="0.5">
      <c r="A1777" s="17">
        <v>43781.998611111114</v>
      </c>
      <c r="B1777" s="19">
        <v>8003.1723330000004</v>
      </c>
      <c r="C1777" t="s">
        <v>155</v>
      </c>
      <c r="D1777" t="str">
        <f>T_Stocks[[#This Row],[Ticker]] &amp; "-" &amp; DATE(YEAR(T_Stocks[[#This Row],[Fecha]]),MONTH(T_Stocks[[#This Row],[Fecha]]),DAY(T_Stocks[[#This Row],[Fecha]]))</f>
        <v>BTCEUR-43781</v>
      </c>
    </row>
    <row r="1778" spans="1:4" ht="14.65" thickBot="1" x14ac:dyDescent="0.5">
      <c r="A1778" s="17">
        <v>43782.998611111114</v>
      </c>
      <c r="B1778" s="19">
        <v>7967.8452799999995</v>
      </c>
      <c r="C1778" t="s">
        <v>155</v>
      </c>
      <c r="D1778" t="str">
        <f>T_Stocks[[#This Row],[Ticker]] &amp; "-" &amp; DATE(YEAR(T_Stocks[[#This Row],[Fecha]]),MONTH(T_Stocks[[#This Row],[Fecha]]),DAY(T_Stocks[[#This Row],[Fecha]]))</f>
        <v>BTCEUR-43782</v>
      </c>
    </row>
    <row r="1779" spans="1:4" ht="14.65" thickBot="1" x14ac:dyDescent="0.5">
      <c r="A1779" s="17">
        <v>43783.998611111114</v>
      </c>
      <c r="B1779" s="19">
        <v>7839.7563339999997</v>
      </c>
      <c r="C1779" t="s">
        <v>155</v>
      </c>
      <c r="D1779" t="str">
        <f>T_Stocks[[#This Row],[Ticker]] &amp; "-" &amp; DATE(YEAR(T_Stocks[[#This Row],[Fecha]]),MONTH(T_Stocks[[#This Row],[Fecha]]),DAY(T_Stocks[[#This Row],[Fecha]]))</f>
        <v>BTCEUR-43783</v>
      </c>
    </row>
    <row r="1780" spans="1:4" ht="14.65" thickBot="1" x14ac:dyDescent="0.5">
      <c r="A1780" s="17">
        <v>43784.998611111114</v>
      </c>
      <c r="B1780" s="19">
        <v>7659.19938</v>
      </c>
      <c r="C1780" t="s">
        <v>155</v>
      </c>
      <c r="D1780" t="str">
        <f>T_Stocks[[#This Row],[Ticker]] &amp; "-" &amp; DATE(YEAR(T_Stocks[[#This Row],[Fecha]]),MONTH(T_Stocks[[#This Row],[Fecha]]),DAY(T_Stocks[[#This Row],[Fecha]]))</f>
        <v>BTCEUR-43784</v>
      </c>
    </row>
    <row r="1781" spans="1:4" ht="14.65" thickBot="1" x14ac:dyDescent="0.5">
      <c r="A1781" s="17">
        <v>43785.998611111114</v>
      </c>
      <c r="B1781" s="19">
        <v>7686.4248040000002</v>
      </c>
      <c r="C1781" t="s">
        <v>155</v>
      </c>
      <c r="D1781" t="str">
        <f>T_Stocks[[#This Row],[Ticker]] &amp; "-" &amp; DATE(YEAR(T_Stocks[[#This Row],[Fecha]]),MONTH(T_Stocks[[#This Row],[Fecha]]),DAY(T_Stocks[[#This Row],[Fecha]]))</f>
        <v>BTCEUR-43785</v>
      </c>
    </row>
    <row r="1782" spans="1:4" ht="14.65" thickBot="1" x14ac:dyDescent="0.5">
      <c r="A1782" s="17">
        <v>43786.998611111114</v>
      </c>
      <c r="B1782" s="19">
        <v>7702.7698780000001</v>
      </c>
      <c r="C1782" t="s">
        <v>155</v>
      </c>
      <c r="D1782" t="str">
        <f>T_Stocks[[#This Row],[Ticker]] &amp; "-" &amp; DATE(YEAR(T_Stocks[[#This Row],[Fecha]]),MONTH(T_Stocks[[#This Row],[Fecha]]),DAY(T_Stocks[[#This Row],[Fecha]]))</f>
        <v>BTCEUR-43786</v>
      </c>
    </row>
    <row r="1783" spans="1:4" ht="14.65" thickBot="1" x14ac:dyDescent="0.5">
      <c r="A1783" s="17">
        <v>43787.998611111114</v>
      </c>
      <c r="B1783" s="19">
        <v>7392.5871109999998</v>
      </c>
      <c r="C1783" t="s">
        <v>155</v>
      </c>
      <c r="D1783" t="str">
        <f>T_Stocks[[#This Row],[Ticker]] &amp; "-" &amp; DATE(YEAR(T_Stocks[[#This Row],[Fecha]]),MONTH(T_Stocks[[#This Row],[Fecha]]),DAY(T_Stocks[[#This Row],[Fecha]]))</f>
        <v>BTCEUR-43787</v>
      </c>
    </row>
    <row r="1784" spans="1:4" ht="14.65" thickBot="1" x14ac:dyDescent="0.5">
      <c r="A1784" s="17">
        <v>43788.998611111114</v>
      </c>
      <c r="B1784" s="19">
        <v>7337.4848529999999</v>
      </c>
      <c r="C1784" t="s">
        <v>155</v>
      </c>
      <c r="D1784" t="str">
        <f>T_Stocks[[#This Row],[Ticker]] &amp; "-" &amp; DATE(YEAR(T_Stocks[[#This Row],[Fecha]]),MONTH(T_Stocks[[#This Row],[Fecha]]),DAY(T_Stocks[[#This Row],[Fecha]]))</f>
        <v>BTCEUR-43788</v>
      </c>
    </row>
    <row r="1785" spans="1:4" ht="14.65" thickBot="1" x14ac:dyDescent="0.5">
      <c r="A1785" s="17">
        <v>43789.998611111114</v>
      </c>
      <c r="B1785" s="19">
        <v>7306.2503690000003</v>
      </c>
      <c r="C1785" t="s">
        <v>155</v>
      </c>
      <c r="D1785" t="str">
        <f>T_Stocks[[#This Row],[Ticker]] &amp; "-" &amp; DATE(YEAR(T_Stocks[[#This Row],[Fecha]]),MONTH(T_Stocks[[#This Row],[Fecha]]),DAY(T_Stocks[[#This Row],[Fecha]]))</f>
        <v>BTCEUR-43789</v>
      </c>
    </row>
    <row r="1786" spans="1:4" ht="14.65" thickBot="1" x14ac:dyDescent="0.5">
      <c r="A1786" s="17">
        <v>43790.998611111114</v>
      </c>
      <c r="B1786" s="19">
        <v>6890.1768389999997</v>
      </c>
      <c r="C1786" t="s">
        <v>155</v>
      </c>
      <c r="D1786" t="str">
        <f>T_Stocks[[#This Row],[Ticker]] &amp; "-" &amp; DATE(YEAR(T_Stocks[[#This Row],[Fecha]]),MONTH(T_Stocks[[#This Row],[Fecha]]),DAY(T_Stocks[[#This Row],[Fecha]]))</f>
        <v>BTCEUR-43790</v>
      </c>
    </row>
    <row r="1787" spans="1:4" ht="14.65" thickBot="1" x14ac:dyDescent="0.5">
      <c r="A1787" s="17">
        <v>43791.998611111114</v>
      </c>
      <c r="B1787" s="19">
        <v>6615.8202069999998</v>
      </c>
      <c r="C1787" t="s">
        <v>155</v>
      </c>
      <c r="D1787" t="str">
        <f>T_Stocks[[#This Row],[Ticker]] &amp; "-" &amp; DATE(YEAR(T_Stocks[[#This Row],[Fecha]]),MONTH(T_Stocks[[#This Row],[Fecha]]),DAY(T_Stocks[[#This Row],[Fecha]]))</f>
        <v>BTCEUR-43791</v>
      </c>
    </row>
    <row r="1788" spans="1:4" ht="14.65" thickBot="1" x14ac:dyDescent="0.5">
      <c r="A1788" s="17">
        <v>43792.998611111114</v>
      </c>
      <c r="B1788" s="19">
        <v>6652.9381290000001</v>
      </c>
      <c r="C1788" t="s">
        <v>155</v>
      </c>
      <c r="D1788" t="str">
        <f>T_Stocks[[#This Row],[Ticker]] &amp; "-" &amp; DATE(YEAR(T_Stocks[[#This Row],[Fecha]]),MONTH(T_Stocks[[#This Row],[Fecha]]),DAY(T_Stocks[[#This Row],[Fecha]]))</f>
        <v>BTCEUR-43792</v>
      </c>
    </row>
    <row r="1789" spans="1:4" ht="14.65" thickBot="1" x14ac:dyDescent="0.5">
      <c r="A1789" s="17">
        <v>43793.998611111114</v>
      </c>
      <c r="B1789" s="19">
        <v>6277.4518799999996</v>
      </c>
      <c r="C1789" t="s">
        <v>155</v>
      </c>
      <c r="D1789" t="str">
        <f>T_Stocks[[#This Row],[Ticker]] &amp; "-" &amp; DATE(YEAR(T_Stocks[[#This Row],[Fecha]]),MONTH(T_Stocks[[#This Row],[Fecha]]),DAY(T_Stocks[[#This Row],[Fecha]]))</f>
        <v>BTCEUR-43793</v>
      </c>
    </row>
    <row r="1790" spans="1:4" ht="14.65" thickBot="1" x14ac:dyDescent="0.5">
      <c r="A1790" s="17">
        <v>43794.998611111114</v>
      </c>
      <c r="B1790" s="19">
        <v>6478.3004760000003</v>
      </c>
      <c r="C1790" t="s">
        <v>155</v>
      </c>
      <c r="D1790" t="str">
        <f>T_Stocks[[#This Row],[Ticker]] &amp; "-" &amp; DATE(YEAR(T_Stocks[[#This Row],[Fecha]]),MONTH(T_Stocks[[#This Row],[Fecha]]),DAY(T_Stocks[[#This Row],[Fecha]]))</f>
        <v>BTCEUR-43794</v>
      </c>
    </row>
    <row r="1791" spans="1:4" ht="14.65" thickBot="1" x14ac:dyDescent="0.5">
      <c r="A1791" s="17">
        <v>43795.998611111114</v>
      </c>
      <c r="B1791" s="19">
        <v>6505.7408859999996</v>
      </c>
      <c r="C1791" t="s">
        <v>155</v>
      </c>
      <c r="D1791" t="str">
        <f>T_Stocks[[#This Row],[Ticker]] &amp; "-" &amp; DATE(YEAR(T_Stocks[[#This Row],[Fecha]]),MONTH(T_Stocks[[#This Row],[Fecha]]),DAY(T_Stocks[[#This Row],[Fecha]]))</f>
        <v>BTCEUR-43795</v>
      </c>
    </row>
    <row r="1792" spans="1:4" ht="14.65" thickBot="1" x14ac:dyDescent="0.5">
      <c r="A1792" s="17">
        <v>43796.998611111114</v>
      </c>
      <c r="B1792" s="19">
        <v>6842.5029430000004</v>
      </c>
      <c r="C1792" t="s">
        <v>155</v>
      </c>
      <c r="D1792" t="str">
        <f>T_Stocks[[#This Row],[Ticker]] &amp; "-" &amp; DATE(YEAR(T_Stocks[[#This Row],[Fecha]]),MONTH(T_Stocks[[#This Row],[Fecha]]),DAY(T_Stocks[[#This Row],[Fecha]]))</f>
        <v>BTCEUR-43796</v>
      </c>
    </row>
    <row r="1793" spans="1:4" ht="14.65" thickBot="1" x14ac:dyDescent="0.5">
      <c r="A1793" s="17">
        <v>43797.998611111114</v>
      </c>
      <c r="B1793" s="19">
        <v>6755.6381730000003</v>
      </c>
      <c r="C1793" t="s">
        <v>155</v>
      </c>
      <c r="D1793" t="str">
        <f>T_Stocks[[#This Row],[Ticker]] &amp; "-" &amp; DATE(YEAR(T_Stocks[[#This Row],[Fecha]]),MONTH(T_Stocks[[#This Row],[Fecha]]),DAY(T_Stocks[[#This Row],[Fecha]]))</f>
        <v>BTCEUR-43797</v>
      </c>
    </row>
    <row r="1794" spans="1:4" ht="14.65" thickBot="1" x14ac:dyDescent="0.5">
      <c r="A1794" s="17">
        <v>43798.998611111114</v>
      </c>
      <c r="B1794" s="19">
        <v>7052.6151179999997</v>
      </c>
      <c r="C1794" t="s">
        <v>155</v>
      </c>
      <c r="D1794" t="str">
        <f>T_Stocks[[#This Row],[Ticker]] &amp; "-" &amp; DATE(YEAR(T_Stocks[[#This Row],[Fecha]]),MONTH(T_Stocks[[#This Row],[Fecha]]),DAY(T_Stocks[[#This Row],[Fecha]]))</f>
        <v>BTCEUR-43798</v>
      </c>
    </row>
    <row r="1795" spans="1:4" ht="14.65" thickBot="1" x14ac:dyDescent="0.5">
      <c r="A1795" s="17">
        <v>43799.998611111114</v>
      </c>
      <c r="B1795" s="19">
        <v>6873.4376910000001</v>
      </c>
      <c r="C1795" t="s">
        <v>155</v>
      </c>
      <c r="D1795" t="str">
        <f>T_Stocks[[#This Row],[Ticker]] &amp; "-" &amp; DATE(YEAR(T_Stocks[[#This Row],[Fecha]]),MONTH(T_Stocks[[#This Row],[Fecha]]),DAY(T_Stocks[[#This Row],[Fecha]]))</f>
        <v>BTCEUR-43799</v>
      </c>
    </row>
    <row r="1796" spans="1:4" ht="14.65" thickBot="1" x14ac:dyDescent="0.5">
      <c r="A1796" s="17">
        <v>43800.998611111114</v>
      </c>
      <c r="B1796" s="19">
        <v>6731.5223390000001</v>
      </c>
      <c r="C1796" t="s">
        <v>155</v>
      </c>
      <c r="D1796" t="str">
        <f>T_Stocks[[#This Row],[Ticker]] &amp; "-" &amp; DATE(YEAR(T_Stocks[[#This Row],[Fecha]]),MONTH(T_Stocks[[#This Row],[Fecha]]),DAY(T_Stocks[[#This Row],[Fecha]]))</f>
        <v>BTCEUR-43800</v>
      </c>
    </row>
    <row r="1797" spans="1:4" ht="14.65" thickBot="1" x14ac:dyDescent="0.5">
      <c r="A1797" s="17">
        <v>43801.998611111114</v>
      </c>
      <c r="B1797" s="19">
        <v>6607.2802149999998</v>
      </c>
      <c r="C1797" t="s">
        <v>155</v>
      </c>
      <c r="D1797" t="str">
        <f>T_Stocks[[#This Row],[Ticker]] &amp; "-" &amp; DATE(YEAR(T_Stocks[[#This Row],[Fecha]]),MONTH(T_Stocks[[#This Row],[Fecha]]),DAY(T_Stocks[[#This Row],[Fecha]]))</f>
        <v>BTCEUR-43801</v>
      </c>
    </row>
    <row r="1798" spans="1:4" ht="14.65" thickBot="1" x14ac:dyDescent="0.5">
      <c r="A1798" s="17">
        <v>43802.998611111114</v>
      </c>
      <c r="B1798" s="19">
        <v>6593.9017540000004</v>
      </c>
      <c r="C1798" t="s">
        <v>155</v>
      </c>
      <c r="D1798" t="str">
        <f>T_Stocks[[#This Row],[Ticker]] &amp; "-" &amp; DATE(YEAR(T_Stocks[[#This Row],[Fecha]]),MONTH(T_Stocks[[#This Row],[Fecha]]),DAY(T_Stocks[[#This Row],[Fecha]]))</f>
        <v>BTCEUR-43802</v>
      </c>
    </row>
    <row r="1799" spans="1:4" ht="14.65" thickBot="1" x14ac:dyDescent="0.5">
      <c r="A1799" s="17">
        <v>43803.998611111114</v>
      </c>
      <c r="B1799" s="19">
        <v>6502.1229210000001</v>
      </c>
      <c r="C1799" t="s">
        <v>155</v>
      </c>
      <c r="D1799" t="str">
        <f>T_Stocks[[#This Row],[Ticker]] &amp; "-" &amp; DATE(YEAR(T_Stocks[[#This Row],[Fecha]]),MONTH(T_Stocks[[#This Row],[Fecha]]),DAY(T_Stocks[[#This Row],[Fecha]]))</f>
        <v>BTCEUR-43803</v>
      </c>
    </row>
    <row r="1800" spans="1:4" ht="14.65" thickBot="1" x14ac:dyDescent="0.5">
      <c r="A1800" s="17">
        <v>43804.998611111114</v>
      </c>
      <c r="B1800" s="19">
        <v>6667.5407130000003</v>
      </c>
      <c r="C1800" t="s">
        <v>155</v>
      </c>
      <c r="D1800" t="str">
        <f>T_Stocks[[#This Row],[Ticker]] &amp; "-" &amp; DATE(YEAR(T_Stocks[[#This Row],[Fecha]]),MONTH(T_Stocks[[#This Row],[Fecha]]),DAY(T_Stocks[[#This Row],[Fecha]]))</f>
        <v>BTCEUR-43804</v>
      </c>
    </row>
    <row r="1801" spans="1:4" ht="14.65" thickBot="1" x14ac:dyDescent="0.5">
      <c r="A1801" s="17">
        <v>43805.998611111114</v>
      </c>
      <c r="B1801" s="19">
        <v>6832.0702819999997</v>
      </c>
      <c r="C1801" t="s">
        <v>155</v>
      </c>
      <c r="D1801" t="str">
        <f>T_Stocks[[#This Row],[Ticker]] &amp; "-" &amp; DATE(YEAR(T_Stocks[[#This Row],[Fecha]]),MONTH(T_Stocks[[#This Row],[Fecha]]),DAY(T_Stocks[[#This Row],[Fecha]]))</f>
        <v>BTCEUR-43805</v>
      </c>
    </row>
    <row r="1802" spans="1:4" ht="14.65" thickBot="1" x14ac:dyDescent="0.5">
      <c r="A1802" s="17">
        <v>43806.998611111114</v>
      </c>
      <c r="B1802" s="19">
        <v>6799.8472929999998</v>
      </c>
      <c r="C1802" t="s">
        <v>155</v>
      </c>
      <c r="D1802" t="str">
        <f>T_Stocks[[#This Row],[Ticker]] &amp; "-" &amp; DATE(YEAR(T_Stocks[[#This Row],[Fecha]]),MONTH(T_Stocks[[#This Row],[Fecha]]),DAY(T_Stocks[[#This Row],[Fecha]]))</f>
        <v>BTCEUR-43806</v>
      </c>
    </row>
    <row r="1803" spans="1:4" ht="14.65" thickBot="1" x14ac:dyDescent="0.5">
      <c r="A1803" s="17">
        <v>43807.998611111114</v>
      </c>
      <c r="B1803" s="19">
        <v>6820.2233379999998</v>
      </c>
      <c r="C1803" t="s">
        <v>155</v>
      </c>
      <c r="D1803" t="str">
        <f>T_Stocks[[#This Row],[Ticker]] &amp; "-" &amp; DATE(YEAR(T_Stocks[[#This Row],[Fecha]]),MONTH(T_Stocks[[#This Row],[Fecha]]),DAY(T_Stocks[[#This Row],[Fecha]]))</f>
        <v>BTCEUR-43807</v>
      </c>
    </row>
    <row r="1804" spans="1:4" ht="14.65" thickBot="1" x14ac:dyDescent="0.5">
      <c r="A1804" s="17">
        <v>43808.998611111114</v>
      </c>
      <c r="B1804" s="19">
        <v>6642.6771669999998</v>
      </c>
      <c r="C1804" t="s">
        <v>155</v>
      </c>
      <c r="D1804" t="str">
        <f>T_Stocks[[#This Row],[Ticker]] &amp; "-" &amp; DATE(YEAR(T_Stocks[[#This Row],[Fecha]]),MONTH(T_Stocks[[#This Row],[Fecha]]),DAY(T_Stocks[[#This Row],[Fecha]]))</f>
        <v>BTCEUR-43808</v>
      </c>
    </row>
    <row r="1805" spans="1:4" ht="14.65" thickBot="1" x14ac:dyDescent="0.5">
      <c r="A1805" s="17">
        <v>43809.998611111114</v>
      </c>
      <c r="B1805" s="19">
        <v>6516.0111880000004</v>
      </c>
      <c r="C1805" t="s">
        <v>155</v>
      </c>
      <c r="D1805" t="str">
        <f>T_Stocks[[#This Row],[Ticker]] &amp; "-" &amp; DATE(YEAR(T_Stocks[[#This Row],[Fecha]]),MONTH(T_Stocks[[#This Row],[Fecha]]),DAY(T_Stocks[[#This Row],[Fecha]]))</f>
        <v>BTCEUR-43809</v>
      </c>
    </row>
    <row r="1806" spans="1:4" ht="14.65" thickBot="1" x14ac:dyDescent="0.5">
      <c r="A1806" s="17">
        <v>43810.998611111114</v>
      </c>
      <c r="B1806" s="19">
        <v>6475.533676</v>
      </c>
      <c r="C1806" t="s">
        <v>155</v>
      </c>
      <c r="D1806" t="str">
        <f>T_Stocks[[#This Row],[Ticker]] &amp; "-" &amp; DATE(YEAR(T_Stocks[[#This Row],[Fecha]]),MONTH(T_Stocks[[#This Row],[Fecha]]),DAY(T_Stocks[[#This Row],[Fecha]]))</f>
        <v>BTCEUR-43810</v>
      </c>
    </row>
    <row r="1807" spans="1:4" ht="14.65" thickBot="1" x14ac:dyDescent="0.5">
      <c r="A1807" s="17">
        <v>43811.998611111114</v>
      </c>
      <c r="B1807" s="19">
        <v>6435.4209449999998</v>
      </c>
      <c r="C1807" t="s">
        <v>155</v>
      </c>
      <c r="D1807" t="str">
        <f>T_Stocks[[#This Row],[Ticker]] &amp; "-" &amp; DATE(YEAR(T_Stocks[[#This Row],[Fecha]]),MONTH(T_Stocks[[#This Row],[Fecha]]),DAY(T_Stocks[[#This Row],[Fecha]]))</f>
        <v>BTCEUR-43811</v>
      </c>
    </row>
    <row r="1808" spans="1:4" ht="14.65" thickBot="1" x14ac:dyDescent="0.5">
      <c r="A1808" s="17">
        <v>43812.998611111114</v>
      </c>
      <c r="B1808" s="19">
        <v>6526.908195</v>
      </c>
      <c r="C1808" t="s">
        <v>155</v>
      </c>
      <c r="D1808" t="str">
        <f>T_Stocks[[#This Row],[Ticker]] &amp; "-" &amp; DATE(YEAR(T_Stocks[[#This Row],[Fecha]]),MONTH(T_Stocks[[#This Row],[Fecha]]),DAY(T_Stocks[[#This Row],[Fecha]]))</f>
        <v>BTCEUR-43812</v>
      </c>
    </row>
    <row r="1809" spans="1:4" ht="14.65" thickBot="1" x14ac:dyDescent="0.5">
      <c r="A1809" s="17">
        <v>43813.998611111114</v>
      </c>
      <c r="B1809" s="19">
        <v>6366.6881219999996</v>
      </c>
      <c r="C1809" t="s">
        <v>155</v>
      </c>
      <c r="D1809" t="str">
        <f>T_Stocks[[#This Row],[Ticker]] &amp; "-" &amp; DATE(YEAR(T_Stocks[[#This Row],[Fecha]]),MONTH(T_Stocks[[#This Row],[Fecha]]),DAY(T_Stocks[[#This Row],[Fecha]]))</f>
        <v>BTCEUR-43813</v>
      </c>
    </row>
    <row r="1810" spans="1:4" ht="14.65" thickBot="1" x14ac:dyDescent="0.5">
      <c r="A1810" s="17">
        <v>43814.998611111114</v>
      </c>
      <c r="B1810" s="19">
        <v>6406.7565549999999</v>
      </c>
      <c r="C1810" t="s">
        <v>155</v>
      </c>
      <c r="D1810" t="str">
        <f>T_Stocks[[#This Row],[Ticker]] &amp; "-" &amp; DATE(YEAR(T_Stocks[[#This Row],[Fecha]]),MONTH(T_Stocks[[#This Row],[Fecha]]),DAY(T_Stocks[[#This Row],[Fecha]]))</f>
        <v>BTCEUR-43814</v>
      </c>
    </row>
    <row r="1811" spans="1:4" ht="14.65" thickBot="1" x14ac:dyDescent="0.5">
      <c r="A1811" s="17">
        <v>43815.998611111114</v>
      </c>
      <c r="B1811" s="19">
        <v>6192.0125010000002</v>
      </c>
      <c r="C1811" t="s">
        <v>155</v>
      </c>
      <c r="D1811" t="str">
        <f>T_Stocks[[#This Row],[Ticker]] &amp; "-" &amp; DATE(YEAR(T_Stocks[[#This Row],[Fecha]]),MONTH(T_Stocks[[#This Row],[Fecha]]),DAY(T_Stocks[[#This Row],[Fecha]]))</f>
        <v>BTCEUR-43815</v>
      </c>
    </row>
    <row r="1812" spans="1:4" ht="14.65" thickBot="1" x14ac:dyDescent="0.5">
      <c r="A1812" s="17">
        <v>43816.998611111114</v>
      </c>
      <c r="B1812" s="19">
        <v>5941.58392</v>
      </c>
      <c r="C1812" t="s">
        <v>155</v>
      </c>
      <c r="D1812" t="str">
        <f>T_Stocks[[#This Row],[Ticker]] &amp; "-" &amp; DATE(YEAR(T_Stocks[[#This Row],[Fecha]]),MONTH(T_Stocks[[#This Row],[Fecha]]),DAY(T_Stocks[[#This Row],[Fecha]]))</f>
        <v>BTCEUR-43816</v>
      </c>
    </row>
    <row r="1813" spans="1:4" ht="14.65" thickBot="1" x14ac:dyDescent="0.5">
      <c r="A1813" s="17">
        <v>43817.998611111114</v>
      </c>
      <c r="B1813" s="19">
        <v>6561.6545829999995</v>
      </c>
      <c r="C1813" t="s">
        <v>155</v>
      </c>
      <c r="D1813" t="str">
        <f>T_Stocks[[#This Row],[Ticker]] &amp; "-" &amp; DATE(YEAR(T_Stocks[[#This Row],[Fecha]]),MONTH(T_Stocks[[#This Row],[Fecha]]),DAY(T_Stocks[[#This Row],[Fecha]]))</f>
        <v>BTCEUR-43817</v>
      </c>
    </row>
    <row r="1814" spans="1:4" ht="14.65" thickBot="1" x14ac:dyDescent="0.5">
      <c r="A1814" s="17">
        <v>43818.998611111114</v>
      </c>
      <c r="B1814" s="19">
        <v>6433.839594</v>
      </c>
      <c r="C1814" t="s">
        <v>155</v>
      </c>
      <c r="D1814" t="str">
        <f>T_Stocks[[#This Row],[Ticker]] &amp; "-" &amp; DATE(YEAR(T_Stocks[[#This Row],[Fecha]]),MONTH(T_Stocks[[#This Row],[Fecha]]),DAY(T_Stocks[[#This Row],[Fecha]]))</f>
        <v>BTCEUR-43818</v>
      </c>
    </row>
    <row r="1815" spans="1:4" ht="14.65" thickBot="1" x14ac:dyDescent="0.5">
      <c r="A1815" s="17">
        <v>43819.998611111114</v>
      </c>
      <c r="B1815" s="19">
        <v>6501.412988</v>
      </c>
      <c r="C1815" t="s">
        <v>155</v>
      </c>
      <c r="D1815" t="str">
        <f>T_Stocks[[#This Row],[Ticker]] &amp; "-" &amp; DATE(YEAR(T_Stocks[[#This Row],[Fecha]]),MONTH(T_Stocks[[#This Row],[Fecha]]),DAY(T_Stocks[[#This Row],[Fecha]]))</f>
        <v>BTCEUR-43819</v>
      </c>
    </row>
    <row r="1816" spans="1:4" ht="14.65" thickBot="1" x14ac:dyDescent="0.5">
      <c r="A1816" s="17">
        <v>43820.998611111114</v>
      </c>
      <c r="B1816" s="19">
        <v>6457.1933129999998</v>
      </c>
      <c r="C1816" t="s">
        <v>155</v>
      </c>
      <c r="D1816" t="str">
        <f>T_Stocks[[#This Row],[Ticker]] &amp; "-" &amp; DATE(YEAR(T_Stocks[[#This Row],[Fecha]]),MONTH(T_Stocks[[#This Row],[Fecha]]),DAY(T_Stocks[[#This Row],[Fecha]]))</f>
        <v>BTCEUR-43820</v>
      </c>
    </row>
    <row r="1817" spans="1:4" ht="14.65" thickBot="1" x14ac:dyDescent="0.5">
      <c r="A1817" s="17">
        <v>43821.998611111114</v>
      </c>
      <c r="B1817" s="19">
        <v>6786.7109019999998</v>
      </c>
      <c r="C1817" t="s">
        <v>155</v>
      </c>
      <c r="D1817" t="str">
        <f>T_Stocks[[#This Row],[Ticker]] &amp; "-" &amp; DATE(YEAR(T_Stocks[[#This Row],[Fecha]]),MONTH(T_Stocks[[#This Row],[Fecha]]),DAY(T_Stocks[[#This Row],[Fecha]]))</f>
        <v>BTCEUR-43821</v>
      </c>
    </row>
    <row r="1818" spans="1:4" ht="14.65" thickBot="1" x14ac:dyDescent="0.5">
      <c r="A1818" s="17">
        <v>43822.998611111114</v>
      </c>
      <c r="B1818" s="19">
        <v>6600.9377770000001</v>
      </c>
      <c r="C1818" t="s">
        <v>155</v>
      </c>
      <c r="D1818" t="str">
        <f>T_Stocks[[#This Row],[Ticker]] &amp; "-" &amp; DATE(YEAR(T_Stocks[[#This Row],[Fecha]]),MONTH(T_Stocks[[#This Row],[Fecha]]),DAY(T_Stocks[[#This Row],[Fecha]]))</f>
        <v>BTCEUR-43822</v>
      </c>
    </row>
    <row r="1819" spans="1:4" ht="14.65" thickBot="1" x14ac:dyDescent="0.5">
      <c r="A1819" s="17">
        <v>43823.998611111114</v>
      </c>
      <c r="B1819" s="19">
        <v>6547.0813939999998</v>
      </c>
      <c r="C1819" t="s">
        <v>155</v>
      </c>
      <c r="D1819" t="str">
        <f>T_Stocks[[#This Row],[Ticker]] &amp; "-" &amp; DATE(YEAR(T_Stocks[[#This Row],[Fecha]]),MONTH(T_Stocks[[#This Row],[Fecha]]),DAY(T_Stocks[[#This Row],[Fecha]]))</f>
        <v>BTCEUR-43823</v>
      </c>
    </row>
    <row r="1820" spans="1:4" ht="14.65" thickBot="1" x14ac:dyDescent="0.5">
      <c r="A1820" s="17">
        <v>43824.998611111114</v>
      </c>
      <c r="B1820" s="19">
        <v>6492.8148719999999</v>
      </c>
      <c r="C1820" t="s">
        <v>155</v>
      </c>
      <c r="D1820" t="str">
        <f>T_Stocks[[#This Row],[Ticker]] &amp; "-" &amp; DATE(YEAR(T_Stocks[[#This Row],[Fecha]]),MONTH(T_Stocks[[#This Row],[Fecha]]),DAY(T_Stocks[[#This Row],[Fecha]]))</f>
        <v>BTCEUR-43824</v>
      </c>
    </row>
    <row r="1821" spans="1:4" ht="14.65" thickBot="1" x14ac:dyDescent="0.5">
      <c r="A1821" s="17">
        <v>43825.998611111114</v>
      </c>
      <c r="B1821" s="19">
        <v>6489.7433170000004</v>
      </c>
      <c r="C1821" t="s">
        <v>155</v>
      </c>
      <c r="D1821" t="str">
        <f>T_Stocks[[#This Row],[Ticker]] &amp; "-" &amp; DATE(YEAR(T_Stocks[[#This Row],[Fecha]]),MONTH(T_Stocks[[#This Row],[Fecha]]),DAY(T_Stocks[[#This Row],[Fecha]]))</f>
        <v>BTCEUR-43825</v>
      </c>
    </row>
    <row r="1822" spans="1:4" ht="14.65" thickBot="1" x14ac:dyDescent="0.5">
      <c r="A1822" s="17">
        <v>43826.998611111114</v>
      </c>
      <c r="B1822" s="19">
        <v>6492.4027130000004</v>
      </c>
      <c r="C1822" t="s">
        <v>155</v>
      </c>
      <c r="D1822" t="str">
        <f>T_Stocks[[#This Row],[Ticker]] &amp; "-" &amp; DATE(YEAR(T_Stocks[[#This Row],[Fecha]]),MONTH(T_Stocks[[#This Row],[Fecha]]),DAY(T_Stocks[[#This Row],[Fecha]]))</f>
        <v>BTCEUR-43826</v>
      </c>
    </row>
    <row r="1823" spans="1:4" ht="14.65" thickBot="1" x14ac:dyDescent="0.5">
      <c r="A1823" s="17">
        <v>43827.998611111114</v>
      </c>
      <c r="B1823" s="19">
        <v>6542.0500240000001</v>
      </c>
      <c r="C1823" t="s">
        <v>155</v>
      </c>
      <c r="D1823" t="str">
        <f>T_Stocks[[#This Row],[Ticker]] &amp; "-" &amp; DATE(YEAR(T_Stocks[[#This Row],[Fecha]]),MONTH(T_Stocks[[#This Row],[Fecha]]),DAY(T_Stocks[[#This Row],[Fecha]]))</f>
        <v>BTCEUR-43827</v>
      </c>
    </row>
    <row r="1824" spans="1:4" ht="14.65" thickBot="1" x14ac:dyDescent="0.5">
      <c r="A1824" s="17">
        <v>43828.998611111114</v>
      </c>
      <c r="B1824" s="19">
        <v>6607.492749</v>
      </c>
      <c r="C1824" t="s">
        <v>155</v>
      </c>
      <c r="D1824" t="str">
        <f>T_Stocks[[#This Row],[Ticker]] &amp; "-" &amp; DATE(YEAR(T_Stocks[[#This Row],[Fecha]]),MONTH(T_Stocks[[#This Row],[Fecha]]),DAY(T_Stocks[[#This Row],[Fecha]]))</f>
        <v>BTCEUR-43828</v>
      </c>
    </row>
    <row r="1825" spans="1:4" ht="14.65" thickBot="1" x14ac:dyDescent="0.5">
      <c r="A1825" s="17">
        <v>43829.998611111114</v>
      </c>
      <c r="B1825" s="19">
        <v>6453.3995599999998</v>
      </c>
      <c r="C1825" t="s">
        <v>155</v>
      </c>
      <c r="D1825" t="str">
        <f>T_Stocks[[#This Row],[Ticker]] &amp; "-" &amp; DATE(YEAR(T_Stocks[[#This Row],[Fecha]]),MONTH(T_Stocks[[#This Row],[Fecha]]),DAY(T_Stocks[[#This Row],[Fecha]]))</f>
        <v>BTCEUR-43829</v>
      </c>
    </row>
    <row r="1826" spans="1:4" ht="14.65" thickBot="1" x14ac:dyDescent="0.5">
      <c r="A1826" s="17">
        <v>43830.998611111114</v>
      </c>
      <c r="B1826" s="19">
        <v>6393.945592</v>
      </c>
      <c r="C1826" t="s">
        <v>155</v>
      </c>
      <c r="D1826" t="str">
        <f>T_Stocks[[#This Row],[Ticker]] &amp; "-" &amp; DATE(YEAR(T_Stocks[[#This Row],[Fecha]]),MONTH(T_Stocks[[#This Row],[Fecha]]),DAY(T_Stocks[[#This Row],[Fecha]]))</f>
        <v>BTCEUR-43830</v>
      </c>
    </row>
    <row r="1827" spans="1:4" ht="14.65" thickBot="1" x14ac:dyDescent="0.5">
      <c r="A1827" s="17">
        <v>43831.998611111114</v>
      </c>
      <c r="B1827" s="19">
        <v>6403.667692</v>
      </c>
      <c r="C1827" t="s">
        <v>155</v>
      </c>
      <c r="D1827" t="str">
        <f>T_Stocks[[#This Row],[Ticker]] &amp; "-" &amp; DATE(YEAR(T_Stocks[[#This Row],[Fecha]]),MONTH(T_Stocks[[#This Row],[Fecha]]),DAY(T_Stocks[[#This Row],[Fecha]]))</f>
        <v>BTCEUR-43831</v>
      </c>
    </row>
    <row r="1828" spans="1:4" ht="14.65" thickBot="1" x14ac:dyDescent="0.5">
      <c r="A1828" s="17">
        <v>43832.998611111114</v>
      </c>
      <c r="B1828" s="19">
        <v>6227.6384680000001</v>
      </c>
      <c r="C1828" t="s">
        <v>155</v>
      </c>
      <c r="D1828" t="str">
        <f>T_Stocks[[#This Row],[Ticker]] &amp; "-" &amp; DATE(YEAR(T_Stocks[[#This Row],[Fecha]]),MONTH(T_Stocks[[#This Row],[Fecha]]),DAY(T_Stocks[[#This Row],[Fecha]]))</f>
        <v>BTCEUR-43832</v>
      </c>
    </row>
    <row r="1829" spans="1:4" ht="14.65" thickBot="1" x14ac:dyDescent="0.5">
      <c r="A1829" s="17">
        <v>43833.998611111114</v>
      </c>
      <c r="B1829" s="19">
        <v>6572.616137</v>
      </c>
      <c r="C1829" t="s">
        <v>155</v>
      </c>
      <c r="D1829" t="str">
        <f>T_Stocks[[#This Row],[Ticker]] &amp; "-" &amp; DATE(YEAR(T_Stocks[[#This Row],[Fecha]]),MONTH(T_Stocks[[#This Row],[Fecha]]),DAY(T_Stocks[[#This Row],[Fecha]]))</f>
        <v>BTCEUR-43833</v>
      </c>
    </row>
    <row r="1830" spans="1:4" ht="14.65" thickBot="1" x14ac:dyDescent="0.5">
      <c r="A1830" s="17">
        <v>43834.998611111114</v>
      </c>
      <c r="B1830" s="19">
        <v>6590.2592089999998</v>
      </c>
      <c r="C1830" t="s">
        <v>155</v>
      </c>
      <c r="D1830" t="str">
        <f>T_Stocks[[#This Row],[Ticker]] &amp; "-" &amp; DATE(YEAR(T_Stocks[[#This Row],[Fecha]]),MONTH(T_Stocks[[#This Row],[Fecha]]),DAY(T_Stocks[[#This Row],[Fecha]]))</f>
        <v>BTCEUR-43834</v>
      </c>
    </row>
    <row r="1831" spans="1:4" ht="14.65" thickBot="1" x14ac:dyDescent="0.5">
      <c r="A1831" s="17">
        <v>43835.998611111114</v>
      </c>
      <c r="B1831" s="19">
        <v>6587.9003089999997</v>
      </c>
      <c r="C1831" t="s">
        <v>155</v>
      </c>
      <c r="D1831" t="str">
        <f>T_Stocks[[#This Row],[Ticker]] &amp; "-" &amp; DATE(YEAR(T_Stocks[[#This Row],[Fecha]]),MONTH(T_Stocks[[#This Row],[Fecha]]),DAY(T_Stocks[[#This Row],[Fecha]]))</f>
        <v>BTCEUR-43835</v>
      </c>
    </row>
    <row r="1832" spans="1:4" ht="14.65" thickBot="1" x14ac:dyDescent="0.5">
      <c r="A1832" s="17">
        <v>43836.998611111114</v>
      </c>
      <c r="B1832" s="19">
        <v>6930.4160670000001</v>
      </c>
      <c r="C1832" t="s">
        <v>155</v>
      </c>
      <c r="D1832" t="str">
        <f>T_Stocks[[#This Row],[Ticker]] &amp; "-" &amp; DATE(YEAR(T_Stocks[[#This Row],[Fecha]]),MONTH(T_Stocks[[#This Row],[Fecha]]),DAY(T_Stocks[[#This Row],[Fecha]]))</f>
        <v>BTCEUR-43836</v>
      </c>
    </row>
    <row r="1833" spans="1:4" ht="14.65" thickBot="1" x14ac:dyDescent="0.5">
      <c r="A1833" s="17">
        <v>43837.998611111114</v>
      </c>
      <c r="B1833" s="19">
        <v>7314.368665</v>
      </c>
      <c r="C1833" t="s">
        <v>155</v>
      </c>
      <c r="D1833" t="str">
        <f>T_Stocks[[#This Row],[Ticker]] &amp; "-" &amp; DATE(YEAR(T_Stocks[[#This Row],[Fecha]]),MONTH(T_Stocks[[#This Row],[Fecha]]),DAY(T_Stocks[[#This Row],[Fecha]]))</f>
        <v>BTCEUR-43837</v>
      </c>
    </row>
    <row r="1834" spans="1:4" ht="14.65" thickBot="1" x14ac:dyDescent="0.5">
      <c r="A1834" s="17">
        <v>43838.998611111114</v>
      </c>
      <c r="B1834" s="19">
        <v>7237.726815</v>
      </c>
      <c r="C1834" t="s">
        <v>155</v>
      </c>
      <c r="D1834" t="str">
        <f>T_Stocks[[#This Row],[Ticker]] &amp; "-" &amp; DATE(YEAR(T_Stocks[[#This Row],[Fecha]]),MONTH(T_Stocks[[#This Row],[Fecha]]),DAY(T_Stocks[[#This Row],[Fecha]]))</f>
        <v>BTCEUR-43838</v>
      </c>
    </row>
    <row r="1835" spans="1:4" ht="14.65" thickBot="1" x14ac:dyDescent="0.5">
      <c r="A1835" s="17">
        <v>43839.998611111114</v>
      </c>
      <c r="B1835" s="19">
        <v>7034.0931</v>
      </c>
      <c r="C1835" t="s">
        <v>155</v>
      </c>
      <c r="D1835" t="str">
        <f>T_Stocks[[#This Row],[Ticker]] &amp; "-" &amp; DATE(YEAR(T_Stocks[[#This Row],[Fecha]]),MONTH(T_Stocks[[#This Row],[Fecha]]),DAY(T_Stocks[[#This Row],[Fecha]]))</f>
        <v>BTCEUR-43839</v>
      </c>
    </row>
    <row r="1836" spans="1:4" ht="14.65" thickBot="1" x14ac:dyDescent="0.5">
      <c r="A1836" s="17">
        <v>43840.998611111114</v>
      </c>
      <c r="B1836" s="19">
        <v>7362.9250039999997</v>
      </c>
      <c r="C1836" t="s">
        <v>155</v>
      </c>
      <c r="D1836" t="str">
        <f>T_Stocks[[#This Row],[Ticker]] &amp; "-" &amp; DATE(YEAR(T_Stocks[[#This Row],[Fecha]]),MONTH(T_Stocks[[#This Row],[Fecha]]),DAY(T_Stocks[[#This Row],[Fecha]]))</f>
        <v>BTCEUR-43840</v>
      </c>
    </row>
    <row r="1837" spans="1:4" ht="14.65" thickBot="1" x14ac:dyDescent="0.5">
      <c r="A1837" s="17">
        <v>43841.998611111114</v>
      </c>
      <c r="B1837" s="19">
        <v>7213.1135050000003</v>
      </c>
      <c r="C1837" t="s">
        <v>155</v>
      </c>
      <c r="D1837" t="str">
        <f>T_Stocks[[#This Row],[Ticker]] &amp; "-" &amp; DATE(YEAR(T_Stocks[[#This Row],[Fecha]]),MONTH(T_Stocks[[#This Row],[Fecha]]),DAY(T_Stocks[[#This Row],[Fecha]]))</f>
        <v>BTCEUR-43841</v>
      </c>
    </row>
    <row r="1838" spans="1:4" ht="14.65" thickBot="1" x14ac:dyDescent="0.5">
      <c r="A1838" s="17">
        <v>43842.998611111114</v>
      </c>
      <c r="B1838" s="19">
        <v>7358.043737</v>
      </c>
      <c r="C1838" t="s">
        <v>155</v>
      </c>
      <c r="D1838" t="str">
        <f>T_Stocks[[#This Row],[Ticker]] &amp; "-" &amp; DATE(YEAR(T_Stocks[[#This Row],[Fecha]]),MONTH(T_Stocks[[#This Row],[Fecha]]),DAY(T_Stocks[[#This Row],[Fecha]]))</f>
        <v>BTCEUR-43842</v>
      </c>
    </row>
    <row r="1839" spans="1:4" ht="14.65" thickBot="1" x14ac:dyDescent="0.5">
      <c r="A1839" s="17">
        <v>43843.998611111114</v>
      </c>
      <c r="B1839" s="19">
        <v>7278.9799000000003</v>
      </c>
      <c r="C1839" t="s">
        <v>155</v>
      </c>
      <c r="D1839" t="str">
        <f>T_Stocks[[#This Row],[Ticker]] &amp; "-" &amp; DATE(YEAR(T_Stocks[[#This Row],[Fecha]]),MONTH(T_Stocks[[#This Row],[Fecha]]),DAY(T_Stocks[[#This Row],[Fecha]]))</f>
        <v>BTCEUR-43843</v>
      </c>
    </row>
    <row r="1840" spans="1:4" ht="14.65" thickBot="1" x14ac:dyDescent="0.5">
      <c r="A1840" s="17">
        <v>43844.998611111114</v>
      </c>
      <c r="B1840" s="19">
        <v>7919.0824579999999</v>
      </c>
      <c r="C1840" t="s">
        <v>155</v>
      </c>
      <c r="D1840" t="str">
        <f>T_Stocks[[#This Row],[Ticker]] &amp; "-" &amp; DATE(YEAR(T_Stocks[[#This Row],[Fecha]]),MONTH(T_Stocks[[#This Row],[Fecha]]),DAY(T_Stocks[[#This Row],[Fecha]]))</f>
        <v>BTCEUR-43844</v>
      </c>
    </row>
    <row r="1841" spans="1:4" ht="14.65" thickBot="1" x14ac:dyDescent="0.5">
      <c r="A1841" s="17">
        <v>43845.998611111114</v>
      </c>
      <c r="B1841" s="19">
        <v>7898.076395</v>
      </c>
      <c r="C1841" t="s">
        <v>155</v>
      </c>
      <c r="D1841" t="str">
        <f>T_Stocks[[#This Row],[Ticker]] &amp; "-" &amp; DATE(YEAR(T_Stocks[[#This Row],[Fecha]]),MONTH(T_Stocks[[#This Row],[Fecha]]),DAY(T_Stocks[[#This Row],[Fecha]]))</f>
        <v>BTCEUR-43845</v>
      </c>
    </row>
    <row r="1842" spans="1:4" ht="14.65" thickBot="1" x14ac:dyDescent="0.5">
      <c r="A1842" s="17">
        <v>43846.998611111114</v>
      </c>
      <c r="B1842" s="19">
        <v>7825.1449709999997</v>
      </c>
      <c r="C1842" t="s">
        <v>155</v>
      </c>
      <c r="D1842" t="str">
        <f>T_Stocks[[#This Row],[Ticker]] &amp; "-" &amp; DATE(YEAR(T_Stocks[[#This Row],[Fecha]]),MONTH(T_Stocks[[#This Row],[Fecha]]),DAY(T_Stocks[[#This Row],[Fecha]]))</f>
        <v>BTCEUR-43846</v>
      </c>
    </row>
    <row r="1843" spans="1:4" ht="14.65" thickBot="1" x14ac:dyDescent="0.5">
      <c r="A1843" s="17">
        <v>43847.998611111114</v>
      </c>
      <c r="B1843" s="19">
        <v>8018.4323759999997</v>
      </c>
      <c r="C1843" t="s">
        <v>155</v>
      </c>
      <c r="D1843" t="str">
        <f>T_Stocks[[#This Row],[Ticker]] &amp; "-" &amp; DATE(YEAR(T_Stocks[[#This Row],[Fecha]]),MONTH(T_Stocks[[#This Row],[Fecha]]),DAY(T_Stocks[[#This Row],[Fecha]]))</f>
        <v>BTCEUR-43847</v>
      </c>
    </row>
    <row r="1844" spans="1:4" ht="14.65" thickBot="1" x14ac:dyDescent="0.5">
      <c r="A1844" s="17">
        <v>43848.998611111114</v>
      </c>
      <c r="B1844" s="19">
        <v>8034.0622279999998</v>
      </c>
      <c r="C1844" t="s">
        <v>155</v>
      </c>
      <c r="D1844" t="str">
        <f>T_Stocks[[#This Row],[Ticker]] &amp; "-" &amp; DATE(YEAR(T_Stocks[[#This Row],[Fecha]]),MONTH(T_Stocks[[#This Row],[Fecha]]),DAY(T_Stocks[[#This Row],[Fecha]]))</f>
        <v>BTCEUR-43848</v>
      </c>
    </row>
    <row r="1845" spans="1:4" ht="14.65" thickBot="1" x14ac:dyDescent="0.5">
      <c r="A1845" s="17">
        <v>43849.998611111114</v>
      </c>
      <c r="B1845" s="19">
        <v>7837.6181939999997</v>
      </c>
      <c r="C1845" t="s">
        <v>155</v>
      </c>
      <c r="D1845" t="str">
        <f>T_Stocks[[#This Row],[Ticker]] &amp; "-" &amp; DATE(YEAR(T_Stocks[[#This Row],[Fecha]]),MONTH(T_Stocks[[#This Row],[Fecha]]),DAY(T_Stocks[[#This Row],[Fecha]]))</f>
        <v>BTCEUR-43849</v>
      </c>
    </row>
    <row r="1846" spans="1:4" ht="14.65" thickBot="1" x14ac:dyDescent="0.5">
      <c r="A1846" s="17">
        <v>43850.998611111114</v>
      </c>
      <c r="B1846" s="19">
        <v>7778.8241239999998</v>
      </c>
      <c r="C1846" t="s">
        <v>155</v>
      </c>
      <c r="D1846" t="str">
        <f>T_Stocks[[#This Row],[Ticker]] &amp; "-" &amp; DATE(YEAR(T_Stocks[[#This Row],[Fecha]]),MONTH(T_Stocks[[#This Row],[Fecha]]),DAY(T_Stocks[[#This Row],[Fecha]]))</f>
        <v>BTCEUR-43850</v>
      </c>
    </row>
    <row r="1847" spans="1:4" ht="14.65" thickBot="1" x14ac:dyDescent="0.5">
      <c r="A1847" s="17">
        <v>43851.998611111114</v>
      </c>
      <c r="B1847" s="19">
        <v>7871.5440060000001</v>
      </c>
      <c r="C1847" t="s">
        <v>155</v>
      </c>
      <c r="D1847" t="str">
        <f>T_Stocks[[#This Row],[Ticker]] &amp; "-" &amp; DATE(YEAR(T_Stocks[[#This Row],[Fecha]]),MONTH(T_Stocks[[#This Row],[Fecha]]),DAY(T_Stocks[[#This Row],[Fecha]]))</f>
        <v>BTCEUR-43851</v>
      </c>
    </row>
    <row r="1848" spans="1:4" ht="14.65" thickBot="1" x14ac:dyDescent="0.5">
      <c r="A1848" s="17">
        <v>43852.998611111114</v>
      </c>
      <c r="B1848" s="19">
        <v>7803.2618210000001</v>
      </c>
      <c r="C1848" t="s">
        <v>155</v>
      </c>
      <c r="D1848" t="str">
        <f>T_Stocks[[#This Row],[Ticker]] &amp; "-" &amp; DATE(YEAR(T_Stocks[[#This Row],[Fecha]]),MONTH(T_Stocks[[#This Row],[Fecha]]),DAY(T_Stocks[[#This Row],[Fecha]]))</f>
        <v>BTCEUR-43852</v>
      </c>
    </row>
    <row r="1849" spans="1:4" ht="14.65" thickBot="1" x14ac:dyDescent="0.5">
      <c r="A1849" s="17">
        <v>43853.998611111114</v>
      </c>
      <c r="B1849" s="19">
        <v>7582.5061569999998</v>
      </c>
      <c r="C1849" t="s">
        <v>155</v>
      </c>
      <c r="D1849" t="str">
        <f>T_Stocks[[#This Row],[Ticker]] &amp; "-" &amp; DATE(YEAR(T_Stocks[[#This Row],[Fecha]]),MONTH(T_Stocks[[#This Row],[Fecha]]),DAY(T_Stocks[[#This Row],[Fecha]]))</f>
        <v>BTCEUR-43853</v>
      </c>
    </row>
    <row r="1850" spans="1:4" ht="14.65" thickBot="1" x14ac:dyDescent="0.5">
      <c r="A1850" s="17">
        <v>43854.998611111114</v>
      </c>
      <c r="B1850" s="19">
        <v>7644.2283889999999</v>
      </c>
      <c r="C1850" t="s">
        <v>155</v>
      </c>
      <c r="D1850" t="str">
        <f>T_Stocks[[#This Row],[Ticker]] &amp; "-" &amp; DATE(YEAR(T_Stocks[[#This Row],[Fecha]]),MONTH(T_Stocks[[#This Row],[Fecha]]),DAY(T_Stocks[[#This Row],[Fecha]]))</f>
        <v>BTCEUR-43854</v>
      </c>
    </row>
    <row r="1851" spans="1:4" ht="14.65" thickBot="1" x14ac:dyDescent="0.5">
      <c r="A1851" s="17">
        <v>43855.998611111114</v>
      </c>
      <c r="B1851" s="19">
        <v>7561.9253779999999</v>
      </c>
      <c r="C1851" t="s">
        <v>155</v>
      </c>
      <c r="D1851" t="str">
        <f>T_Stocks[[#This Row],[Ticker]] &amp; "-" &amp; DATE(YEAR(T_Stocks[[#This Row],[Fecha]]),MONTH(T_Stocks[[#This Row],[Fecha]]),DAY(T_Stocks[[#This Row],[Fecha]]))</f>
        <v>BTCEUR-43855</v>
      </c>
    </row>
    <row r="1852" spans="1:4" ht="14.65" thickBot="1" x14ac:dyDescent="0.5">
      <c r="A1852" s="17">
        <v>43856.998611111114</v>
      </c>
      <c r="B1852" s="19">
        <v>7797.2758320000003</v>
      </c>
      <c r="C1852" t="s">
        <v>155</v>
      </c>
      <c r="D1852" t="str">
        <f>T_Stocks[[#This Row],[Ticker]] &amp; "-" &amp; DATE(YEAR(T_Stocks[[#This Row],[Fecha]]),MONTH(T_Stocks[[#This Row],[Fecha]]),DAY(T_Stocks[[#This Row],[Fecha]]))</f>
        <v>BTCEUR-43856</v>
      </c>
    </row>
    <row r="1853" spans="1:4" ht="14.65" thickBot="1" x14ac:dyDescent="0.5">
      <c r="A1853" s="17">
        <v>43857.998611111114</v>
      </c>
      <c r="B1853" s="19">
        <v>8073.8503890000002</v>
      </c>
      <c r="C1853" t="s">
        <v>155</v>
      </c>
      <c r="D1853" t="str">
        <f>T_Stocks[[#This Row],[Ticker]] &amp; "-" &amp; DATE(YEAR(T_Stocks[[#This Row],[Fecha]]),MONTH(T_Stocks[[#This Row],[Fecha]]),DAY(T_Stocks[[#This Row],[Fecha]]))</f>
        <v>BTCEUR-43857</v>
      </c>
    </row>
    <row r="1854" spans="1:4" ht="14.65" thickBot="1" x14ac:dyDescent="0.5">
      <c r="A1854" s="17">
        <v>43858.998611111114</v>
      </c>
      <c r="B1854" s="19">
        <v>8515.7461480000002</v>
      </c>
      <c r="C1854" t="s">
        <v>155</v>
      </c>
      <c r="D1854" t="str">
        <f>T_Stocks[[#This Row],[Ticker]] &amp; "-" &amp; DATE(YEAR(T_Stocks[[#This Row],[Fecha]]),MONTH(T_Stocks[[#This Row],[Fecha]]),DAY(T_Stocks[[#This Row],[Fecha]]))</f>
        <v>BTCEUR-43858</v>
      </c>
    </row>
    <row r="1855" spans="1:4" ht="14.65" thickBot="1" x14ac:dyDescent="0.5">
      <c r="A1855" s="17">
        <v>43859.998611111114</v>
      </c>
      <c r="B1855" s="19">
        <v>8430.1657180000002</v>
      </c>
      <c r="C1855" t="s">
        <v>155</v>
      </c>
      <c r="D1855" t="str">
        <f>T_Stocks[[#This Row],[Ticker]] &amp; "-" &amp; DATE(YEAR(T_Stocks[[#This Row],[Fecha]]),MONTH(T_Stocks[[#This Row],[Fecha]]),DAY(T_Stocks[[#This Row],[Fecha]]))</f>
        <v>BTCEUR-43859</v>
      </c>
    </row>
    <row r="1856" spans="1:4" ht="14.65" thickBot="1" x14ac:dyDescent="0.5">
      <c r="A1856" s="17">
        <v>43860.998611111114</v>
      </c>
      <c r="B1856" s="19">
        <v>8615.5497180000002</v>
      </c>
      <c r="C1856" t="s">
        <v>155</v>
      </c>
      <c r="D1856" t="str">
        <f>T_Stocks[[#This Row],[Ticker]] &amp; "-" &amp; DATE(YEAR(T_Stocks[[#This Row],[Fecha]]),MONTH(T_Stocks[[#This Row],[Fecha]]),DAY(T_Stocks[[#This Row],[Fecha]]))</f>
        <v>BTCEUR-43860</v>
      </c>
    </row>
    <row r="1857" spans="1:4" ht="14.65" thickBot="1" x14ac:dyDescent="0.5">
      <c r="A1857" s="17">
        <v>43861.998611111114</v>
      </c>
      <c r="B1857" s="19">
        <v>8415.868219</v>
      </c>
      <c r="C1857" t="s">
        <v>155</v>
      </c>
      <c r="D1857" t="str">
        <f>T_Stocks[[#This Row],[Ticker]] &amp; "-" &amp; DATE(YEAR(T_Stocks[[#This Row],[Fecha]]),MONTH(T_Stocks[[#This Row],[Fecha]]),DAY(T_Stocks[[#This Row],[Fecha]]))</f>
        <v>BTCEUR-43861</v>
      </c>
    </row>
    <row r="1858" spans="1:4" ht="14.65" thickBot="1" x14ac:dyDescent="0.5">
      <c r="A1858" s="17">
        <v>43862.998611111114</v>
      </c>
      <c r="B1858" s="19">
        <v>8457.4890269999996</v>
      </c>
      <c r="C1858" t="s">
        <v>155</v>
      </c>
      <c r="D1858" t="str">
        <f>T_Stocks[[#This Row],[Ticker]] &amp; "-" &amp; DATE(YEAR(T_Stocks[[#This Row],[Fecha]]),MONTH(T_Stocks[[#This Row],[Fecha]]),DAY(T_Stocks[[#This Row],[Fecha]]))</f>
        <v>BTCEUR-43862</v>
      </c>
    </row>
    <row r="1859" spans="1:4" ht="14.65" thickBot="1" x14ac:dyDescent="0.5">
      <c r="A1859" s="17">
        <v>43863.998611111114</v>
      </c>
      <c r="B1859" s="19">
        <v>8415.8623210000005</v>
      </c>
      <c r="C1859" t="s">
        <v>155</v>
      </c>
      <c r="D1859" t="str">
        <f>T_Stocks[[#This Row],[Ticker]] &amp; "-" &amp; DATE(YEAR(T_Stocks[[#This Row],[Fecha]]),MONTH(T_Stocks[[#This Row],[Fecha]]),DAY(T_Stocks[[#This Row],[Fecha]]))</f>
        <v>BTCEUR-43863</v>
      </c>
    </row>
    <row r="1860" spans="1:4" ht="14.65" thickBot="1" x14ac:dyDescent="0.5">
      <c r="A1860" s="17">
        <v>43864.998611111114</v>
      </c>
      <c r="B1860" s="19">
        <v>8396.6945670000005</v>
      </c>
      <c r="C1860" t="s">
        <v>155</v>
      </c>
      <c r="D1860" t="str">
        <f>T_Stocks[[#This Row],[Ticker]] &amp; "-" &amp; DATE(YEAR(T_Stocks[[#This Row],[Fecha]]),MONTH(T_Stocks[[#This Row],[Fecha]]),DAY(T_Stocks[[#This Row],[Fecha]]))</f>
        <v>BTCEUR-43864</v>
      </c>
    </row>
    <row r="1861" spans="1:4" ht="14.65" thickBot="1" x14ac:dyDescent="0.5">
      <c r="A1861" s="17">
        <v>43865.998611111114</v>
      </c>
      <c r="B1861" s="19">
        <v>8302.8863509999992</v>
      </c>
      <c r="C1861" t="s">
        <v>155</v>
      </c>
      <c r="D1861" t="str">
        <f>T_Stocks[[#This Row],[Ticker]] &amp; "-" &amp; DATE(YEAR(T_Stocks[[#This Row],[Fecha]]),MONTH(T_Stocks[[#This Row],[Fecha]]),DAY(T_Stocks[[#This Row],[Fecha]]))</f>
        <v>BTCEUR-43865</v>
      </c>
    </row>
    <row r="1862" spans="1:4" ht="14.65" thickBot="1" x14ac:dyDescent="0.5">
      <c r="A1862" s="17">
        <v>43866.998611111114</v>
      </c>
      <c r="B1862" s="19">
        <v>8735.169774</v>
      </c>
      <c r="C1862" t="s">
        <v>155</v>
      </c>
      <c r="D1862" t="str">
        <f>T_Stocks[[#This Row],[Ticker]] &amp; "-" &amp; DATE(YEAR(T_Stocks[[#This Row],[Fecha]]),MONTH(T_Stocks[[#This Row],[Fecha]]),DAY(T_Stocks[[#This Row],[Fecha]]))</f>
        <v>BTCEUR-43866</v>
      </c>
    </row>
    <row r="1863" spans="1:4" ht="14.65" thickBot="1" x14ac:dyDescent="0.5">
      <c r="A1863" s="17">
        <v>43867.998611111114</v>
      </c>
      <c r="B1863" s="19">
        <v>8883.1275389999992</v>
      </c>
      <c r="C1863" t="s">
        <v>155</v>
      </c>
      <c r="D1863" t="str">
        <f>T_Stocks[[#This Row],[Ticker]] &amp; "-" &amp; DATE(YEAR(T_Stocks[[#This Row],[Fecha]]),MONTH(T_Stocks[[#This Row],[Fecha]]),DAY(T_Stocks[[#This Row],[Fecha]]))</f>
        <v>BTCEUR-43867</v>
      </c>
    </row>
    <row r="1864" spans="1:4" ht="14.65" thickBot="1" x14ac:dyDescent="0.5">
      <c r="A1864" s="17">
        <v>43868.998611111114</v>
      </c>
      <c r="B1864" s="19">
        <v>8952.5767909999995</v>
      </c>
      <c r="C1864" t="s">
        <v>155</v>
      </c>
      <c r="D1864" t="str">
        <f>T_Stocks[[#This Row],[Ticker]] &amp; "-" &amp; DATE(YEAR(T_Stocks[[#This Row],[Fecha]]),MONTH(T_Stocks[[#This Row],[Fecha]]),DAY(T_Stocks[[#This Row],[Fecha]]))</f>
        <v>BTCEUR-43868</v>
      </c>
    </row>
    <row r="1865" spans="1:4" ht="14.65" thickBot="1" x14ac:dyDescent="0.5">
      <c r="A1865" s="17">
        <v>43869.998611111114</v>
      </c>
      <c r="B1865" s="19">
        <v>9038.0505269999994</v>
      </c>
      <c r="C1865" t="s">
        <v>155</v>
      </c>
      <c r="D1865" t="str">
        <f>T_Stocks[[#This Row],[Ticker]] &amp; "-" &amp; DATE(YEAR(T_Stocks[[#This Row],[Fecha]]),MONTH(T_Stocks[[#This Row],[Fecha]]),DAY(T_Stocks[[#This Row],[Fecha]]))</f>
        <v>BTCEUR-43869</v>
      </c>
    </row>
    <row r="1866" spans="1:4" ht="14.65" thickBot="1" x14ac:dyDescent="0.5">
      <c r="A1866" s="17">
        <v>43870.998611111114</v>
      </c>
      <c r="B1866" s="19">
        <v>9275.6665929999999</v>
      </c>
      <c r="C1866" t="s">
        <v>155</v>
      </c>
      <c r="D1866" t="str">
        <f>T_Stocks[[#This Row],[Ticker]] &amp; "-" &amp; DATE(YEAR(T_Stocks[[#This Row],[Fecha]]),MONTH(T_Stocks[[#This Row],[Fecha]]),DAY(T_Stocks[[#This Row],[Fecha]]))</f>
        <v>BTCEUR-43870</v>
      </c>
    </row>
    <row r="1867" spans="1:4" ht="14.65" thickBot="1" x14ac:dyDescent="0.5">
      <c r="A1867" s="17">
        <v>43871.998611111114</v>
      </c>
      <c r="B1867" s="19">
        <v>9028.190278</v>
      </c>
      <c r="C1867" t="s">
        <v>155</v>
      </c>
      <c r="D1867" t="str">
        <f>T_Stocks[[#This Row],[Ticker]] &amp; "-" &amp; DATE(YEAR(T_Stocks[[#This Row],[Fecha]]),MONTH(T_Stocks[[#This Row],[Fecha]]),DAY(T_Stocks[[#This Row],[Fecha]]))</f>
        <v>BTCEUR-43871</v>
      </c>
    </row>
    <row r="1868" spans="1:4" ht="14.65" thickBot="1" x14ac:dyDescent="0.5">
      <c r="A1868" s="17">
        <v>43872.998611111114</v>
      </c>
      <c r="B1868" s="19">
        <v>9399.0935079999999</v>
      </c>
      <c r="C1868" t="s">
        <v>155</v>
      </c>
      <c r="D1868" t="str">
        <f>T_Stocks[[#This Row],[Ticker]] &amp; "-" &amp; DATE(YEAR(T_Stocks[[#This Row],[Fecha]]),MONTH(T_Stocks[[#This Row],[Fecha]]),DAY(T_Stocks[[#This Row],[Fecha]]))</f>
        <v>BTCEUR-43872</v>
      </c>
    </row>
    <row r="1869" spans="1:4" ht="14.65" thickBot="1" x14ac:dyDescent="0.5">
      <c r="A1869" s="17">
        <v>43873.998611111114</v>
      </c>
      <c r="B1869" s="19">
        <v>9511.8688669999992</v>
      </c>
      <c r="C1869" t="s">
        <v>155</v>
      </c>
      <c r="D1869" t="str">
        <f>T_Stocks[[#This Row],[Ticker]] &amp; "-" &amp; DATE(YEAR(T_Stocks[[#This Row],[Fecha]]),MONTH(T_Stocks[[#This Row],[Fecha]]),DAY(T_Stocks[[#This Row],[Fecha]]))</f>
        <v>BTCEUR-43873</v>
      </c>
    </row>
    <row r="1870" spans="1:4" ht="14.65" thickBot="1" x14ac:dyDescent="0.5">
      <c r="A1870" s="17">
        <v>43874.998611111114</v>
      </c>
      <c r="B1870" s="19">
        <v>9436.1813399999992</v>
      </c>
      <c r="C1870" t="s">
        <v>155</v>
      </c>
      <c r="D1870" t="str">
        <f>T_Stocks[[#This Row],[Ticker]] &amp; "-" &amp; DATE(YEAR(T_Stocks[[#This Row],[Fecha]]),MONTH(T_Stocks[[#This Row],[Fecha]]),DAY(T_Stocks[[#This Row],[Fecha]]))</f>
        <v>BTCEUR-43874</v>
      </c>
    </row>
    <row r="1871" spans="1:4" ht="14.65" thickBot="1" x14ac:dyDescent="0.5">
      <c r="A1871" s="17">
        <v>43875.998611111114</v>
      </c>
      <c r="B1871" s="19">
        <v>9561.8118190000005</v>
      </c>
      <c r="C1871" t="s">
        <v>155</v>
      </c>
      <c r="D1871" t="str">
        <f>T_Stocks[[#This Row],[Ticker]] &amp; "-" &amp; DATE(YEAR(T_Stocks[[#This Row],[Fecha]]),MONTH(T_Stocks[[#This Row],[Fecha]]),DAY(T_Stocks[[#This Row],[Fecha]]))</f>
        <v>BTCEUR-43875</v>
      </c>
    </row>
    <row r="1872" spans="1:4" ht="14.65" thickBot="1" x14ac:dyDescent="0.5">
      <c r="A1872" s="17">
        <v>43876.998611111114</v>
      </c>
      <c r="B1872" s="19">
        <v>9143.8572220000005</v>
      </c>
      <c r="C1872" t="s">
        <v>155</v>
      </c>
      <c r="D1872" t="str">
        <f>T_Stocks[[#This Row],[Ticker]] &amp; "-" &amp; DATE(YEAR(T_Stocks[[#This Row],[Fecha]]),MONTH(T_Stocks[[#This Row],[Fecha]]),DAY(T_Stocks[[#This Row],[Fecha]]))</f>
        <v>BTCEUR-43876</v>
      </c>
    </row>
    <row r="1873" spans="1:4" ht="14.65" thickBot="1" x14ac:dyDescent="0.5">
      <c r="A1873" s="17">
        <v>43877.998611111114</v>
      </c>
      <c r="B1873" s="19">
        <v>9156.5757880000001</v>
      </c>
      <c r="C1873" t="s">
        <v>155</v>
      </c>
      <c r="D1873" t="str">
        <f>T_Stocks[[#This Row],[Ticker]] &amp; "-" &amp; DATE(YEAR(T_Stocks[[#This Row],[Fecha]]),MONTH(T_Stocks[[#This Row],[Fecha]]),DAY(T_Stocks[[#This Row],[Fecha]]))</f>
        <v>BTCEUR-43877</v>
      </c>
    </row>
    <row r="1874" spans="1:4" ht="14.65" thickBot="1" x14ac:dyDescent="0.5">
      <c r="A1874" s="17">
        <v>43878.998611111114</v>
      </c>
      <c r="B1874" s="19">
        <v>8949.418807</v>
      </c>
      <c r="C1874" t="s">
        <v>155</v>
      </c>
      <c r="D1874" t="str">
        <f>T_Stocks[[#This Row],[Ticker]] &amp; "-" &amp; DATE(YEAR(T_Stocks[[#This Row],[Fecha]]),MONTH(T_Stocks[[#This Row],[Fecha]]),DAY(T_Stocks[[#This Row],[Fecha]]))</f>
        <v>BTCEUR-43878</v>
      </c>
    </row>
    <row r="1875" spans="1:4" ht="14.65" thickBot="1" x14ac:dyDescent="0.5">
      <c r="A1875" s="17">
        <v>43879.998611111114</v>
      </c>
      <c r="B1875" s="19">
        <v>9420.1834500000004</v>
      </c>
      <c r="C1875" t="s">
        <v>155</v>
      </c>
      <c r="D1875" t="str">
        <f>T_Stocks[[#This Row],[Ticker]] &amp; "-" &amp; DATE(YEAR(T_Stocks[[#This Row],[Fecha]]),MONTH(T_Stocks[[#This Row],[Fecha]]),DAY(T_Stocks[[#This Row],[Fecha]]))</f>
        <v>BTCEUR-43879</v>
      </c>
    </row>
    <row r="1876" spans="1:4" ht="14.65" thickBot="1" x14ac:dyDescent="0.5">
      <c r="A1876" s="17">
        <v>43880.998611111114</v>
      </c>
      <c r="B1876" s="19">
        <v>8882.6243639999993</v>
      </c>
      <c r="C1876" t="s">
        <v>155</v>
      </c>
      <c r="D1876" t="str">
        <f>T_Stocks[[#This Row],[Ticker]] &amp; "-" &amp; DATE(YEAR(T_Stocks[[#This Row],[Fecha]]),MONTH(T_Stocks[[#This Row],[Fecha]]),DAY(T_Stocks[[#This Row],[Fecha]]))</f>
        <v>BTCEUR-43880</v>
      </c>
    </row>
    <row r="1877" spans="1:4" ht="14.65" thickBot="1" x14ac:dyDescent="0.5">
      <c r="A1877" s="17">
        <v>43881.998611111114</v>
      </c>
      <c r="B1877" s="19">
        <v>8907.4779749999998</v>
      </c>
      <c r="C1877" t="s">
        <v>155</v>
      </c>
      <c r="D1877" t="str">
        <f>T_Stocks[[#This Row],[Ticker]] &amp; "-" &amp; DATE(YEAR(T_Stocks[[#This Row],[Fecha]]),MONTH(T_Stocks[[#This Row],[Fecha]]),DAY(T_Stocks[[#This Row],[Fecha]]))</f>
        <v>BTCEUR-43881</v>
      </c>
    </row>
    <row r="1878" spans="1:4" ht="14.65" thickBot="1" x14ac:dyDescent="0.5">
      <c r="A1878" s="17">
        <v>43882.998611111114</v>
      </c>
      <c r="B1878" s="19">
        <v>8933.6921739999998</v>
      </c>
      <c r="C1878" t="s">
        <v>155</v>
      </c>
      <c r="D1878" t="str">
        <f>T_Stocks[[#This Row],[Ticker]] &amp; "-" &amp; DATE(YEAR(T_Stocks[[#This Row],[Fecha]]),MONTH(T_Stocks[[#This Row],[Fecha]]),DAY(T_Stocks[[#This Row],[Fecha]]))</f>
        <v>BTCEUR-43882</v>
      </c>
    </row>
    <row r="1879" spans="1:4" ht="14.65" thickBot="1" x14ac:dyDescent="0.5">
      <c r="A1879" s="17">
        <v>43883.998611111114</v>
      </c>
      <c r="B1879" s="19">
        <v>8911.4583770000008</v>
      </c>
      <c r="C1879" t="s">
        <v>155</v>
      </c>
      <c r="D1879" t="str">
        <f>T_Stocks[[#This Row],[Ticker]] &amp; "-" &amp; DATE(YEAR(T_Stocks[[#This Row],[Fecha]]),MONTH(T_Stocks[[#This Row],[Fecha]]),DAY(T_Stocks[[#This Row],[Fecha]]))</f>
        <v>BTCEUR-43883</v>
      </c>
    </row>
    <row r="1880" spans="1:4" ht="14.65" thickBot="1" x14ac:dyDescent="0.5">
      <c r="A1880" s="17">
        <v>43884.998611111114</v>
      </c>
      <c r="B1880" s="19">
        <v>9204.0742879999998</v>
      </c>
      <c r="C1880" t="s">
        <v>155</v>
      </c>
      <c r="D1880" t="str">
        <f>T_Stocks[[#This Row],[Ticker]] &amp; "-" &amp; DATE(YEAR(T_Stocks[[#This Row],[Fecha]]),MONTH(T_Stocks[[#This Row],[Fecha]]),DAY(T_Stocks[[#This Row],[Fecha]]))</f>
        <v>BTCEUR-43884</v>
      </c>
    </row>
    <row r="1881" spans="1:4" ht="14.65" thickBot="1" x14ac:dyDescent="0.5">
      <c r="A1881" s="17">
        <v>43885.998611111114</v>
      </c>
      <c r="B1881" s="19">
        <v>8908.4895660000002</v>
      </c>
      <c r="C1881" t="s">
        <v>155</v>
      </c>
      <c r="D1881" t="str">
        <f>T_Stocks[[#This Row],[Ticker]] &amp; "-" &amp; DATE(YEAR(T_Stocks[[#This Row],[Fecha]]),MONTH(T_Stocks[[#This Row],[Fecha]]),DAY(T_Stocks[[#This Row],[Fecha]]))</f>
        <v>BTCEUR-43885</v>
      </c>
    </row>
    <row r="1882" spans="1:4" ht="14.65" thickBot="1" x14ac:dyDescent="0.5">
      <c r="A1882" s="17">
        <v>43886.998611111114</v>
      </c>
      <c r="B1882" s="19">
        <v>8559.4327969999995</v>
      </c>
      <c r="C1882" t="s">
        <v>155</v>
      </c>
      <c r="D1882" t="str">
        <f>T_Stocks[[#This Row],[Ticker]] &amp; "-" &amp; DATE(YEAR(T_Stocks[[#This Row],[Fecha]]),MONTH(T_Stocks[[#This Row],[Fecha]]),DAY(T_Stocks[[#This Row],[Fecha]]))</f>
        <v>BTCEUR-43886</v>
      </c>
    </row>
    <row r="1883" spans="1:4" ht="14.65" thickBot="1" x14ac:dyDescent="0.5">
      <c r="A1883" s="17">
        <v>43887.998611111114</v>
      </c>
      <c r="B1883" s="19">
        <v>8073.6014439999999</v>
      </c>
      <c r="C1883" t="s">
        <v>155</v>
      </c>
      <c r="D1883" t="str">
        <f>T_Stocks[[#This Row],[Ticker]] &amp; "-" &amp; DATE(YEAR(T_Stocks[[#This Row],[Fecha]]),MONTH(T_Stocks[[#This Row],[Fecha]]),DAY(T_Stocks[[#This Row],[Fecha]]))</f>
        <v>BTCEUR-43887</v>
      </c>
    </row>
    <row r="1884" spans="1:4" ht="14.65" thickBot="1" x14ac:dyDescent="0.5">
      <c r="A1884" s="17">
        <v>43888.998611111114</v>
      </c>
      <c r="B1884" s="19">
        <v>8005.5896270000003</v>
      </c>
      <c r="C1884" t="s">
        <v>155</v>
      </c>
      <c r="D1884" t="str">
        <f>T_Stocks[[#This Row],[Ticker]] &amp; "-" &amp; DATE(YEAR(T_Stocks[[#This Row],[Fecha]]),MONTH(T_Stocks[[#This Row],[Fecha]]),DAY(T_Stocks[[#This Row],[Fecha]]))</f>
        <v>BTCEUR-43888</v>
      </c>
    </row>
    <row r="1885" spans="1:4" ht="14.65" thickBot="1" x14ac:dyDescent="0.5">
      <c r="A1885" s="17">
        <v>43889.998611111114</v>
      </c>
      <c r="B1885" s="19">
        <v>7898.9445770000002</v>
      </c>
      <c r="C1885" t="s">
        <v>155</v>
      </c>
      <c r="D1885" t="str">
        <f>T_Stocks[[#This Row],[Ticker]] &amp; "-" &amp; DATE(YEAR(T_Stocks[[#This Row],[Fecha]]),MONTH(T_Stocks[[#This Row],[Fecha]]),DAY(T_Stocks[[#This Row],[Fecha]]))</f>
        <v>BTCEUR-43889</v>
      </c>
    </row>
    <row r="1886" spans="1:4" ht="14.65" thickBot="1" x14ac:dyDescent="0.5">
      <c r="A1886" s="17">
        <v>43890.998611111114</v>
      </c>
      <c r="B1886" s="19">
        <v>7736.0496210000001</v>
      </c>
      <c r="C1886" t="s">
        <v>155</v>
      </c>
      <c r="D1886" t="str">
        <f>T_Stocks[[#This Row],[Ticker]] &amp; "-" &amp; DATE(YEAR(T_Stocks[[#This Row],[Fecha]]),MONTH(T_Stocks[[#This Row],[Fecha]]),DAY(T_Stocks[[#This Row],[Fecha]]))</f>
        <v>BTCEUR-43890</v>
      </c>
    </row>
    <row r="1887" spans="1:4" ht="14.65" thickBot="1" x14ac:dyDescent="0.5">
      <c r="A1887" s="17">
        <v>43891.998611111114</v>
      </c>
      <c r="B1887" s="19">
        <v>7725.740245</v>
      </c>
      <c r="C1887" t="s">
        <v>155</v>
      </c>
      <c r="D1887" t="str">
        <f>T_Stocks[[#This Row],[Ticker]] &amp; "-" &amp; DATE(YEAR(T_Stocks[[#This Row],[Fecha]]),MONTH(T_Stocks[[#This Row],[Fecha]]),DAY(T_Stocks[[#This Row],[Fecha]]))</f>
        <v>BTCEUR-43891</v>
      </c>
    </row>
    <row r="1888" spans="1:4" ht="14.65" thickBot="1" x14ac:dyDescent="0.5">
      <c r="A1888" s="17">
        <v>43892.998611111114</v>
      </c>
      <c r="B1888" s="19">
        <v>8004.927858</v>
      </c>
      <c r="C1888" t="s">
        <v>155</v>
      </c>
      <c r="D1888" t="str">
        <f>T_Stocks[[#This Row],[Ticker]] &amp; "-" &amp; DATE(YEAR(T_Stocks[[#This Row],[Fecha]]),MONTH(T_Stocks[[#This Row],[Fecha]]),DAY(T_Stocks[[#This Row],[Fecha]]))</f>
        <v>BTCEUR-43892</v>
      </c>
    </row>
    <row r="1889" spans="1:4" ht="14.65" thickBot="1" x14ac:dyDescent="0.5">
      <c r="A1889" s="17">
        <v>43893.998611111114</v>
      </c>
      <c r="B1889" s="19">
        <v>7840.000043</v>
      </c>
      <c r="C1889" t="s">
        <v>155</v>
      </c>
      <c r="D1889" t="str">
        <f>T_Stocks[[#This Row],[Ticker]] &amp; "-" &amp; DATE(YEAR(T_Stocks[[#This Row],[Fecha]]),MONTH(T_Stocks[[#This Row],[Fecha]]),DAY(T_Stocks[[#This Row],[Fecha]]))</f>
        <v>BTCEUR-43893</v>
      </c>
    </row>
    <row r="1890" spans="1:4" ht="14.65" thickBot="1" x14ac:dyDescent="0.5">
      <c r="A1890" s="17">
        <v>43894.998611111114</v>
      </c>
      <c r="B1890" s="19">
        <v>7871.5234689999997</v>
      </c>
      <c r="C1890" t="s">
        <v>155</v>
      </c>
      <c r="D1890" t="str">
        <f>T_Stocks[[#This Row],[Ticker]] &amp; "-" &amp; DATE(YEAR(T_Stocks[[#This Row],[Fecha]]),MONTH(T_Stocks[[#This Row],[Fecha]]),DAY(T_Stocks[[#This Row],[Fecha]]))</f>
        <v>BTCEUR-43894</v>
      </c>
    </row>
    <row r="1891" spans="1:4" ht="14.65" thickBot="1" x14ac:dyDescent="0.5">
      <c r="A1891" s="17">
        <v>43895.998611111114</v>
      </c>
      <c r="B1891" s="19">
        <v>8082.4371899999996</v>
      </c>
      <c r="C1891" t="s">
        <v>155</v>
      </c>
      <c r="D1891" t="str">
        <f>T_Stocks[[#This Row],[Ticker]] &amp; "-" &amp; DATE(YEAR(T_Stocks[[#This Row],[Fecha]]),MONTH(T_Stocks[[#This Row],[Fecha]]),DAY(T_Stocks[[#This Row],[Fecha]]))</f>
        <v>BTCEUR-43895</v>
      </c>
    </row>
    <row r="1892" spans="1:4" ht="14.65" thickBot="1" x14ac:dyDescent="0.5">
      <c r="A1892" s="17">
        <v>43896.998611111114</v>
      </c>
      <c r="B1892" s="19">
        <v>8118.1413739999998</v>
      </c>
      <c r="C1892" t="s">
        <v>155</v>
      </c>
      <c r="D1892" t="str">
        <f>T_Stocks[[#This Row],[Ticker]] &amp; "-" &amp; DATE(YEAR(T_Stocks[[#This Row],[Fecha]]),MONTH(T_Stocks[[#This Row],[Fecha]]),DAY(T_Stocks[[#This Row],[Fecha]]))</f>
        <v>BTCEUR-43896</v>
      </c>
    </row>
    <row r="1893" spans="1:4" ht="14.65" thickBot="1" x14ac:dyDescent="0.5">
      <c r="A1893" s="17">
        <v>43897.998611111114</v>
      </c>
      <c r="B1893" s="19">
        <v>7886.9956810000003</v>
      </c>
      <c r="C1893" t="s">
        <v>155</v>
      </c>
      <c r="D1893" t="str">
        <f>T_Stocks[[#This Row],[Ticker]] &amp; "-" &amp; DATE(YEAR(T_Stocks[[#This Row],[Fecha]]),MONTH(T_Stocks[[#This Row],[Fecha]]),DAY(T_Stocks[[#This Row],[Fecha]]))</f>
        <v>BTCEUR-43897</v>
      </c>
    </row>
    <row r="1894" spans="1:4" ht="14.65" thickBot="1" x14ac:dyDescent="0.5">
      <c r="A1894" s="17">
        <v>43898.998611111114</v>
      </c>
      <c r="B1894" s="19">
        <v>7071.7755870000001</v>
      </c>
      <c r="C1894" t="s">
        <v>155</v>
      </c>
      <c r="D1894" t="str">
        <f>T_Stocks[[#This Row],[Ticker]] &amp; "-" &amp; DATE(YEAR(T_Stocks[[#This Row],[Fecha]]),MONTH(T_Stocks[[#This Row],[Fecha]]),DAY(T_Stocks[[#This Row],[Fecha]]))</f>
        <v>BTCEUR-43898</v>
      </c>
    </row>
    <row r="1895" spans="1:4" ht="14.65" thickBot="1" x14ac:dyDescent="0.5">
      <c r="A1895" s="17">
        <v>43899.998611111114</v>
      </c>
      <c r="B1895" s="19">
        <v>6963.4085070000001</v>
      </c>
      <c r="C1895" t="s">
        <v>155</v>
      </c>
      <c r="D1895" t="str">
        <f>T_Stocks[[#This Row],[Ticker]] &amp; "-" &amp; DATE(YEAR(T_Stocks[[#This Row],[Fecha]]),MONTH(T_Stocks[[#This Row],[Fecha]]),DAY(T_Stocks[[#This Row],[Fecha]]))</f>
        <v>BTCEUR-43899</v>
      </c>
    </row>
    <row r="1896" spans="1:4" ht="14.65" thickBot="1" x14ac:dyDescent="0.5">
      <c r="A1896" s="17">
        <v>43900.998611111114</v>
      </c>
      <c r="B1896" s="19">
        <v>6976.7292040000002</v>
      </c>
      <c r="C1896" t="s">
        <v>155</v>
      </c>
      <c r="D1896" t="str">
        <f>T_Stocks[[#This Row],[Ticker]] &amp; "-" &amp; DATE(YEAR(T_Stocks[[#This Row],[Fecha]]),MONTH(T_Stocks[[#This Row],[Fecha]]),DAY(T_Stocks[[#This Row],[Fecha]]))</f>
        <v>BTCEUR-43900</v>
      </c>
    </row>
    <row r="1897" spans="1:4" ht="14.65" thickBot="1" x14ac:dyDescent="0.5">
      <c r="A1897" s="17">
        <v>43901.998611111114</v>
      </c>
      <c r="B1897" s="19">
        <v>7053.1292380000004</v>
      </c>
      <c r="C1897" t="s">
        <v>155</v>
      </c>
      <c r="D1897" t="str">
        <f>T_Stocks[[#This Row],[Ticker]] &amp; "-" &amp; DATE(YEAR(T_Stocks[[#This Row],[Fecha]]),MONTH(T_Stocks[[#This Row],[Fecha]]),DAY(T_Stocks[[#This Row],[Fecha]]))</f>
        <v>BTCEUR-43901</v>
      </c>
    </row>
    <row r="1898" spans="1:4" ht="14.65" thickBot="1" x14ac:dyDescent="0.5">
      <c r="A1898" s="17">
        <v>43902.998611111114</v>
      </c>
      <c r="B1898" s="19">
        <v>4340.0739020000001</v>
      </c>
      <c r="C1898" t="s">
        <v>155</v>
      </c>
      <c r="D1898" t="str">
        <f>T_Stocks[[#This Row],[Ticker]] &amp; "-" &amp; DATE(YEAR(T_Stocks[[#This Row],[Fecha]]),MONTH(T_Stocks[[#This Row],[Fecha]]),DAY(T_Stocks[[#This Row],[Fecha]]))</f>
        <v>BTCEUR-43902</v>
      </c>
    </row>
    <row r="1899" spans="1:4" ht="14.65" thickBot="1" x14ac:dyDescent="0.5">
      <c r="A1899" s="17">
        <v>43903.998611111114</v>
      </c>
      <c r="B1899" s="19">
        <v>5028.3640400000004</v>
      </c>
      <c r="C1899" t="s">
        <v>155</v>
      </c>
      <c r="D1899" t="str">
        <f>T_Stocks[[#This Row],[Ticker]] &amp; "-" &amp; DATE(YEAR(T_Stocks[[#This Row],[Fecha]]),MONTH(T_Stocks[[#This Row],[Fecha]]),DAY(T_Stocks[[#This Row],[Fecha]]))</f>
        <v>BTCEUR-43903</v>
      </c>
    </row>
    <row r="1900" spans="1:4" ht="14.65" thickBot="1" x14ac:dyDescent="0.5">
      <c r="A1900" s="17">
        <v>43904.998611111114</v>
      </c>
      <c r="B1900" s="19">
        <v>4646.382321</v>
      </c>
      <c r="C1900" t="s">
        <v>155</v>
      </c>
      <c r="D1900" t="str">
        <f>T_Stocks[[#This Row],[Ticker]] &amp; "-" &amp; DATE(YEAR(T_Stocks[[#This Row],[Fecha]]),MONTH(T_Stocks[[#This Row],[Fecha]]),DAY(T_Stocks[[#This Row],[Fecha]]))</f>
        <v>BTCEUR-43904</v>
      </c>
    </row>
    <row r="1901" spans="1:4" ht="14.65" thickBot="1" x14ac:dyDescent="0.5">
      <c r="A1901" s="17">
        <v>43905.998611111114</v>
      </c>
      <c r="B1901" s="19">
        <v>4801.383065</v>
      </c>
      <c r="C1901" t="s">
        <v>155</v>
      </c>
      <c r="D1901" t="str">
        <f>T_Stocks[[#This Row],[Ticker]] &amp; "-" &amp; DATE(YEAR(T_Stocks[[#This Row],[Fecha]]),MONTH(T_Stocks[[#This Row],[Fecha]]),DAY(T_Stocks[[#This Row],[Fecha]]))</f>
        <v>BTCEUR-43905</v>
      </c>
    </row>
    <row r="1902" spans="1:4" ht="14.65" thickBot="1" x14ac:dyDescent="0.5">
      <c r="A1902" s="17">
        <v>43906.998611111114</v>
      </c>
      <c r="B1902" s="19">
        <v>4508.0292939999999</v>
      </c>
      <c r="C1902" t="s">
        <v>155</v>
      </c>
      <c r="D1902" t="str">
        <f>T_Stocks[[#This Row],[Ticker]] &amp; "-" &amp; DATE(YEAR(T_Stocks[[#This Row],[Fecha]]),MONTH(T_Stocks[[#This Row],[Fecha]]),DAY(T_Stocks[[#This Row],[Fecha]]))</f>
        <v>BTCEUR-43906</v>
      </c>
    </row>
    <row r="1903" spans="1:4" ht="14.65" thickBot="1" x14ac:dyDescent="0.5">
      <c r="A1903" s="17">
        <v>43907.998611111114</v>
      </c>
      <c r="B1903" s="19">
        <v>4848.2246670000004</v>
      </c>
      <c r="C1903" t="s">
        <v>155</v>
      </c>
      <c r="D1903" t="str">
        <f>T_Stocks[[#This Row],[Ticker]] &amp; "-" &amp; DATE(YEAR(T_Stocks[[#This Row],[Fecha]]),MONTH(T_Stocks[[#This Row],[Fecha]]),DAY(T_Stocks[[#This Row],[Fecha]]))</f>
        <v>BTCEUR-43907</v>
      </c>
    </row>
    <row r="1904" spans="1:4" ht="14.65" thickBot="1" x14ac:dyDescent="0.5">
      <c r="A1904" s="17">
        <v>43908.998611111114</v>
      </c>
      <c r="B1904" s="19">
        <v>4931.2373989999996</v>
      </c>
      <c r="C1904" t="s">
        <v>155</v>
      </c>
      <c r="D1904" t="str">
        <f>T_Stocks[[#This Row],[Ticker]] &amp; "-" &amp; DATE(YEAR(T_Stocks[[#This Row],[Fecha]]),MONTH(T_Stocks[[#This Row],[Fecha]]),DAY(T_Stocks[[#This Row],[Fecha]]))</f>
        <v>BTCEUR-43908</v>
      </c>
    </row>
    <row r="1905" spans="1:4" ht="14.65" thickBot="1" x14ac:dyDescent="0.5">
      <c r="A1905" s="17">
        <v>43909.998611111114</v>
      </c>
      <c r="B1905" s="19">
        <v>5801.0292200000004</v>
      </c>
      <c r="C1905" t="s">
        <v>155</v>
      </c>
      <c r="D1905" t="str">
        <f>T_Stocks[[#This Row],[Ticker]] &amp; "-" &amp; DATE(YEAR(T_Stocks[[#This Row],[Fecha]]),MONTH(T_Stocks[[#This Row],[Fecha]]),DAY(T_Stocks[[#This Row],[Fecha]]))</f>
        <v>BTCEUR-43909</v>
      </c>
    </row>
    <row r="1906" spans="1:4" ht="14.65" thickBot="1" x14ac:dyDescent="0.5">
      <c r="A1906" s="17">
        <v>43910.998611111114</v>
      </c>
      <c r="B1906" s="19">
        <v>5760.8428210000002</v>
      </c>
      <c r="C1906" t="s">
        <v>155</v>
      </c>
      <c r="D1906" t="str">
        <f>T_Stocks[[#This Row],[Ticker]] &amp; "-" &amp; DATE(YEAR(T_Stocks[[#This Row],[Fecha]]),MONTH(T_Stocks[[#This Row],[Fecha]]),DAY(T_Stocks[[#This Row],[Fecha]]))</f>
        <v>BTCEUR-43910</v>
      </c>
    </row>
    <row r="1907" spans="1:4" ht="14.65" thickBot="1" x14ac:dyDescent="0.5">
      <c r="A1907" s="17">
        <v>43911.998611111114</v>
      </c>
      <c r="B1907" s="19">
        <v>5755.3285779999997</v>
      </c>
      <c r="C1907" t="s">
        <v>155</v>
      </c>
      <c r="D1907" t="str">
        <f>T_Stocks[[#This Row],[Ticker]] &amp; "-" &amp; DATE(YEAR(T_Stocks[[#This Row],[Fecha]]),MONTH(T_Stocks[[#This Row],[Fecha]]),DAY(T_Stocks[[#This Row],[Fecha]]))</f>
        <v>BTCEUR-43911</v>
      </c>
    </row>
    <row r="1908" spans="1:4" ht="14.65" thickBot="1" x14ac:dyDescent="0.5">
      <c r="A1908" s="17">
        <v>43912.998611111114</v>
      </c>
      <c r="B1908" s="19">
        <v>5440.9338870000001</v>
      </c>
      <c r="C1908" t="s">
        <v>155</v>
      </c>
      <c r="D1908" t="str">
        <f>T_Stocks[[#This Row],[Ticker]] &amp; "-" &amp; DATE(YEAR(T_Stocks[[#This Row],[Fecha]]),MONTH(T_Stocks[[#This Row],[Fecha]]),DAY(T_Stocks[[#This Row],[Fecha]]))</f>
        <v>BTCEUR-43912</v>
      </c>
    </row>
    <row r="1909" spans="1:4" ht="14.65" thickBot="1" x14ac:dyDescent="0.5">
      <c r="A1909" s="17">
        <v>43913.998611111114</v>
      </c>
      <c r="B1909" s="19">
        <v>6035.1873759999999</v>
      </c>
      <c r="C1909" t="s">
        <v>155</v>
      </c>
      <c r="D1909" t="str">
        <f>T_Stocks[[#This Row],[Ticker]] &amp; "-" &amp; DATE(YEAR(T_Stocks[[#This Row],[Fecha]]),MONTH(T_Stocks[[#This Row],[Fecha]]),DAY(T_Stocks[[#This Row],[Fecha]]))</f>
        <v>BTCEUR-43913</v>
      </c>
    </row>
    <row r="1910" spans="1:4" ht="14.65" thickBot="1" x14ac:dyDescent="0.5">
      <c r="A1910" s="17">
        <v>43914.998611111114</v>
      </c>
      <c r="B1910" s="19">
        <v>6263.0186720000002</v>
      </c>
      <c r="C1910" t="s">
        <v>155</v>
      </c>
      <c r="D1910" t="str">
        <f>T_Stocks[[#This Row],[Ticker]] &amp; "-" &amp; DATE(YEAR(T_Stocks[[#This Row],[Fecha]]),MONTH(T_Stocks[[#This Row],[Fecha]]),DAY(T_Stocks[[#This Row],[Fecha]]))</f>
        <v>BTCEUR-43914</v>
      </c>
    </row>
    <row r="1911" spans="1:4" ht="14.65" thickBot="1" x14ac:dyDescent="0.5">
      <c r="A1911" s="17">
        <v>43915.998611111114</v>
      </c>
      <c r="B1911" s="19">
        <v>6142.978728</v>
      </c>
      <c r="C1911" t="s">
        <v>155</v>
      </c>
      <c r="D1911" t="str">
        <f>T_Stocks[[#This Row],[Ticker]] &amp; "-" &amp; DATE(YEAR(T_Stocks[[#This Row],[Fecha]]),MONTH(T_Stocks[[#This Row],[Fecha]]),DAY(T_Stocks[[#This Row],[Fecha]]))</f>
        <v>BTCEUR-43915</v>
      </c>
    </row>
    <row r="1912" spans="1:4" ht="14.65" thickBot="1" x14ac:dyDescent="0.5">
      <c r="A1912" s="17">
        <v>43916.998611111114</v>
      </c>
      <c r="B1912" s="19">
        <v>6115.8216199999997</v>
      </c>
      <c r="C1912" t="s">
        <v>155</v>
      </c>
      <c r="D1912" t="str">
        <f>T_Stocks[[#This Row],[Ticker]] &amp; "-" &amp; DATE(YEAR(T_Stocks[[#This Row],[Fecha]]),MONTH(T_Stocks[[#This Row],[Fecha]]),DAY(T_Stocks[[#This Row],[Fecha]]))</f>
        <v>BTCEUR-43916</v>
      </c>
    </row>
    <row r="1913" spans="1:4" ht="14.65" thickBot="1" x14ac:dyDescent="0.5">
      <c r="A1913" s="17">
        <v>43917.998611111114</v>
      </c>
      <c r="B1913" s="19">
        <v>5701.0241919999999</v>
      </c>
      <c r="C1913" t="s">
        <v>155</v>
      </c>
      <c r="D1913" t="str">
        <f>T_Stocks[[#This Row],[Ticker]] &amp; "-" &amp; DATE(YEAR(T_Stocks[[#This Row],[Fecha]]),MONTH(T_Stocks[[#This Row],[Fecha]]),DAY(T_Stocks[[#This Row],[Fecha]]))</f>
        <v>BTCEUR-43917</v>
      </c>
    </row>
    <row r="1914" spans="1:4" ht="14.65" thickBot="1" x14ac:dyDescent="0.5">
      <c r="A1914" s="17">
        <v>43918.998611111114</v>
      </c>
      <c r="B1914" s="19">
        <v>5597.5108920000002</v>
      </c>
      <c r="C1914" t="s">
        <v>155</v>
      </c>
      <c r="D1914" t="str">
        <f>T_Stocks[[#This Row],[Ticker]] &amp; "-" &amp; DATE(YEAR(T_Stocks[[#This Row],[Fecha]]),MONTH(T_Stocks[[#This Row],[Fecha]]),DAY(T_Stocks[[#This Row],[Fecha]]))</f>
        <v>BTCEUR-43918</v>
      </c>
    </row>
    <row r="1915" spans="1:4" ht="14.65" thickBot="1" x14ac:dyDescent="0.5">
      <c r="A1915" s="17">
        <v>43919.998611111114</v>
      </c>
      <c r="B1915" s="19">
        <v>5282.7348700000002</v>
      </c>
      <c r="C1915" t="s">
        <v>155</v>
      </c>
      <c r="D1915" t="str">
        <f>T_Stocks[[#This Row],[Ticker]] &amp; "-" &amp; DATE(YEAR(T_Stocks[[#This Row],[Fecha]]),MONTH(T_Stocks[[#This Row],[Fecha]]),DAY(T_Stocks[[#This Row],[Fecha]]))</f>
        <v>BTCEUR-43919</v>
      </c>
    </row>
    <row r="1916" spans="1:4" ht="14.65" thickBot="1" x14ac:dyDescent="0.5">
      <c r="A1916" s="17">
        <v>43920.998611111114</v>
      </c>
      <c r="B1916" s="19">
        <v>5805.9812830000001</v>
      </c>
      <c r="C1916" t="s">
        <v>155</v>
      </c>
      <c r="D1916" t="str">
        <f>T_Stocks[[#This Row],[Ticker]] &amp; "-" &amp; DATE(YEAR(T_Stocks[[#This Row],[Fecha]]),MONTH(T_Stocks[[#This Row],[Fecha]]),DAY(T_Stocks[[#This Row],[Fecha]]))</f>
        <v>BTCEUR-43920</v>
      </c>
    </row>
    <row r="1917" spans="1:4" ht="14.65" thickBot="1" x14ac:dyDescent="0.5">
      <c r="A1917" s="17">
        <v>43921.998611111114</v>
      </c>
      <c r="B1917" s="19">
        <v>5824.3194800000001</v>
      </c>
      <c r="C1917" t="s">
        <v>155</v>
      </c>
      <c r="D1917" t="str">
        <f>T_Stocks[[#This Row],[Ticker]] &amp; "-" &amp; DATE(YEAR(T_Stocks[[#This Row],[Fecha]]),MONTH(T_Stocks[[#This Row],[Fecha]]),DAY(T_Stocks[[#This Row],[Fecha]]))</f>
        <v>BTCEUR-43921</v>
      </c>
    </row>
    <row r="1918" spans="1:4" ht="14.65" thickBot="1" x14ac:dyDescent="0.5">
      <c r="A1918" s="17">
        <v>43922.998611111114</v>
      </c>
      <c r="B1918" s="19">
        <v>6082.2975070000002</v>
      </c>
      <c r="C1918" t="s">
        <v>155</v>
      </c>
      <c r="D1918" t="str">
        <f>T_Stocks[[#This Row],[Ticker]] &amp; "-" &amp; DATE(YEAR(T_Stocks[[#This Row],[Fecha]]),MONTH(T_Stocks[[#This Row],[Fecha]]),DAY(T_Stocks[[#This Row],[Fecha]]))</f>
        <v>BTCEUR-43922</v>
      </c>
    </row>
    <row r="1919" spans="1:4" ht="14.65" thickBot="1" x14ac:dyDescent="0.5">
      <c r="A1919" s="17">
        <v>43923.998611111114</v>
      </c>
      <c r="B1919" s="19">
        <v>6274.4415769999996</v>
      </c>
      <c r="C1919" t="s">
        <v>155</v>
      </c>
      <c r="D1919" t="str">
        <f>T_Stocks[[#This Row],[Ticker]] &amp; "-" &amp; DATE(YEAR(T_Stocks[[#This Row],[Fecha]]),MONTH(T_Stocks[[#This Row],[Fecha]]),DAY(T_Stocks[[#This Row],[Fecha]]))</f>
        <v>BTCEUR-43923</v>
      </c>
    </row>
    <row r="1920" spans="1:4" ht="14.65" thickBot="1" x14ac:dyDescent="0.5">
      <c r="A1920" s="17">
        <v>43924.998611111114</v>
      </c>
      <c r="B1920" s="19">
        <v>6236.8469450000002</v>
      </c>
      <c r="C1920" t="s">
        <v>155</v>
      </c>
      <c r="D1920" t="str">
        <f>T_Stocks[[#This Row],[Ticker]] &amp; "-" &amp; DATE(YEAR(T_Stocks[[#This Row],[Fecha]]),MONTH(T_Stocks[[#This Row],[Fecha]]),DAY(T_Stocks[[#This Row],[Fecha]]))</f>
        <v>BTCEUR-43924</v>
      </c>
    </row>
    <row r="1921" spans="1:4" ht="14.65" thickBot="1" x14ac:dyDescent="0.5">
      <c r="A1921" s="17">
        <v>43925.998611111114</v>
      </c>
      <c r="B1921" s="19">
        <v>6357.140746</v>
      </c>
      <c r="C1921" t="s">
        <v>155</v>
      </c>
      <c r="D1921" t="str">
        <f>T_Stocks[[#This Row],[Ticker]] &amp; "-" &amp; DATE(YEAR(T_Stocks[[#This Row],[Fecha]]),MONTH(T_Stocks[[#This Row],[Fecha]]),DAY(T_Stocks[[#This Row],[Fecha]]))</f>
        <v>BTCEUR-43925</v>
      </c>
    </row>
    <row r="1922" spans="1:4" ht="14.65" thickBot="1" x14ac:dyDescent="0.5">
      <c r="A1922" s="17">
        <v>43926.998611111114</v>
      </c>
      <c r="B1922" s="19">
        <v>6271.6035890000003</v>
      </c>
      <c r="C1922" t="s">
        <v>155</v>
      </c>
      <c r="D1922" t="str">
        <f>T_Stocks[[#This Row],[Ticker]] &amp; "-" &amp; DATE(YEAR(T_Stocks[[#This Row],[Fecha]]),MONTH(T_Stocks[[#This Row],[Fecha]]),DAY(T_Stocks[[#This Row],[Fecha]]))</f>
        <v>BTCEUR-43926</v>
      </c>
    </row>
    <row r="1923" spans="1:4" ht="14.65" thickBot="1" x14ac:dyDescent="0.5">
      <c r="A1923" s="17">
        <v>43927.998611111114</v>
      </c>
      <c r="B1923" s="19">
        <v>6795.7440919999999</v>
      </c>
      <c r="C1923" t="s">
        <v>155</v>
      </c>
      <c r="D1923" t="str">
        <f>T_Stocks[[#This Row],[Ticker]] &amp; "-" &amp; DATE(YEAR(T_Stocks[[#This Row],[Fecha]]),MONTH(T_Stocks[[#This Row],[Fecha]]),DAY(T_Stocks[[#This Row],[Fecha]]))</f>
        <v>BTCEUR-43927</v>
      </c>
    </row>
    <row r="1924" spans="1:4" ht="14.65" thickBot="1" x14ac:dyDescent="0.5">
      <c r="A1924" s="17">
        <v>43928.998611111114</v>
      </c>
      <c r="B1924" s="19">
        <v>6608.489302</v>
      </c>
      <c r="C1924" t="s">
        <v>155</v>
      </c>
      <c r="D1924" t="str">
        <f>T_Stocks[[#This Row],[Ticker]] &amp; "-" &amp; DATE(YEAR(T_Stocks[[#This Row],[Fecha]]),MONTH(T_Stocks[[#This Row],[Fecha]]),DAY(T_Stocks[[#This Row],[Fecha]]))</f>
        <v>BTCEUR-43928</v>
      </c>
    </row>
    <row r="1925" spans="1:4" ht="14.65" thickBot="1" x14ac:dyDescent="0.5">
      <c r="A1925" s="17">
        <v>43929.998611111114</v>
      </c>
      <c r="B1925" s="19">
        <v>6781.1752990000005</v>
      </c>
      <c r="C1925" t="s">
        <v>155</v>
      </c>
      <c r="D1925" t="str">
        <f>T_Stocks[[#This Row],[Ticker]] &amp; "-" &amp; DATE(YEAR(T_Stocks[[#This Row],[Fecha]]),MONTH(T_Stocks[[#This Row],[Fecha]]),DAY(T_Stocks[[#This Row],[Fecha]]))</f>
        <v>BTCEUR-43929</v>
      </c>
    </row>
    <row r="1926" spans="1:4" ht="14.65" thickBot="1" x14ac:dyDescent="0.5">
      <c r="A1926" s="17">
        <v>43930.998611111114</v>
      </c>
      <c r="B1926" s="19">
        <v>6674.3990750000003</v>
      </c>
      <c r="C1926" t="s">
        <v>155</v>
      </c>
      <c r="D1926" t="str">
        <f>T_Stocks[[#This Row],[Ticker]] &amp; "-" &amp; DATE(YEAR(T_Stocks[[#This Row],[Fecha]]),MONTH(T_Stocks[[#This Row],[Fecha]]),DAY(T_Stocks[[#This Row],[Fecha]]))</f>
        <v>BTCEUR-43930</v>
      </c>
    </row>
    <row r="1927" spans="1:4" ht="14.65" thickBot="1" x14ac:dyDescent="0.5">
      <c r="A1927" s="17">
        <v>43931.998611111114</v>
      </c>
      <c r="B1927" s="19">
        <v>6283.0406350000003</v>
      </c>
      <c r="C1927" t="s">
        <v>155</v>
      </c>
      <c r="D1927" t="str">
        <f>T_Stocks[[#This Row],[Ticker]] &amp; "-" &amp; DATE(YEAR(T_Stocks[[#This Row],[Fecha]]),MONTH(T_Stocks[[#This Row],[Fecha]]),DAY(T_Stocks[[#This Row],[Fecha]]))</f>
        <v>BTCEUR-43931</v>
      </c>
    </row>
    <row r="1928" spans="1:4" ht="14.65" thickBot="1" x14ac:dyDescent="0.5">
      <c r="A1928" s="17">
        <v>43932.998611111114</v>
      </c>
      <c r="B1928" s="19">
        <v>6296.6105040000002</v>
      </c>
      <c r="C1928" t="s">
        <v>155</v>
      </c>
      <c r="D1928" t="str">
        <f>T_Stocks[[#This Row],[Ticker]] &amp; "-" &amp; DATE(YEAR(T_Stocks[[#This Row],[Fecha]]),MONTH(T_Stocks[[#This Row],[Fecha]]),DAY(T_Stocks[[#This Row],[Fecha]]))</f>
        <v>BTCEUR-43932</v>
      </c>
    </row>
    <row r="1929" spans="1:4" ht="14.65" thickBot="1" x14ac:dyDescent="0.5">
      <c r="A1929" s="17">
        <v>43933.998611111114</v>
      </c>
      <c r="B1929" s="19">
        <v>6315.9481699999997</v>
      </c>
      <c r="C1929" t="s">
        <v>155</v>
      </c>
      <c r="D1929" t="str">
        <f>T_Stocks[[#This Row],[Ticker]] &amp; "-" &amp; DATE(YEAR(T_Stocks[[#This Row],[Fecha]]),MONTH(T_Stocks[[#This Row],[Fecha]]),DAY(T_Stocks[[#This Row],[Fecha]]))</f>
        <v>BTCEUR-43933</v>
      </c>
    </row>
    <row r="1930" spans="1:4" ht="14.65" thickBot="1" x14ac:dyDescent="0.5">
      <c r="A1930" s="17">
        <v>43934.998611111114</v>
      </c>
      <c r="B1930" s="19">
        <v>6277.701599</v>
      </c>
      <c r="C1930" t="s">
        <v>155</v>
      </c>
      <c r="D1930" t="str">
        <f>T_Stocks[[#This Row],[Ticker]] &amp; "-" &amp; DATE(YEAR(T_Stocks[[#This Row],[Fecha]]),MONTH(T_Stocks[[#This Row],[Fecha]]),DAY(T_Stocks[[#This Row],[Fecha]]))</f>
        <v>BTCEUR-43934</v>
      </c>
    </row>
    <row r="1931" spans="1:4" ht="14.65" thickBot="1" x14ac:dyDescent="0.5">
      <c r="A1931" s="17">
        <v>43935.998611111114</v>
      </c>
      <c r="B1931" s="19">
        <v>6257.0672089999998</v>
      </c>
      <c r="C1931" t="s">
        <v>155</v>
      </c>
      <c r="D1931" t="str">
        <f>T_Stocks[[#This Row],[Ticker]] &amp; "-" &amp; DATE(YEAR(T_Stocks[[#This Row],[Fecha]]),MONTH(T_Stocks[[#This Row],[Fecha]]),DAY(T_Stocks[[#This Row],[Fecha]]))</f>
        <v>BTCEUR-43935</v>
      </c>
    </row>
    <row r="1932" spans="1:4" ht="14.65" thickBot="1" x14ac:dyDescent="0.5">
      <c r="A1932" s="17">
        <v>43936.998611111114</v>
      </c>
      <c r="B1932" s="19">
        <v>6074.1302100000003</v>
      </c>
      <c r="C1932" t="s">
        <v>155</v>
      </c>
      <c r="D1932" t="str">
        <f>T_Stocks[[#This Row],[Ticker]] &amp; "-" &amp; DATE(YEAR(T_Stocks[[#This Row],[Fecha]]),MONTH(T_Stocks[[#This Row],[Fecha]]),DAY(T_Stocks[[#This Row],[Fecha]]))</f>
        <v>BTCEUR-43936</v>
      </c>
    </row>
    <row r="1933" spans="1:4" ht="14.65" thickBot="1" x14ac:dyDescent="0.5">
      <c r="A1933" s="17">
        <v>43937.998611111114</v>
      </c>
      <c r="B1933" s="19">
        <v>6550.422431</v>
      </c>
      <c r="C1933" t="s">
        <v>155</v>
      </c>
      <c r="D1933" t="str">
        <f>T_Stocks[[#This Row],[Ticker]] &amp; "-" &amp; DATE(YEAR(T_Stocks[[#This Row],[Fecha]]),MONTH(T_Stocks[[#This Row],[Fecha]]),DAY(T_Stocks[[#This Row],[Fecha]]))</f>
        <v>BTCEUR-43937</v>
      </c>
    </row>
    <row r="1934" spans="1:4" ht="14.65" thickBot="1" x14ac:dyDescent="0.5">
      <c r="A1934" s="17">
        <v>43938.998611111114</v>
      </c>
      <c r="B1934" s="19">
        <v>6464.783676</v>
      </c>
      <c r="C1934" t="s">
        <v>155</v>
      </c>
      <c r="D1934" t="str">
        <f>T_Stocks[[#This Row],[Ticker]] &amp; "-" &amp; DATE(YEAR(T_Stocks[[#This Row],[Fecha]]),MONTH(T_Stocks[[#This Row],[Fecha]]),DAY(T_Stocks[[#This Row],[Fecha]]))</f>
        <v>BTCEUR-43938</v>
      </c>
    </row>
    <row r="1935" spans="1:4" ht="14.65" thickBot="1" x14ac:dyDescent="0.5">
      <c r="A1935" s="17">
        <v>43939.998611111114</v>
      </c>
      <c r="B1935" s="19">
        <v>6672.4665699999996</v>
      </c>
      <c r="C1935" t="s">
        <v>155</v>
      </c>
      <c r="D1935" t="str">
        <f>T_Stocks[[#This Row],[Ticker]] &amp; "-" &amp; DATE(YEAR(T_Stocks[[#This Row],[Fecha]]),MONTH(T_Stocks[[#This Row],[Fecha]]),DAY(T_Stocks[[#This Row],[Fecha]]))</f>
        <v>BTCEUR-43939</v>
      </c>
    </row>
    <row r="1936" spans="1:4" ht="14.65" thickBot="1" x14ac:dyDescent="0.5">
      <c r="A1936" s="17">
        <v>43940.998611111114</v>
      </c>
      <c r="B1936" s="19">
        <v>6559.8232379999999</v>
      </c>
      <c r="C1936" t="s">
        <v>155</v>
      </c>
      <c r="D1936" t="str">
        <f>T_Stocks[[#This Row],[Ticker]] &amp; "-" &amp; DATE(YEAR(T_Stocks[[#This Row],[Fecha]]),MONTH(T_Stocks[[#This Row],[Fecha]]),DAY(T_Stocks[[#This Row],[Fecha]]))</f>
        <v>BTCEUR-43940</v>
      </c>
    </row>
    <row r="1937" spans="1:4" ht="14.65" thickBot="1" x14ac:dyDescent="0.5">
      <c r="A1937" s="17">
        <v>43941.998611111114</v>
      </c>
      <c r="B1937" s="19">
        <v>6296.4913749999996</v>
      </c>
      <c r="C1937" t="s">
        <v>155</v>
      </c>
      <c r="D1937" t="str">
        <f>T_Stocks[[#This Row],[Ticker]] &amp; "-" &amp; DATE(YEAR(T_Stocks[[#This Row],[Fecha]]),MONTH(T_Stocks[[#This Row],[Fecha]]),DAY(T_Stocks[[#This Row],[Fecha]]))</f>
        <v>BTCEUR-43941</v>
      </c>
    </row>
    <row r="1938" spans="1:4" ht="14.65" thickBot="1" x14ac:dyDescent="0.5">
      <c r="A1938" s="17">
        <v>43942.998611111114</v>
      </c>
      <c r="B1938" s="19">
        <v>6311.2099150000004</v>
      </c>
      <c r="C1938" t="s">
        <v>155</v>
      </c>
      <c r="D1938" t="str">
        <f>T_Stocks[[#This Row],[Ticker]] &amp; "-" &amp; DATE(YEAR(T_Stocks[[#This Row],[Fecha]]),MONTH(T_Stocks[[#This Row],[Fecha]]),DAY(T_Stocks[[#This Row],[Fecha]]))</f>
        <v>BTCEUR-43942</v>
      </c>
    </row>
    <row r="1939" spans="1:4" ht="14.65" thickBot="1" x14ac:dyDescent="0.5">
      <c r="A1939" s="17">
        <v>43943.998611111114</v>
      </c>
      <c r="B1939" s="19">
        <v>6598.1203329999998</v>
      </c>
      <c r="C1939" t="s">
        <v>155</v>
      </c>
      <c r="D1939" t="str">
        <f>T_Stocks[[#This Row],[Ticker]] &amp; "-" &amp; DATE(YEAR(T_Stocks[[#This Row],[Fecha]]),MONTH(T_Stocks[[#This Row],[Fecha]]),DAY(T_Stocks[[#This Row],[Fecha]]))</f>
        <v>BTCEUR-43943</v>
      </c>
    </row>
    <row r="1940" spans="1:4" ht="14.65" thickBot="1" x14ac:dyDescent="0.5">
      <c r="A1940" s="17">
        <v>43944.998611111114</v>
      </c>
      <c r="B1940" s="19">
        <v>6948.9753629999996</v>
      </c>
      <c r="C1940" t="s">
        <v>155</v>
      </c>
      <c r="D1940" t="str">
        <f>T_Stocks[[#This Row],[Ticker]] &amp; "-" &amp; DATE(YEAR(T_Stocks[[#This Row],[Fecha]]),MONTH(T_Stocks[[#This Row],[Fecha]]),DAY(T_Stocks[[#This Row],[Fecha]]))</f>
        <v>BTCEUR-43944</v>
      </c>
    </row>
    <row r="1941" spans="1:4" ht="14.65" thickBot="1" x14ac:dyDescent="0.5">
      <c r="A1941" s="17">
        <v>43945.998611111114</v>
      </c>
      <c r="B1941" s="19">
        <v>6933.5482190000002</v>
      </c>
      <c r="C1941" t="s">
        <v>155</v>
      </c>
      <c r="D1941" t="str">
        <f>T_Stocks[[#This Row],[Ticker]] &amp; "-" &amp; DATE(YEAR(T_Stocks[[#This Row],[Fecha]]),MONTH(T_Stocks[[#This Row],[Fecha]]),DAY(T_Stocks[[#This Row],[Fecha]]))</f>
        <v>BTCEUR-43945</v>
      </c>
    </row>
    <row r="1942" spans="1:4" ht="14.65" thickBot="1" x14ac:dyDescent="0.5">
      <c r="A1942" s="17">
        <v>43946.998611111114</v>
      </c>
      <c r="B1942" s="19">
        <v>6970.4287290000002</v>
      </c>
      <c r="C1942" t="s">
        <v>155</v>
      </c>
      <c r="D1942" t="str">
        <f>T_Stocks[[#This Row],[Ticker]] &amp; "-" &amp; DATE(YEAR(T_Stocks[[#This Row],[Fecha]]),MONTH(T_Stocks[[#This Row],[Fecha]]),DAY(T_Stocks[[#This Row],[Fecha]]))</f>
        <v>BTCEUR-43946</v>
      </c>
    </row>
    <row r="1943" spans="1:4" ht="14.65" thickBot="1" x14ac:dyDescent="0.5">
      <c r="A1943" s="17">
        <v>43947.998611111114</v>
      </c>
      <c r="B1943" s="19">
        <v>7115.7854100000004</v>
      </c>
      <c r="C1943" t="s">
        <v>155</v>
      </c>
      <c r="D1943" t="str">
        <f>T_Stocks[[#This Row],[Ticker]] &amp; "-" &amp; DATE(YEAR(T_Stocks[[#This Row],[Fecha]]),MONTH(T_Stocks[[#This Row],[Fecha]]),DAY(T_Stocks[[#This Row],[Fecha]]))</f>
        <v>BTCEUR-43947</v>
      </c>
    </row>
    <row r="1944" spans="1:4" ht="14.65" thickBot="1" x14ac:dyDescent="0.5">
      <c r="A1944" s="17">
        <v>43948.998611111114</v>
      </c>
      <c r="B1944" s="19">
        <v>7193.5677809999997</v>
      </c>
      <c r="C1944" t="s">
        <v>155</v>
      </c>
      <c r="D1944" t="str">
        <f>T_Stocks[[#This Row],[Ticker]] &amp; "-" &amp; DATE(YEAR(T_Stocks[[#This Row],[Fecha]]),MONTH(T_Stocks[[#This Row],[Fecha]]),DAY(T_Stocks[[#This Row],[Fecha]]))</f>
        <v>BTCEUR-43948</v>
      </c>
    </row>
    <row r="1945" spans="1:4" ht="14.65" thickBot="1" x14ac:dyDescent="0.5">
      <c r="A1945" s="17">
        <v>43949.998611111114</v>
      </c>
      <c r="B1945" s="19">
        <v>7160.2239030000001</v>
      </c>
      <c r="C1945" t="s">
        <v>155</v>
      </c>
      <c r="D1945" t="str">
        <f>T_Stocks[[#This Row],[Ticker]] &amp; "-" &amp; DATE(YEAR(T_Stocks[[#This Row],[Fecha]]),MONTH(T_Stocks[[#This Row],[Fecha]]),DAY(T_Stocks[[#This Row],[Fecha]]))</f>
        <v>BTCEUR-43949</v>
      </c>
    </row>
    <row r="1946" spans="1:4" ht="14.65" thickBot="1" x14ac:dyDescent="0.5">
      <c r="A1946" s="17">
        <v>43950.998611111114</v>
      </c>
      <c r="B1946" s="19">
        <v>8070.7300219999997</v>
      </c>
      <c r="C1946" t="s">
        <v>155</v>
      </c>
      <c r="D1946" t="str">
        <f>T_Stocks[[#This Row],[Ticker]] &amp; "-" &amp; DATE(YEAR(T_Stocks[[#This Row],[Fecha]]),MONTH(T_Stocks[[#This Row],[Fecha]]),DAY(T_Stocks[[#This Row],[Fecha]]))</f>
        <v>BTCEUR-43950</v>
      </c>
    </row>
    <row r="1947" spans="1:4" ht="14.65" thickBot="1" x14ac:dyDescent="0.5">
      <c r="A1947" s="17">
        <v>43951.998611111114</v>
      </c>
      <c r="B1947" s="19">
        <v>7886.0060460000004</v>
      </c>
      <c r="C1947" t="s">
        <v>155</v>
      </c>
      <c r="D1947" t="str">
        <f>T_Stocks[[#This Row],[Ticker]] &amp; "-" &amp; DATE(YEAR(T_Stocks[[#This Row],[Fecha]]),MONTH(T_Stocks[[#This Row],[Fecha]]),DAY(T_Stocks[[#This Row],[Fecha]]))</f>
        <v>BTCEUR-43951</v>
      </c>
    </row>
    <row r="1948" spans="1:4" ht="14.65" thickBot="1" x14ac:dyDescent="0.5">
      <c r="A1948" s="17">
        <v>43952.998611111114</v>
      </c>
      <c r="B1948" s="19">
        <v>7955.4060820000004</v>
      </c>
      <c r="C1948" t="s">
        <v>155</v>
      </c>
      <c r="D1948" t="str">
        <f>T_Stocks[[#This Row],[Ticker]] &amp; "-" &amp; DATE(YEAR(T_Stocks[[#This Row],[Fecha]]),MONTH(T_Stocks[[#This Row],[Fecha]]),DAY(T_Stocks[[#This Row],[Fecha]]))</f>
        <v>BTCEUR-43952</v>
      </c>
    </row>
    <row r="1949" spans="1:4" ht="14.65" thickBot="1" x14ac:dyDescent="0.5">
      <c r="A1949" s="17">
        <v>43953.998611111114</v>
      </c>
      <c r="B1949" s="19">
        <v>8091.5296770000004</v>
      </c>
      <c r="C1949" t="s">
        <v>155</v>
      </c>
      <c r="D1949" t="str">
        <f>T_Stocks[[#This Row],[Ticker]] &amp; "-" &amp; DATE(YEAR(T_Stocks[[#This Row],[Fecha]]),MONTH(T_Stocks[[#This Row],[Fecha]]),DAY(T_Stocks[[#This Row],[Fecha]]))</f>
        <v>BTCEUR-43953</v>
      </c>
    </row>
    <row r="1950" spans="1:4" ht="14.65" thickBot="1" x14ac:dyDescent="0.5">
      <c r="A1950" s="17">
        <v>43954.998611111114</v>
      </c>
      <c r="B1950" s="19">
        <v>8125.4132410000002</v>
      </c>
      <c r="C1950" t="s">
        <v>155</v>
      </c>
      <c r="D1950" t="str">
        <f>T_Stocks[[#This Row],[Ticker]] &amp; "-" &amp; DATE(YEAR(T_Stocks[[#This Row],[Fecha]]),MONTH(T_Stocks[[#This Row],[Fecha]]),DAY(T_Stocks[[#This Row],[Fecha]]))</f>
        <v>BTCEUR-43954</v>
      </c>
    </row>
    <row r="1951" spans="1:4" ht="14.65" thickBot="1" x14ac:dyDescent="0.5">
      <c r="A1951" s="17">
        <v>43955.998611111114</v>
      </c>
      <c r="B1951" s="19">
        <v>8145.5239540000002</v>
      </c>
      <c r="C1951" t="s">
        <v>155</v>
      </c>
      <c r="D1951" t="str">
        <f>T_Stocks[[#This Row],[Ticker]] &amp; "-" &amp; DATE(YEAR(T_Stocks[[#This Row],[Fecha]]),MONTH(T_Stocks[[#This Row],[Fecha]]),DAY(T_Stocks[[#This Row],[Fecha]]))</f>
        <v>BTCEUR-43955</v>
      </c>
    </row>
    <row r="1952" spans="1:4" ht="14.65" thickBot="1" x14ac:dyDescent="0.5">
      <c r="A1952" s="17">
        <v>43956.998611111114</v>
      </c>
      <c r="B1952" s="19">
        <v>8326.2845830000006</v>
      </c>
      <c r="C1952" t="s">
        <v>155</v>
      </c>
      <c r="D1952" t="str">
        <f>T_Stocks[[#This Row],[Ticker]] &amp; "-" &amp; DATE(YEAR(T_Stocks[[#This Row],[Fecha]]),MONTH(T_Stocks[[#This Row],[Fecha]]),DAY(T_Stocks[[#This Row],[Fecha]]))</f>
        <v>BTCEUR-43956</v>
      </c>
    </row>
    <row r="1953" spans="1:4" ht="14.65" thickBot="1" x14ac:dyDescent="0.5">
      <c r="A1953" s="17">
        <v>43957.998611111114</v>
      </c>
      <c r="B1953" s="19">
        <v>8476.4292069999992</v>
      </c>
      <c r="C1953" t="s">
        <v>155</v>
      </c>
      <c r="D1953" t="str">
        <f>T_Stocks[[#This Row],[Ticker]] &amp; "-" &amp; DATE(YEAR(T_Stocks[[#This Row],[Fecha]]),MONTH(T_Stocks[[#This Row],[Fecha]]),DAY(T_Stocks[[#This Row],[Fecha]]))</f>
        <v>BTCEUR-43957</v>
      </c>
    </row>
    <row r="1954" spans="1:4" ht="14.65" thickBot="1" x14ac:dyDescent="0.5">
      <c r="A1954" s="17">
        <v>43958.998611111114</v>
      </c>
      <c r="B1954" s="19">
        <v>9215.0234970000001</v>
      </c>
      <c r="C1954" t="s">
        <v>155</v>
      </c>
      <c r="D1954" t="str">
        <f>T_Stocks[[#This Row],[Ticker]] &amp; "-" &amp; DATE(YEAR(T_Stocks[[#This Row],[Fecha]]),MONTH(T_Stocks[[#This Row],[Fecha]]),DAY(T_Stocks[[#This Row],[Fecha]]))</f>
        <v>BTCEUR-43958</v>
      </c>
    </row>
    <row r="1955" spans="1:4" ht="14.65" thickBot="1" x14ac:dyDescent="0.5">
      <c r="A1955" s="17">
        <v>43959.998611111114</v>
      </c>
      <c r="B1955" s="19">
        <v>8938.4163200000003</v>
      </c>
      <c r="C1955" t="s">
        <v>155</v>
      </c>
      <c r="D1955" t="str">
        <f>T_Stocks[[#This Row],[Ticker]] &amp; "-" &amp; DATE(YEAR(T_Stocks[[#This Row],[Fecha]]),MONTH(T_Stocks[[#This Row],[Fecha]]),DAY(T_Stocks[[#This Row],[Fecha]]))</f>
        <v>BTCEUR-43959</v>
      </c>
    </row>
    <row r="1956" spans="1:4" ht="14.65" thickBot="1" x14ac:dyDescent="0.5">
      <c r="A1956" s="17">
        <v>43960.998611111114</v>
      </c>
      <c r="B1956" s="19">
        <v>8692.4976079999997</v>
      </c>
      <c r="C1956" t="s">
        <v>155</v>
      </c>
      <c r="D1956" t="str">
        <f>T_Stocks[[#This Row],[Ticker]] &amp; "-" &amp; DATE(YEAR(T_Stocks[[#This Row],[Fecha]]),MONTH(T_Stocks[[#This Row],[Fecha]]),DAY(T_Stocks[[#This Row],[Fecha]]))</f>
        <v>BTCEUR-43960</v>
      </c>
    </row>
    <row r="1957" spans="1:4" ht="14.65" thickBot="1" x14ac:dyDescent="0.5">
      <c r="A1957" s="17">
        <v>43961.998611111114</v>
      </c>
      <c r="B1957" s="19">
        <v>8060.8904080000002</v>
      </c>
      <c r="C1957" t="s">
        <v>155</v>
      </c>
      <c r="D1957" t="str">
        <f>T_Stocks[[#This Row],[Ticker]] &amp; "-" &amp; DATE(YEAR(T_Stocks[[#This Row],[Fecha]]),MONTH(T_Stocks[[#This Row],[Fecha]]),DAY(T_Stocks[[#This Row],[Fecha]]))</f>
        <v>BTCEUR-43961</v>
      </c>
    </row>
    <row r="1958" spans="1:4" ht="14.65" thickBot="1" x14ac:dyDescent="0.5">
      <c r="A1958" s="17">
        <v>43962.998611111114</v>
      </c>
      <c r="B1958" s="19">
        <v>7930.3136640000002</v>
      </c>
      <c r="C1958" t="s">
        <v>155</v>
      </c>
      <c r="D1958" t="str">
        <f>T_Stocks[[#This Row],[Ticker]] &amp; "-" &amp; DATE(YEAR(T_Stocks[[#This Row],[Fecha]]),MONTH(T_Stocks[[#This Row],[Fecha]]),DAY(T_Stocks[[#This Row],[Fecha]]))</f>
        <v>BTCEUR-43962</v>
      </c>
    </row>
    <row r="1959" spans="1:4" ht="14.65" thickBot="1" x14ac:dyDescent="0.5">
      <c r="A1959" s="17">
        <v>43963.998611111114</v>
      </c>
      <c r="B1959" s="19">
        <v>8130.5025130000004</v>
      </c>
      <c r="C1959" t="s">
        <v>155</v>
      </c>
      <c r="D1959" t="str">
        <f>T_Stocks[[#This Row],[Ticker]] &amp; "-" &amp; DATE(YEAR(T_Stocks[[#This Row],[Fecha]]),MONTH(T_Stocks[[#This Row],[Fecha]]),DAY(T_Stocks[[#This Row],[Fecha]]))</f>
        <v>BTCEUR-43963</v>
      </c>
    </row>
    <row r="1960" spans="1:4" ht="14.65" thickBot="1" x14ac:dyDescent="0.5">
      <c r="A1960" s="17">
        <v>43964.998611111114</v>
      </c>
      <c r="B1960" s="19">
        <v>8607.8072260000008</v>
      </c>
      <c r="C1960" t="s">
        <v>155</v>
      </c>
      <c r="D1960" t="str">
        <f>T_Stocks[[#This Row],[Ticker]] &amp; "-" &amp; DATE(YEAR(T_Stocks[[#This Row],[Fecha]]),MONTH(T_Stocks[[#This Row],[Fecha]]),DAY(T_Stocks[[#This Row],[Fecha]]))</f>
        <v>BTCEUR-43964</v>
      </c>
    </row>
    <row r="1961" spans="1:4" ht="14.65" thickBot="1" x14ac:dyDescent="0.5">
      <c r="A1961" s="17">
        <v>43965.998611111114</v>
      </c>
      <c r="B1961" s="19">
        <v>9059.9051039999995</v>
      </c>
      <c r="C1961" t="s">
        <v>155</v>
      </c>
      <c r="D1961" t="str">
        <f>T_Stocks[[#This Row],[Ticker]] &amp; "-" &amp; DATE(YEAR(T_Stocks[[#This Row],[Fecha]]),MONTH(T_Stocks[[#This Row],[Fecha]]),DAY(T_Stocks[[#This Row],[Fecha]]))</f>
        <v>BTCEUR-43965</v>
      </c>
    </row>
    <row r="1962" spans="1:4" ht="14.65" thickBot="1" x14ac:dyDescent="0.5">
      <c r="A1962" s="17">
        <v>43966.998611111114</v>
      </c>
      <c r="B1962" s="19">
        <v>8600.1564469999994</v>
      </c>
      <c r="C1962" t="s">
        <v>155</v>
      </c>
      <c r="D1962" t="str">
        <f>T_Stocks[[#This Row],[Ticker]] &amp; "-" &amp; DATE(YEAR(T_Stocks[[#This Row],[Fecha]]),MONTH(T_Stocks[[#This Row],[Fecha]]),DAY(T_Stocks[[#This Row],[Fecha]]))</f>
        <v>BTCEUR-43966</v>
      </c>
    </row>
    <row r="1963" spans="1:4" ht="14.65" thickBot="1" x14ac:dyDescent="0.5">
      <c r="A1963" s="17">
        <v>43967.998611111114</v>
      </c>
      <c r="B1963" s="19">
        <v>8668.2384110000003</v>
      </c>
      <c r="C1963" t="s">
        <v>155</v>
      </c>
      <c r="D1963" t="str">
        <f>T_Stocks[[#This Row],[Ticker]] &amp; "-" &amp; DATE(YEAR(T_Stocks[[#This Row],[Fecha]]),MONTH(T_Stocks[[#This Row],[Fecha]]),DAY(T_Stocks[[#This Row],[Fecha]]))</f>
        <v>BTCEUR-43967</v>
      </c>
    </row>
    <row r="1964" spans="1:4" ht="14.65" thickBot="1" x14ac:dyDescent="0.5">
      <c r="A1964" s="17">
        <v>43968.998611111114</v>
      </c>
      <c r="B1964" s="19">
        <v>8936.4258809999992</v>
      </c>
      <c r="C1964" t="s">
        <v>155</v>
      </c>
      <c r="D1964" t="str">
        <f>T_Stocks[[#This Row],[Ticker]] &amp; "-" &amp; DATE(YEAR(T_Stocks[[#This Row],[Fecha]]),MONTH(T_Stocks[[#This Row],[Fecha]]),DAY(T_Stocks[[#This Row],[Fecha]]))</f>
        <v>BTCEUR-43968</v>
      </c>
    </row>
    <row r="1965" spans="1:4" ht="14.65" thickBot="1" x14ac:dyDescent="0.5">
      <c r="A1965" s="17">
        <v>43969.998611111114</v>
      </c>
      <c r="B1965" s="19">
        <v>8907.9336189999995</v>
      </c>
      <c r="C1965" t="s">
        <v>155</v>
      </c>
      <c r="D1965" t="str">
        <f>T_Stocks[[#This Row],[Ticker]] &amp; "-" &amp; DATE(YEAR(T_Stocks[[#This Row],[Fecha]]),MONTH(T_Stocks[[#This Row],[Fecha]]),DAY(T_Stocks[[#This Row],[Fecha]]))</f>
        <v>BTCEUR-43969</v>
      </c>
    </row>
    <row r="1966" spans="1:4" ht="14.65" thickBot="1" x14ac:dyDescent="0.5">
      <c r="A1966" s="17">
        <v>43970.998611111114</v>
      </c>
      <c r="B1966" s="19">
        <v>8946.351611</v>
      </c>
      <c r="C1966" t="s">
        <v>155</v>
      </c>
      <c r="D1966" t="str">
        <f>T_Stocks[[#This Row],[Ticker]] &amp; "-" &amp; DATE(YEAR(T_Stocks[[#This Row],[Fecha]]),MONTH(T_Stocks[[#This Row],[Fecha]]),DAY(T_Stocks[[#This Row],[Fecha]]))</f>
        <v>BTCEUR-43970</v>
      </c>
    </row>
    <row r="1967" spans="1:4" ht="14.65" thickBot="1" x14ac:dyDescent="0.5">
      <c r="A1967" s="17">
        <v>43971.998611111114</v>
      </c>
      <c r="B1967" s="19">
        <v>8656.2491489999993</v>
      </c>
      <c r="C1967" t="s">
        <v>155</v>
      </c>
      <c r="D1967" t="str">
        <f>T_Stocks[[#This Row],[Ticker]] &amp; "-" &amp; DATE(YEAR(T_Stocks[[#This Row],[Fecha]]),MONTH(T_Stocks[[#This Row],[Fecha]]),DAY(T_Stocks[[#This Row],[Fecha]]))</f>
        <v>BTCEUR-43971</v>
      </c>
    </row>
    <row r="1968" spans="1:4" ht="14.65" thickBot="1" x14ac:dyDescent="0.5">
      <c r="A1968" s="17">
        <v>43972.998611111114</v>
      </c>
      <c r="B1968" s="19">
        <v>8269.2336429999996</v>
      </c>
      <c r="C1968" t="s">
        <v>155</v>
      </c>
      <c r="D1968" t="str">
        <f>T_Stocks[[#This Row],[Ticker]] &amp; "-" &amp; DATE(YEAR(T_Stocks[[#This Row],[Fecha]]),MONTH(T_Stocks[[#This Row],[Fecha]]),DAY(T_Stocks[[#This Row],[Fecha]]))</f>
        <v>BTCEUR-43972</v>
      </c>
    </row>
    <row r="1969" spans="1:4" ht="14.65" thickBot="1" x14ac:dyDescent="0.5">
      <c r="A1969" s="17">
        <v>43973.998611111114</v>
      </c>
      <c r="B1969" s="19">
        <v>8408.6875099999997</v>
      </c>
      <c r="C1969" t="s">
        <v>155</v>
      </c>
      <c r="D1969" t="str">
        <f>T_Stocks[[#This Row],[Ticker]] &amp; "-" &amp; DATE(YEAR(T_Stocks[[#This Row],[Fecha]]),MONTH(T_Stocks[[#This Row],[Fecha]]),DAY(T_Stocks[[#This Row],[Fecha]]))</f>
        <v>BTCEUR-43973</v>
      </c>
    </row>
    <row r="1970" spans="1:4" ht="14.65" thickBot="1" x14ac:dyDescent="0.5">
      <c r="A1970" s="17">
        <v>43974.998611111114</v>
      </c>
      <c r="B1970" s="19">
        <v>8412.1348839999991</v>
      </c>
      <c r="C1970" t="s">
        <v>155</v>
      </c>
      <c r="D1970" t="str">
        <f>T_Stocks[[#This Row],[Ticker]] &amp; "-" &amp; DATE(YEAR(T_Stocks[[#This Row],[Fecha]]),MONTH(T_Stocks[[#This Row],[Fecha]]),DAY(T_Stocks[[#This Row],[Fecha]]))</f>
        <v>BTCEUR-43974</v>
      </c>
    </row>
    <row r="1971" spans="1:4" ht="14.65" thickBot="1" x14ac:dyDescent="0.5">
      <c r="A1971" s="17">
        <v>43975.998611111114</v>
      </c>
      <c r="B1971" s="19">
        <v>7992.9980919999998</v>
      </c>
      <c r="C1971" t="s">
        <v>155</v>
      </c>
      <c r="D1971" t="str">
        <f>T_Stocks[[#This Row],[Ticker]] &amp; "-" &amp; DATE(YEAR(T_Stocks[[#This Row],[Fecha]]),MONTH(T_Stocks[[#This Row],[Fecha]]),DAY(T_Stocks[[#This Row],[Fecha]]))</f>
        <v>BTCEUR-43975</v>
      </c>
    </row>
    <row r="1972" spans="1:4" ht="14.65" thickBot="1" x14ac:dyDescent="0.5">
      <c r="A1972" s="17">
        <v>43976.998611111114</v>
      </c>
      <c r="B1972" s="19">
        <v>8161.2367290000002</v>
      </c>
      <c r="C1972" t="s">
        <v>155</v>
      </c>
      <c r="D1972" t="str">
        <f>T_Stocks[[#This Row],[Ticker]] &amp; "-" &amp; DATE(YEAR(T_Stocks[[#This Row],[Fecha]]),MONTH(T_Stocks[[#This Row],[Fecha]]),DAY(T_Stocks[[#This Row],[Fecha]]))</f>
        <v>BTCEUR-43976</v>
      </c>
    </row>
    <row r="1973" spans="1:4" ht="14.65" thickBot="1" x14ac:dyDescent="0.5">
      <c r="A1973" s="17">
        <v>43977.998611111114</v>
      </c>
      <c r="B1973" s="19">
        <v>8052.6743770000003</v>
      </c>
      <c r="C1973" t="s">
        <v>155</v>
      </c>
      <c r="D1973" t="str">
        <f>T_Stocks[[#This Row],[Ticker]] &amp; "-" &amp; DATE(YEAR(T_Stocks[[#This Row],[Fecha]]),MONTH(T_Stocks[[#This Row],[Fecha]]),DAY(T_Stocks[[#This Row],[Fecha]]))</f>
        <v>BTCEUR-43977</v>
      </c>
    </row>
    <row r="1974" spans="1:4" ht="14.65" thickBot="1" x14ac:dyDescent="0.5">
      <c r="A1974" s="17">
        <v>43978.998611111114</v>
      </c>
      <c r="B1974" s="19">
        <v>8354.8856180000002</v>
      </c>
      <c r="C1974" t="s">
        <v>155</v>
      </c>
      <c r="D1974" t="str">
        <f>T_Stocks[[#This Row],[Ticker]] &amp; "-" &amp; DATE(YEAR(T_Stocks[[#This Row],[Fecha]]),MONTH(T_Stocks[[#This Row],[Fecha]]),DAY(T_Stocks[[#This Row],[Fecha]]))</f>
        <v>BTCEUR-43978</v>
      </c>
    </row>
    <row r="1975" spans="1:4" ht="14.65" thickBot="1" x14ac:dyDescent="0.5">
      <c r="A1975" s="17">
        <v>43979.998611111114</v>
      </c>
      <c r="B1975" s="19">
        <v>8637.3602969999993</v>
      </c>
      <c r="C1975" t="s">
        <v>155</v>
      </c>
      <c r="D1975" t="str">
        <f>T_Stocks[[#This Row],[Ticker]] &amp; "-" &amp; DATE(YEAR(T_Stocks[[#This Row],[Fecha]]),MONTH(T_Stocks[[#This Row],[Fecha]]),DAY(T_Stocks[[#This Row],[Fecha]]))</f>
        <v>BTCEUR-43979</v>
      </c>
    </row>
    <row r="1976" spans="1:4" ht="14.65" thickBot="1" x14ac:dyDescent="0.5">
      <c r="A1976" s="17">
        <v>43980.998611111114</v>
      </c>
      <c r="B1976" s="19">
        <v>8482.3752519999998</v>
      </c>
      <c r="C1976" t="s">
        <v>155</v>
      </c>
      <c r="D1976" t="str">
        <f>T_Stocks[[#This Row],[Ticker]] &amp; "-" &amp; DATE(YEAR(T_Stocks[[#This Row],[Fecha]]),MONTH(T_Stocks[[#This Row],[Fecha]]),DAY(T_Stocks[[#This Row],[Fecha]]))</f>
        <v>BTCEUR-43980</v>
      </c>
    </row>
    <row r="1977" spans="1:4" ht="14.65" thickBot="1" x14ac:dyDescent="0.5">
      <c r="A1977" s="17">
        <v>43981.998611111114</v>
      </c>
      <c r="B1977" s="19">
        <v>8730.0854209999998</v>
      </c>
      <c r="C1977" t="s">
        <v>155</v>
      </c>
      <c r="D1977" t="str">
        <f>T_Stocks[[#This Row],[Ticker]] &amp; "-" &amp; DATE(YEAR(T_Stocks[[#This Row],[Fecha]]),MONTH(T_Stocks[[#This Row],[Fecha]]),DAY(T_Stocks[[#This Row],[Fecha]]))</f>
        <v>BTCEUR-43981</v>
      </c>
    </row>
    <row r="1978" spans="1:4" ht="14.65" thickBot="1" x14ac:dyDescent="0.5">
      <c r="A1978" s="17">
        <v>43982.998611111114</v>
      </c>
      <c r="B1978" s="19">
        <v>8496.6443909999998</v>
      </c>
      <c r="C1978" t="s">
        <v>155</v>
      </c>
      <c r="D1978" t="str">
        <f>T_Stocks[[#This Row],[Ticker]] &amp; "-" &amp; DATE(YEAR(T_Stocks[[#This Row],[Fecha]]),MONTH(T_Stocks[[#This Row],[Fecha]]),DAY(T_Stocks[[#This Row],[Fecha]]))</f>
        <v>BTCEUR-43982</v>
      </c>
    </row>
    <row r="1979" spans="1:4" ht="14.65" thickBot="1" x14ac:dyDescent="0.5">
      <c r="A1979" s="17">
        <v>43983.998611111114</v>
      </c>
      <c r="B1979" s="19">
        <v>9175.7952719999994</v>
      </c>
      <c r="C1979" t="s">
        <v>155</v>
      </c>
      <c r="D1979" t="str">
        <f>T_Stocks[[#This Row],[Ticker]] &amp; "-" &amp; DATE(YEAR(T_Stocks[[#This Row],[Fecha]]),MONTH(T_Stocks[[#This Row],[Fecha]]),DAY(T_Stocks[[#This Row],[Fecha]]))</f>
        <v>BTCEUR-43983</v>
      </c>
    </row>
    <row r="1980" spans="1:4" ht="14.65" thickBot="1" x14ac:dyDescent="0.5">
      <c r="A1980" s="17">
        <v>43984.998611111114</v>
      </c>
      <c r="B1980" s="19">
        <v>8513.4496519999993</v>
      </c>
      <c r="C1980" t="s">
        <v>155</v>
      </c>
      <c r="D1980" t="str">
        <f>T_Stocks[[#This Row],[Ticker]] &amp; "-" &amp; DATE(YEAR(T_Stocks[[#This Row],[Fecha]]),MONTH(T_Stocks[[#This Row],[Fecha]]),DAY(T_Stocks[[#This Row],[Fecha]]))</f>
        <v>BTCEUR-43984</v>
      </c>
    </row>
    <row r="1981" spans="1:4" ht="14.65" thickBot="1" x14ac:dyDescent="0.5">
      <c r="A1981" s="17">
        <v>43985.998611111114</v>
      </c>
      <c r="B1981" s="19">
        <v>8600.8968100000002</v>
      </c>
      <c r="C1981" t="s">
        <v>155</v>
      </c>
      <c r="D1981" t="str">
        <f>T_Stocks[[#This Row],[Ticker]] &amp; "-" &amp; DATE(YEAR(T_Stocks[[#This Row],[Fecha]]),MONTH(T_Stocks[[#This Row],[Fecha]]),DAY(T_Stocks[[#This Row],[Fecha]]))</f>
        <v>BTCEUR-43985</v>
      </c>
    </row>
    <row r="1982" spans="1:4" ht="14.65" thickBot="1" x14ac:dyDescent="0.5">
      <c r="A1982" s="17">
        <v>43986.998611111114</v>
      </c>
      <c r="B1982" s="19">
        <v>8636.1224039999997</v>
      </c>
      <c r="C1982" t="s">
        <v>155</v>
      </c>
      <c r="D1982" t="str">
        <f>T_Stocks[[#This Row],[Ticker]] &amp; "-" &amp; DATE(YEAR(T_Stocks[[#This Row],[Fecha]]),MONTH(T_Stocks[[#This Row],[Fecha]]),DAY(T_Stocks[[#This Row],[Fecha]]))</f>
        <v>BTCEUR-43986</v>
      </c>
    </row>
    <row r="1983" spans="1:4" ht="14.65" thickBot="1" x14ac:dyDescent="0.5">
      <c r="A1983" s="17">
        <v>43987.998611111114</v>
      </c>
      <c r="B1983" s="19">
        <v>8517.2317079999993</v>
      </c>
      <c r="C1983" t="s">
        <v>155</v>
      </c>
      <c r="D1983" t="str">
        <f>T_Stocks[[#This Row],[Ticker]] &amp; "-" &amp; DATE(YEAR(T_Stocks[[#This Row],[Fecha]]),MONTH(T_Stocks[[#This Row],[Fecha]]),DAY(T_Stocks[[#This Row],[Fecha]]))</f>
        <v>BTCEUR-43987</v>
      </c>
    </row>
    <row r="1984" spans="1:4" ht="14.65" thickBot="1" x14ac:dyDescent="0.5">
      <c r="A1984" s="17">
        <v>43988.998611111114</v>
      </c>
      <c r="B1984" s="19">
        <v>8561.2808580000001</v>
      </c>
      <c r="C1984" t="s">
        <v>155</v>
      </c>
      <c r="D1984" t="str">
        <f>T_Stocks[[#This Row],[Ticker]] &amp; "-" &amp; DATE(YEAR(T_Stocks[[#This Row],[Fecha]]),MONTH(T_Stocks[[#This Row],[Fecha]]),DAY(T_Stocks[[#This Row],[Fecha]]))</f>
        <v>BTCEUR-43988</v>
      </c>
    </row>
    <row r="1985" spans="1:4" ht="14.65" thickBot="1" x14ac:dyDescent="0.5">
      <c r="A1985" s="17">
        <v>43989.998611111114</v>
      </c>
      <c r="B1985" s="19">
        <v>8613.8100059999997</v>
      </c>
      <c r="C1985" t="s">
        <v>155</v>
      </c>
      <c r="D1985" t="str">
        <f>T_Stocks[[#This Row],[Ticker]] &amp; "-" &amp; DATE(YEAR(T_Stocks[[#This Row],[Fecha]]),MONTH(T_Stocks[[#This Row],[Fecha]]),DAY(T_Stocks[[#This Row],[Fecha]]))</f>
        <v>BTCEUR-43989</v>
      </c>
    </row>
    <row r="1986" spans="1:4" ht="14.65" thickBot="1" x14ac:dyDescent="0.5">
      <c r="A1986" s="17">
        <v>43990.998611111114</v>
      </c>
      <c r="B1986" s="19">
        <v>8651.5538049999996</v>
      </c>
      <c r="C1986" t="s">
        <v>155</v>
      </c>
      <c r="D1986" t="str">
        <f>T_Stocks[[#This Row],[Ticker]] &amp; "-" &amp; DATE(YEAR(T_Stocks[[#This Row],[Fecha]]),MONTH(T_Stocks[[#This Row],[Fecha]]),DAY(T_Stocks[[#This Row],[Fecha]]))</f>
        <v>BTCEUR-43990</v>
      </c>
    </row>
    <row r="1987" spans="1:4" ht="14.65" thickBot="1" x14ac:dyDescent="0.5">
      <c r="A1987" s="17">
        <v>43991.998611111114</v>
      </c>
      <c r="B1987" s="19">
        <v>8626.5640110000004</v>
      </c>
      <c r="C1987" t="s">
        <v>155</v>
      </c>
      <c r="D1987" t="str">
        <f>T_Stocks[[#This Row],[Ticker]] &amp; "-" &amp; DATE(YEAR(T_Stocks[[#This Row],[Fecha]]),MONTH(T_Stocks[[#This Row],[Fecha]]),DAY(T_Stocks[[#This Row],[Fecha]]))</f>
        <v>BTCEUR-43991</v>
      </c>
    </row>
    <row r="1988" spans="1:4" ht="14.65" thickBot="1" x14ac:dyDescent="0.5">
      <c r="A1988" s="17">
        <v>43992.998611111114</v>
      </c>
      <c r="B1988" s="19">
        <v>8704.0300069999994</v>
      </c>
      <c r="C1988" t="s">
        <v>155</v>
      </c>
      <c r="D1988" t="str">
        <f>T_Stocks[[#This Row],[Ticker]] &amp; "-" &amp; DATE(YEAR(T_Stocks[[#This Row],[Fecha]]),MONTH(T_Stocks[[#This Row],[Fecha]]),DAY(T_Stocks[[#This Row],[Fecha]]))</f>
        <v>BTCEUR-43992</v>
      </c>
    </row>
    <row r="1989" spans="1:4" ht="14.65" thickBot="1" x14ac:dyDescent="0.5">
      <c r="A1989" s="17">
        <v>43993.998611111114</v>
      </c>
      <c r="B1989" s="19">
        <v>8211.2063309999994</v>
      </c>
      <c r="C1989" t="s">
        <v>155</v>
      </c>
      <c r="D1989" t="str">
        <f>T_Stocks[[#This Row],[Ticker]] &amp; "-" &amp; DATE(YEAR(T_Stocks[[#This Row],[Fecha]]),MONTH(T_Stocks[[#This Row],[Fecha]]),DAY(T_Stocks[[#This Row],[Fecha]]))</f>
        <v>BTCEUR-43993</v>
      </c>
    </row>
    <row r="1990" spans="1:4" ht="14.65" thickBot="1" x14ac:dyDescent="0.5">
      <c r="A1990" s="17">
        <v>43994.998611111114</v>
      </c>
      <c r="B1990" s="19">
        <v>8406.1062349999993</v>
      </c>
      <c r="C1990" t="s">
        <v>155</v>
      </c>
      <c r="D1990" t="str">
        <f>T_Stocks[[#This Row],[Ticker]] &amp; "-" &amp; DATE(YEAR(T_Stocks[[#This Row],[Fecha]]),MONTH(T_Stocks[[#This Row],[Fecha]]),DAY(T_Stocks[[#This Row],[Fecha]]))</f>
        <v>BTCEUR-43994</v>
      </c>
    </row>
    <row r="1991" spans="1:4" ht="14.65" thickBot="1" x14ac:dyDescent="0.5">
      <c r="A1991" s="17">
        <v>43995.998611111114</v>
      </c>
      <c r="B1991" s="19">
        <v>8417.8852169999991</v>
      </c>
      <c r="C1991" t="s">
        <v>155</v>
      </c>
      <c r="D1991" t="str">
        <f>T_Stocks[[#This Row],[Ticker]] &amp; "-" &amp; DATE(YEAR(T_Stocks[[#This Row],[Fecha]]),MONTH(T_Stocks[[#This Row],[Fecha]]),DAY(T_Stocks[[#This Row],[Fecha]]))</f>
        <v>BTCEUR-43995</v>
      </c>
    </row>
    <row r="1992" spans="1:4" ht="14.65" thickBot="1" x14ac:dyDescent="0.5">
      <c r="A1992" s="17">
        <v>43996.998611111114</v>
      </c>
      <c r="B1992" s="19">
        <v>8294.0114020000001</v>
      </c>
      <c r="C1992" t="s">
        <v>155</v>
      </c>
      <c r="D1992" t="str">
        <f>T_Stocks[[#This Row],[Ticker]] &amp; "-" &amp; DATE(YEAR(T_Stocks[[#This Row],[Fecha]]),MONTH(T_Stocks[[#This Row],[Fecha]]),DAY(T_Stocks[[#This Row],[Fecha]]))</f>
        <v>BTCEUR-43996</v>
      </c>
    </row>
    <row r="1993" spans="1:4" ht="14.65" thickBot="1" x14ac:dyDescent="0.5">
      <c r="A1993" s="17">
        <v>43997.998611111114</v>
      </c>
      <c r="B1993" s="19">
        <v>8313.9929589999992</v>
      </c>
      <c r="C1993" t="s">
        <v>155</v>
      </c>
      <c r="D1993" t="str">
        <f>T_Stocks[[#This Row],[Ticker]] &amp; "-" &amp; DATE(YEAR(T_Stocks[[#This Row],[Fecha]]),MONTH(T_Stocks[[#This Row],[Fecha]]),DAY(T_Stocks[[#This Row],[Fecha]]))</f>
        <v>BTCEUR-43997</v>
      </c>
    </row>
    <row r="1994" spans="1:4" ht="14.65" thickBot="1" x14ac:dyDescent="0.5">
      <c r="A1994" s="17">
        <v>43998.998611111114</v>
      </c>
      <c r="B1994" s="19">
        <v>8456.5039639999995</v>
      </c>
      <c r="C1994" t="s">
        <v>155</v>
      </c>
      <c r="D1994" t="str">
        <f>T_Stocks[[#This Row],[Ticker]] &amp; "-" &amp; DATE(YEAR(T_Stocks[[#This Row],[Fecha]]),MONTH(T_Stocks[[#This Row],[Fecha]]),DAY(T_Stocks[[#This Row],[Fecha]]))</f>
        <v>BTCEUR-43998</v>
      </c>
    </row>
    <row r="1995" spans="1:4" ht="14.65" thickBot="1" x14ac:dyDescent="0.5">
      <c r="A1995" s="17">
        <v>43999.998611111114</v>
      </c>
      <c r="B1995" s="19">
        <v>8412.0125100000005</v>
      </c>
      <c r="C1995" t="s">
        <v>155</v>
      </c>
      <c r="D1995" t="str">
        <f>T_Stocks[[#This Row],[Ticker]] &amp; "-" &amp; DATE(YEAR(T_Stocks[[#This Row],[Fecha]]),MONTH(T_Stocks[[#This Row],[Fecha]]),DAY(T_Stocks[[#This Row],[Fecha]]))</f>
        <v>BTCEUR-43999</v>
      </c>
    </row>
    <row r="1996" spans="1:4" ht="14.65" thickBot="1" x14ac:dyDescent="0.5">
      <c r="A1996" s="17">
        <v>44000.998611111114</v>
      </c>
      <c r="B1996" s="19">
        <v>8367.4731109999993</v>
      </c>
      <c r="C1996" t="s">
        <v>155</v>
      </c>
      <c r="D1996" t="str">
        <f>T_Stocks[[#This Row],[Ticker]] &amp; "-" &amp; DATE(YEAR(T_Stocks[[#This Row],[Fecha]]),MONTH(T_Stocks[[#This Row],[Fecha]]),DAY(T_Stocks[[#This Row],[Fecha]]))</f>
        <v>BTCEUR-44000</v>
      </c>
    </row>
    <row r="1997" spans="1:4" ht="14.65" thickBot="1" x14ac:dyDescent="0.5">
      <c r="A1997" s="17">
        <v>44001.998611111114</v>
      </c>
      <c r="B1997" s="19">
        <v>8319.0190089999996</v>
      </c>
      <c r="C1997" t="s">
        <v>155</v>
      </c>
      <c r="D1997" t="str">
        <f>T_Stocks[[#This Row],[Ticker]] &amp; "-" &amp; DATE(YEAR(T_Stocks[[#This Row],[Fecha]]),MONTH(T_Stocks[[#This Row],[Fecha]]),DAY(T_Stocks[[#This Row],[Fecha]]))</f>
        <v>BTCEUR-44001</v>
      </c>
    </row>
    <row r="1998" spans="1:4" ht="14.65" thickBot="1" x14ac:dyDescent="0.5">
      <c r="A1998" s="17">
        <v>44002.998611111114</v>
      </c>
      <c r="B1998" s="19">
        <v>8372.3610229999995</v>
      </c>
      <c r="C1998" t="s">
        <v>155</v>
      </c>
      <c r="D1998" t="str">
        <f>T_Stocks[[#This Row],[Ticker]] &amp; "-" &amp; DATE(YEAR(T_Stocks[[#This Row],[Fecha]]),MONTH(T_Stocks[[#This Row],[Fecha]]),DAY(T_Stocks[[#This Row],[Fecha]]))</f>
        <v>BTCEUR-44002</v>
      </c>
    </row>
    <row r="1999" spans="1:4" ht="14.65" thickBot="1" x14ac:dyDescent="0.5">
      <c r="A1999" s="17">
        <v>44003.998611111114</v>
      </c>
      <c r="B1999" s="19">
        <v>8309.468046</v>
      </c>
      <c r="C1999" t="s">
        <v>155</v>
      </c>
      <c r="D1999" t="str">
        <f>T_Stocks[[#This Row],[Ticker]] &amp; "-" &amp; DATE(YEAR(T_Stocks[[#This Row],[Fecha]]),MONTH(T_Stocks[[#This Row],[Fecha]]),DAY(T_Stocks[[#This Row],[Fecha]]))</f>
        <v>BTCEUR-44003</v>
      </c>
    </row>
    <row r="2000" spans="1:4" ht="14.65" thickBot="1" x14ac:dyDescent="0.5">
      <c r="A2000" s="17">
        <v>44004.998611111114</v>
      </c>
      <c r="B2000" s="19">
        <v>8591.2484170000007</v>
      </c>
      <c r="C2000" t="s">
        <v>155</v>
      </c>
      <c r="D2000" t="str">
        <f>T_Stocks[[#This Row],[Ticker]] &amp; "-" &amp; DATE(YEAR(T_Stocks[[#This Row],[Fecha]]),MONTH(T_Stocks[[#This Row],[Fecha]]),DAY(T_Stocks[[#This Row],[Fecha]]))</f>
        <v>BTCEUR-44004</v>
      </c>
    </row>
    <row r="2001" spans="1:4" ht="14.65" thickBot="1" x14ac:dyDescent="0.5">
      <c r="A2001" s="17">
        <v>44005.998611111114</v>
      </c>
      <c r="B2001" s="19">
        <v>8506.5111269999998</v>
      </c>
      <c r="C2001" t="s">
        <v>155</v>
      </c>
      <c r="D2001" t="str">
        <f>T_Stocks[[#This Row],[Ticker]] &amp; "-" &amp; DATE(YEAR(T_Stocks[[#This Row],[Fecha]]),MONTH(T_Stocks[[#This Row],[Fecha]]),DAY(T_Stocks[[#This Row],[Fecha]]))</f>
        <v>BTCEUR-44005</v>
      </c>
    </row>
    <row r="2002" spans="1:4" ht="14.65" thickBot="1" x14ac:dyDescent="0.5">
      <c r="A2002" s="17">
        <v>44006.998611111114</v>
      </c>
      <c r="B2002" s="19">
        <v>8261.4370220000001</v>
      </c>
      <c r="C2002" t="s">
        <v>155</v>
      </c>
      <c r="D2002" t="str">
        <f>T_Stocks[[#This Row],[Ticker]] &amp; "-" &amp; DATE(YEAR(T_Stocks[[#This Row],[Fecha]]),MONTH(T_Stocks[[#This Row],[Fecha]]),DAY(T_Stocks[[#This Row],[Fecha]]))</f>
        <v>BTCEUR-44006</v>
      </c>
    </row>
    <row r="2003" spans="1:4" ht="14.65" thickBot="1" x14ac:dyDescent="0.5">
      <c r="A2003" s="17">
        <v>44007.998611111114</v>
      </c>
      <c r="B2003" s="19">
        <v>8238.2694009999996</v>
      </c>
      <c r="C2003" t="s">
        <v>155</v>
      </c>
      <c r="D2003" t="str">
        <f>T_Stocks[[#This Row],[Ticker]] &amp; "-" &amp; DATE(YEAR(T_Stocks[[#This Row],[Fecha]]),MONTH(T_Stocks[[#This Row],[Fecha]]),DAY(T_Stocks[[#This Row],[Fecha]]))</f>
        <v>BTCEUR-44007</v>
      </c>
    </row>
    <row r="2004" spans="1:4" ht="14.65" thickBot="1" x14ac:dyDescent="0.5">
      <c r="A2004" s="17">
        <v>44008.998611111114</v>
      </c>
      <c r="B2004" s="19">
        <v>8161.5034960000003</v>
      </c>
      <c r="C2004" t="s">
        <v>155</v>
      </c>
      <c r="D2004" t="str">
        <f>T_Stocks[[#This Row],[Ticker]] &amp; "-" &amp; DATE(YEAR(T_Stocks[[#This Row],[Fecha]]),MONTH(T_Stocks[[#This Row],[Fecha]]),DAY(T_Stocks[[#This Row],[Fecha]]))</f>
        <v>BTCEUR-44008</v>
      </c>
    </row>
    <row r="2005" spans="1:4" ht="14.65" thickBot="1" x14ac:dyDescent="0.5">
      <c r="A2005" s="17">
        <v>44009.998611111114</v>
      </c>
      <c r="B2005" s="19">
        <v>8025.7431770000003</v>
      </c>
      <c r="C2005" t="s">
        <v>155</v>
      </c>
      <c r="D2005" t="str">
        <f>T_Stocks[[#This Row],[Ticker]] &amp; "-" &amp; DATE(YEAR(T_Stocks[[#This Row],[Fecha]]),MONTH(T_Stocks[[#This Row],[Fecha]]),DAY(T_Stocks[[#This Row],[Fecha]]))</f>
        <v>BTCEUR-44009</v>
      </c>
    </row>
    <row r="2006" spans="1:4" ht="14.65" thickBot="1" x14ac:dyDescent="0.5">
      <c r="A2006" s="17">
        <v>44010.998611111114</v>
      </c>
      <c r="B2006" s="19">
        <v>8124.8585240000002</v>
      </c>
      <c r="C2006" t="s">
        <v>155</v>
      </c>
      <c r="D2006" t="str">
        <f>T_Stocks[[#This Row],[Ticker]] &amp; "-" &amp; DATE(YEAR(T_Stocks[[#This Row],[Fecha]]),MONTH(T_Stocks[[#This Row],[Fecha]]),DAY(T_Stocks[[#This Row],[Fecha]]))</f>
        <v>BTCEUR-44010</v>
      </c>
    </row>
    <row r="2007" spans="1:4" ht="14.65" thickBot="1" x14ac:dyDescent="0.5">
      <c r="A2007" s="17">
        <v>44011.998611111114</v>
      </c>
      <c r="B2007" s="19">
        <v>8167.4560380000003</v>
      </c>
      <c r="C2007" t="s">
        <v>155</v>
      </c>
      <c r="D2007" t="str">
        <f>T_Stocks[[#This Row],[Ticker]] &amp; "-" &amp; DATE(YEAR(T_Stocks[[#This Row],[Fecha]]),MONTH(T_Stocks[[#This Row],[Fecha]]),DAY(T_Stocks[[#This Row],[Fecha]]))</f>
        <v>BTCEUR-44011</v>
      </c>
    </row>
    <row r="2008" spans="1:4" ht="14.65" thickBot="1" x14ac:dyDescent="0.5">
      <c r="A2008" s="17">
        <v>44012.998611111114</v>
      </c>
      <c r="B2008" s="19">
        <v>8131.4529599999996</v>
      </c>
      <c r="C2008" t="s">
        <v>155</v>
      </c>
      <c r="D2008" t="str">
        <f>T_Stocks[[#This Row],[Ticker]] &amp; "-" &amp; DATE(YEAR(T_Stocks[[#This Row],[Fecha]]),MONTH(T_Stocks[[#This Row],[Fecha]]),DAY(T_Stocks[[#This Row],[Fecha]]))</f>
        <v>BTCEUR-44012</v>
      </c>
    </row>
    <row r="2009" spans="1:4" ht="14.65" thickBot="1" x14ac:dyDescent="0.5">
      <c r="A2009" s="17">
        <v>44013.998611111114</v>
      </c>
      <c r="B2009" s="19">
        <v>8209.0191599999998</v>
      </c>
      <c r="C2009" t="s">
        <v>155</v>
      </c>
      <c r="D2009" t="str">
        <f>T_Stocks[[#This Row],[Ticker]] &amp; "-" &amp; DATE(YEAR(T_Stocks[[#This Row],[Fecha]]),MONTH(T_Stocks[[#This Row],[Fecha]]),DAY(T_Stocks[[#This Row],[Fecha]]))</f>
        <v>BTCEUR-44013</v>
      </c>
    </row>
    <row r="2010" spans="1:4" ht="14.65" thickBot="1" x14ac:dyDescent="0.5">
      <c r="A2010" s="17">
        <v>44014.998611111114</v>
      </c>
      <c r="B2010" s="19">
        <v>8090.0659349999996</v>
      </c>
      <c r="C2010" t="s">
        <v>155</v>
      </c>
      <c r="D2010" t="str">
        <f>T_Stocks[[#This Row],[Ticker]] &amp; "-" &amp; DATE(YEAR(T_Stocks[[#This Row],[Fecha]]),MONTH(T_Stocks[[#This Row],[Fecha]]),DAY(T_Stocks[[#This Row],[Fecha]]))</f>
        <v>BTCEUR-44014</v>
      </c>
    </row>
    <row r="2011" spans="1:4" ht="14.65" thickBot="1" x14ac:dyDescent="0.5">
      <c r="A2011" s="17">
        <v>44015.998611111114</v>
      </c>
      <c r="B2011" s="19">
        <v>8057.375935</v>
      </c>
      <c r="C2011" t="s">
        <v>155</v>
      </c>
      <c r="D2011" t="str">
        <f>T_Stocks[[#This Row],[Ticker]] &amp; "-" &amp; DATE(YEAR(T_Stocks[[#This Row],[Fecha]]),MONTH(T_Stocks[[#This Row],[Fecha]]),DAY(T_Stocks[[#This Row],[Fecha]]))</f>
        <v>BTCEUR-44015</v>
      </c>
    </row>
    <row r="2012" spans="1:4" ht="14.65" thickBot="1" x14ac:dyDescent="0.5">
      <c r="A2012" s="17">
        <v>44016.998611111114</v>
      </c>
      <c r="B2012" s="19">
        <v>8119.1352120000001</v>
      </c>
      <c r="C2012" t="s">
        <v>155</v>
      </c>
      <c r="D2012" t="str">
        <f>T_Stocks[[#This Row],[Ticker]] &amp; "-" &amp; DATE(YEAR(T_Stocks[[#This Row],[Fecha]]),MONTH(T_Stocks[[#This Row],[Fecha]]),DAY(T_Stocks[[#This Row],[Fecha]]))</f>
        <v>BTCEUR-44016</v>
      </c>
    </row>
    <row r="2013" spans="1:4" ht="14.65" thickBot="1" x14ac:dyDescent="0.5">
      <c r="A2013" s="17">
        <v>44017.998611111114</v>
      </c>
      <c r="B2013" s="19">
        <v>8077.0015430000003</v>
      </c>
      <c r="C2013" t="s">
        <v>155</v>
      </c>
      <c r="D2013" t="str">
        <f>T_Stocks[[#This Row],[Ticker]] &amp; "-" &amp; DATE(YEAR(T_Stocks[[#This Row],[Fecha]]),MONTH(T_Stocks[[#This Row],[Fecha]]),DAY(T_Stocks[[#This Row],[Fecha]]))</f>
        <v>BTCEUR-44017</v>
      </c>
    </row>
    <row r="2014" spans="1:4" ht="14.65" thickBot="1" x14ac:dyDescent="0.5">
      <c r="A2014" s="17">
        <v>44018.998611111114</v>
      </c>
      <c r="B2014" s="19">
        <v>8262.9303529999997</v>
      </c>
      <c r="C2014" t="s">
        <v>155</v>
      </c>
      <c r="D2014" t="str">
        <f>T_Stocks[[#This Row],[Ticker]] &amp; "-" &amp; DATE(YEAR(T_Stocks[[#This Row],[Fecha]]),MONTH(T_Stocks[[#This Row],[Fecha]]),DAY(T_Stocks[[#This Row],[Fecha]]))</f>
        <v>BTCEUR-44018</v>
      </c>
    </row>
    <row r="2015" spans="1:4" ht="14.65" thickBot="1" x14ac:dyDescent="0.5">
      <c r="A2015" s="17">
        <v>44019.998611111114</v>
      </c>
      <c r="B2015" s="19">
        <v>8209.1827620000004</v>
      </c>
      <c r="C2015" t="s">
        <v>155</v>
      </c>
      <c r="D2015" t="str">
        <f>T_Stocks[[#This Row],[Ticker]] &amp; "-" &amp; DATE(YEAR(T_Stocks[[#This Row],[Fecha]]),MONTH(T_Stocks[[#This Row],[Fecha]]),DAY(T_Stocks[[#This Row],[Fecha]]))</f>
        <v>BTCEUR-44019</v>
      </c>
    </row>
    <row r="2016" spans="1:4" ht="14.65" thickBot="1" x14ac:dyDescent="0.5">
      <c r="A2016" s="17">
        <v>44020.998611111114</v>
      </c>
      <c r="B2016" s="19">
        <v>8323.5379969999995</v>
      </c>
      <c r="C2016" t="s">
        <v>155</v>
      </c>
      <c r="D2016" t="str">
        <f>T_Stocks[[#This Row],[Ticker]] &amp; "-" &amp; DATE(YEAR(T_Stocks[[#This Row],[Fecha]]),MONTH(T_Stocks[[#This Row],[Fecha]]),DAY(T_Stocks[[#This Row],[Fecha]]))</f>
        <v>BTCEUR-44020</v>
      </c>
    </row>
    <row r="2017" spans="1:4" ht="14.65" thickBot="1" x14ac:dyDescent="0.5">
      <c r="A2017" s="17">
        <v>44021.998611111114</v>
      </c>
      <c r="B2017" s="19">
        <v>8184.4323299999996</v>
      </c>
      <c r="C2017" t="s">
        <v>155</v>
      </c>
      <c r="D2017" t="str">
        <f>T_Stocks[[#This Row],[Ticker]] &amp; "-" &amp; DATE(YEAR(T_Stocks[[#This Row],[Fecha]]),MONTH(T_Stocks[[#This Row],[Fecha]]),DAY(T_Stocks[[#This Row],[Fecha]]))</f>
        <v>BTCEUR-44021</v>
      </c>
    </row>
    <row r="2018" spans="1:4" ht="14.65" thickBot="1" x14ac:dyDescent="0.5">
      <c r="A2018" s="17">
        <v>44022.998611111114</v>
      </c>
      <c r="B2018" s="19">
        <v>8219.2977879999999</v>
      </c>
      <c r="C2018" t="s">
        <v>155</v>
      </c>
      <c r="D2018" t="str">
        <f>T_Stocks[[#This Row],[Ticker]] &amp; "-" &amp; DATE(YEAR(T_Stocks[[#This Row],[Fecha]]),MONTH(T_Stocks[[#This Row],[Fecha]]),DAY(T_Stocks[[#This Row],[Fecha]]))</f>
        <v>BTCEUR-44022</v>
      </c>
    </row>
    <row r="2019" spans="1:4" ht="14.65" thickBot="1" x14ac:dyDescent="0.5">
      <c r="A2019" s="17">
        <v>44023.998611111114</v>
      </c>
      <c r="B2019" s="19">
        <v>8173.2084050000003</v>
      </c>
      <c r="C2019" t="s">
        <v>155</v>
      </c>
      <c r="D2019" t="str">
        <f>T_Stocks[[#This Row],[Ticker]] &amp; "-" &amp; DATE(YEAR(T_Stocks[[#This Row],[Fecha]]),MONTH(T_Stocks[[#This Row],[Fecha]]),DAY(T_Stocks[[#This Row],[Fecha]]))</f>
        <v>BTCEUR-44023</v>
      </c>
    </row>
    <row r="2020" spans="1:4" ht="14.65" thickBot="1" x14ac:dyDescent="0.5">
      <c r="A2020" s="17">
        <v>44024.998611111114</v>
      </c>
      <c r="B2020" s="19">
        <v>8224.7748030000002</v>
      </c>
      <c r="C2020" t="s">
        <v>155</v>
      </c>
      <c r="D2020" t="str">
        <f>T_Stocks[[#This Row],[Ticker]] &amp; "-" &amp; DATE(YEAR(T_Stocks[[#This Row],[Fecha]]),MONTH(T_Stocks[[#This Row],[Fecha]]),DAY(T_Stocks[[#This Row],[Fecha]]))</f>
        <v>BTCEUR-44024</v>
      </c>
    </row>
    <row r="2021" spans="1:4" ht="14.65" thickBot="1" x14ac:dyDescent="0.5">
      <c r="A2021" s="17">
        <v>44025.998611111114</v>
      </c>
      <c r="B2021" s="19">
        <v>8140.9596190000002</v>
      </c>
      <c r="C2021" t="s">
        <v>155</v>
      </c>
      <c r="D2021" t="str">
        <f>T_Stocks[[#This Row],[Ticker]] &amp; "-" &amp; DATE(YEAR(T_Stocks[[#This Row],[Fecha]]),MONTH(T_Stocks[[#This Row],[Fecha]]),DAY(T_Stocks[[#This Row],[Fecha]]))</f>
        <v>BTCEUR-44025</v>
      </c>
    </row>
    <row r="2022" spans="1:4" ht="14.65" thickBot="1" x14ac:dyDescent="0.5">
      <c r="A2022" s="17">
        <v>44026.998611111114</v>
      </c>
      <c r="B2022" s="19">
        <v>8129.4202009999999</v>
      </c>
      <c r="C2022" t="s">
        <v>155</v>
      </c>
      <c r="D2022" t="str">
        <f>T_Stocks[[#This Row],[Ticker]] &amp; "-" &amp; DATE(YEAR(T_Stocks[[#This Row],[Fecha]]),MONTH(T_Stocks[[#This Row],[Fecha]]),DAY(T_Stocks[[#This Row],[Fecha]]))</f>
        <v>BTCEUR-44026</v>
      </c>
    </row>
    <row r="2023" spans="1:4" ht="14.65" thickBot="1" x14ac:dyDescent="0.5">
      <c r="A2023" s="17">
        <v>44027.998611111114</v>
      </c>
      <c r="B2023" s="19">
        <v>8050.8505429999996</v>
      </c>
      <c r="C2023" t="s">
        <v>155</v>
      </c>
      <c r="D2023" t="str">
        <f>T_Stocks[[#This Row],[Ticker]] &amp; "-" &amp; DATE(YEAR(T_Stocks[[#This Row],[Fecha]]),MONTH(T_Stocks[[#This Row],[Fecha]]),DAY(T_Stocks[[#This Row],[Fecha]]))</f>
        <v>BTCEUR-44027</v>
      </c>
    </row>
    <row r="2024" spans="1:4" ht="14.65" thickBot="1" x14ac:dyDescent="0.5">
      <c r="A2024" s="17">
        <v>44028.998611111114</v>
      </c>
      <c r="B2024" s="19">
        <v>8016.5190329999996</v>
      </c>
      <c r="C2024" t="s">
        <v>155</v>
      </c>
      <c r="D2024" t="str">
        <f>T_Stocks[[#This Row],[Ticker]] &amp; "-" &amp; DATE(YEAR(T_Stocks[[#This Row],[Fecha]]),MONTH(T_Stocks[[#This Row],[Fecha]]),DAY(T_Stocks[[#This Row],[Fecha]]))</f>
        <v>BTCEUR-44028</v>
      </c>
    </row>
    <row r="2025" spans="1:4" ht="14.65" thickBot="1" x14ac:dyDescent="0.5">
      <c r="A2025" s="17">
        <v>44029.998611111114</v>
      </c>
      <c r="B2025" s="19">
        <v>8010.8985499999999</v>
      </c>
      <c r="C2025" t="s">
        <v>155</v>
      </c>
      <c r="D2025" t="str">
        <f>T_Stocks[[#This Row],[Ticker]] &amp; "-" &amp; DATE(YEAR(T_Stocks[[#This Row],[Fecha]]),MONTH(T_Stocks[[#This Row],[Fecha]]),DAY(T_Stocks[[#This Row],[Fecha]]))</f>
        <v>BTCEUR-44029</v>
      </c>
    </row>
    <row r="2026" spans="1:4" ht="14.65" thickBot="1" x14ac:dyDescent="0.5">
      <c r="A2026" s="17">
        <v>44030.998611111114</v>
      </c>
      <c r="B2026" s="19">
        <v>8028.5101729999997</v>
      </c>
      <c r="C2026" t="s">
        <v>155</v>
      </c>
      <c r="D2026" t="str">
        <f>T_Stocks[[#This Row],[Ticker]] &amp; "-" &amp; DATE(YEAR(T_Stocks[[#This Row],[Fecha]]),MONTH(T_Stocks[[#This Row],[Fecha]]),DAY(T_Stocks[[#This Row],[Fecha]]))</f>
        <v>BTCEUR-44030</v>
      </c>
    </row>
    <row r="2027" spans="1:4" ht="14.65" thickBot="1" x14ac:dyDescent="0.5">
      <c r="A2027" s="17">
        <v>44031.998611111114</v>
      </c>
      <c r="B2027" s="19">
        <v>8055.1042109999999</v>
      </c>
      <c r="C2027" t="s">
        <v>155</v>
      </c>
      <c r="D2027" t="str">
        <f>T_Stocks[[#This Row],[Ticker]] &amp; "-" &amp; DATE(YEAR(T_Stocks[[#This Row],[Fecha]]),MONTH(T_Stocks[[#This Row],[Fecha]]),DAY(T_Stocks[[#This Row],[Fecha]]))</f>
        <v>BTCEUR-44031</v>
      </c>
    </row>
    <row r="2028" spans="1:4" ht="14.65" thickBot="1" x14ac:dyDescent="0.5">
      <c r="A2028" s="17">
        <v>44032.998611111114</v>
      </c>
      <c r="B2028" s="19">
        <v>7998.2701909999996</v>
      </c>
      <c r="C2028" t="s">
        <v>155</v>
      </c>
      <c r="D2028" t="str">
        <f>T_Stocks[[#This Row],[Ticker]] &amp; "-" &amp; DATE(YEAR(T_Stocks[[#This Row],[Fecha]]),MONTH(T_Stocks[[#This Row],[Fecha]]),DAY(T_Stocks[[#This Row],[Fecha]]))</f>
        <v>BTCEUR-44032</v>
      </c>
    </row>
    <row r="2029" spans="1:4" ht="14.65" thickBot="1" x14ac:dyDescent="0.5">
      <c r="A2029" s="17">
        <v>44033.998611111114</v>
      </c>
      <c r="B2029" s="19">
        <v>8144.9690760000003</v>
      </c>
      <c r="C2029" t="s">
        <v>155</v>
      </c>
      <c r="D2029" t="str">
        <f>T_Stocks[[#This Row],[Ticker]] &amp; "-" &amp; DATE(YEAR(T_Stocks[[#This Row],[Fecha]]),MONTH(T_Stocks[[#This Row],[Fecha]]),DAY(T_Stocks[[#This Row],[Fecha]]))</f>
        <v>BTCEUR-44033</v>
      </c>
    </row>
    <row r="2030" spans="1:4" ht="14.65" thickBot="1" x14ac:dyDescent="0.5">
      <c r="A2030" s="17">
        <v>44034.998611111114</v>
      </c>
      <c r="B2030" s="19">
        <v>8246.0907480000005</v>
      </c>
      <c r="C2030" t="s">
        <v>155</v>
      </c>
      <c r="D2030" t="str">
        <f>T_Stocks[[#This Row],[Ticker]] &amp; "-" &amp; DATE(YEAR(T_Stocks[[#This Row],[Fecha]]),MONTH(T_Stocks[[#This Row],[Fecha]]),DAY(T_Stocks[[#This Row],[Fecha]]))</f>
        <v>BTCEUR-44034</v>
      </c>
    </row>
    <row r="2031" spans="1:4" ht="14.65" thickBot="1" x14ac:dyDescent="0.5">
      <c r="A2031" s="17">
        <v>44035.998611111114</v>
      </c>
      <c r="B2031" s="19">
        <v>8290.7738819999995</v>
      </c>
      <c r="C2031" t="s">
        <v>155</v>
      </c>
      <c r="D2031" t="str">
        <f>T_Stocks[[#This Row],[Ticker]] &amp; "-" &amp; DATE(YEAR(T_Stocks[[#This Row],[Fecha]]),MONTH(T_Stocks[[#This Row],[Fecha]]),DAY(T_Stocks[[#This Row],[Fecha]]))</f>
        <v>BTCEUR-44035</v>
      </c>
    </row>
    <row r="2032" spans="1:4" ht="14.65" thickBot="1" x14ac:dyDescent="0.5">
      <c r="A2032" s="17">
        <v>44036.998611111114</v>
      </c>
      <c r="B2032" s="19">
        <v>8194.0120929999994</v>
      </c>
      <c r="C2032" t="s">
        <v>155</v>
      </c>
      <c r="D2032" t="str">
        <f>T_Stocks[[#This Row],[Ticker]] &amp; "-" &amp; DATE(YEAR(T_Stocks[[#This Row],[Fecha]]),MONTH(T_Stocks[[#This Row],[Fecha]]),DAY(T_Stocks[[#This Row],[Fecha]]))</f>
        <v>BTCEUR-44036</v>
      </c>
    </row>
    <row r="2033" spans="1:4" ht="14.65" thickBot="1" x14ac:dyDescent="0.5">
      <c r="A2033" s="17">
        <v>44037.998611111114</v>
      </c>
      <c r="B2033" s="19">
        <v>8330.8332950000004</v>
      </c>
      <c r="C2033" t="s">
        <v>155</v>
      </c>
      <c r="D2033" t="str">
        <f>T_Stocks[[#This Row],[Ticker]] &amp; "-" &amp; DATE(YEAR(T_Stocks[[#This Row],[Fecha]]),MONTH(T_Stocks[[#This Row],[Fecha]]),DAY(T_Stocks[[#This Row],[Fecha]]))</f>
        <v>BTCEUR-44037</v>
      </c>
    </row>
    <row r="2034" spans="1:4" ht="14.65" thickBot="1" x14ac:dyDescent="0.5">
      <c r="A2034" s="17">
        <v>44038.998611111114</v>
      </c>
      <c r="B2034" s="19">
        <v>8531.5741569999991</v>
      </c>
      <c r="C2034" t="s">
        <v>155</v>
      </c>
      <c r="D2034" t="str">
        <f>T_Stocks[[#This Row],[Ticker]] &amp; "-" &amp; DATE(YEAR(T_Stocks[[#This Row],[Fecha]]),MONTH(T_Stocks[[#This Row],[Fecha]]),DAY(T_Stocks[[#This Row],[Fecha]]))</f>
        <v>BTCEUR-44038</v>
      </c>
    </row>
    <row r="2035" spans="1:4" ht="14.65" thickBot="1" x14ac:dyDescent="0.5">
      <c r="A2035" s="17">
        <v>44039.998611111114</v>
      </c>
      <c r="B2035" s="19">
        <v>9378.8188969999992</v>
      </c>
      <c r="C2035" t="s">
        <v>155</v>
      </c>
      <c r="D2035" t="str">
        <f>T_Stocks[[#This Row],[Ticker]] &amp; "-" &amp; DATE(YEAR(T_Stocks[[#This Row],[Fecha]]),MONTH(T_Stocks[[#This Row],[Fecha]]),DAY(T_Stocks[[#This Row],[Fecha]]))</f>
        <v>BTCEUR-44039</v>
      </c>
    </row>
    <row r="2036" spans="1:4" ht="14.65" thickBot="1" x14ac:dyDescent="0.5">
      <c r="A2036" s="17">
        <v>44040.998611111114</v>
      </c>
      <c r="B2036" s="19">
        <v>9329.2776900000008</v>
      </c>
      <c r="C2036" t="s">
        <v>155</v>
      </c>
      <c r="D2036" t="str">
        <f>T_Stocks[[#This Row],[Ticker]] &amp; "-" &amp; DATE(YEAR(T_Stocks[[#This Row],[Fecha]]),MONTH(T_Stocks[[#This Row],[Fecha]]),DAY(T_Stocks[[#This Row],[Fecha]]))</f>
        <v>BTCEUR-44040</v>
      </c>
    </row>
    <row r="2037" spans="1:4" ht="14.65" thickBot="1" x14ac:dyDescent="0.5">
      <c r="A2037" s="17">
        <v>44041.998611111114</v>
      </c>
      <c r="B2037" s="19">
        <v>9429.6078780000007</v>
      </c>
      <c r="C2037" t="s">
        <v>155</v>
      </c>
      <c r="D2037" t="str">
        <f>T_Stocks[[#This Row],[Ticker]] &amp; "-" &amp; DATE(YEAR(T_Stocks[[#This Row],[Fecha]]),MONTH(T_Stocks[[#This Row],[Fecha]]),DAY(T_Stocks[[#This Row],[Fecha]]))</f>
        <v>BTCEUR-44041</v>
      </c>
    </row>
    <row r="2038" spans="1:4" ht="14.65" thickBot="1" x14ac:dyDescent="0.5">
      <c r="A2038" s="17">
        <v>44042.998611111114</v>
      </c>
      <c r="B2038" s="19">
        <v>9360.8757810000006</v>
      </c>
      <c r="C2038" t="s">
        <v>155</v>
      </c>
      <c r="D2038" t="str">
        <f>T_Stocks[[#This Row],[Ticker]] &amp; "-" &amp; DATE(YEAR(T_Stocks[[#This Row],[Fecha]]),MONTH(T_Stocks[[#This Row],[Fecha]]),DAY(T_Stocks[[#This Row],[Fecha]]))</f>
        <v>BTCEUR-44042</v>
      </c>
    </row>
    <row r="2039" spans="1:4" ht="14.65" thickBot="1" x14ac:dyDescent="0.5">
      <c r="A2039" s="17">
        <v>44043.998611111114</v>
      </c>
      <c r="B2039" s="19">
        <v>9634.5304219999998</v>
      </c>
      <c r="C2039" t="s">
        <v>155</v>
      </c>
      <c r="D2039" t="str">
        <f>T_Stocks[[#This Row],[Ticker]] &amp; "-" &amp; DATE(YEAR(T_Stocks[[#This Row],[Fecha]]),MONTH(T_Stocks[[#This Row],[Fecha]]),DAY(T_Stocks[[#This Row],[Fecha]]))</f>
        <v>BTCEUR-44043</v>
      </c>
    </row>
    <row r="2040" spans="1:4" ht="14.65" thickBot="1" x14ac:dyDescent="0.5">
      <c r="A2040" s="17">
        <v>44044.998611111114</v>
      </c>
      <c r="B2040" s="19">
        <v>10026.31538</v>
      </c>
      <c r="C2040" t="s">
        <v>155</v>
      </c>
      <c r="D2040" t="str">
        <f>T_Stocks[[#This Row],[Ticker]] &amp; "-" &amp; DATE(YEAR(T_Stocks[[#This Row],[Fecha]]),MONTH(T_Stocks[[#This Row],[Fecha]]),DAY(T_Stocks[[#This Row],[Fecha]]))</f>
        <v>BTCEUR-44044</v>
      </c>
    </row>
    <row r="2041" spans="1:4" ht="14.65" thickBot="1" x14ac:dyDescent="0.5">
      <c r="A2041" s="17">
        <v>44045.998611111114</v>
      </c>
      <c r="B2041" s="19">
        <v>9387.5818600000002</v>
      </c>
      <c r="C2041" t="s">
        <v>155</v>
      </c>
      <c r="D2041" t="str">
        <f>T_Stocks[[#This Row],[Ticker]] &amp; "-" &amp; DATE(YEAR(T_Stocks[[#This Row],[Fecha]]),MONTH(T_Stocks[[#This Row],[Fecha]]),DAY(T_Stocks[[#This Row],[Fecha]]))</f>
        <v>BTCEUR-44045</v>
      </c>
    </row>
    <row r="2042" spans="1:4" ht="14.65" thickBot="1" x14ac:dyDescent="0.5">
      <c r="A2042" s="17">
        <v>44046.998611111114</v>
      </c>
      <c r="B2042" s="19">
        <v>9545.9684230000003</v>
      </c>
      <c r="C2042" t="s">
        <v>155</v>
      </c>
      <c r="D2042" t="str">
        <f>T_Stocks[[#This Row],[Ticker]] &amp; "-" &amp; DATE(YEAR(T_Stocks[[#This Row],[Fecha]]),MONTH(T_Stocks[[#This Row],[Fecha]]),DAY(T_Stocks[[#This Row],[Fecha]]))</f>
        <v>BTCEUR-44046</v>
      </c>
    </row>
    <row r="2043" spans="1:4" ht="14.65" thickBot="1" x14ac:dyDescent="0.5">
      <c r="A2043" s="17">
        <v>44047.998611111114</v>
      </c>
      <c r="B2043" s="19">
        <v>9473.6356520000008</v>
      </c>
      <c r="C2043" t="s">
        <v>155</v>
      </c>
      <c r="D2043" t="str">
        <f>T_Stocks[[#This Row],[Ticker]] &amp; "-" &amp; DATE(YEAR(T_Stocks[[#This Row],[Fecha]]),MONTH(T_Stocks[[#This Row],[Fecha]]),DAY(T_Stocks[[#This Row],[Fecha]]))</f>
        <v>BTCEUR-44047</v>
      </c>
    </row>
    <row r="2044" spans="1:4" ht="14.65" thickBot="1" x14ac:dyDescent="0.5">
      <c r="A2044" s="17">
        <v>44048.998611111114</v>
      </c>
      <c r="B2044" s="19">
        <v>9896.6476480000001</v>
      </c>
      <c r="C2044" t="s">
        <v>155</v>
      </c>
      <c r="D2044" t="str">
        <f>T_Stocks[[#This Row],[Ticker]] &amp; "-" &amp; DATE(YEAR(T_Stocks[[#This Row],[Fecha]]),MONTH(T_Stocks[[#This Row],[Fecha]]),DAY(T_Stocks[[#This Row],[Fecha]]))</f>
        <v>BTCEUR-44048</v>
      </c>
    </row>
    <row r="2045" spans="1:4" ht="14.65" thickBot="1" x14ac:dyDescent="0.5">
      <c r="A2045" s="17">
        <v>44049.998611111114</v>
      </c>
      <c r="B2045" s="19">
        <v>9911.1904200000008</v>
      </c>
      <c r="C2045" t="s">
        <v>155</v>
      </c>
      <c r="D2045" t="str">
        <f>T_Stocks[[#This Row],[Ticker]] &amp; "-" &amp; DATE(YEAR(T_Stocks[[#This Row],[Fecha]]),MONTH(T_Stocks[[#This Row],[Fecha]]),DAY(T_Stocks[[#This Row],[Fecha]]))</f>
        <v>BTCEUR-44049</v>
      </c>
    </row>
    <row r="2046" spans="1:4" ht="14.65" thickBot="1" x14ac:dyDescent="0.5">
      <c r="A2046" s="17">
        <v>44050.998611111114</v>
      </c>
      <c r="B2046" s="19">
        <v>9845.8023260000009</v>
      </c>
      <c r="C2046" t="s">
        <v>155</v>
      </c>
      <c r="D2046" t="str">
        <f>T_Stocks[[#This Row],[Ticker]] &amp; "-" &amp; DATE(YEAR(T_Stocks[[#This Row],[Fecha]]),MONTH(T_Stocks[[#This Row],[Fecha]]),DAY(T_Stocks[[#This Row],[Fecha]]))</f>
        <v>BTCEUR-44050</v>
      </c>
    </row>
    <row r="2047" spans="1:4" ht="14.65" thickBot="1" x14ac:dyDescent="0.5">
      <c r="A2047" s="17">
        <v>44051.998611111114</v>
      </c>
      <c r="B2047" s="19">
        <v>9984.4867290000002</v>
      </c>
      <c r="C2047" t="s">
        <v>155</v>
      </c>
      <c r="D2047" t="str">
        <f>T_Stocks[[#This Row],[Ticker]] &amp; "-" &amp; DATE(YEAR(T_Stocks[[#This Row],[Fecha]]),MONTH(T_Stocks[[#This Row],[Fecha]]),DAY(T_Stocks[[#This Row],[Fecha]]))</f>
        <v>BTCEUR-44051</v>
      </c>
    </row>
    <row r="2048" spans="1:4" ht="14.65" thickBot="1" x14ac:dyDescent="0.5">
      <c r="A2048" s="17">
        <v>44052.998611111114</v>
      </c>
      <c r="B2048" s="19">
        <v>9917.3735190000007</v>
      </c>
      <c r="C2048" t="s">
        <v>155</v>
      </c>
      <c r="D2048" t="str">
        <f>T_Stocks[[#This Row],[Ticker]] &amp; "-" &amp; DATE(YEAR(T_Stocks[[#This Row],[Fecha]]),MONTH(T_Stocks[[#This Row],[Fecha]]),DAY(T_Stocks[[#This Row],[Fecha]]))</f>
        <v>BTCEUR-44052</v>
      </c>
    </row>
    <row r="2049" spans="1:4" ht="14.65" thickBot="1" x14ac:dyDescent="0.5">
      <c r="A2049" s="17">
        <v>44053.998611111114</v>
      </c>
      <c r="B2049" s="19">
        <v>10131.66202</v>
      </c>
      <c r="C2049" t="s">
        <v>155</v>
      </c>
      <c r="D2049" t="str">
        <f>T_Stocks[[#This Row],[Ticker]] &amp; "-" &amp; DATE(YEAR(T_Stocks[[#This Row],[Fecha]]),MONTH(T_Stocks[[#This Row],[Fecha]]),DAY(T_Stocks[[#This Row],[Fecha]]))</f>
        <v>BTCEUR-44053</v>
      </c>
    </row>
    <row r="2050" spans="1:4" ht="14.65" thickBot="1" x14ac:dyDescent="0.5">
      <c r="A2050" s="17">
        <v>44054.998611111114</v>
      </c>
      <c r="B2050" s="19">
        <v>9702.0346329999993</v>
      </c>
      <c r="C2050" t="s">
        <v>155</v>
      </c>
      <c r="D2050" t="str">
        <f>T_Stocks[[#This Row],[Ticker]] &amp; "-" &amp; DATE(YEAR(T_Stocks[[#This Row],[Fecha]]),MONTH(T_Stocks[[#This Row],[Fecha]]),DAY(T_Stocks[[#This Row],[Fecha]]))</f>
        <v>BTCEUR-44054</v>
      </c>
    </row>
    <row r="2051" spans="1:4" ht="14.65" thickBot="1" x14ac:dyDescent="0.5">
      <c r="A2051" s="17">
        <v>44055.998611111114</v>
      </c>
      <c r="B2051" s="19">
        <v>9810.9680630000003</v>
      </c>
      <c r="C2051" t="s">
        <v>155</v>
      </c>
      <c r="D2051" t="str">
        <f>T_Stocks[[#This Row],[Ticker]] &amp; "-" &amp; DATE(YEAR(T_Stocks[[#This Row],[Fecha]]),MONTH(T_Stocks[[#This Row],[Fecha]]),DAY(T_Stocks[[#This Row],[Fecha]]))</f>
        <v>BTCEUR-44055</v>
      </c>
    </row>
    <row r="2052" spans="1:4" ht="14.65" thickBot="1" x14ac:dyDescent="0.5">
      <c r="A2052" s="17">
        <v>44056.998611111114</v>
      </c>
      <c r="B2052" s="19">
        <v>9976.3977599999998</v>
      </c>
      <c r="C2052" t="s">
        <v>155</v>
      </c>
      <c r="D2052" t="str">
        <f>T_Stocks[[#This Row],[Ticker]] &amp; "-" &amp; DATE(YEAR(T_Stocks[[#This Row],[Fecha]]),MONTH(T_Stocks[[#This Row],[Fecha]]),DAY(T_Stocks[[#This Row],[Fecha]]))</f>
        <v>BTCEUR-44056</v>
      </c>
    </row>
    <row r="2053" spans="1:4" ht="14.65" thickBot="1" x14ac:dyDescent="0.5">
      <c r="A2053" s="17">
        <v>44057.998611111114</v>
      </c>
      <c r="B2053" s="19">
        <v>9941.2201980000009</v>
      </c>
      <c r="C2053" t="s">
        <v>155</v>
      </c>
      <c r="D2053" t="str">
        <f>T_Stocks[[#This Row],[Ticker]] &amp; "-" &amp; DATE(YEAR(T_Stocks[[#This Row],[Fecha]]),MONTH(T_Stocks[[#This Row],[Fecha]]),DAY(T_Stocks[[#This Row],[Fecha]]))</f>
        <v>BTCEUR-44057</v>
      </c>
    </row>
    <row r="2054" spans="1:4" ht="14.65" thickBot="1" x14ac:dyDescent="0.5">
      <c r="A2054" s="17">
        <v>44058.998611111114</v>
      </c>
      <c r="B2054" s="19">
        <v>10014.9452</v>
      </c>
      <c r="C2054" t="s">
        <v>155</v>
      </c>
      <c r="D2054" t="str">
        <f>T_Stocks[[#This Row],[Ticker]] &amp; "-" &amp; DATE(YEAR(T_Stocks[[#This Row],[Fecha]]),MONTH(T_Stocks[[#This Row],[Fecha]]),DAY(T_Stocks[[#This Row],[Fecha]]))</f>
        <v>BTCEUR-44058</v>
      </c>
    </row>
    <row r="2055" spans="1:4" ht="14.65" thickBot="1" x14ac:dyDescent="0.5">
      <c r="A2055" s="17">
        <v>44059.998611111114</v>
      </c>
      <c r="B2055" s="19">
        <v>10054.72725</v>
      </c>
      <c r="C2055" t="s">
        <v>155</v>
      </c>
      <c r="D2055" t="str">
        <f>T_Stocks[[#This Row],[Ticker]] &amp; "-" &amp; DATE(YEAR(T_Stocks[[#This Row],[Fecha]]),MONTH(T_Stocks[[#This Row],[Fecha]]),DAY(T_Stocks[[#This Row],[Fecha]]))</f>
        <v>BTCEUR-44059</v>
      </c>
    </row>
    <row r="2056" spans="1:4" ht="14.65" thickBot="1" x14ac:dyDescent="0.5">
      <c r="A2056" s="17">
        <v>44060.998611111114</v>
      </c>
      <c r="B2056" s="19">
        <v>10348.71888</v>
      </c>
      <c r="C2056" t="s">
        <v>155</v>
      </c>
      <c r="D2056" t="str">
        <f>T_Stocks[[#This Row],[Ticker]] &amp; "-" &amp; DATE(YEAR(T_Stocks[[#This Row],[Fecha]]),MONTH(T_Stocks[[#This Row],[Fecha]]),DAY(T_Stocks[[#This Row],[Fecha]]))</f>
        <v>BTCEUR-44060</v>
      </c>
    </row>
    <row r="2057" spans="1:4" ht="14.65" thickBot="1" x14ac:dyDescent="0.5">
      <c r="A2057" s="17">
        <v>44061.998611111114</v>
      </c>
      <c r="B2057" s="19">
        <v>10005.8508</v>
      </c>
      <c r="C2057" t="s">
        <v>155</v>
      </c>
      <c r="D2057" t="str">
        <f>T_Stocks[[#This Row],[Ticker]] &amp; "-" &amp; DATE(YEAR(T_Stocks[[#This Row],[Fecha]]),MONTH(T_Stocks[[#This Row],[Fecha]]),DAY(T_Stocks[[#This Row],[Fecha]]))</f>
        <v>BTCEUR-44061</v>
      </c>
    </row>
    <row r="2058" spans="1:4" ht="14.65" thickBot="1" x14ac:dyDescent="0.5">
      <c r="A2058" s="17">
        <v>44062.998611111114</v>
      </c>
      <c r="B2058" s="19">
        <v>9926.381566</v>
      </c>
      <c r="C2058" t="s">
        <v>155</v>
      </c>
      <c r="D2058" t="str">
        <f>T_Stocks[[#This Row],[Ticker]] &amp; "-" &amp; DATE(YEAR(T_Stocks[[#This Row],[Fecha]]),MONTH(T_Stocks[[#This Row],[Fecha]]),DAY(T_Stocks[[#This Row],[Fecha]]))</f>
        <v>BTCEUR-44062</v>
      </c>
    </row>
    <row r="2059" spans="1:4" ht="14.65" thickBot="1" x14ac:dyDescent="0.5">
      <c r="A2059" s="17">
        <v>44063.998611111114</v>
      </c>
      <c r="B2059" s="19">
        <v>9992.3576979999998</v>
      </c>
      <c r="C2059" t="s">
        <v>155</v>
      </c>
      <c r="D2059" t="str">
        <f>T_Stocks[[#This Row],[Ticker]] &amp; "-" &amp; DATE(YEAR(T_Stocks[[#This Row],[Fecha]]),MONTH(T_Stocks[[#This Row],[Fecha]]),DAY(T_Stocks[[#This Row],[Fecha]]))</f>
        <v>BTCEUR-44063</v>
      </c>
    </row>
    <row r="2060" spans="1:4" ht="14.65" thickBot="1" x14ac:dyDescent="0.5">
      <c r="A2060" s="17">
        <v>44064.998611111114</v>
      </c>
      <c r="B2060" s="19">
        <v>9770.0682319999996</v>
      </c>
      <c r="C2060" t="s">
        <v>155</v>
      </c>
      <c r="D2060" t="str">
        <f>T_Stocks[[#This Row],[Ticker]] &amp; "-" &amp; DATE(YEAR(T_Stocks[[#This Row],[Fecha]]),MONTH(T_Stocks[[#This Row],[Fecha]]),DAY(T_Stocks[[#This Row],[Fecha]]))</f>
        <v>BTCEUR-44064</v>
      </c>
    </row>
    <row r="2061" spans="1:4" ht="14.65" thickBot="1" x14ac:dyDescent="0.5">
      <c r="A2061" s="17">
        <v>44065.998611111114</v>
      </c>
      <c r="B2061" s="19">
        <v>9895.0759539999999</v>
      </c>
      <c r="C2061" t="s">
        <v>155</v>
      </c>
      <c r="D2061" t="str">
        <f>T_Stocks[[#This Row],[Ticker]] &amp; "-" &amp; DATE(YEAR(T_Stocks[[#This Row],[Fecha]]),MONTH(T_Stocks[[#This Row],[Fecha]]),DAY(T_Stocks[[#This Row],[Fecha]]))</f>
        <v>BTCEUR-44065</v>
      </c>
    </row>
    <row r="2062" spans="1:4" ht="14.65" thickBot="1" x14ac:dyDescent="0.5">
      <c r="A2062" s="17">
        <v>44066.998611111114</v>
      </c>
      <c r="B2062" s="19">
        <v>9876.1673919999994</v>
      </c>
      <c r="C2062" t="s">
        <v>155</v>
      </c>
      <c r="D2062" t="str">
        <f>T_Stocks[[#This Row],[Ticker]] &amp; "-" &amp; DATE(YEAR(T_Stocks[[#This Row],[Fecha]]),MONTH(T_Stocks[[#This Row],[Fecha]]),DAY(T_Stocks[[#This Row],[Fecha]]))</f>
        <v>BTCEUR-44066</v>
      </c>
    </row>
    <row r="2063" spans="1:4" ht="14.65" thickBot="1" x14ac:dyDescent="0.5">
      <c r="A2063" s="17">
        <v>44067.998611111114</v>
      </c>
      <c r="B2063" s="19">
        <v>9969.4187889999994</v>
      </c>
      <c r="C2063" t="s">
        <v>155</v>
      </c>
      <c r="D2063" t="str">
        <f>T_Stocks[[#This Row],[Ticker]] &amp; "-" &amp; DATE(YEAR(T_Stocks[[#This Row],[Fecha]]),MONTH(T_Stocks[[#This Row],[Fecha]]),DAY(T_Stocks[[#This Row],[Fecha]]))</f>
        <v>BTCEUR-44067</v>
      </c>
    </row>
    <row r="2064" spans="1:4" ht="14.65" thickBot="1" x14ac:dyDescent="0.5">
      <c r="A2064" s="17">
        <v>44068.998611111114</v>
      </c>
      <c r="B2064" s="19">
        <v>9573.1905549999992</v>
      </c>
      <c r="C2064" t="s">
        <v>155</v>
      </c>
      <c r="D2064" t="str">
        <f>T_Stocks[[#This Row],[Ticker]] &amp; "-" &amp; DATE(YEAR(T_Stocks[[#This Row],[Fecha]]),MONTH(T_Stocks[[#This Row],[Fecha]]),DAY(T_Stocks[[#This Row],[Fecha]]))</f>
        <v>BTCEUR-44068</v>
      </c>
    </row>
    <row r="2065" spans="1:4" ht="14.65" thickBot="1" x14ac:dyDescent="0.5">
      <c r="A2065" s="17">
        <v>44069.998611111114</v>
      </c>
      <c r="B2065" s="19">
        <v>9679.8891719999992</v>
      </c>
      <c r="C2065" t="s">
        <v>155</v>
      </c>
      <c r="D2065" t="str">
        <f>T_Stocks[[#This Row],[Ticker]] &amp; "-" &amp; DATE(YEAR(T_Stocks[[#This Row],[Fecha]]),MONTH(T_Stocks[[#This Row],[Fecha]]),DAY(T_Stocks[[#This Row],[Fecha]]))</f>
        <v>BTCEUR-44069</v>
      </c>
    </row>
    <row r="2066" spans="1:4" ht="14.65" thickBot="1" x14ac:dyDescent="0.5">
      <c r="A2066" s="17">
        <v>44070.998611111114</v>
      </c>
      <c r="B2066" s="19">
        <v>9582.0408009999992</v>
      </c>
      <c r="C2066" t="s">
        <v>155</v>
      </c>
      <c r="D2066" t="str">
        <f>T_Stocks[[#This Row],[Ticker]] &amp; "-" &amp; DATE(YEAR(T_Stocks[[#This Row],[Fecha]]),MONTH(T_Stocks[[#This Row],[Fecha]]),DAY(T_Stocks[[#This Row],[Fecha]]))</f>
        <v>BTCEUR-44070</v>
      </c>
    </row>
    <row r="2067" spans="1:4" ht="14.65" thickBot="1" x14ac:dyDescent="0.5">
      <c r="A2067" s="17">
        <v>44071.998611111114</v>
      </c>
      <c r="B2067" s="19">
        <v>9687.3858049999999</v>
      </c>
      <c r="C2067" t="s">
        <v>155</v>
      </c>
      <c r="D2067" t="str">
        <f>T_Stocks[[#This Row],[Ticker]] &amp; "-" &amp; DATE(YEAR(T_Stocks[[#This Row],[Fecha]]),MONTH(T_Stocks[[#This Row],[Fecha]]),DAY(T_Stocks[[#This Row],[Fecha]]))</f>
        <v>BTCEUR-44071</v>
      </c>
    </row>
    <row r="2068" spans="1:4" ht="14.65" thickBot="1" x14ac:dyDescent="0.5">
      <c r="A2068" s="17">
        <v>44072.998611111114</v>
      </c>
      <c r="B2068" s="19">
        <v>9638.2266070000005</v>
      </c>
      <c r="C2068" t="s">
        <v>155</v>
      </c>
      <c r="D2068" t="str">
        <f>T_Stocks[[#This Row],[Ticker]] &amp; "-" &amp; DATE(YEAR(T_Stocks[[#This Row],[Fecha]]),MONTH(T_Stocks[[#This Row],[Fecha]]),DAY(T_Stocks[[#This Row],[Fecha]]))</f>
        <v>BTCEUR-44072</v>
      </c>
    </row>
    <row r="2069" spans="1:4" ht="14.65" thickBot="1" x14ac:dyDescent="0.5">
      <c r="A2069" s="17">
        <v>44073.998611111114</v>
      </c>
      <c r="B2069" s="19">
        <v>9828.4638900000009</v>
      </c>
      <c r="C2069" t="s">
        <v>155</v>
      </c>
      <c r="D2069" t="str">
        <f>T_Stocks[[#This Row],[Ticker]] &amp; "-" &amp; DATE(YEAR(T_Stocks[[#This Row],[Fecha]]),MONTH(T_Stocks[[#This Row],[Fecha]]),DAY(T_Stocks[[#This Row],[Fecha]]))</f>
        <v>BTCEUR-44073</v>
      </c>
    </row>
    <row r="2070" spans="1:4" ht="14.65" thickBot="1" x14ac:dyDescent="0.5">
      <c r="A2070" s="17">
        <v>44074.998611111114</v>
      </c>
      <c r="B2070" s="19">
        <v>9763.6693670000004</v>
      </c>
      <c r="C2070" t="s">
        <v>155</v>
      </c>
      <c r="D2070" t="str">
        <f>T_Stocks[[#This Row],[Ticker]] &amp; "-" &amp; DATE(YEAR(T_Stocks[[#This Row],[Fecha]]),MONTH(T_Stocks[[#This Row],[Fecha]]),DAY(T_Stocks[[#This Row],[Fecha]]))</f>
        <v>BTCEUR-44074</v>
      </c>
    </row>
    <row r="2071" spans="1:4" ht="14.65" thickBot="1" x14ac:dyDescent="0.5">
      <c r="A2071" s="17">
        <v>44075.998611111114</v>
      </c>
      <c r="B2071" s="19">
        <v>10001.799429999999</v>
      </c>
      <c r="C2071" t="s">
        <v>155</v>
      </c>
      <c r="D2071" t="str">
        <f>T_Stocks[[#This Row],[Ticker]] &amp; "-" &amp; DATE(YEAR(T_Stocks[[#This Row],[Fecha]]),MONTH(T_Stocks[[#This Row],[Fecha]]),DAY(T_Stocks[[#This Row],[Fecha]]))</f>
        <v>BTCEUR-44075</v>
      </c>
    </row>
    <row r="2072" spans="1:4" ht="14.65" thickBot="1" x14ac:dyDescent="0.5">
      <c r="A2072" s="17">
        <v>44076.998611111114</v>
      </c>
      <c r="B2072" s="19">
        <v>9620.743622</v>
      </c>
      <c r="C2072" t="s">
        <v>155</v>
      </c>
      <c r="D2072" t="str">
        <f>T_Stocks[[#This Row],[Ticker]] &amp; "-" &amp; DATE(YEAR(T_Stocks[[#This Row],[Fecha]]),MONTH(T_Stocks[[#This Row],[Fecha]]),DAY(T_Stocks[[#This Row],[Fecha]]))</f>
        <v>BTCEUR-44076</v>
      </c>
    </row>
    <row r="2073" spans="1:4" ht="14.65" thickBot="1" x14ac:dyDescent="0.5">
      <c r="A2073" s="17">
        <v>44077.998611111114</v>
      </c>
      <c r="B2073" s="19">
        <v>8594.6162220000006</v>
      </c>
      <c r="C2073" t="s">
        <v>155</v>
      </c>
      <c r="D2073" t="str">
        <f>T_Stocks[[#This Row],[Ticker]] &amp; "-" &amp; DATE(YEAR(T_Stocks[[#This Row],[Fecha]]),MONTH(T_Stocks[[#This Row],[Fecha]]),DAY(T_Stocks[[#This Row],[Fecha]]))</f>
        <v>BTCEUR-44077</v>
      </c>
    </row>
    <row r="2074" spans="1:4" ht="14.65" thickBot="1" x14ac:dyDescent="0.5">
      <c r="A2074" s="17">
        <v>44078.998611111114</v>
      </c>
      <c r="B2074" s="19">
        <v>8843.3050199999998</v>
      </c>
      <c r="C2074" t="s">
        <v>155</v>
      </c>
      <c r="D2074" t="str">
        <f>T_Stocks[[#This Row],[Ticker]] &amp; "-" &amp; DATE(YEAR(T_Stocks[[#This Row],[Fecha]]),MONTH(T_Stocks[[#This Row],[Fecha]]),DAY(T_Stocks[[#This Row],[Fecha]]))</f>
        <v>BTCEUR-44078</v>
      </c>
    </row>
    <row r="2075" spans="1:4" ht="14.65" thickBot="1" x14ac:dyDescent="0.5">
      <c r="A2075" s="17">
        <v>44079.998611111114</v>
      </c>
      <c r="B2075" s="19">
        <v>8587.5633450000005</v>
      </c>
      <c r="C2075" t="s">
        <v>155</v>
      </c>
      <c r="D2075" t="str">
        <f>T_Stocks[[#This Row],[Ticker]] &amp; "-" &amp; DATE(YEAR(T_Stocks[[#This Row],[Fecha]]),MONTH(T_Stocks[[#This Row],[Fecha]]),DAY(T_Stocks[[#This Row],[Fecha]]))</f>
        <v>BTCEUR-44079</v>
      </c>
    </row>
    <row r="2076" spans="1:4" ht="14.65" thickBot="1" x14ac:dyDescent="0.5">
      <c r="A2076" s="17">
        <v>44080.998611111114</v>
      </c>
      <c r="B2076" s="19">
        <v>8666.2089899999992</v>
      </c>
      <c r="C2076" t="s">
        <v>155</v>
      </c>
      <c r="D2076" t="str">
        <f>T_Stocks[[#This Row],[Ticker]] &amp; "-" &amp; DATE(YEAR(T_Stocks[[#This Row],[Fecha]]),MONTH(T_Stocks[[#This Row],[Fecha]]),DAY(T_Stocks[[#This Row],[Fecha]]))</f>
        <v>BTCEUR-44080</v>
      </c>
    </row>
    <row r="2077" spans="1:4" ht="14.65" thickBot="1" x14ac:dyDescent="0.5">
      <c r="A2077" s="17">
        <v>44081.998611111114</v>
      </c>
      <c r="B2077" s="19">
        <v>8776.2040410000009</v>
      </c>
      <c r="C2077" t="s">
        <v>155</v>
      </c>
      <c r="D2077" t="str">
        <f>T_Stocks[[#This Row],[Ticker]] &amp; "-" &amp; DATE(YEAR(T_Stocks[[#This Row],[Fecha]]),MONTH(T_Stocks[[#This Row],[Fecha]]),DAY(T_Stocks[[#This Row],[Fecha]]))</f>
        <v>BTCEUR-44081</v>
      </c>
    </row>
    <row r="2078" spans="1:4" ht="14.65" thickBot="1" x14ac:dyDescent="0.5">
      <c r="A2078" s="17">
        <v>44082.998611111114</v>
      </c>
      <c r="B2078" s="19">
        <v>8602.2679680000001</v>
      </c>
      <c r="C2078" t="s">
        <v>155</v>
      </c>
      <c r="D2078" t="str">
        <f>T_Stocks[[#This Row],[Ticker]] &amp; "-" &amp; DATE(YEAR(T_Stocks[[#This Row],[Fecha]]),MONTH(T_Stocks[[#This Row],[Fecha]]),DAY(T_Stocks[[#This Row],[Fecha]]))</f>
        <v>BTCEUR-44082</v>
      </c>
    </row>
    <row r="2079" spans="1:4" ht="14.65" thickBot="1" x14ac:dyDescent="0.5">
      <c r="A2079" s="17">
        <v>44083.998611111114</v>
      </c>
      <c r="B2079" s="19">
        <v>8660.8291000000008</v>
      </c>
      <c r="C2079" t="s">
        <v>155</v>
      </c>
      <c r="D2079" t="str">
        <f>T_Stocks[[#This Row],[Ticker]] &amp; "-" &amp; DATE(YEAR(T_Stocks[[#This Row],[Fecha]]),MONTH(T_Stocks[[#This Row],[Fecha]]),DAY(T_Stocks[[#This Row],[Fecha]]))</f>
        <v>BTCEUR-44083</v>
      </c>
    </row>
    <row r="2080" spans="1:4" ht="14.65" thickBot="1" x14ac:dyDescent="0.5">
      <c r="A2080" s="17">
        <v>44084.998611111114</v>
      </c>
      <c r="B2080" s="19">
        <v>8750.3161139999993</v>
      </c>
      <c r="C2080" t="s">
        <v>155</v>
      </c>
      <c r="D2080" t="str">
        <f>T_Stocks[[#This Row],[Ticker]] &amp; "-" &amp; DATE(YEAR(T_Stocks[[#This Row],[Fecha]]),MONTH(T_Stocks[[#This Row],[Fecha]]),DAY(T_Stocks[[#This Row],[Fecha]]))</f>
        <v>BTCEUR-44084</v>
      </c>
    </row>
    <row r="2081" spans="1:4" ht="14.65" thickBot="1" x14ac:dyDescent="0.5">
      <c r="A2081" s="17">
        <v>44085.998611111114</v>
      </c>
      <c r="B2081" s="19">
        <v>8773.7617460000001</v>
      </c>
      <c r="C2081" t="s">
        <v>155</v>
      </c>
      <c r="D2081" t="str">
        <f>T_Stocks[[#This Row],[Ticker]] &amp; "-" &amp; DATE(YEAR(T_Stocks[[#This Row],[Fecha]]),MONTH(T_Stocks[[#This Row],[Fecha]]),DAY(T_Stocks[[#This Row],[Fecha]]))</f>
        <v>BTCEUR-44085</v>
      </c>
    </row>
    <row r="2082" spans="1:4" ht="14.65" thickBot="1" x14ac:dyDescent="0.5">
      <c r="A2082" s="17">
        <v>44086.998611111114</v>
      </c>
      <c r="B2082" s="19">
        <v>8815.9340819999998</v>
      </c>
      <c r="C2082" t="s">
        <v>155</v>
      </c>
      <c r="D2082" t="str">
        <f>T_Stocks[[#This Row],[Ticker]] &amp; "-" &amp; DATE(YEAR(T_Stocks[[#This Row],[Fecha]]),MONTH(T_Stocks[[#This Row],[Fecha]]),DAY(T_Stocks[[#This Row],[Fecha]]))</f>
        <v>BTCEUR-44086</v>
      </c>
    </row>
    <row r="2083" spans="1:4" ht="14.65" thickBot="1" x14ac:dyDescent="0.5">
      <c r="A2083" s="17">
        <v>44087.998611111114</v>
      </c>
      <c r="B2083" s="19">
        <v>8724.3914640000003</v>
      </c>
      <c r="C2083" t="s">
        <v>155</v>
      </c>
      <c r="D2083" t="str">
        <f>T_Stocks[[#This Row],[Ticker]] &amp; "-" &amp; DATE(YEAR(T_Stocks[[#This Row],[Fecha]]),MONTH(T_Stocks[[#This Row],[Fecha]]),DAY(T_Stocks[[#This Row],[Fecha]]))</f>
        <v>BTCEUR-44087</v>
      </c>
    </row>
    <row r="2084" spans="1:4" ht="14.65" thickBot="1" x14ac:dyDescent="0.5">
      <c r="A2084" s="17">
        <v>44088.998611111114</v>
      </c>
      <c r="B2084" s="19">
        <v>8995.8552760000002</v>
      </c>
      <c r="C2084" t="s">
        <v>155</v>
      </c>
      <c r="D2084" t="str">
        <f>T_Stocks[[#This Row],[Ticker]] &amp; "-" &amp; DATE(YEAR(T_Stocks[[#This Row],[Fecha]]),MONTH(T_Stocks[[#This Row],[Fecha]]),DAY(T_Stocks[[#This Row],[Fecha]]))</f>
        <v>BTCEUR-44088</v>
      </c>
    </row>
    <row r="2085" spans="1:4" ht="14.65" thickBot="1" x14ac:dyDescent="0.5">
      <c r="A2085" s="17">
        <v>44089.998611111114</v>
      </c>
      <c r="B2085" s="19">
        <v>9106.6404779999993</v>
      </c>
      <c r="C2085" t="s">
        <v>155</v>
      </c>
      <c r="D2085" t="str">
        <f>T_Stocks[[#This Row],[Ticker]] &amp; "-" &amp; DATE(YEAR(T_Stocks[[#This Row],[Fecha]]),MONTH(T_Stocks[[#This Row],[Fecha]]),DAY(T_Stocks[[#This Row],[Fecha]]))</f>
        <v>BTCEUR-44089</v>
      </c>
    </row>
    <row r="2086" spans="1:4" ht="14.65" thickBot="1" x14ac:dyDescent="0.5">
      <c r="A2086" s="17">
        <v>44090.998611111114</v>
      </c>
      <c r="B2086" s="19">
        <v>9277.6950440000001</v>
      </c>
      <c r="C2086" t="s">
        <v>155</v>
      </c>
      <c r="D2086" t="str">
        <f>T_Stocks[[#This Row],[Ticker]] &amp; "-" &amp; DATE(YEAR(T_Stocks[[#This Row],[Fecha]]),MONTH(T_Stocks[[#This Row],[Fecha]]),DAY(T_Stocks[[#This Row],[Fecha]]))</f>
        <v>BTCEUR-44090</v>
      </c>
    </row>
    <row r="2087" spans="1:4" ht="14.65" thickBot="1" x14ac:dyDescent="0.5">
      <c r="A2087" s="17">
        <v>44091.998611111114</v>
      </c>
      <c r="B2087" s="19">
        <v>9237.4289009999993</v>
      </c>
      <c r="C2087" t="s">
        <v>155</v>
      </c>
      <c r="D2087" t="str">
        <f>T_Stocks[[#This Row],[Ticker]] &amp; "-" &amp; DATE(YEAR(T_Stocks[[#This Row],[Fecha]]),MONTH(T_Stocks[[#This Row],[Fecha]]),DAY(T_Stocks[[#This Row],[Fecha]]))</f>
        <v>BTCEUR-44091</v>
      </c>
    </row>
    <row r="2088" spans="1:4" ht="14.65" thickBot="1" x14ac:dyDescent="0.5">
      <c r="A2088" s="17">
        <v>44092.998611111114</v>
      </c>
      <c r="B2088" s="19">
        <v>9236.7769380000009</v>
      </c>
      <c r="C2088" t="s">
        <v>155</v>
      </c>
      <c r="D2088" t="str">
        <f>T_Stocks[[#This Row],[Ticker]] &amp; "-" &amp; DATE(YEAR(T_Stocks[[#This Row],[Fecha]]),MONTH(T_Stocks[[#This Row],[Fecha]]),DAY(T_Stocks[[#This Row],[Fecha]]))</f>
        <v>BTCEUR-44092</v>
      </c>
    </row>
    <row r="2089" spans="1:4" ht="14.65" thickBot="1" x14ac:dyDescent="0.5">
      <c r="A2089" s="17">
        <v>44093.998611111114</v>
      </c>
      <c r="B2089" s="19">
        <v>9360.0409159999999</v>
      </c>
      <c r="C2089" t="s">
        <v>155</v>
      </c>
      <c r="D2089" t="str">
        <f>T_Stocks[[#This Row],[Ticker]] &amp; "-" &amp; DATE(YEAR(T_Stocks[[#This Row],[Fecha]]),MONTH(T_Stocks[[#This Row],[Fecha]]),DAY(T_Stocks[[#This Row],[Fecha]]))</f>
        <v>BTCEUR-44093</v>
      </c>
    </row>
    <row r="2090" spans="1:4" ht="14.65" thickBot="1" x14ac:dyDescent="0.5">
      <c r="A2090" s="17">
        <v>44094.998611111114</v>
      </c>
      <c r="B2090" s="19">
        <v>9219.3562440000005</v>
      </c>
      <c r="C2090" t="s">
        <v>155</v>
      </c>
      <c r="D2090" t="str">
        <f>T_Stocks[[#This Row],[Ticker]] &amp; "-" &amp; DATE(YEAR(T_Stocks[[#This Row],[Fecha]]),MONTH(T_Stocks[[#This Row],[Fecha]]),DAY(T_Stocks[[#This Row],[Fecha]]))</f>
        <v>BTCEUR-44094</v>
      </c>
    </row>
    <row r="2091" spans="1:4" ht="14.65" thickBot="1" x14ac:dyDescent="0.5">
      <c r="A2091" s="17">
        <v>44095.998611111114</v>
      </c>
      <c r="B2091" s="19">
        <v>8853.2719309999993</v>
      </c>
      <c r="C2091" t="s">
        <v>155</v>
      </c>
      <c r="D2091" t="str">
        <f>T_Stocks[[#This Row],[Ticker]] &amp; "-" &amp; DATE(YEAR(T_Stocks[[#This Row],[Fecha]]),MONTH(T_Stocks[[#This Row],[Fecha]]),DAY(T_Stocks[[#This Row],[Fecha]]))</f>
        <v>BTCEUR-44095</v>
      </c>
    </row>
    <row r="2092" spans="1:4" ht="14.65" thickBot="1" x14ac:dyDescent="0.5">
      <c r="A2092" s="17">
        <v>44096.998611111114</v>
      </c>
      <c r="B2092" s="19">
        <v>8995.5235659999998</v>
      </c>
      <c r="C2092" t="s">
        <v>155</v>
      </c>
      <c r="D2092" t="str">
        <f>T_Stocks[[#This Row],[Ticker]] &amp; "-" &amp; DATE(YEAR(T_Stocks[[#This Row],[Fecha]]),MONTH(T_Stocks[[#This Row],[Fecha]]),DAY(T_Stocks[[#This Row],[Fecha]]))</f>
        <v>BTCEUR-44096</v>
      </c>
    </row>
    <row r="2093" spans="1:4" ht="14.65" thickBot="1" x14ac:dyDescent="0.5">
      <c r="A2093" s="17">
        <v>44097.998611111114</v>
      </c>
      <c r="B2093" s="19">
        <v>8778.3513270000003</v>
      </c>
      <c r="C2093" t="s">
        <v>155</v>
      </c>
      <c r="D2093" t="str">
        <f>T_Stocks[[#This Row],[Ticker]] &amp; "-" &amp; DATE(YEAR(T_Stocks[[#This Row],[Fecha]]),MONTH(T_Stocks[[#This Row],[Fecha]]),DAY(T_Stocks[[#This Row],[Fecha]]))</f>
        <v>BTCEUR-44097</v>
      </c>
    </row>
    <row r="2094" spans="1:4" ht="14.65" thickBot="1" x14ac:dyDescent="0.5">
      <c r="A2094" s="17">
        <v>44098.998611111114</v>
      </c>
      <c r="B2094" s="19">
        <v>9201.5649580000008</v>
      </c>
      <c r="C2094" t="s">
        <v>155</v>
      </c>
      <c r="D2094" t="str">
        <f>T_Stocks[[#This Row],[Ticker]] &amp; "-" &amp; DATE(YEAR(T_Stocks[[#This Row],[Fecha]]),MONTH(T_Stocks[[#This Row],[Fecha]]),DAY(T_Stocks[[#This Row],[Fecha]]))</f>
        <v>BTCEUR-44098</v>
      </c>
    </row>
    <row r="2095" spans="1:4" ht="14.65" thickBot="1" x14ac:dyDescent="0.5">
      <c r="A2095" s="17">
        <v>44099.998611111114</v>
      </c>
      <c r="B2095" s="19">
        <v>9192.2664519999998</v>
      </c>
      <c r="C2095" t="s">
        <v>155</v>
      </c>
      <c r="D2095" t="str">
        <f>T_Stocks[[#This Row],[Ticker]] &amp; "-" &amp; DATE(YEAR(T_Stocks[[#This Row],[Fecha]]),MONTH(T_Stocks[[#This Row],[Fecha]]),DAY(T_Stocks[[#This Row],[Fecha]]))</f>
        <v>BTCEUR-44099</v>
      </c>
    </row>
    <row r="2096" spans="1:4" ht="14.65" thickBot="1" x14ac:dyDescent="0.5">
      <c r="A2096" s="17">
        <v>44100.998611111114</v>
      </c>
      <c r="B2096" s="19">
        <v>9225.565364</v>
      </c>
      <c r="C2096" t="s">
        <v>155</v>
      </c>
      <c r="D2096" t="str">
        <f>T_Stocks[[#This Row],[Ticker]] &amp; "-" &amp; DATE(YEAR(T_Stocks[[#This Row],[Fecha]]),MONTH(T_Stocks[[#This Row],[Fecha]]),DAY(T_Stocks[[#This Row],[Fecha]]))</f>
        <v>BTCEUR-44100</v>
      </c>
    </row>
    <row r="2097" spans="1:4" ht="14.65" thickBot="1" x14ac:dyDescent="0.5">
      <c r="A2097" s="17">
        <v>44101.998611111114</v>
      </c>
      <c r="B2097" s="19">
        <v>9263.0919379999996</v>
      </c>
      <c r="C2097" t="s">
        <v>155</v>
      </c>
      <c r="D2097" t="str">
        <f>T_Stocks[[#This Row],[Ticker]] &amp; "-" &amp; DATE(YEAR(T_Stocks[[#This Row],[Fecha]]),MONTH(T_Stocks[[#This Row],[Fecha]]),DAY(T_Stocks[[#This Row],[Fecha]]))</f>
        <v>BTCEUR-44101</v>
      </c>
    </row>
    <row r="2098" spans="1:4" ht="14.65" thickBot="1" x14ac:dyDescent="0.5">
      <c r="A2098" s="17">
        <v>44102.998611111114</v>
      </c>
      <c r="B2098" s="19">
        <v>9158.2616249999992</v>
      </c>
      <c r="C2098" t="s">
        <v>155</v>
      </c>
      <c r="D2098" t="str">
        <f>T_Stocks[[#This Row],[Ticker]] &amp; "-" &amp; DATE(YEAR(T_Stocks[[#This Row],[Fecha]]),MONTH(T_Stocks[[#This Row],[Fecha]]),DAY(T_Stocks[[#This Row],[Fecha]]))</f>
        <v>BTCEUR-44102</v>
      </c>
    </row>
    <row r="2099" spans="1:4" ht="14.65" thickBot="1" x14ac:dyDescent="0.5">
      <c r="A2099" s="17">
        <v>44103.998611111114</v>
      </c>
      <c r="B2099" s="19">
        <v>9233.2850020000005</v>
      </c>
      <c r="C2099" t="s">
        <v>155</v>
      </c>
      <c r="D2099" t="str">
        <f>T_Stocks[[#This Row],[Ticker]] &amp; "-" &amp; DATE(YEAR(T_Stocks[[#This Row],[Fecha]]),MONTH(T_Stocks[[#This Row],[Fecha]]),DAY(T_Stocks[[#This Row],[Fecha]]))</f>
        <v>BTCEUR-44103</v>
      </c>
    </row>
    <row r="2100" spans="1:4" ht="14.65" thickBot="1" x14ac:dyDescent="0.5">
      <c r="A2100" s="17">
        <v>44104.998611111114</v>
      </c>
      <c r="B2100" s="19">
        <v>9192.996384</v>
      </c>
      <c r="C2100" t="s">
        <v>155</v>
      </c>
      <c r="D2100" t="str">
        <f>T_Stocks[[#This Row],[Ticker]] &amp; "-" &amp; DATE(YEAR(T_Stocks[[#This Row],[Fecha]]),MONTH(T_Stocks[[#This Row],[Fecha]]),DAY(T_Stocks[[#This Row],[Fecha]]))</f>
        <v>BTCEUR-44104</v>
      </c>
    </row>
    <row r="2101" spans="1:4" ht="14.65" thickBot="1" x14ac:dyDescent="0.5">
      <c r="A2101" s="17">
        <v>44105.998611111114</v>
      </c>
      <c r="B2101" s="19">
        <v>9042.6548860000003</v>
      </c>
      <c r="C2101" t="s">
        <v>155</v>
      </c>
      <c r="D2101" t="str">
        <f>T_Stocks[[#This Row],[Ticker]] &amp; "-" &amp; DATE(YEAR(T_Stocks[[#This Row],[Fecha]]),MONTH(T_Stocks[[#This Row],[Fecha]]),DAY(T_Stocks[[#This Row],[Fecha]]))</f>
        <v>BTCEUR-44105</v>
      </c>
    </row>
    <row r="2102" spans="1:4" ht="14.65" thickBot="1" x14ac:dyDescent="0.5">
      <c r="A2102" s="17">
        <v>44106.998611111114</v>
      </c>
      <c r="B2102" s="19">
        <v>9024.6562749999994</v>
      </c>
      <c r="C2102" t="s">
        <v>155</v>
      </c>
      <c r="D2102" t="str">
        <f>T_Stocks[[#This Row],[Ticker]] &amp; "-" &amp; DATE(YEAR(T_Stocks[[#This Row],[Fecha]]),MONTH(T_Stocks[[#This Row],[Fecha]]),DAY(T_Stocks[[#This Row],[Fecha]]))</f>
        <v>BTCEUR-44106</v>
      </c>
    </row>
    <row r="2103" spans="1:4" ht="14.65" thickBot="1" x14ac:dyDescent="0.5">
      <c r="A2103" s="17">
        <v>44107.998611111114</v>
      </c>
      <c r="B2103" s="19">
        <v>9004.7963930000005</v>
      </c>
      <c r="C2103" t="s">
        <v>155</v>
      </c>
      <c r="D2103" t="str">
        <f>T_Stocks[[#This Row],[Ticker]] &amp; "-" &amp; DATE(YEAR(T_Stocks[[#This Row],[Fecha]]),MONTH(T_Stocks[[#This Row],[Fecha]]),DAY(T_Stocks[[#This Row],[Fecha]]))</f>
        <v>BTCEUR-44107</v>
      </c>
    </row>
    <row r="2104" spans="1:4" ht="14.65" thickBot="1" x14ac:dyDescent="0.5">
      <c r="A2104" s="17">
        <v>44108.998611111114</v>
      </c>
      <c r="B2104" s="19">
        <v>9107.1123470000002</v>
      </c>
      <c r="C2104" t="s">
        <v>155</v>
      </c>
      <c r="D2104" t="str">
        <f>T_Stocks[[#This Row],[Ticker]] &amp; "-" &amp; DATE(YEAR(T_Stocks[[#This Row],[Fecha]]),MONTH(T_Stocks[[#This Row],[Fecha]]),DAY(T_Stocks[[#This Row],[Fecha]]))</f>
        <v>BTCEUR-44108</v>
      </c>
    </row>
    <row r="2105" spans="1:4" ht="14.65" thickBot="1" x14ac:dyDescent="0.5">
      <c r="A2105" s="17">
        <v>44109.998611111114</v>
      </c>
      <c r="B2105" s="19">
        <v>9152.9558400000005</v>
      </c>
      <c r="C2105" t="s">
        <v>155</v>
      </c>
      <c r="D2105" t="str">
        <f>T_Stocks[[#This Row],[Ticker]] &amp; "-" &amp; DATE(YEAR(T_Stocks[[#This Row],[Fecha]]),MONTH(T_Stocks[[#This Row],[Fecha]]),DAY(T_Stocks[[#This Row],[Fecha]]))</f>
        <v>BTCEUR-44109</v>
      </c>
    </row>
    <row r="2106" spans="1:4" ht="14.65" thickBot="1" x14ac:dyDescent="0.5">
      <c r="A2106" s="17">
        <v>44110.998611111114</v>
      </c>
      <c r="B2106" s="19">
        <v>9033.945291</v>
      </c>
      <c r="C2106" t="s">
        <v>155</v>
      </c>
      <c r="D2106" t="str">
        <f>T_Stocks[[#This Row],[Ticker]] &amp; "-" &amp; DATE(YEAR(T_Stocks[[#This Row],[Fecha]]),MONTH(T_Stocks[[#This Row],[Fecha]]),DAY(T_Stocks[[#This Row],[Fecha]]))</f>
        <v>BTCEUR-44110</v>
      </c>
    </row>
    <row r="2107" spans="1:4" ht="14.65" thickBot="1" x14ac:dyDescent="0.5">
      <c r="A2107" s="17">
        <v>44111.998611111114</v>
      </c>
      <c r="B2107" s="19">
        <v>9068.7341780000006</v>
      </c>
      <c r="C2107" t="s">
        <v>155</v>
      </c>
      <c r="D2107" t="str">
        <f>T_Stocks[[#This Row],[Ticker]] &amp; "-" &amp; DATE(YEAR(T_Stocks[[#This Row],[Fecha]]),MONTH(T_Stocks[[#This Row],[Fecha]]),DAY(T_Stocks[[#This Row],[Fecha]]))</f>
        <v>BTCEUR-44111</v>
      </c>
    </row>
    <row r="2108" spans="1:4" ht="14.65" thickBot="1" x14ac:dyDescent="0.5">
      <c r="A2108" s="17">
        <v>44112.998611111114</v>
      </c>
      <c r="B2108" s="19">
        <v>9288.3064730000006</v>
      </c>
      <c r="C2108" t="s">
        <v>155</v>
      </c>
      <c r="D2108" t="str">
        <f>T_Stocks[[#This Row],[Ticker]] &amp; "-" &amp; DATE(YEAR(T_Stocks[[#This Row],[Fecha]]),MONTH(T_Stocks[[#This Row],[Fecha]]),DAY(T_Stocks[[#This Row],[Fecha]]))</f>
        <v>BTCEUR-44112</v>
      </c>
    </row>
    <row r="2109" spans="1:4" ht="14.65" thickBot="1" x14ac:dyDescent="0.5">
      <c r="A2109" s="17">
        <v>44113.998611111114</v>
      </c>
      <c r="B2109" s="19">
        <v>9348.2836069999994</v>
      </c>
      <c r="C2109" t="s">
        <v>155</v>
      </c>
      <c r="D2109" t="str">
        <f>T_Stocks[[#This Row],[Ticker]] &amp; "-" &amp; DATE(YEAR(T_Stocks[[#This Row],[Fecha]]),MONTH(T_Stocks[[#This Row],[Fecha]]),DAY(T_Stocks[[#This Row],[Fecha]]))</f>
        <v>BTCEUR-44113</v>
      </c>
    </row>
    <row r="2110" spans="1:4" ht="14.65" thickBot="1" x14ac:dyDescent="0.5">
      <c r="A2110" s="17">
        <v>44114.998611111114</v>
      </c>
      <c r="B2110" s="19">
        <v>9551.8049159999991</v>
      </c>
      <c r="C2110" t="s">
        <v>155</v>
      </c>
      <c r="D2110" t="str">
        <f>T_Stocks[[#This Row],[Ticker]] &amp; "-" &amp; DATE(YEAR(T_Stocks[[#This Row],[Fecha]]),MONTH(T_Stocks[[#This Row],[Fecha]]),DAY(T_Stocks[[#This Row],[Fecha]]))</f>
        <v>BTCEUR-44114</v>
      </c>
    </row>
    <row r="2111" spans="1:4" ht="14.65" thickBot="1" x14ac:dyDescent="0.5">
      <c r="A2111" s="17">
        <v>44115.998611111114</v>
      </c>
      <c r="B2111" s="19">
        <v>9626.1529869999995</v>
      </c>
      <c r="C2111" t="s">
        <v>155</v>
      </c>
      <c r="D2111" t="str">
        <f>T_Stocks[[#This Row],[Ticker]] &amp; "-" &amp; DATE(YEAR(T_Stocks[[#This Row],[Fecha]]),MONTH(T_Stocks[[#This Row],[Fecha]]),DAY(T_Stocks[[#This Row],[Fecha]]))</f>
        <v>BTCEUR-44115</v>
      </c>
    </row>
    <row r="2112" spans="1:4" ht="14.65" thickBot="1" x14ac:dyDescent="0.5">
      <c r="A2112" s="17">
        <v>44116.998611111114</v>
      </c>
      <c r="B2112" s="19">
        <v>9764.0169900000001</v>
      </c>
      <c r="C2112" t="s">
        <v>155</v>
      </c>
      <c r="D2112" t="str">
        <f>T_Stocks[[#This Row],[Ticker]] &amp; "-" &amp; DATE(YEAR(T_Stocks[[#This Row],[Fecha]]),MONTH(T_Stocks[[#This Row],[Fecha]]),DAY(T_Stocks[[#This Row],[Fecha]]))</f>
        <v>BTCEUR-44116</v>
      </c>
    </row>
    <row r="2113" spans="1:4" ht="14.65" thickBot="1" x14ac:dyDescent="0.5">
      <c r="A2113" s="17">
        <v>44117.998611111114</v>
      </c>
      <c r="B2113" s="19">
        <v>9733.3303670000005</v>
      </c>
      <c r="C2113" t="s">
        <v>155</v>
      </c>
      <c r="D2113" t="str">
        <f>T_Stocks[[#This Row],[Ticker]] &amp; "-" &amp; DATE(YEAR(T_Stocks[[#This Row],[Fecha]]),MONTH(T_Stocks[[#This Row],[Fecha]]),DAY(T_Stocks[[#This Row],[Fecha]]))</f>
        <v>BTCEUR-44117</v>
      </c>
    </row>
    <row r="2114" spans="1:4" ht="14.65" thickBot="1" x14ac:dyDescent="0.5">
      <c r="A2114" s="17">
        <v>44118.998611111114</v>
      </c>
      <c r="B2114" s="19">
        <v>9731.1463600000006</v>
      </c>
      <c r="C2114" t="s">
        <v>155</v>
      </c>
      <c r="D2114" t="str">
        <f>T_Stocks[[#This Row],[Ticker]] &amp; "-" &amp; DATE(YEAR(T_Stocks[[#This Row],[Fecha]]),MONTH(T_Stocks[[#This Row],[Fecha]]),DAY(T_Stocks[[#This Row],[Fecha]]))</f>
        <v>BTCEUR-44118</v>
      </c>
    </row>
    <row r="2115" spans="1:4" ht="14.65" thickBot="1" x14ac:dyDescent="0.5">
      <c r="A2115" s="17">
        <v>44119.998611111114</v>
      </c>
      <c r="B2115" s="19">
        <v>9828.3488319999997</v>
      </c>
      <c r="C2115" t="s">
        <v>155</v>
      </c>
      <c r="D2115" t="str">
        <f>T_Stocks[[#This Row],[Ticker]] &amp; "-" &amp; DATE(YEAR(T_Stocks[[#This Row],[Fecha]]),MONTH(T_Stocks[[#This Row],[Fecha]]),DAY(T_Stocks[[#This Row],[Fecha]]))</f>
        <v>BTCEUR-44119</v>
      </c>
    </row>
    <row r="2116" spans="1:4" ht="14.65" thickBot="1" x14ac:dyDescent="0.5">
      <c r="A2116" s="17">
        <v>44120.998611111114</v>
      </c>
      <c r="B2116" s="19">
        <v>9663.4297979999992</v>
      </c>
      <c r="C2116" t="s">
        <v>155</v>
      </c>
      <c r="D2116" t="str">
        <f>T_Stocks[[#This Row],[Ticker]] &amp; "-" &amp; DATE(YEAR(T_Stocks[[#This Row],[Fecha]]),MONTH(T_Stocks[[#This Row],[Fecha]]),DAY(T_Stocks[[#This Row],[Fecha]]))</f>
        <v>BTCEUR-44120</v>
      </c>
    </row>
    <row r="2117" spans="1:4" ht="14.65" thickBot="1" x14ac:dyDescent="0.5">
      <c r="A2117" s="17">
        <v>44121.998611111114</v>
      </c>
      <c r="B2117" s="19">
        <v>9699.5987389999991</v>
      </c>
      <c r="C2117" t="s">
        <v>155</v>
      </c>
      <c r="D2117" t="str">
        <f>T_Stocks[[#This Row],[Ticker]] &amp; "-" &amp; DATE(YEAR(T_Stocks[[#This Row],[Fecha]]),MONTH(T_Stocks[[#This Row],[Fecha]]),DAY(T_Stocks[[#This Row],[Fecha]]))</f>
        <v>BTCEUR-44121</v>
      </c>
    </row>
    <row r="2118" spans="1:4" ht="14.65" thickBot="1" x14ac:dyDescent="0.5">
      <c r="A2118" s="17">
        <v>44122.998611111114</v>
      </c>
      <c r="B2118" s="19">
        <v>9826.7075530000002</v>
      </c>
      <c r="C2118" t="s">
        <v>155</v>
      </c>
      <c r="D2118" t="str">
        <f>T_Stocks[[#This Row],[Ticker]] &amp; "-" &amp; DATE(YEAR(T_Stocks[[#This Row],[Fecha]]),MONTH(T_Stocks[[#This Row],[Fecha]]),DAY(T_Stocks[[#This Row],[Fecha]]))</f>
        <v>BTCEUR-44122</v>
      </c>
    </row>
    <row r="2119" spans="1:4" ht="14.65" thickBot="1" x14ac:dyDescent="0.5">
      <c r="A2119" s="17">
        <v>44123.998611111114</v>
      </c>
      <c r="B2119" s="19">
        <v>9990.8235820000009</v>
      </c>
      <c r="C2119" t="s">
        <v>155</v>
      </c>
      <c r="D2119" t="str">
        <f>T_Stocks[[#This Row],[Ticker]] &amp; "-" &amp; DATE(YEAR(T_Stocks[[#This Row],[Fecha]]),MONTH(T_Stocks[[#This Row],[Fecha]]),DAY(T_Stocks[[#This Row],[Fecha]]))</f>
        <v>BTCEUR-44123</v>
      </c>
    </row>
    <row r="2120" spans="1:4" ht="14.65" thickBot="1" x14ac:dyDescent="0.5">
      <c r="A2120" s="17">
        <v>44124.998611111114</v>
      </c>
      <c r="B2120" s="19">
        <v>10078.14172</v>
      </c>
      <c r="C2120" t="s">
        <v>155</v>
      </c>
      <c r="D2120" t="str">
        <f>T_Stocks[[#This Row],[Ticker]] &amp; "-" &amp; DATE(YEAR(T_Stocks[[#This Row],[Fecha]]),MONTH(T_Stocks[[#This Row],[Fecha]]),DAY(T_Stocks[[#This Row],[Fecha]]))</f>
        <v>BTCEUR-44124</v>
      </c>
    </row>
    <row r="2121" spans="1:4" ht="14.65" thickBot="1" x14ac:dyDescent="0.5">
      <c r="A2121" s="17">
        <v>44125.998611111114</v>
      </c>
      <c r="B2121" s="19">
        <v>10807.384899999999</v>
      </c>
      <c r="C2121" t="s">
        <v>155</v>
      </c>
      <c r="D2121" t="str">
        <f>T_Stocks[[#This Row],[Ticker]] &amp; "-" &amp; DATE(YEAR(T_Stocks[[#This Row],[Fecha]]),MONTH(T_Stocks[[#This Row],[Fecha]]),DAY(T_Stocks[[#This Row],[Fecha]]))</f>
        <v>BTCEUR-44125</v>
      </c>
    </row>
    <row r="2122" spans="1:4" ht="14.65" thickBot="1" x14ac:dyDescent="0.5">
      <c r="A2122" s="17">
        <v>44126.998611111114</v>
      </c>
      <c r="B2122" s="19">
        <v>10989.88882</v>
      </c>
      <c r="C2122" t="s">
        <v>155</v>
      </c>
      <c r="D2122" t="str">
        <f>T_Stocks[[#This Row],[Ticker]] &amp; "-" &amp; DATE(YEAR(T_Stocks[[#This Row],[Fecha]]),MONTH(T_Stocks[[#This Row],[Fecha]]),DAY(T_Stocks[[#This Row],[Fecha]]))</f>
        <v>BTCEUR-44126</v>
      </c>
    </row>
    <row r="2123" spans="1:4" ht="14.65" thickBot="1" x14ac:dyDescent="0.5">
      <c r="A2123" s="17">
        <v>44127.998611111114</v>
      </c>
      <c r="B2123" s="19">
        <v>10909.643309999999</v>
      </c>
      <c r="C2123" t="s">
        <v>155</v>
      </c>
      <c r="D2123" t="str">
        <f>T_Stocks[[#This Row],[Ticker]] &amp; "-" &amp; DATE(YEAR(T_Stocks[[#This Row],[Fecha]]),MONTH(T_Stocks[[#This Row],[Fecha]]),DAY(T_Stocks[[#This Row],[Fecha]]))</f>
        <v>BTCEUR-44127</v>
      </c>
    </row>
    <row r="2124" spans="1:4" ht="14.65" thickBot="1" x14ac:dyDescent="0.5">
      <c r="A2124" s="17">
        <v>44128.998611111114</v>
      </c>
      <c r="B2124" s="19">
        <v>11064.084070000001</v>
      </c>
      <c r="C2124" t="s">
        <v>155</v>
      </c>
      <c r="D2124" t="str">
        <f>T_Stocks[[#This Row],[Ticker]] &amp; "-" &amp; DATE(YEAR(T_Stocks[[#This Row],[Fecha]]),MONTH(T_Stocks[[#This Row],[Fecha]]),DAY(T_Stocks[[#This Row],[Fecha]]))</f>
        <v>BTCEUR-44128</v>
      </c>
    </row>
    <row r="2125" spans="1:4" ht="14.65" thickBot="1" x14ac:dyDescent="0.5">
      <c r="A2125" s="17">
        <v>44129.998611111114</v>
      </c>
      <c r="B2125" s="19">
        <v>11005.705550000001</v>
      </c>
      <c r="C2125" t="s">
        <v>155</v>
      </c>
      <c r="D2125" t="str">
        <f>T_Stocks[[#This Row],[Ticker]] &amp; "-" &amp; DATE(YEAR(T_Stocks[[#This Row],[Fecha]]),MONTH(T_Stocks[[#This Row],[Fecha]]),DAY(T_Stocks[[#This Row],[Fecha]]))</f>
        <v>BTCEUR-44129</v>
      </c>
    </row>
    <row r="2126" spans="1:4" ht="14.65" thickBot="1" x14ac:dyDescent="0.5">
      <c r="A2126" s="17">
        <v>44130.998611111114</v>
      </c>
      <c r="B2126" s="19">
        <v>11067.465399999999</v>
      </c>
      <c r="C2126" t="s">
        <v>155</v>
      </c>
      <c r="D2126" t="str">
        <f>T_Stocks[[#This Row],[Ticker]] &amp; "-" &amp; DATE(YEAR(T_Stocks[[#This Row],[Fecha]]),MONTH(T_Stocks[[#This Row],[Fecha]]),DAY(T_Stocks[[#This Row],[Fecha]]))</f>
        <v>BTCEUR-44130</v>
      </c>
    </row>
    <row r="2127" spans="1:4" ht="14.65" thickBot="1" x14ac:dyDescent="0.5">
      <c r="A2127" s="17">
        <v>44131.998611111114</v>
      </c>
      <c r="B2127" s="19">
        <v>11579.9956</v>
      </c>
      <c r="C2127" t="s">
        <v>155</v>
      </c>
      <c r="D2127" t="str">
        <f>T_Stocks[[#This Row],[Ticker]] &amp; "-" &amp; DATE(YEAR(T_Stocks[[#This Row],[Fecha]]),MONTH(T_Stocks[[#This Row],[Fecha]]),DAY(T_Stocks[[#This Row],[Fecha]]))</f>
        <v>BTCEUR-44131</v>
      </c>
    </row>
    <row r="2128" spans="1:4" ht="14.65" thickBot="1" x14ac:dyDescent="0.5">
      <c r="A2128" s="17">
        <v>44132.998611111114</v>
      </c>
      <c r="B2128" s="19">
        <v>11304.18786</v>
      </c>
      <c r="C2128" t="s">
        <v>155</v>
      </c>
      <c r="D2128" t="str">
        <f>T_Stocks[[#This Row],[Ticker]] &amp; "-" &amp; DATE(YEAR(T_Stocks[[#This Row],[Fecha]]),MONTH(T_Stocks[[#This Row],[Fecha]]),DAY(T_Stocks[[#This Row],[Fecha]]))</f>
        <v>BTCEUR-44132</v>
      </c>
    </row>
    <row r="2129" spans="1:4" ht="14.65" thickBot="1" x14ac:dyDescent="0.5">
      <c r="A2129" s="17">
        <v>44133.998611111114</v>
      </c>
      <c r="B2129" s="19">
        <v>11521.62905</v>
      </c>
      <c r="C2129" t="s">
        <v>155</v>
      </c>
      <c r="D2129" t="str">
        <f>T_Stocks[[#This Row],[Ticker]] &amp; "-" &amp; DATE(YEAR(T_Stocks[[#This Row],[Fecha]]),MONTH(T_Stocks[[#This Row],[Fecha]]),DAY(T_Stocks[[#This Row],[Fecha]]))</f>
        <v>BTCEUR-44133</v>
      </c>
    </row>
    <row r="2130" spans="1:4" ht="14.65" thickBot="1" x14ac:dyDescent="0.5">
      <c r="A2130" s="17">
        <v>44134.998611111114</v>
      </c>
      <c r="B2130" s="19">
        <v>11619.70371</v>
      </c>
      <c r="C2130" t="s">
        <v>155</v>
      </c>
      <c r="D2130" t="str">
        <f>T_Stocks[[#This Row],[Ticker]] &amp; "-" &amp; DATE(YEAR(T_Stocks[[#This Row],[Fecha]]),MONTH(T_Stocks[[#This Row],[Fecha]]),DAY(T_Stocks[[#This Row],[Fecha]]))</f>
        <v>BTCEUR-44134</v>
      </c>
    </row>
    <row r="2131" spans="1:4" ht="14.65" thickBot="1" x14ac:dyDescent="0.5">
      <c r="A2131" s="17">
        <v>44135.998611111114</v>
      </c>
      <c r="B2131" s="19">
        <v>11815.05277</v>
      </c>
      <c r="C2131" t="s">
        <v>155</v>
      </c>
      <c r="D2131" t="str">
        <f>T_Stocks[[#This Row],[Ticker]] &amp; "-" &amp; DATE(YEAR(T_Stocks[[#This Row],[Fecha]]),MONTH(T_Stocks[[#This Row],[Fecha]]),DAY(T_Stocks[[#This Row],[Fecha]]))</f>
        <v>BTCEUR-44135</v>
      </c>
    </row>
    <row r="2132" spans="1:4" ht="14.65" thickBot="1" x14ac:dyDescent="0.5">
      <c r="A2132" s="17">
        <v>44136.998611111114</v>
      </c>
      <c r="B2132" s="19">
        <v>11822.22704</v>
      </c>
      <c r="C2132" t="s">
        <v>155</v>
      </c>
      <c r="D2132" t="str">
        <f>T_Stocks[[#This Row],[Ticker]] &amp; "-" &amp; DATE(YEAR(T_Stocks[[#This Row],[Fecha]]),MONTH(T_Stocks[[#This Row],[Fecha]]),DAY(T_Stocks[[#This Row],[Fecha]]))</f>
        <v>BTCEUR-44136</v>
      </c>
    </row>
    <row r="2133" spans="1:4" ht="14.65" thickBot="1" x14ac:dyDescent="0.5">
      <c r="A2133" s="17">
        <v>44137.998611111114</v>
      </c>
      <c r="B2133" s="19">
        <v>11652.24108</v>
      </c>
      <c r="C2133" t="s">
        <v>155</v>
      </c>
      <c r="D2133" t="str">
        <f>T_Stocks[[#This Row],[Ticker]] &amp; "-" &amp; DATE(YEAR(T_Stocks[[#This Row],[Fecha]]),MONTH(T_Stocks[[#This Row],[Fecha]]),DAY(T_Stocks[[#This Row],[Fecha]]))</f>
        <v>BTCEUR-44137</v>
      </c>
    </row>
    <row r="2134" spans="1:4" ht="14.65" thickBot="1" x14ac:dyDescent="0.5">
      <c r="A2134" s="17">
        <v>44138.998611111114</v>
      </c>
      <c r="B2134" s="19">
        <v>11920.9689</v>
      </c>
      <c r="C2134" t="s">
        <v>155</v>
      </c>
      <c r="D2134" t="str">
        <f>T_Stocks[[#This Row],[Ticker]] &amp; "-" &amp; DATE(YEAR(T_Stocks[[#This Row],[Fecha]]),MONTH(T_Stocks[[#This Row],[Fecha]]),DAY(T_Stocks[[#This Row],[Fecha]]))</f>
        <v>BTCEUR-44138</v>
      </c>
    </row>
    <row r="2135" spans="1:4" ht="14.65" thickBot="1" x14ac:dyDescent="0.5">
      <c r="A2135" s="17">
        <v>44139.998611111114</v>
      </c>
      <c r="B2135" s="19">
        <v>12068.51879</v>
      </c>
      <c r="C2135" t="s">
        <v>155</v>
      </c>
      <c r="D2135" t="str">
        <f>T_Stocks[[#This Row],[Ticker]] &amp; "-" &amp; DATE(YEAR(T_Stocks[[#This Row],[Fecha]]),MONTH(T_Stocks[[#This Row],[Fecha]]),DAY(T_Stocks[[#This Row],[Fecha]]))</f>
        <v>BTCEUR-44139</v>
      </c>
    </row>
    <row r="2136" spans="1:4" ht="14.65" thickBot="1" x14ac:dyDescent="0.5">
      <c r="A2136" s="17">
        <v>44140.998611111114</v>
      </c>
      <c r="B2136" s="19">
        <v>13190.63329</v>
      </c>
      <c r="C2136" t="s">
        <v>155</v>
      </c>
      <c r="D2136" t="str">
        <f>T_Stocks[[#This Row],[Ticker]] &amp; "-" &amp; DATE(YEAR(T_Stocks[[#This Row],[Fecha]]),MONTH(T_Stocks[[#This Row],[Fecha]]),DAY(T_Stocks[[#This Row],[Fecha]]))</f>
        <v>BTCEUR-44140</v>
      </c>
    </row>
    <row r="2137" spans="1:4" ht="14.65" thickBot="1" x14ac:dyDescent="0.5">
      <c r="A2137" s="17">
        <v>44141.998611111114</v>
      </c>
      <c r="B2137" s="19">
        <v>13121.5064</v>
      </c>
      <c r="C2137" t="s">
        <v>155</v>
      </c>
      <c r="D2137" t="str">
        <f>T_Stocks[[#This Row],[Ticker]] &amp; "-" &amp; DATE(YEAR(T_Stocks[[#This Row],[Fecha]]),MONTH(T_Stocks[[#This Row],[Fecha]]),DAY(T_Stocks[[#This Row],[Fecha]]))</f>
        <v>BTCEUR-44141</v>
      </c>
    </row>
    <row r="2138" spans="1:4" ht="14.65" thickBot="1" x14ac:dyDescent="0.5">
      <c r="A2138" s="17">
        <v>44142.998611111114</v>
      </c>
      <c r="B2138" s="19">
        <v>12490.811879999999</v>
      </c>
      <c r="C2138" t="s">
        <v>155</v>
      </c>
      <c r="D2138" t="str">
        <f>T_Stocks[[#This Row],[Ticker]] &amp; "-" &amp; DATE(YEAR(T_Stocks[[#This Row],[Fecha]]),MONTH(T_Stocks[[#This Row],[Fecha]]),DAY(T_Stocks[[#This Row],[Fecha]]))</f>
        <v>BTCEUR-44142</v>
      </c>
    </row>
    <row r="2139" spans="1:4" ht="14.65" thickBot="1" x14ac:dyDescent="0.5">
      <c r="A2139" s="17">
        <v>44143.998611111114</v>
      </c>
      <c r="B2139" s="19">
        <v>13019.71441</v>
      </c>
      <c r="C2139" t="s">
        <v>155</v>
      </c>
      <c r="D2139" t="str">
        <f>T_Stocks[[#This Row],[Ticker]] &amp; "-" &amp; DATE(YEAR(T_Stocks[[#This Row],[Fecha]]),MONTH(T_Stocks[[#This Row],[Fecha]]),DAY(T_Stocks[[#This Row],[Fecha]]))</f>
        <v>BTCEUR-44143</v>
      </c>
    </row>
    <row r="2140" spans="1:4" ht="14.65" thickBot="1" x14ac:dyDescent="0.5">
      <c r="A2140" s="17">
        <v>44144.998611111114</v>
      </c>
      <c r="B2140" s="19">
        <v>12958.183730000001</v>
      </c>
      <c r="C2140" t="s">
        <v>155</v>
      </c>
      <c r="D2140" t="str">
        <f>T_Stocks[[#This Row],[Ticker]] &amp; "-" &amp; DATE(YEAR(T_Stocks[[#This Row],[Fecha]]),MONTH(T_Stocks[[#This Row],[Fecha]]),DAY(T_Stocks[[#This Row],[Fecha]]))</f>
        <v>BTCEUR-44144</v>
      </c>
    </row>
    <row r="2141" spans="1:4" ht="14.65" thickBot="1" x14ac:dyDescent="0.5">
      <c r="A2141" s="17">
        <v>44145.998611111114</v>
      </c>
      <c r="B2141" s="19">
        <v>12953.80026</v>
      </c>
      <c r="C2141" t="s">
        <v>155</v>
      </c>
      <c r="D2141" t="str">
        <f>T_Stocks[[#This Row],[Ticker]] &amp; "-" &amp; DATE(YEAR(T_Stocks[[#This Row],[Fecha]]),MONTH(T_Stocks[[#This Row],[Fecha]]),DAY(T_Stocks[[#This Row],[Fecha]]))</f>
        <v>BTCEUR-44145</v>
      </c>
    </row>
    <row r="2142" spans="1:4" ht="14.65" thickBot="1" x14ac:dyDescent="0.5">
      <c r="A2142" s="17">
        <v>44146.998611111114</v>
      </c>
      <c r="B2142" s="19">
        <v>13331.196739999999</v>
      </c>
      <c r="C2142" t="s">
        <v>155</v>
      </c>
      <c r="D2142" t="str">
        <f>T_Stocks[[#This Row],[Ticker]] &amp; "-" &amp; DATE(YEAR(T_Stocks[[#This Row],[Fecha]]),MONTH(T_Stocks[[#This Row],[Fecha]]),DAY(T_Stocks[[#This Row],[Fecha]]))</f>
        <v>BTCEUR-44146</v>
      </c>
    </row>
    <row r="2143" spans="1:4" ht="14.65" thickBot="1" x14ac:dyDescent="0.5">
      <c r="A2143" s="17">
        <v>44147.998611111114</v>
      </c>
      <c r="B2143" s="19">
        <v>13305.10677</v>
      </c>
      <c r="C2143" t="s">
        <v>155</v>
      </c>
      <c r="D2143" t="str">
        <f>T_Stocks[[#This Row],[Ticker]] &amp; "-" &amp; DATE(YEAR(T_Stocks[[#This Row],[Fecha]]),MONTH(T_Stocks[[#This Row],[Fecha]]),DAY(T_Stocks[[#This Row],[Fecha]]))</f>
        <v>BTCEUR-44147</v>
      </c>
    </row>
    <row r="2144" spans="1:4" ht="14.65" thickBot="1" x14ac:dyDescent="0.5">
      <c r="A2144" s="17">
        <v>44148.998611111114</v>
      </c>
      <c r="B2144" s="19">
        <v>13791.423790000001</v>
      </c>
      <c r="C2144" t="s">
        <v>155</v>
      </c>
      <c r="D2144" t="str">
        <f>T_Stocks[[#This Row],[Ticker]] &amp; "-" &amp; DATE(YEAR(T_Stocks[[#This Row],[Fecha]]),MONTH(T_Stocks[[#This Row],[Fecha]]),DAY(T_Stocks[[#This Row],[Fecha]]))</f>
        <v>BTCEUR-44148</v>
      </c>
    </row>
    <row r="2145" spans="1:4" ht="14.65" thickBot="1" x14ac:dyDescent="0.5">
      <c r="A2145" s="17">
        <v>44149.998611111114</v>
      </c>
      <c r="B2145" s="19">
        <v>13582.05429</v>
      </c>
      <c r="C2145" t="s">
        <v>155</v>
      </c>
      <c r="D2145" t="str">
        <f>T_Stocks[[#This Row],[Ticker]] &amp; "-" &amp; DATE(YEAR(T_Stocks[[#This Row],[Fecha]]),MONTH(T_Stocks[[#This Row],[Fecha]]),DAY(T_Stocks[[#This Row],[Fecha]]))</f>
        <v>BTCEUR-44149</v>
      </c>
    </row>
    <row r="2146" spans="1:4" ht="14.65" thickBot="1" x14ac:dyDescent="0.5">
      <c r="A2146" s="17">
        <v>44150.998611111114</v>
      </c>
      <c r="B2146" s="19">
        <v>13453.675639999999</v>
      </c>
      <c r="C2146" t="s">
        <v>155</v>
      </c>
      <c r="D2146" t="str">
        <f>T_Stocks[[#This Row],[Ticker]] &amp; "-" &amp; DATE(YEAR(T_Stocks[[#This Row],[Fecha]]),MONTH(T_Stocks[[#This Row],[Fecha]]),DAY(T_Stocks[[#This Row],[Fecha]]))</f>
        <v>BTCEUR-44150</v>
      </c>
    </row>
    <row r="2147" spans="1:4" ht="14.65" thickBot="1" x14ac:dyDescent="0.5">
      <c r="A2147" s="17">
        <v>44151.998611111114</v>
      </c>
      <c r="B2147" s="19">
        <v>14089.5669</v>
      </c>
      <c r="C2147" t="s">
        <v>155</v>
      </c>
      <c r="D2147" t="str">
        <f>T_Stocks[[#This Row],[Ticker]] &amp; "-" &amp; DATE(YEAR(T_Stocks[[#This Row],[Fecha]]),MONTH(T_Stocks[[#This Row],[Fecha]]),DAY(T_Stocks[[#This Row],[Fecha]]))</f>
        <v>BTCEUR-44151</v>
      </c>
    </row>
    <row r="2148" spans="1:4" ht="14.65" thickBot="1" x14ac:dyDescent="0.5">
      <c r="A2148" s="17">
        <v>44152.998611111114</v>
      </c>
      <c r="B2148" s="19">
        <v>14896.394399999999</v>
      </c>
      <c r="C2148" t="s">
        <v>155</v>
      </c>
      <c r="D2148" t="str">
        <f>T_Stocks[[#This Row],[Ticker]] &amp; "-" &amp; DATE(YEAR(T_Stocks[[#This Row],[Fecha]]),MONTH(T_Stocks[[#This Row],[Fecha]]),DAY(T_Stocks[[#This Row],[Fecha]]))</f>
        <v>BTCEUR-44152</v>
      </c>
    </row>
    <row r="2149" spans="1:4" ht="14.65" thickBot="1" x14ac:dyDescent="0.5">
      <c r="A2149" s="17">
        <v>44153.998611111114</v>
      </c>
      <c r="B2149" s="19">
        <v>15012.163570000001</v>
      </c>
      <c r="C2149" t="s">
        <v>155</v>
      </c>
      <c r="D2149" t="str">
        <f>T_Stocks[[#This Row],[Ticker]] &amp; "-" &amp; DATE(YEAR(T_Stocks[[#This Row],[Fecha]]),MONTH(T_Stocks[[#This Row],[Fecha]]),DAY(T_Stocks[[#This Row],[Fecha]]))</f>
        <v>BTCEUR-44153</v>
      </c>
    </row>
    <row r="2150" spans="1:4" ht="14.65" thickBot="1" x14ac:dyDescent="0.5">
      <c r="A2150" s="17">
        <v>44154.998611111114</v>
      </c>
      <c r="B2150" s="19">
        <v>15011.83368</v>
      </c>
      <c r="C2150" t="s">
        <v>155</v>
      </c>
      <c r="D2150" t="str">
        <f>T_Stocks[[#This Row],[Ticker]] &amp; "-" &amp; DATE(YEAR(T_Stocks[[#This Row],[Fecha]]),MONTH(T_Stocks[[#This Row],[Fecha]]),DAY(T_Stocks[[#This Row],[Fecha]]))</f>
        <v>BTCEUR-44154</v>
      </c>
    </row>
    <row r="2151" spans="1:4" ht="14.65" thickBot="1" x14ac:dyDescent="0.5">
      <c r="A2151" s="17">
        <v>44155.998611111114</v>
      </c>
      <c r="B2151" s="19">
        <v>15745.83635</v>
      </c>
      <c r="C2151" t="s">
        <v>155</v>
      </c>
      <c r="D2151" t="str">
        <f>T_Stocks[[#This Row],[Ticker]] &amp; "-" &amp; DATE(YEAR(T_Stocks[[#This Row],[Fecha]]),MONTH(T_Stocks[[#This Row],[Fecha]]),DAY(T_Stocks[[#This Row],[Fecha]]))</f>
        <v>BTCEUR-44155</v>
      </c>
    </row>
    <row r="2152" spans="1:4" ht="14.65" thickBot="1" x14ac:dyDescent="0.5">
      <c r="A2152" s="17">
        <v>44156.998611111114</v>
      </c>
      <c r="B2152" s="19">
        <v>15769.61997</v>
      </c>
      <c r="C2152" t="s">
        <v>155</v>
      </c>
      <c r="D2152" t="str">
        <f>T_Stocks[[#This Row],[Ticker]] &amp; "-" &amp; DATE(YEAR(T_Stocks[[#This Row],[Fecha]]),MONTH(T_Stocks[[#This Row],[Fecha]]),DAY(T_Stocks[[#This Row],[Fecha]]))</f>
        <v>BTCEUR-44156</v>
      </c>
    </row>
    <row r="2153" spans="1:4" ht="14.65" thickBot="1" x14ac:dyDescent="0.5">
      <c r="A2153" s="17">
        <v>44157.998611111114</v>
      </c>
      <c r="B2153" s="19">
        <v>15529.7801</v>
      </c>
      <c r="C2153" t="s">
        <v>155</v>
      </c>
      <c r="D2153" t="str">
        <f>T_Stocks[[#This Row],[Ticker]] &amp; "-" &amp; DATE(YEAR(T_Stocks[[#This Row],[Fecha]]),MONTH(T_Stocks[[#This Row],[Fecha]]),DAY(T_Stocks[[#This Row],[Fecha]]))</f>
        <v>BTCEUR-44157</v>
      </c>
    </row>
    <row r="2154" spans="1:4" ht="14.65" thickBot="1" x14ac:dyDescent="0.5">
      <c r="A2154" s="17">
        <v>44158.998611111114</v>
      </c>
      <c r="B2154" s="19">
        <v>15516.3313</v>
      </c>
      <c r="C2154" t="s">
        <v>155</v>
      </c>
      <c r="D2154" t="str">
        <f>T_Stocks[[#This Row],[Ticker]] &amp; "-" &amp; DATE(YEAR(T_Stocks[[#This Row],[Fecha]]),MONTH(T_Stocks[[#This Row],[Fecha]]),DAY(T_Stocks[[#This Row],[Fecha]]))</f>
        <v>BTCEUR-44158</v>
      </c>
    </row>
    <row r="2155" spans="1:4" ht="14.65" thickBot="1" x14ac:dyDescent="0.5">
      <c r="A2155" s="17">
        <v>44159.998611111114</v>
      </c>
      <c r="B2155" s="19">
        <v>16088.9468</v>
      </c>
      <c r="C2155" t="s">
        <v>155</v>
      </c>
      <c r="D2155" t="str">
        <f>T_Stocks[[#This Row],[Ticker]] &amp; "-" &amp; DATE(YEAR(T_Stocks[[#This Row],[Fecha]]),MONTH(T_Stocks[[#This Row],[Fecha]]),DAY(T_Stocks[[#This Row],[Fecha]]))</f>
        <v>BTCEUR-44159</v>
      </c>
    </row>
    <row r="2156" spans="1:4" ht="14.65" thickBot="1" x14ac:dyDescent="0.5">
      <c r="A2156" s="17">
        <v>44160.998611111114</v>
      </c>
      <c r="B2156" s="19">
        <v>15708.221949999999</v>
      </c>
      <c r="C2156" t="s">
        <v>155</v>
      </c>
      <c r="D2156" t="str">
        <f>T_Stocks[[#This Row],[Ticker]] &amp; "-" &amp; DATE(YEAR(T_Stocks[[#This Row],[Fecha]]),MONTH(T_Stocks[[#This Row],[Fecha]]),DAY(T_Stocks[[#This Row],[Fecha]]))</f>
        <v>BTCEUR-44160</v>
      </c>
    </row>
    <row r="2157" spans="1:4" ht="14.65" thickBot="1" x14ac:dyDescent="0.5">
      <c r="A2157" s="17">
        <v>44161.998611111114</v>
      </c>
      <c r="B2157" s="19">
        <v>14405.42988</v>
      </c>
      <c r="C2157" t="s">
        <v>155</v>
      </c>
      <c r="D2157" t="str">
        <f>T_Stocks[[#This Row],[Ticker]] &amp; "-" &amp; DATE(YEAR(T_Stocks[[#This Row],[Fecha]]),MONTH(T_Stocks[[#This Row],[Fecha]]),DAY(T_Stocks[[#This Row],[Fecha]]))</f>
        <v>BTCEUR-44161</v>
      </c>
    </row>
    <row r="2158" spans="1:4" ht="14.65" thickBot="1" x14ac:dyDescent="0.5">
      <c r="A2158" s="17">
        <v>44162.998611111114</v>
      </c>
      <c r="B2158" s="19">
        <v>14327.13149</v>
      </c>
      <c r="C2158" t="s">
        <v>155</v>
      </c>
      <c r="D2158" t="str">
        <f>T_Stocks[[#This Row],[Ticker]] &amp; "-" &amp; DATE(YEAR(T_Stocks[[#This Row],[Fecha]]),MONTH(T_Stocks[[#This Row],[Fecha]]),DAY(T_Stocks[[#This Row],[Fecha]]))</f>
        <v>BTCEUR-44162</v>
      </c>
    </row>
    <row r="2159" spans="1:4" ht="14.65" thickBot="1" x14ac:dyDescent="0.5">
      <c r="A2159" s="17">
        <v>44163.998611111114</v>
      </c>
      <c r="B2159" s="19">
        <v>14822.62357</v>
      </c>
      <c r="C2159" t="s">
        <v>155</v>
      </c>
      <c r="D2159" t="str">
        <f>T_Stocks[[#This Row],[Ticker]] &amp; "-" &amp; DATE(YEAR(T_Stocks[[#This Row],[Fecha]]),MONTH(T_Stocks[[#This Row],[Fecha]]),DAY(T_Stocks[[#This Row],[Fecha]]))</f>
        <v>BTCEUR-44163</v>
      </c>
    </row>
    <row r="2160" spans="1:4" ht="14.65" thickBot="1" x14ac:dyDescent="0.5">
      <c r="A2160" s="17">
        <v>44164.998611111114</v>
      </c>
      <c r="B2160" s="19">
        <v>15194.16173</v>
      </c>
      <c r="C2160" t="s">
        <v>155</v>
      </c>
      <c r="D2160" t="str">
        <f>T_Stocks[[#This Row],[Ticker]] &amp; "-" &amp; DATE(YEAR(T_Stocks[[#This Row],[Fecha]]),MONTH(T_Stocks[[#This Row],[Fecha]]),DAY(T_Stocks[[#This Row],[Fecha]]))</f>
        <v>BTCEUR-44164</v>
      </c>
    </row>
    <row r="2161" spans="1:4" ht="14.65" thickBot="1" x14ac:dyDescent="0.5">
      <c r="A2161" s="17">
        <v>44165.998611111114</v>
      </c>
      <c r="B2161" s="19">
        <v>16505.181240000002</v>
      </c>
      <c r="C2161" t="s">
        <v>155</v>
      </c>
      <c r="D2161" t="str">
        <f>T_Stocks[[#This Row],[Ticker]] &amp; "-" &amp; DATE(YEAR(T_Stocks[[#This Row],[Fecha]]),MONTH(T_Stocks[[#This Row],[Fecha]]),DAY(T_Stocks[[#This Row],[Fecha]]))</f>
        <v>BTCEUR-44165</v>
      </c>
    </row>
    <row r="2162" spans="1:4" ht="14.65" thickBot="1" x14ac:dyDescent="0.5">
      <c r="A2162" s="17">
        <v>44166.998611111114</v>
      </c>
      <c r="B2162" s="19">
        <v>15557.67902</v>
      </c>
      <c r="C2162" t="s">
        <v>155</v>
      </c>
      <c r="D2162" t="str">
        <f>T_Stocks[[#This Row],[Ticker]] &amp; "-" &amp; DATE(YEAR(T_Stocks[[#This Row],[Fecha]]),MONTH(T_Stocks[[#This Row],[Fecha]]),DAY(T_Stocks[[#This Row],[Fecha]]))</f>
        <v>BTCEUR-44166</v>
      </c>
    </row>
    <row r="2163" spans="1:4" ht="14.65" thickBot="1" x14ac:dyDescent="0.5">
      <c r="A2163" s="17">
        <v>44167.998611111114</v>
      </c>
      <c r="B2163" s="19">
        <v>15873.543820000001</v>
      </c>
      <c r="C2163" t="s">
        <v>155</v>
      </c>
      <c r="D2163" t="str">
        <f>T_Stocks[[#This Row],[Ticker]] &amp; "-" &amp; DATE(YEAR(T_Stocks[[#This Row],[Fecha]]),MONTH(T_Stocks[[#This Row],[Fecha]]),DAY(T_Stocks[[#This Row],[Fecha]]))</f>
        <v>BTCEUR-44167</v>
      </c>
    </row>
    <row r="2164" spans="1:4" ht="14.65" thickBot="1" x14ac:dyDescent="0.5">
      <c r="A2164" s="17">
        <v>44168.998611111114</v>
      </c>
      <c r="B2164" s="19">
        <v>16009.755730000001</v>
      </c>
      <c r="C2164" t="s">
        <v>155</v>
      </c>
      <c r="D2164" t="str">
        <f>T_Stocks[[#This Row],[Ticker]] &amp; "-" &amp; DATE(YEAR(T_Stocks[[#This Row],[Fecha]]),MONTH(T_Stocks[[#This Row],[Fecha]]),DAY(T_Stocks[[#This Row],[Fecha]]))</f>
        <v>BTCEUR-44168</v>
      </c>
    </row>
    <row r="2165" spans="1:4" ht="14.65" thickBot="1" x14ac:dyDescent="0.5">
      <c r="A2165" s="17">
        <v>44169.998611111114</v>
      </c>
      <c r="B2165" s="19">
        <v>15392.542880000001</v>
      </c>
      <c r="C2165" t="s">
        <v>155</v>
      </c>
      <c r="D2165" t="str">
        <f>T_Stocks[[#This Row],[Ticker]] &amp; "-" &amp; DATE(YEAR(T_Stocks[[#This Row],[Fecha]]),MONTH(T_Stocks[[#This Row],[Fecha]]),DAY(T_Stocks[[#This Row],[Fecha]]))</f>
        <v>BTCEUR-44169</v>
      </c>
    </row>
    <row r="2166" spans="1:4" ht="14.65" thickBot="1" x14ac:dyDescent="0.5">
      <c r="A2166" s="17">
        <v>44170.998611111114</v>
      </c>
      <c r="B2166" s="19">
        <v>15799.92446</v>
      </c>
      <c r="C2166" t="s">
        <v>155</v>
      </c>
      <c r="D2166" t="str">
        <f>T_Stocks[[#This Row],[Ticker]] &amp; "-" &amp; DATE(YEAR(T_Stocks[[#This Row],[Fecha]]),MONTH(T_Stocks[[#This Row],[Fecha]]),DAY(T_Stocks[[#This Row],[Fecha]]))</f>
        <v>BTCEUR-44170</v>
      </c>
    </row>
    <row r="2167" spans="1:4" ht="14.65" thickBot="1" x14ac:dyDescent="0.5">
      <c r="A2167" s="17">
        <v>44171.998611111114</v>
      </c>
      <c r="B2167" s="19">
        <v>15988.78469</v>
      </c>
      <c r="C2167" t="s">
        <v>155</v>
      </c>
      <c r="D2167" t="str">
        <f>T_Stocks[[#This Row],[Ticker]] &amp; "-" &amp; DATE(YEAR(T_Stocks[[#This Row],[Fecha]]),MONTH(T_Stocks[[#This Row],[Fecha]]),DAY(T_Stocks[[#This Row],[Fecha]]))</f>
        <v>BTCEUR-44171</v>
      </c>
    </row>
    <row r="2168" spans="1:4" ht="14.65" thickBot="1" x14ac:dyDescent="0.5">
      <c r="A2168" s="17">
        <v>44172.998611111114</v>
      </c>
      <c r="B2168" s="19">
        <v>15831.09353</v>
      </c>
      <c r="C2168" t="s">
        <v>155</v>
      </c>
      <c r="D2168" t="str">
        <f>T_Stocks[[#This Row],[Ticker]] &amp; "-" &amp; DATE(YEAR(T_Stocks[[#This Row],[Fecha]]),MONTH(T_Stocks[[#This Row],[Fecha]]),DAY(T_Stocks[[#This Row],[Fecha]]))</f>
        <v>BTCEUR-44172</v>
      </c>
    </row>
    <row r="2169" spans="1:4" ht="14.65" thickBot="1" x14ac:dyDescent="0.5">
      <c r="A2169" s="17">
        <v>44173.998611111114</v>
      </c>
      <c r="B2169" s="19">
        <v>15128.0708</v>
      </c>
      <c r="C2169" t="s">
        <v>155</v>
      </c>
      <c r="D2169" t="str">
        <f>T_Stocks[[#This Row],[Ticker]] &amp; "-" &amp; DATE(YEAR(T_Stocks[[#This Row],[Fecha]]),MONTH(T_Stocks[[#This Row],[Fecha]]),DAY(T_Stocks[[#This Row],[Fecha]]))</f>
        <v>BTCEUR-44173</v>
      </c>
    </row>
    <row r="2170" spans="1:4" ht="14.65" thickBot="1" x14ac:dyDescent="0.5">
      <c r="A2170" s="17">
        <v>44174.998611111114</v>
      </c>
      <c r="B2170" s="19">
        <v>15355.723620000001</v>
      </c>
      <c r="C2170" t="s">
        <v>155</v>
      </c>
      <c r="D2170" t="str">
        <f>T_Stocks[[#This Row],[Ticker]] &amp; "-" &amp; DATE(YEAR(T_Stocks[[#This Row],[Fecha]]),MONTH(T_Stocks[[#This Row],[Fecha]]),DAY(T_Stocks[[#This Row],[Fecha]]))</f>
        <v>BTCEUR-44174</v>
      </c>
    </row>
    <row r="2171" spans="1:4" ht="14.65" thickBot="1" x14ac:dyDescent="0.5">
      <c r="A2171" s="17">
        <v>44175.998611111114</v>
      </c>
      <c r="B2171" s="19">
        <v>15026.05394</v>
      </c>
      <c r="C2171" t="s">
        <v>155</v>
      </c>
      <c r="D2171" t="str">
        <f>T_Stocks[[#This Row],[Ticker]] &amp; "-" &amp; DATE(YEAR(T_Stocks[[#This Row],[Fecha]]),MONTH(T_Stocks[[#This Row],[Fecha]]),DAY(T_Stocks[[#This Row],[Fecha]]))</f>
        <v>BTCEUR-44175</v>
      </c>
    </row>
    <row r="2172" spans="1:4" ht="14.65" thickBot="1" x14ac:dyDescent="0.5">
      <c r="A2172" s="17">
        <v>44176.998611111114</v>
      </c>
      <c r="B2172" s="19">
        <v>14879.818450000001</v>
      </c>
      <c r="C2172" t="s">
        <v>155</v>
      </c>
      <c r="D2172" t="str">
        <f>T_Stocks[[#This Row],[Ticker]] &amp; "-" &amp; DATE(YEAR(T_Stocks[[#This Row],[Fecha]]),MONTH(T_Stocks[[#This Row],[Fecha]]),DAY(T_Stocks[[#This Row],[Fecha]]))</f>
        <v>BTCEUR-44176</v>
      </c>
    </row>
    <row r="2173" spans="1:4" ht="14.65" thickBot="1" x14ac:dyDescent="0.5">
      <c r="A2173" s="17">
        <v>44177.998611111114</v>
      </c>
      <c r="B2173" s="19">
        <v>15530.0393</v>
      </c>
      <c r="C2173" t="s">
        <v>155</v>
      </c>
      <c r="D2173" t="str">
        <f>T_Stocks[[#This Row],[Ticker]] &amp; "-" &amp; DATE(YEAR(T_Stocks[[#This Row],[Fecha]]),MONTH(T_Stocks[[#This Row],[Fecha]]),DAY(T_Stocks[[#This Row],[Fecha]]))</f>
        <v>BTCEUR-44177</v>
      </c>
    </row>
    <row r="2174" spans="1:4" ht="14.65" thickBot="1" x14ac:dyDescent="0.5">
      <c r="A2174" s="17">
        <v>44178.998611111114</v>
      </c>
      <c r="B2174" s="19">
        <v>15796.199000000001</v>
      </c>
      <c r="C2174" t="s">
        <v>155</v>
      </c>
      <c r="D2174" t="str">
        <f>T_Stocks[[#This Row],[Ticker]] &amp; "-" &amp; DATE(YEAR(T_Stocks[[#This Row],[Fecha]]),MONTH(T_Stocks[[#This Row],[Fecha]]),DAY(T_Stocks[[#This Row],[Fecha]]))</f>
        <v>BTCEUR-44178</v>
      </c>
    </row>
    <row r="2175" spans="1:4" ht="14.65" thickBot="1" x14ac:dyDescent="0.5">
      <c r="A2175" s="17">
        <v>44179.998611111114</v>
      </c>
      <c r="B2175" s="19">
        <v>15865.42013</v>
      </c>
      <c r="C2175" t="s">
        <v>155</v>
      </c>
      <c r="D2175" t="str">
        <f>T_Stocks[[#This Row],[Ticker]] &amp; "-" &amp; DATE(YEAR(T_Stocks[[#This Row],[Fecha]]),MONTH(T_Stocks[[#This Row],[Fecha]]),DAY(T_Stocks[[#This Row],[Fecha]]))</f>
        <v>BTCEUR-44179</v>
      </c>
    </row>
    <row r="2176" spans="1:4" ht="14.65" thickBot="1" x14ac:dyDescent="0.5">
      <c r="A2176" s="17">
        <v>44180.998611111114</v>
      </c>
      <c r="B2176" s="19">
        <v>15990.661990000001</v>
      </c>
      <c r="C2176" t="s">
        <v>155</v>
      </c>
      <c r="D2176" t="str">
        <f>T_Stocks[[#This Row],[Ticker]] &amp; "-" &amp; DATE(YEAR(T_Stocks[[#This Row],[Fecha]]),MONTH(T_Stocks[[#This Row],[Fecha]]),DAY(T_Stocks[[#This Row],[Fecha]]))</f>
        <v>BTCEUR-44180</v>
      </c>
    </row>
    <row r="2177" spans="1:4" ht="14.65" thickBot="1" x14ac:dyDescent="0.5">
      <c r="A2177" s="17">
        <v>44181.998611111114</v>
      </c>
      <c r="B2177" s="19">
        <v>17504.53775</v>
      </c>
      <c r="C2177" t="s">
        <v>155</v>
      </c>
      <c r="D2177" t="str">
        <f>T_Stocks[[#This Row],[Ticker]] &amp; "-" &amp; DATE(YEAR(T_Stocks[[#This Row],[Fecha]]),MONTH(T_Stocks[[#This Row],[Fecha]]),DAY(T_Stocks[[#This Row],[Fecha]]))</f>
        <v>BTCEUR-44181</v>
      </c>
    </row>
    <row r="2178" spans="1:4" ht="14.65" thickBot="1" x14ac:dyDescent="0.5">
      <c r="A2178" s="17">
        <v>44182.998611111114</v>
      </c>
      <c r="B2178" s="19">
        <v>18618.990430000002</v>
      </c>
      <c r="C2178" t="s">
        <v>155</v>
      </c>
      <c r="D2178" t="str">
        <f>T_Stocks[[#This Row],[Ticker]] &amp; "-" &amp; DATE(YEAR(T_Stocks[[#This Row],[Fecha]]),MONTH(T_Stocks[[#This Row],[Fecha]]),DAY(T_Stocks[[#This Row],[Fecha]]))</f>
        <v>BTCEUR-44182</v>
      </c>
    </row>
    <row r="2179" spans="1:4" ht="14.65" thickBot="1" x14ac:dyDescent="0.5">
      <c r="A2179" s="17">
        <v>44183.998611111114</v>
      </c>
      <c r="B2179" s="19">
        <v>18876.684440000001</v>
      </c>
      <c r="C2179" t="s">
        <v>155</v>
      </c>
      <c r="D2179" t="str">
        <f>T_Stocks[[#This Row],[Ticker]] &amp; "-" &amp; DATE(YEAR(T_Stocks[[#This Row],[Fecha]]),MONTH(T_Stocks[[#This Row],[Fecha]]),DAY(T_Stocks[[#This Row],[Fecha]]))</f>
        <v>BTCEUR-44183</v>
      </c>
    </row>
    <row r="2180" spans="1:4" ht="14.65" thickBot="1" x14ac:dyDescent="0.5">
      <c r="A2180" s="17">
        <v>44184.998611111114</v>
      </c>
      <c r="B2180" s="19">
        <v>19448.543430000002</v>
      </c>
      <c r="C2180" t="s">
        <v>155</v>
      </c>
      <c r="D2180" t="str">
        <f>T_Stocks[[#This Row],[Ticker]] &amp; "-" &amp; DATE(YEAR(T_Stocks[[#This Row],[Fecha]]),MONTH(T_Stocks[[#This Row],[Fecha]]),DAY(T_Stocks[[#This Row],[Fecha]]))</f>
        <v>BTCEUR-44184</v>
      </c>
    </row>
    <row r="2181" spans="1:4" ht="14.65" thickBot="1" x14ac:dyDescent="0.5">
      <c r="A2181" s="17">
        <v>44185.998611111114</v>
      </c>
      <c r="B2181" s="19">
        <v>19214.501120000001</v>
      </c>
      <c r="C2181" t="s">
        <v>155</v>
      </c>
      <c r="D2181" t="str">
        <f>T_Stocks[[#This Row],[Ticker]] &amp; "-" &amp; DATE(YEAR(T_Stocks[[#This Row],[Fecha]]),MONTH(T_Stocks[[#This Row],[Fecha]]),DAY(T_Stocks[[#This Row],[Fecha]]))</f>
        <v>BTCEUR-44185</v>
      </c>
    </row>
    <row r="2182" spans="1:4" ht="14.65" thickBot="1" x14ac:dyDescent="0.5">
      <c r="A2182" s="17">
        <v>44186.998611111114</v>
      </c>
      <c r="B2182" s="19">
        <v>18558.366839999999</v>
      </c>
      <c r="C2182" t="s">
        <v>155</v>
      </c>
      <c r="D2182" t="str">
        <f>T_Stocks[[#This Row],[Ticker]] &amp; "-" &amp; DATE(YEAR(T_Stocks[[#This Row],[Fecha]]),MONTH(T_Stocks[[#This Row],[Fecha]]),DAY(T_Stocks[[#This Row],[Fecha]]))</f>
        <v>BTCEUR-44186</v>
      </c>
    </row>
    <row r="2183" spans="1:4" ht="14.65" thickBot="1" x14ac:dyDescent="0.5">
      <c r="A2183" s="17">
        <v>44187.998611111114</v>
      </c>
      <c r="B2183" s="19">
        <v>19548.143700000001</v>
      </c>
      <c r="C2183" t="s">
        <v>155</v>
      </c>
      <c r="D2183" t="str">
        <f>T_Stocks[[#This Row],[Ticker]] &amp; "-" &amp; DATE(YEAR(T_Stocks[[#This Row],[Fecha]]),MONTH(T_Stocks[[#This Row],[Fecha]]),DAY(T_Stocks[[#This Row],[Fecha]]))</f>
        <v>BTCEUR-44187</v>
      </c>
    </row>
    <row r="2184" spans="1:4" ht="14.65" thickBot="1" x14ac:dyDescent="0.5">
      <c r="A2184" s="17">
        <v>44188.998611111114</v>
      </c>
      <c r="B2184" s="19">
        <v>19057.786929999998</v>
      </c>
      <c r="C2184" t="s">
        <v>155</v>
      </c>
      <c r="D2184" t="str">
        <f>T_Stocks[[#This Row],[Ticker]] &amp; "-" &amp; DATE(YEAR(T_Stocks[[#This Row],[Fecha]]),MONTH(T_Stocks[[#This Row],[Fecha]]),DAY(T_Stocks[[#This Row],[Fecha]]))</f>
        <v>BTCEUR-44188</v>
      </c>
    </row>
    <row r="2185" spans="1:4" ht="14.65" thickBot="1" x14ac:dyDescent="0.5">
      <c r="A2185" s="17">
        <v>44189.998611111114</v>
      </c>
      <c r="B2185" s="19">
        <v>19466.347440000001</v>
      </c>
      <c r="C2185" t="s">
        <v>155</v>
      </c>
      <c r="D2185" t="str">
        <f>T_Stocks[[#This Row],[Ticker]] &amp; "-" &amp; DATE(YEAR(T_Stocks[[#This Row],[Fecha]]),MONTH(T_Stocks[[#This Row],[Fecha]]),DAY(T_Stocks[[#This Row],[Fecha]]))</f>
        <v>BTCEUR-44189</v>
      </c>
    </row>
    <row r="2186" spans="1:4" ht="14.65" thickBot="1" x14ac:dyDescent="0.5">
      <c r="A2186" s="17">
        <v>44190.998611111114</v>
      </c>
      <c r="B2186" s="19">
        <v>20259.24193</v>
      </c>
      <c r="C2186" t="s">
        <v>155</v>
      </c>
      <c r="D2186" t="str">
        <f>T_Stocks[[#This Row],[Ticker]] &amp; "-" &amp; DATE(YEAR(T_Stocks[[#This Row],[Fecha]]),MONTH(T_Stocks[[#This Row],[Fecha]]),DAY(T_Stocks[[#This Row],[Fecha]]))</f>
        <v>BTCEUR-44190</v>
      </c>
    </row>
    <row r="2187" spans="1:4" ht="14.65" thickBot="1" x14ac:dyDescent="0.5">
      <c r="A2187" s="17">
        <v>44191.998611111114</v>
      </c>
      <c r="B2187" s="19">
        <v>21529.63739</v>
      </c>
      <c r="C2187" t="s">
        <v>155</v>
      </c>
      <c r="D2187" t="str">
        <f>T_Stocks[[#This Row],[Ticker]] &amp; "-" &amp; DATE(YEAR(T_Stocks[[#This Row],[Fecha]]),MONTH(T_Stocks[[#This Row],[Fecha]]),DAY(T_Stocks[[#This Row],[Fecha]]))</f>
        <v>BTCEUR-44191</v>
      </c>
    </row>
    <row r="2188" spans="1:4" ht="14.65" thickBot="1" x14ac:dyDescent="0.5">
      <c r="A2188" s="17">
        <v>44192.998611111114</v>
      </c>
      <c r="B2188" s="19">
        <v>21498.653859999999</v>
      </c>
      <c r="C2188" t="s">
        <v>155</v>
      </c>
      <c r="D2188" t="str">
        <f>T_Stocks[[#This Row],[Ticker]] &amp; "-" &amp; DATE(YEAR(T_Stocks[[#This Row],[Fecha]]),MONTH(T_Stocks[[#This Row],[Fecha]]),DAY(T_Stocks[[#This Row],[Fecha]]))</f>
        <v>BTCEUR-44192</v>
      </c>
    </row>
    <row r="2189" spans="1:4" ht="14.65" thickBot="1" x14ac:dyDescent="0.5">
      <c r="A2189" s="17">
        <v>44193.998611111114</v>
      </c>
      <c r="B2189" s="19">
        <v>22118.01252</v>
      </c>
      <c r="C2189" t="s">
        <v>155</v>
      </c>
      <c r="D2189" t="str">
        <f>T_Stocks[[#This Row],[Ticker]] &amp; "-" &amp; DATE(YEAR(T_Stocks[[#This Row],[Fecha]]),MONTH(T_Stocks[[#This Row],[Fecha]]),DAY(T_Stocks[[#This Row],[Fecha]]))</f>
        <v>BTCEUR-44193</v>
      </c>
    </row>
    <row r="2190" spans="1:4" ht="14.65" thickBot="1" x14ac:dyDescent="0.5">
      <c r="A2190" s="17">
        <v>44194.998611111114</v>
      </c>
      <c r="B2190" s="19">
        <v>22329.447380000001</v>
      </c>
      <c r="C2190" t="s">
        <v>155</v>
      </c>
      <c r="D2190" t="str">
        <f>T_Stocks[[#This Row],[Ticker]] &amp; "-" &amp; DATE(YEAR(T_Stocks[[#This Row],[Fecha]]),MONTH(T_Stocks[[#This Row],[Fecha]]),DAY(T_Stocks[[#This Row],[Fecha]]))</f>
        <v>BTCEUR-44194</v>
      </c>
    </row>
    <row r="2191" spans="1:4" ht="14.65" thickBot="1" x14ac:dyDescent="0.5">
      <c r="A2191" s="17">
        <v>44195.998611111114</v>
      </c>
      <c r="B2191" s="19">
        <v>23479.962090000001</v>
      </c>
      <c r="C2191" t="s">
        <v>155</v>
      </c>
      <c r="D2191" t="str">
        <f>T_Stocks[[#This Row],[Ticker]] &amp; "-" &amp; DATE(YEAR(T_Stocks[[#This Row],[Fecha]]),MONTH(T_Stocks[[#This Row],[Fecha]]),DAY(T_Stocks[[#This Row],[Fecha]]))</f>
        <v>BTCEUR-44195</v>
      </c>
    </row>
    <row r="2192" spans="1:4" ht="14.65" thickBot="1" x14ac:dyDescent="0.5">
      <c r="A2192" s="17">
        <v>44196.998611111114</v>
      </c>
      <c r="B2192" s="19">
        <v>23762.679179999999</v>
      </c>
      <c r="C2192" t="s">
        <v>155</v>
      </c>
      <c r="D2192" t="str">
        <f>T_Stocks[[#This Row],[Ticker]] &amp; "-" &amp; DATE(YEAR(T_Stocks[[#This Row],[Fecha]]),MONTH(T_Stocks[[#This Row],[Fecha]]),DAY(T_Stocks[[#This Row],[Fecha]]))</f>
        <v>BTCEUR-44196</v>
      </c>
    </row>
    <row r="2193" spans="1:4" ht="14.65" thickBot="1" x14ac:dyDescent="0.5">
      <c r="A2193" s="17">
        <v>44197.998611111114</v>
      </c>
      <c r="B2193" s="19">
        <v>24138.894789999998</v>
      </c>
      <c r="C2193" t="s">
        <v>155</v>
      </c>
      <c r="D2193" t="str">
        <f>T_Stocks[[#This Row],[Ticker]] &amp; "-" &amp; DATE(YEAR(T_Stocks[[#This Row],[Fecha]]),MONTH(T_Stocks[[#This Row],[Fecha]]),DAY(T_Stocks[[#This Row],[Fecha]]))</f>
        <v>BTCEUR-44197</v>
      </c>
    </row>
    <row r="2194" spans="1:4" ht="14.65" thickBot="1" x14ac:dyDescent="0.5">
      <c r="A2194" s="17">
        <v>44198.998611111114</v>
      </c>
      <c r="B2194" s="19">
        <v>26510.262650000001</v>
      </c>
      <c r="C2194" t="s">
        <v>155</v>
      </c>
      <c r="D2194" t="str">
        <f>T_Stocks[[#This Row],[Ticker]] &amp; "-" &amp; DATE(YEAR(T_Stocks[[#This Row],[Fecha]]),MONTH(T_Stocks[[#This Row],[Fecha]]),DAY(T_Stocks[[#This Row],[Fecha]]))</f>
        <v>BTCEUR-44198</v>
      </c>
    </row>
    <row r="2195" spans="1:4" ht="14.65" thickBot="1" x14ac:dyDescent="0.5">
      <c r="A2195" s="17">
        <v>44199.998611111114</v>
      </c>
      <c r="B2195" s="19">
        <v>26933.468779999999</v>
      </c>
      <c r="C2195" t="s">
        <v>155</v>
      </c>
      <c r="D2195" t="str">
        <f>T_Stocks[[#This Row],[Ticker]] &amp; "-" &amp; DATE(YEAR(T_Stocks[[#This Row],[Fecha]]),MONTH(T_Stocks[[#This Row],[Fecha]]),DAY(T_Stocks[[#This Row],[Fecha]]))</f>
        <v>BTCEUR-44199</v>
      </c>
    </row>
    <row r="2196" spans="1:4" ht="14.65" thickBot="1" x14ac:dyDescent="0.5">
      <c r="A2196" s="17">
        <v>44200.998611111114</v>
      </c>
      <c r="B2196" s="19">
        <v>26137.347809999999</v>
      </c>
      <c r="C2196" t="s">
        <v>155</v>
      </c>
      <c r="D2196" t="str">
        <f>T_Stocks[[#This Row],[Ticker]] &amp; "-" &amp; DATE(YEAR(T_Stocks[[#This Row],[Fecha]]),MONTH(T_Stocks[[#This Row],[Fecha]]),DAY(T_Stocks[[#This Row],[Fecha]]))</f>
        <v>BTCEUR-44200</v>
      </c>
    </row>
    <row r="2197" spans="1:4" ht="14.65" thickBot="1" x14ac:dyDescent="0.5">
      <c r="A2197" s="17">
        <v>44201.998611111114</v>
      </c>
      <c r="B2197" s="19">
        <v>27641.03399</v>
      </c>
      <c r="C2197" t="s">
        <v>155</v>
      </c>
      <c r="D2197" t="str">
        <f>T_Stocks[[#This Row],[Ticker]] &amp; "-" &amp; DATE(YEAR(T_Stocks[[#This Row],[Fecha]]),MONTH(T_Stocks[[#This Row],[Fecha]]),DAY(T_Stocks[[#This Row],[Fecha]]))</f>
        <v>BTCEUR-44201</v>
      </c>
    </row>
    <row r="2198" spans="1:4" ht="14.65" thickBot="1" x14ac:dyDescent="0.5">
      <c r="A2198" s="17">
        <v>44202.998611111114</v>
      </c>
      <c r="B2198" s="19">
        <v>29828.917549999998</v>
      </c>
      <c r="C2198" t="s">
        <v>155</v>
      </c>
      <c r="D2198" t="str">
        <f>T_Stocks[[#This Row],[Ticker]] &amp; "-" &amp; DATE(YEAR(T_Stocks[[#This Row],[Fecha]]),MONTH(T_Stocks[[#This Row],[Fecha]]),DAY(T_Stocks[[#This Row],[Fecha]]))</f>
        <v>BTCEUR-44202</v>
      </c>
    </row>
    <row r="2199" spans="1:4" ht="14.65" thickBot="1" x14ac:dyDescent="0.5">
      <c r="A2199" s="17">
        <v>44203.998611111114</v>
      </c>
      <c r="B2199" s="19">
        <v>32160.0285</v>
      </c>
      <c r="C2199" t="s">
        <v>155</v>
      </c>
      <c r="D2199" t="str">
        <f>T_Stocks[[#This Row],[Ticker]] &amp; "-" &amp; DATE(YEAR(T_Stocks[[#This Row],[Fecha]]),MONTH(T_Stocks[[#This Row],[Fecha]]),DAY(T_Stocks[[#This Row],[Fecha]]))</f>
        <v>BTCEUR-44203</v>
      </c>
    </row>
    <row r="2200" spans="1:4" ht="14.65" thickBot="1" x14ac:dyDescent="0.5">
      <c r="A2200" s="17">
        <v>44204.998611111114</v>
      </c>
      <c r="B2200" s="19">
        <v>33231.382319999997</v>
      </c>
      <c r="C2200" t="s">
        <v>155</v>
      </c>
      <c r="D2200" t="str">
        <f>T_Stocks[[#This Row],[Ticker]] &amp; "-" &amp; DATE(YEAR(T_Stocks[[#This Row],[Fecha]]),MONTH(T_Stocks[[#This Row],[Fecha]]),DAY(T_Stocks[[#This Row],[Fecha]]))</f>
        <v>BTCEUR-44204</v>
      </c>
    </row>
    <row r="2201" spans="1:4" ht="14.65" thickBot="1" x14ac:dyDescent="0.5">
      <c r="A2201" s="17">
        <v>44205.998611111114</v>
      </c>
      <c r="B2201" s="19">
        <v>32893.818950000001</v>
      </c>
      <c r="C2201" t="s">
        <v>155</v>
      </c>
      <c r="D2201" t="str">
        <f>T_Stocks[[#This Row],[Ticker]] &amp; "-" &amp; DATE(YEAR(T_Stocks[[#This Row],[Fecha]]),MONTH(T_Stocks[[#This Row],[Fecha]]),DAY(T_Stocks[[#This Row],[Fecha]]))</f>
        <v>BTCEUR-44205</v>
      </c>
    </row>
    <row r="2202" spans="1:4" ht="14.65" thickBot="1" x14ac:dyDescent="0.5">
      <c r="A2202" s="17">
        <v>44206.998611111114</v>
      </c>
      <c r="B2202" s="19">
        <v>31356.800019999999</v>
      </c>
      <c r="C2202" t="s">
        <v>155</v>
      </c>
      <c r="D2202" t="str">
        <f>T_Stocks[[#This Row],[Ticker]] &amp; "-" &amp; DATE(YEAR(T_Stocks[[#This Row],[Fecha]]),MONTH(T_Stocks[[#This Row],[Fecha]]),DAY(T_Stocks[[#This Row],[Fecha]]))</f>
        <v>BTCEUR-44206</v>
      </c>
    </row>
    <row r="2203" spans="1:4" ht="14.65" thickBot="1" x14ac:dyDescent="0.5">
      <c r="A2203" s="17">
        <v>44207.998611111114</v>
      </c>
      <c r="B2203" s="19">
        <v>29176.297999999999</v>
      </c>
      <c r="C2203" t="s">
        <v>155</v>
      </c>
      <c r="D2203" t="str">
        <f>T_Stocks[[#This Row],[Ticker]] &amp; "-" &amp; DATE(YEAR(T_Stocks[[#This Row],[Fecha]]),MONTH(T_Stocks[[#This Row],[Fecha]]),DAY(T_Stocks[[#This Row],[Fecha]]))</f>
        <v>BTCEUR-44207</v>
      </c>
    </row>
    <row r="2204" spans="1:4" ht="14.65" thickBot="1" x14ac:dyDescent="0.5">
      <c r="A2204" s="17">
        <v>44208.998611111114</v>
      </c>
      <c r="B2204" s="19">
        <v>27890.3092</v>
      </c>
      <c r="C2204" t="s">
        <v>155</v>
      </c>
      <c r="D2204" t="str">
        <f>T_Stocks[[#This Row],[Ticker]] &amp; "-" &amp; DATE(YEAR(T_Stocks[[#This Row],[Fecha]]),MONTH(T_Stocks[[#This Row],[Fecha]]),DAY(T_Stocks[[#This Row],[Fecha]]))</f>
        <v>BTCEUR-44208</v>
      </c>
    </row>
    <row r="2205" spans="1:4" ht="14.65" thickBot="1" x14ac:dyDescent="0.5">
      <c r="A2205" s="17">
        <v>44209.998611111114</v>
      </c>
      <c r="B2205" s="19">
        <v>30738.38276</v>
      </c>
      <c r="C2205" t="s">
        <v>155</v>
      </c>
      <c r="D2205" t="str">
        <f>T_Stocks[[#This Row],[Ticker]] &amp; "-" &amp; DATE(YEAR(T_Stocks[[#This Row],[Fecha]]),MONTH(T_Stocks[[#This Row],[Fecha]]),DAY(T_Stocks[[#This Row],[Fecha]]))</f>
        <v>BTCEUR-44209</v>
      </c>
    </row>
    <row r="2206" spans="1:4" ht="14.65" thickBot="1" x14ac:dyDescent="0.5">
      <c r="A2206" s="17">
        <v>44210.998611111114</v>
      </c>
      <c r="B2206" s="19">
        <v>32221.015459999999</v>
      </c>
      <c r="C2206" t="s">
        <v>155</v>
      </c>
      <c r="D2206" t="str">
        <f>T_Stocks[[#This Row],[Ticker]] &amp; "-" &amp; DATE(YEAR(T_Stocks[[#This Row],[Fecha]]),MONTH(T_Stocks[[#This Row],[Fecha]]),DAY(T_Stocks[[#This Row],[Fecha]]))</f>
        <v>BTCEUR-44210</v>
      </c>
    </row>
    <row r="2207" spans="1:4" ht="14.65" thickBot="1" x14ac:dyDescent="0.5">
      <c r="A2207" s="17">
        <v>44211.998611111114</v>
      </c>
      <c r="B2207" s="19">
        <v>30491.48691</v>
      </c>
      <c r="C2207" t="s">
        <v>155</v>
      </c>
      <c r="D2207" t="str">
        <f>T_Stocks[[#This Row],[Ticker]] &amp; "-" &amp; DATE(YEAR(T_Stocks[[#This Row],[Fecha]]),MONTH(T_Stocks[[#This Row],[Fecha]]),DAY(T_Stocks[[#This Row],[Fecha]]))</f>
        <v>BTCEUR-44211</v>
      </c>
    </row>
    <row r="2208" spans="1:4" ht="14.65" thickBot="1" x14ac:dyDescent="0.5">
      <c r="A2208" s="17">
        <v>44212.998611111114</v>
      </c>
      <c r="B2208" s="19">
        <v>29817.140899999999</v>
      </c>
      <c r="C2208" t="s">
        <v>155</v>
      </c>
      <c r="D2208" t="str">
        <f>T_Stocks[[#This Row],[Ticker]] &amp; "-" &amp; DATE(YEAR(T_Stocks[[#This Row],[Fecha]]),MONTH(T_Stocks[[#This Row],[Fecha]]),DAY(T_Stocks[[#This Row],[Fecha]]))</f>
        <v>BTCEUR-44212</v>
      </c>
    </row>
    <row r="2209" spans="1:4" ht="14.65" thickBot="1" x14ac:dyDescent="0.5">
      <c r="A2209" s="17">
        <v>44213.998611111114</v>
      </c>
      <c r="B2209" s="19">
        <v>29685.802329999999</v>
      </c>
      <c r="C2209" t="s">
        <v>155</v>
      </c>
      <c r="D2209" t="str">
        <f>T_Stocks[[#This Row],[Ticker]] &amp; "-" &amp; DATE(YEAR(T_Stocks[[#This Row],[Fecha]]),MONTH(T_Stocks[[#This Row],[Fecha]]),DAY(T_Stocks[[#This Row],[Fecha]]))</f>
        <v>BTCEUR-44213</v>
      </c>
    </row>
    <row r="2210" spans="1:4" ht="14.65" thickBot="1" x14ac:dyDescent="0.5">
      <c r="A2210" s="17">
        <v>44214.998611111114</v>
      </c>
      <c r="B2210" s="19">
        <v>30326.23054</v>
      </c>
      <c r="C2210" t="s">
        <v>155</v>
      </c>
      <c r="D2210" t="str">
        <f>T_Stocks[[#This Row],[Ticker]] &amp; "-" &amp; DATE(YEAR(T_Stocks[[#This Row],[Fecha]]),MONTH(T_Stocks[[#This Row],[Fecha]]),DAY(T_Stocks[[#This Row],[Fecha]]))</f>
        <v>BTCEUR-44214</v>
      </c>
    </row>
    <row r="2211" spans="1:4" ht="14.65" thickBot="1" x14ac:dyDescent="0.5">
      <c r="A2211" s="17">
        <v>44215.998611111114</v>
      </c>
      <c r="B2211" s="19">
        <v>29634.302019999999</v>
      </c>
      <c r="C2211" t="s">
        <v>155</v>
      </c>
      <c r="D2211" t="str">
        <f>T_Stocks[[#This Row],[Ticker]] &amp; "-" &amp; DATE(YEAR(T_Stocks[[#This Row],[Fecha]]),MONTH(T_Stocks[[#This Row],[Fecha]]),DAY(T_Stocks[[#This Row],[Fecha]]))</f>
        <v>BTCEUR-44215</v>
      </c>
    </row>
    <row r="2212" spans="1:4" ht="14.65" thickBot="1" x14ac:dyDescent="0.5">
      <c r="A2212" s="17">
        <v>44216.998611111114</v>
      </c>
      <c r="B2212" s="19">
        <v>29302.516950000001</v>
      </c>
      <c r="C2212" t="s">
        <v>155</v>
      </c>
      <c r="D2212" t="str">
        <f>T_Stocks[[#This Row],[Ticker]] &amp; "-" &amp; DATE(YEAR(T_Stocks[[#This Row],[Fecha]]),MONTH(T_Stocks[[#This Row],[Fecha]]),DAY(T_Stocks[[#This Row],[Fecha]]))</f>
        <v>BTCEUR-44216</v>
      </c>
    </row>
    <row r="2213" spans="1:4" ht="14.65" thickBot="1" x14ac:dyDescent="0.5">
      <c r="A2213" s="17">
        <v>44217.998611111114</v>
      </c>
      <c r="B2213" s="19">
        <v>25343.991829999999</v>
      </c>
      <c r="C2213" t="s">
        <v>155</v>
      </c>
      <c r="D2213" t="str">
        <f>T_Stocks[[#This Row],[Ticker]] &amp; "-" &amp; DATE(YEAR(T_Stocks[[#This Row],[Fecha]]),MONTH(T_Stocks[[#This Row],[Fecha]]),DAY(T_Stocks[[#This Row],[Fecha]]))</f>
        <v>BTCEUR-44217</v>
      </c>
    </row>
    <row r="2214" spans="1:4" ht="14.65" thickBot="1" x14ac:dyDescent="0.5">
      <c r="A2214" s="17">
        <v>44218.998611111114</v>
      </c>
      <c r="B2214" s="19">
        <v>27119.450710000001</v>
      </c>
      <c r="C2214" t="s">
        <v>155</v>
      </c>
      <c r="D2214" t="str">
        <f>T_Stocks[[#This Row],[Ticker]] &amp; "-" &amp; DATE(YEAR(T_Stocks[[#This Row],[Fecha]]),MONTH(T_Stocks[[#This Row],[Fecha]]),DAY(T_Stocks[[#This Row],[Fecha]]))</f>
        <v>BTCEUR-44218</v>
      </c>
    </row>
    <row r="2215" spans="1:4" ht="14.65" thickBot="1" x14ac:dyDescent="0.5">
      <c r="A2215" s="17">
        <v>44219.998611111114</v>
      </c>
      <c r="B2215" s="19">
        <v>26355.922149999999</v>
      </c>
      <c r="C2215" t="s">
        <v>155</v>
      </c>
      <c r="D2215" t="str">
        <f>T_Stocks[[#This Row],[Ticker]] &amp; "-" &amp; DATE(YEAR(T_Stocks[[#This Row],[Fecha]]),MONTH(T_Stocks[[#This Row],[Fecha]]),DAY(T_Stocks[[#This Row],[Fecha]]))</f>
        <v>BTCEUR-44219</v>
      </c>
    </row>
    <row r="2216" spans="1:4" ht="14.65" thickBot="1" x14ac:dyDescent="0.5">
      <c r="A2216" s="17">
        <v>44220.998611111114</v>
      </c>
      <c r="B2216" s="19">
        <v>26509.708269999999</v>
      </c>
      <c r="C2216" t="s">
        <v>155</v>
      </c>
      <c r="D2216" t="str">
        <f>T_Stocks[[#This Row],[Ticker]] &amp; "-" &amp; DATE(YEAR(T_Stocks[[#This Row],[Fecha]]),MONTH(T_Stocks[[#This Row],[Fecha]]),DAY(T_Stocks[[#This Row],[Fecha]]))</f>
        <v>BTCEUR-44220</v>
      </c>
    </row>
    <row r="2217" spans="1:4" ht="14.65" thickBot="1" x14ac:dyDescent="0.5">
      <c r="A2217" s="17">
        <v>44221.998611111114</v>
      </c>
      <c r="B2217" s="19">
        <v>26551.2274</v>
      </c>
      <c r="C2217" t="s">
        <v>155</v>
      </c>
      <c r="D2217" t="str">
        <f>T_Stocks[[#This Row],[Ticker]] &amp; "-" &amp; DATE(YEAR(T_Stocks[[#This Row],[Fecha]]),MONTH(T_Stocks[[#This Row],[Fecha]]),DAY(T_Stocks[[#This Row],[Fecha]]))</f>
        <v>BTCEUR-44221</v>
      </c>
    </row>
    <row r="2218" spans="1:4" ht="14.65" thickBot="1" x14ac:dyDescent="0.5">
      <c r="A2218" s="17">
        <v>44222.998611111114</v>
      </c>
      <c r="B2218" s="19">
        <v>26726.416689999998</v>
      </c>
      <c r="C2218" t="s">
        <v>155</v>
      </c>
      <c r="D2218" t="str">
        <f>T_Stocks[[#This Row],[Ticker]] &amp; "-" &amp; DATE(YEAR(T_Stocks[[#This Row],[Fecha]]),MONTH(T_Stocks[[#This Row],[Fecha]]),DAY(T_Stocks[[#This Row],[Fecha]]))</f>
        <v>BTCEUR-44222</v>
      </c>
    </row>
    <row r="2219" spans="1:4" ht="14.65" thickBot="1" x14ac:dyDescent="0.5">
      <c r="A2219" s="17">
        <v>44223.998611111114</v>
      </c>
      <c r="B2219" s="19">
        <v>25125.06322</v>
      </c>
      <c r="C2219" t="s">
        <v>155</v>
      </c>
      <c r="D2219" t="str">
        <f>T_Stocks[[#This Row],[Ticker]] &amp; "-" &amp; DATE(YEAR(T_Stocks[[#This Row],[Fecha]]),MONTH(T_Stocks[[#This Row],[Fecha]]),DAY(T_Stocks[[#This Row],[Fecha]]))</f>
        <v>BTCEUR-44223</v>
      </c>
    </row>
    <row r="2220" spans="1:4" ht="14.65" thickBot="1" x14ac:dyDescent="0.5">
      <c r="A2220" s="17">
        <v>44224.998611111114</v>
      </c>
      <c r="B2220" s="19">
        <v>27561.54162</v>
      </c>
      <c r="C2220" t="s">
        <v>155</v>
      </c>
      <c r="D2220" t="str">
        <f>T_Stocks[[#This Row],[Ticker]] &amp; "-" &amp; DATE(YEAR(T_Stocks[[#This Row],[Fecha]]),MONTH(T_Stocks[[#This Row],[Fecha]]),DAY(T_Stocks[[#This Row],[Fecha]]))</f>
        <v>BTCEUR-44224</v>
      </c>
    </row>
    <row r="2221" spans="1:4" ht="14.65" thickBot="1" x14ac:dyDescent="0.5">
      <c r="A2221" s="17">
        <v>44225.998611111114</v>
      </c>
      <c r="B2221" s="19">
        <v>28226.076659999999</v>
      </c>
      <c r="C2221" t="s">
        <v>155</v>
      </c>
      <c r="D2221" t="str">
        <f>T_Stocks[[#This Row],[Ticker]] &amp; "-" &amp; DATE(YEAR(T_Stocks[[#This Row],[Fecha]]),MONTH(T_Stocks[[#This Row],[Fecha]]),DAY(T_Stocks[[#This Row],[Fecha]]))</f>
        <v>BTCEUR-44225</v>
      </c>
    </row>
    <row r="2222" spans="1:4" ht="14.65" thickBot="1" x14ac:dyDescent="0.5">
      <c r="A2222" s="17">
        <v>44226.998611111114</v>
      </c>
      <c r="B2222" s="19">
        <v>28250.284660000001</v>
      </c>
      <c r="C2222" t="s">
        <v>155</v>
      </c>
      <c r="D2222" t="str">
        <f>T_Stocks[[#This Row],[Ticker]] &amp; "-" &amp; DATE(YEAR(T_Stocks[[#This Row],[Fecha]]),MONTH(T_Stocks[[#This Row],[Fecha]]),DAY(T_Stocks[[#This Row],[Fecha]]))</f>
        <v>BTCEUR-44226</v>
      </c>
    </row>
    <row r="2223" spans="1:4" ht="14.65" thickBot="1" x14ac:dyDescent="0.5">
      <c r="A2223" s="17">
        <v>44227.998611111114</v>
      </c>
      <c r="B2223" s="19">
        <v>27317.980660000001</v>
      </c>
      <c r="C2223" t="s">
        <v>155</v>
      </c>
      <c r="D2223" t="str">
        <f>T_Stocks[[#This Row],[Ticker]] &amp; "-" &amp; DATE(YEAR(T_Stocks[[#This Row],[Fecha]]),MONTH(T_Stocks[[#This Row],[Fecha]]),DAY(T_Stocks[[#This Row],[Fecha]]))</f>
        <v>BTCEUR-44227</v>
      </c>
    </row>
    <row r="2224" spans="1:4" ht="14.65" thickBot="1" x14ac:dyDescent="0.5">
      <c r="A2224" s="17">
        <v>44228.998611111114</v>
      </c>
      <c r="B2224" s="19">
        <v>27789.342560000001</v>
      </c>
      <c r="C2224" t="s">
        <v>155</v>
      </c>
      <c r="D2224" t="str">
        <f>T_Stocks[[#This Row],[Ticker]] &amp; "-" &amp; DATE(YEAR(T_Stocks[[#This Row],[Fecha]]),MONTH(T_Stocks[[#This Row],[Fecha]]),DAY(T_Stocks[[#This Row],[Fecha]]))</f>
        <v>BTCEUR-44228</v>
      </c>
    </row>
    <row r="2225" spans="1:4" ht="14.65" thickBot="1" x14ac:dyDescent="0.5">
      <c r="A2225" s="17">
        <v>44229.998611111114</v>
      </c>
      <c r="B2225" s="19">
        <v>29485.46285</v>
      </c>
      <c r="C2225" t="s">
        <v>155</v>
      </c>
      <c r="D2225" t="str">
        <f>T_Stocks[[#This Row],[Ticker]] &amp; "-" &amp; DATE(YEAR(T_Stocks[[#This Row],[Fecha]]),MONTH(T_Stocks[[#This Row],[Fecha]]),DAY(T_Stocks[[#This Row],[Fecha]]))</f>
        <v>BTCEUR-44229</v>
      </c>
    </row>
    <row r="2226" spans="1:4" ht="14.65" thickBot="1" x14ac:dyDescent="0.5">
      <c r="A2226" s="17">
        <v>44230.998611111114</v>
      </c>
      <c r="B2226" s="19">
        <v>31276.27694</v>
      </c>
      <c r="C2226" t="s">
        <v>155</v>
      </c>
      <c r="D2226" t="str">
        <f>T_Stocks[[#This Row],[Ticker]] &amp; "-" &amp; DATE(YEAR(T_Stocks[[#This Row],[Fecha]]),MONTH(T_Stocks[[#This Row],[Fecha]]),DAY(T_Stocks[[#This Row],[Fecha]]))</f>
        <v>BTCEUR-44230</v>
      </c>
    </row>
    <row r="2227" spans="1:4" ht="14.65" thickBot="1" x14ac:dyDescent="0.5">
      <c r="A2227" s="17">
        <v>44231.998611111114</v>
      </c>
      <c r="B2227" s="19">
        <v>30897.899689999998</v>
      </c>
      <c r="C2227" t="s">
        <v>155</v>
      </c>
      <c r="D2227" t="str">
        <f>T_Stocks[[#This Row],[Ticker]] &amp; "-" &amp; DATE(YEAR(T_Stocks[[#This Row],[Fecha]]),MONTH(T_Stocks[[#This Row],[Fecha]]),DAY(T_Stocks[[#This Row],[Fecha]]))</f>
        <v>BTCEUR-44231</v>
      </c>
    </row>
    <row r="2228" spans="1:4" ht="14.65" thickBot="1" x14ac:dyDescent="0.5">
      <c r="A2228" s="17">
        <v>44232.998611111114</v>
      </c>
      <c r="B2228" s="19">
        <v>31765.393469999999</v>
      </c>
      <c r="C2228" t="s">
        <v>155</v>
      </c>
      <c r="D2228" t="str">
        <f>T_Stocks[[#This Row],[Ticker]] &amp; "-" &amp; DATE(YEAR(T_Stocks[[#This Row],[Fecha]]),MONTH(T_Stocks[[#This Row],[Fecha]]),DAY(T_Stocks[[#This Row],[Fecha]]))</f>
        <v>BTCEUR-44232</v>
      </c>
    </row>
    <row r="2229" spans="1:4" ht="14.65" thickBot="1" x14ac:dyDescent="0.5">
      <c r="A2229" s="17">
        <v>44233.998611111114</v>
      </c>
      <c r="B2229" s="19">
        <v>32578.415809999999</v>
      </c>
      <c r="C2229" t="s">
        <v>155</v>
      </c>
      <c r="D2229" t="str">
        <f>T_Stocks[[#This Row],[Ticker]] &amp; "-" &amp; DATE(YEAR(T_Stocks[[#This Row],[Fecha]]),MONTH(T_Stocks[[#This Row],[Fecha]]),DAY(T_Stocks[[#This Row],[Fecha]]))</f>
        <v>BTCEUR-44233</v>
      </c>
    </row>
    <row r="2230" spans="1:4" ht="14.65" thickBot="1" x14ac:dyDescent="0.5">
      <c r="A2230" s="17">
        <v>44234.998611111114</v>
      </c>
      <c r="B2230" s="19">
        <v>32235.878779999999</v>
      </c>
      <c r="C2230" t="s">
        <v>155</v>
      </c>
      <c r="D2230" t="str">
        <f>T_Stocks[[#This Row],[Ticker]] &amp; "-" &amp; DATE(YEAR(T_Stocks[[#This Row],[Fecha]]),MONTH(T_Stocks[[#This Row],[Fecha]]),DAY(T_Stocks[[#This Row],[Fecha]]))</f>
        <v>BTCEUR-44234</v>
      </c>
    </row>
    <row r="2231" spans="1:4" ht="14.65" thickBot="1" x14ac:dyDescent="0.5">
      <c r="A2231" s="17">
        <v>44235.998611111114</v>
      </c>
      <c r="B2231" s="19">
        <v>38520.352469999998</v>
      </c>
      <c r="C2231" t="s">
        <v>155</v>
      </c>
      <c r="D2231" t="str">
        <f>T_Stocks[[#This Row],[Ticker]] &amp; "-" &amp; DATE(YEAR(T_Stocks[[#This Row],[Fecha]]),MONTH(T_Stocks[[#This Row],[Fecha]]),DAY(T_Stocks[[#This Row],[Fecha]]))</f>
        <v>BTCEUR-44235</v>
      </c>
    </row>
    <row r="2232" spans="1:4" ht="14.65" thickBot="1" x14ac:dyDescent="0.5">
      <c r="A2232" s="17">
        <v>44236.998611111114</v>
      </c>
      <c r="B2232" s="19">
        <v>38394.133269999998</v>
      </c>
      <c r="C2232" t="s">
        <v>155</v>
      </c>
      <c r="D2232" t="str">
        <f>T_Stocks[[#This Row],[Ticker]] &amp; "-" &amp; DATE(YEAR(T_Stocks[[#This Row],[Fecha]]),MONTH(T_Stocks[[#This Row],[Fecha]]),DAY(T_Stocks[[#This Row],[Fecha]]))</f>
        <v>BTCEUR-44236</v>
      </c>
    </row>
    <row r="2233" spans="1:4" ht="14.65" thickBot="1" x14ac:dyDescent="0.5">
      <c r="A2233" s="17">
        <v>44237.998611111114</v>
      </c>
      <c r="B2233" s="19">
        <v>36989.402999999998</v>
      </c>
      <c r="C2233" t="s">
        <v>155</v>
      </c>
      <c r="D2233" t="str">
        <f>T_Stocks[[#This Row],[Ticker]] &amp; "-" &amp; DATE(YEAR(T_Stocks[[#This Row],[Fecha]]),MONTH(T_Stocks[[#This Row],[Fecha]]),DAY(T_Stocks[[#This Row],[Fecha]]))</f>
        <v>BTCEUR-44237</v>
      </c>
    </row>
    <row r="2234" spans="1:4" ht="14.65" thickBot="1" x14ac:dyDescent="0.5">
      <c r="A2234" s="17">
        <v>44238.998611111114</v>
      </c>
      <c r="B2234" s="19">
        <v>39556.063269999999</v>
      </c>
      <c r="C2234" t="s">
        <v>155</v>
      </c>
      <c r="D2234" t="str">
        <f>T_Stocks[[#This Row],[Ticker]] &amp; "-" &amp; DATE(YEAR(T_Stocks[[#This Row],[Fecha]]),MONTH(T_Stocks[[#This Row],[Fecha]]),DAY(T_Stocks[[#This Row],[Fecha]]))</f>
        <v>BTCEUR-44238</v>
      </c>
    </row>
    <row r="2235" spans="1:4" ht="14.65" thickBot="1" x14ac:dyDescent="0.5">
      <c r="A2235" s="17">
        <v>44239.998611111114</v>
      </c>
      <c r="B2235" s="19">
        <v>39121.743219999997</v>
      </c>
      <c r="C2235" t="s">
        <v>155</v>
      </c>
      <c r="D2235" t="str">
        <f>T_Stocks[[#This Row],[Ticker]] &amp; "-" &amp; DATE(YEAR(T_Stocks[[#This Row],[Fecha]]),MONTH(T_Stocks[[#This Row],[Fecha]]),DAY(T_Stocks[[#This Row],[Fecha]]))</f>
        <v>BTCEUR-44239</v>
      </c>
    </row>
    <row r="2236" spans="1:4" ht="14.65" thickBot="1" x14ac:dyDescent="0.5">
      <c r="A2236" s="17">
        <v>44240.998611111114</v>
      </c>
      <c r="B2236" s="19">
        <v>38912.614439999998</v>
      </c>
      <c r="C2236" t="s">
        <v>155</v>
      </c>
      <c r="D2236" t="str">
        <f>T_Stocks[[#This Row],[Ticker]] &amp; "-" &amp; DATE(YEAR(T_Stocks[[#This Row],[Fecha]]),MONTH(T_Stocks[[#This Row],[Fecha]]),DAY(T_Stocks[[#This Row],[Fecha]]))</f>
        <v>BTCEUR-44240</v>
      </c>
    </row>
    <row r="2237" spans="1:4" ht="14.65" thickBot="1" x14ac:dyDescent="0.5">
      <c r="A2237" s="17">
        <v>44241.998611111114</v>
      </c>
      <c r="B2237" s="19">
        <v>40143.980969999997</v>
      </c>
      <c r="C2237" t="s">
        <v>155</v>
      </c>
      <c r="D2237" t="str">
        <f>T_Stocks[[#This Row],[Ticker]] &amp; "-" &amp; DATE(YEAR(T_Stocks[[#This Row],[Fecha]]),MONTH(T_Stocks[[#This Row],[Fecha]]),DAY(T_Stocks[[#This Row],[Fecha]]))</f>
        <v>BTCEUR-44241</v>
      </c>
    </row>
    <row r="2238" spans="1:4" ht="14.65" thickBot="1" x14ac:dyDescent="0.5">
      <c r="A2238" s="17">
        <v>44242.998611111114</v>
      </c>
      <c r="B2238" s="19">
        <v>39501.928039999999</v>
      </c>
      <c r="C2238" t="s">
        <v>155</v>
      </c>
      <c r="D2238" t="str">
        <f>T_Stocks[[#This Row],[Ticker]] &amp; "-" &amp; DATE(YEAR(T_Stocks[[#This Row],[Fecha]]),MONTH(T_Stocks[[#This Row],[Fecha]]),DAY(T_Stocks[[#This Row],[Fecha]]))</f>
        <v>BTCEUR-44242</v>
      </c>
    </row>
    <row r="2239" spans="1:4" ht="14.65" thickBot="1" x14ac:dyDescent="0.5">
      <c r="A2239" s="17">
        <v>44243.998611111114</v>
      </c>
      <c r="B2239" s="19">
        <v>40648.416640000003</v>
      </c>
      <c r="C2239" t="s">
        <v>155</v>
      </c>
      <c r="D2239" t="str">
        <f>T_Stocks[[#This Row],[Ticker]] &amp; "-" &amp; DATE(YEAR(T_Stocks[[#This Row],[Fecha]]),MONTH(T_Stocks[[#This Row],[Fecha]]),DAY(T_Stocks[[#This Row],[Fecha]]))</f>
        <v>BTCEUR-44243</v>
      </c>
    </row>
    <row r="2240" spans="1:4" ht="14.65" thickBot="1" x14ac:dyDescent="0.5">
      <c r="A2240" s="17">
        <v>44244.998611111114</v>
      </c>
      <c r="B2240" s="19">
        <v>43256.956539999999</v>
      </c>
      <c r="C2240" t="s">
        <v>155</v>
      </c>
      <c r="D2240" t="str">
        <f>T_Stocks[[#This Row],[Ticker]] &amp; "-" &amp; DATE(YEAR(T_Stocks[[#This Row],[Fecha]]),MONTH(T_Stocks[[#This Row],[Fecha]]),DAY(T_Stocks[[#This Row],[Fecha]]))</f>
        <v>BTCEUR-44244</v>
      </c>
    </row>
    <row r="2241" spans="1:4" ht="14.65" thickBot="1" x14ac:dyDescent="0.5">
      <c r="A2241" s="17">
        <v>44245.998611111114</v>
      </c>
      <c r="B2241" s="19">
        <v>42676.698210000002</v>
      </c>
      <c r="C2241" t="s">
        <v>155</v>
      </c>
      <c r="D2241" t="str">
        <f>T_Stocks[[#This Row],[Ticker]] &amp; "-" &amp; DATE(YEAR(T_Stocks[[#This Row],[Fecha]]),MONTH(T_Stocks[[#This Row],[Fecha]]),DAY(T_Stocks[[#This Row],[Fecha]]))</f>
        <v>BTCEUR-44245</v>
      </c>
    </row>
    <row r="2242" spans="1:4" ht="14.65" thickBot="1" x14ac:dyDescent="0.5">
      <c r="A2242" s="17">
        <v>44246.998611111114</v>
      </c>
      <c r="B2242" s="19">
        <v>46131.134660000003</v>
      </c>
      <c r="C2242" t="s">
        <v>155</v>
      </c>
      <c r="D2242" t="str">
        <f>T_Stocks[[#This Row],[Ticker]] &amp; "-" &amp; DATE(YEAR(T_Stocks[[#This Row],[Fecha]]),MONTH(T_Stocks[[#This Row],[Fecha]]),DAY(T_Stocks[[#This Row],[Fecha]]))</f>
        <v>BTCEUR-44246</v>
      </c>
    </row>
    <row r="2243" spans="1:4" ht="14.65" thickBot="1" x14ac:dyDescent="0.5">
      <c r="A2243" s="17">
        <v>44247.998611111114</v>
      </c>
      <c r="B2243" s="19">
        <v>46157.044820000003</v>
      </c>
      <c r="C2243" t="s">
        <v>155</v>
      </c>
      <c r="D2243" t="str">
        <f>T_Stocks[[#This Row],[Ticker]] &amp; "-" &amp; DATE(YEAR(T_Stocks[[#This Row],[Fecha]]),MONTH(T_Stocks[[#This Row],[Fecha]]),DAY(T_Stocks[[#This Row],[Fecha]]))</f>
        <v>BTCEUR-44247</v>
      </c>
    </row>
    <row r="2244" spans="1:4" ht="14.65" thickBot="1" x14ac:dyDescent="0.5">
      <c r="A2244" s="17">
        <v>44248.998611111114</v>
      </c>
      <c r="B2244" s="19">
        <v>47371.021419999997</v>
      </c>
      <c r="C2244" t="s">
        <v>155</v>
      </c>
      <c r="D2244" t="str">
        <f>T_Stocks[[#This Row],[Ticker]] &amp; "-" &amp; DATE(YEAR(T_Stocks[[#This Row],[Fecha]]),MONTH(T_Stocks[[#This Row],[Fecha]]),DAY(T_Stocks[[#This Row],[Fecha]]))</f>
        <v>BTCEUR-44248</v>
      </c>
    </row>
    <row r="2245" spans="1:4" ht="14.65" thickBot="1" x14ac:dyDescent="0.5">
      <c r="A2245" s="17">
        <v>44249.998611111114</v>
      </c>
      <c r="B2245" s="19">
        <v>44468.685219999999</v>
      </c>
      <c r="C2245" t="s">
        <v>155</v>
      </c>
      <c r="D2245" t="str">
        <f>T_Stocks[[#This Row],[Ticker]] &amp; "-" &amp; DATE(YEAR(T_Stocks[[#This Row],[Fecha]]),MONTH(T_Stocks[[#This Row],[Fecha]]),DAY(T_Stocks[[#This Row],[Fecha]]))</f>
        <v>BTCEUR-44249</v>
      </c>
    </row>
    <row r="2246" spans="1:4" ht="14.65" thickBot="1" x14ac:dyDescent="0.5">
      <c r="A2246" s="17">
        <v>44250.998611111114</v>
      </c>
      <c r="B2246" s="19">
        <v>40235.382790000003</v>
      </c>
      <c r="C2246" t="s">
        <v>155</v>
      </c>
      <c r="D2246" t="str">
        <f>T_Stocks[[#This Row],[Ticker]] &amp; "-" &amp; DATE(YEAR(T_Stocks[[#This Row],[Fecha]]),MONTH(T_Stocks[[#This Row],[Fecha]]),DAY(T_Stocks[[#This Row],[Fecha]]))</f>
        <v>BTCEUR-44250</v>
      </c>
    </row>
    <row r="2247" spans="1:4" ht="14.65" thickBot="1" x14ac:dyDescent="0.5">
      <c r="A2247" s="17">
        <v>44251.998611111114</v>
      </c>
      <c r="B2247" s="19">
        <v>40832.805200000003</v>
      </c>
      <c r="C2247" t="s">
        <v>155</v>
      </c>
      <c r="D2247" t="str">
        <f>T_Stocks[[#This Row],[Ticker]] &amp; "-" &amp; DATE(YEAR(T_Stocks[[#This Row],[Fecha]]),MONTH(T_Stocks[[#This Row],[Fecha]]),DAY(T_Stocks[[#This Row],[Fecha]]))</f>
        <v>BTCEUR-44251</v>
      </c>
    </row>
    <row r="2248" spans="1:4" ht="14.65" thickBot="1" x14ac:dyDescent="0.5">
      <c r="A2248" s="17">
        <v>44252.998611111114</v>
      </c>
      <c r="B2248" s="19">
        <v>38687.750070000002</v>
      </c>
      <c r="C2248" t="s">
        <v>155</v>
      </c>
      <c r="D2248" t="str">
        <f>T_Stocks[[#This Row],[Ticker]] &amp; "-" &amp; DATE(YEAR(T_Stocks[[#This Row],[Fecha]]),MONTH(T_Stocks[[#This Row],[Fecha]]),DAY(T_Stocks[[#This Row],[Fecha]]))</f>
        <v>BTCEUR-44252</v>
      </c>
    </row>
    <row r="2249" spans="1:4" ht="14.65" thickBot="1" x14ac:dyDescent="0.5">
      <c r="A2249" s="17">
        <v>44253.998611111114</v>
      </c>
      <c r="B2249" s="19">
        <v>38366.410210000002</v>
      </c>
      <c r="C2249" t="s">
        <v>155</v>
      </c>
      <c r="D2249" t="str">
        <f>T_Stocks[[#This Row],[Ticker]] &amp; "-" &amp; DATE(YEAR(T_Stocks[[#This Row],[Fecha]]),MONTH(T_Stocks[[#This Row],[Fecha]]),DAY(T_Stocks[[#This Row],[Fecha]]))</f>
        <v>BTCEUR-44253</v>
      </c>
    </row>
    <row r="2250" spans="1:4" ht="14.65" thickBot="1" x14ac:dyDescent="0.5">
      <c r="A2250" s="17">
        <v>44254.998611111114</v>
      </c>
      <c r="B2250" s="19">
        <v>38230.967689999998</v>
      </c>
      <c r="C2250" t="s">
        <v>155</v>
      </c>
      <c r="D2250" t="str">
        <f>T_Stocks[[#This Row],[Ticker]] &amp; "-" &amp; DATE(YEAR(T_Stocks[[#This Row],[Fecha]]),MONTH(T_Stocks[[#This Row],[Fecha]]),DAY(T_Stocks[[#This Row],[Fecha]]))</f>
        <v>BTCEUR-44254</v>
      </c>
    </row>
    <row r="2251" spans="1:4" ht="14.65" thickBot="1" x14ac:dyDescent="0.5">
      <c r="A2251" s="17">
        <v>44255.998611111114</v>
      </c>
      <c r="B2251" s="19">
        <v>37390.154829999999</v>
      </c>
      <c r="C2251" t="s">
        <v>155</v>
      </c>
      <c r="D2251" t="str">
        <f>T_Stocks[[#This Row],[Ticker]] &amp; "-" &amp; DATE(YEAR(T_Stocks[[#This Row],[Fecha]]),MONTH(T_Stocks[[#This Row],[Fecha]]),DAY(T_Stocks[[#This Row],[Fecha]]))</f>
        <v>BTCEUR-44255</v>
      </c>
    </row>
    <row r="2252" spans="1:4" ht="14.65" thickBot="1" x14ac:dyDescent="0.5">
      <c r="A2252" s="17">
        <v>44256.998611111114</v>
      </c>
      <c r="B2252" s="19">
        <v>41168.21185</v>
      </c>
      <c r="C2252" t="s">
        <v>155</v>
      </c>
      <c r="D2252" t="str">
        <f>T_Stocks[[#This Row],[Ticker]] &amp; "-" &amp; DATE(YEAR(T_Stocks[[#This Row],[Fecha]]),MONTH(T_Stocks[[#This Row],[Fecha]]),DAY(T_Stocks[[#This Row],[Fecha]]))</f>
        <v>BTCEUR-44256</v>
      </c>
    </row>
    <row r="2253" spans="1:4" ht="14.65" thickBot="1" x14ac:dyDescent="0.5">
      <c r="A2253" s="17">
        <v>44257.998611111114</v>
      </c>
      <c r="B2253" s="19">
        <v>40099.273159999997</v>
      </c>
      <c r="C2253" t="s">
        <v>155</v>
      </c>
      <c r="D2253" t="str">
        <f>T_Stocks[[#This Row],[Ticker]] &amp; "-" &amp; DATE(YEAR(T_Stocks[[#This Row],[Fecha]]),MONTH(T_Stocks[[#This Row],[Fecha]]),DAY(T_Stocks[[#This Row],[Fecha]]))</f>
        <v>BTCEUR-44257</v>
      </c>
    </row>
    <row r="2254" spans="1:4" ht="14.65" thickBot="1" x14ac:dyDescent="0.5">
      <c r="A2254" s="17">
        <v>44258.998611111114</v>
      </c>
      <c r="B2254" s="19">
        <v>41847.322800000002</v>
      </c>
      <c r="C2254" t="s">
        <v>155</v>
      </c>
      <c r="D2254" t="str">
        <f>T_Stocks[[#This Row],[Ticker]] &amp; "-" &amp; DATE(YEAR(T_Stocks[[#This Row],[Fecha]]),MONTH(T_Stocks[[#This Row],[Fecha]]),DAY(T_Stocks[[#This Row],[Fecha]]))</f>
        <v>BTCEUR-44258</v>
      </c>
    </row>
    <row r="2255" spans="1:4" ht="14.65" thickBot="1" x14ac:dyDescent="0.5">
      <c r="A2255" s="17">
        <v>44259.998611111114</v>
      </c>
      <c r="B2255" s="19">
        <v>40406.526420000002</v>
      </c>
      <c r="C2255" t="s">
        <v>155</v>
      </c>
      <c r="D2255" t="str">
        <f>T_Stocks[[#This Row],[Ticker]] &amp; "-" &amp; DATE(YEAR(T_Stocks[[#This Row],[Fecha]]),MONTH(T_Stocks[[#This Row],[Fecha]]),DAY(T_Stocks[[#This Row],[Fecha]]))</f>
        <v>BTCEUR-44259</v>
      </c>
    </row>
    <row r="2256" spans="1:4" ht="14.65" thickBot="1" x14ac:dyDescent="0.5">
      <c r="A2256" s="17">
        <v>44260.998611111114</v>
      </c>
      <c r="B2256" s="19">
        <v>40937.000039999999</v>
      </c>
      <c r="C2256" t="s">
        <v>155</v>
      </c>
      <c r="D2256" t="str">
        <f>T_Stocks[[#This Row],[Ticker]] &amp; "-" &amp; DATE(YEAR(T_Stocks[[#This Row],[Fecha]]),MONTH(T_Stocks[[#This Row],[Fecha]]),DAY(T_Stocks[[#This Row],[Fecha]]))</f>
        <v>BTCEUR-44260</v>
      </c>
    </row>
    <row r="2257" spans="1:4" ht="14.65" thickBot="1" x14ac:dyDescent="0.5">
      <c r="A2257" s="17">
        <v>44261.998611111114</v>
      </c>
      <c r="B2257" s="19">
        <v>41017.888529999997</v>
      </c>
      <c r="C2257" t="s">
        <v>155</v>
      </c>
      <c r="D2257" t="str">
        <f>T_Stocks[[#This Row],[Ticker]] &amp; "-" &amp; DATE(YEAR(T_Stocks[[#This Row],[Fecha]]),MONTH(T_Stocks[[#This Row],[Fecha]]),DAY(T_Stocks[[#This Row],[Fecha]]))</f>
        <v>BTCEUR-44261</v>
      </c>
    </row>
    <row r="2258" spans="1:4" ht="14.65" thickBot="1" x14ac:dyDescent="0.5">
      <c r="A2258" s="17">
        <v>44262.998611111114</v>
      </c>
      <c r="B2258" s="19">
        <v>42730.063289999998</v>
      </c>
      <c r="C2258" t="s">
        <v>155</v>
      </c>
      <c r="D2258" t="str">
        <f>T_Stocks[[#This Row],[Ticker]] &amp; "-" &amp; DATE(YEAR(T_Stocks[[#This Row],[Fecha]]),MONTH(T_Stocks[[#This Row],[Fecha]]),DAY(T_Stocks[[#This Row],[Fecha]]))</f>
        <v>BTCEUR-44262</v>
      </c>
    </row>
    <row r="2259" spans="1:4" ht="14.65" thickBot="1" x14ac:dyDescent="0.5">
      <c r="A2259" s="17">
        <v>44263.998611111114</v>
      </c>
      <c r="B2259" s="19">
        <v>44143.455979999999</v>
      </c>
      <c r="C2259" t="s">
        <v>155</v>
      </c>
      <c r="D2259" t="str">
        <f>T_Stocks[[#This Row],[Ticker]] &amp; "-" &amp; DATE(YEAR(T_Stocks[[#This Row],[Fecha]]),MONTH(T_Stocks[[#This Row],[Fecha]]),DAY(T_Stocks[[#This Row],[Fecha]]))</f>
        <v>BTCEUR-44263</v>
      </c>
    </row>
    <row r="2260" spans="1:4" ht="14.65" thickBot="1" x14ac:dyDescent="0.5">
      <c r="A2260" s="17">
        <v>44264.998611111114</v>
      </c>
      <c r="B2260" s="19">
        <v>46141.481200000002</v>
      </c>
      <c r="C2260" t="s">
        <v>155</v>
      </c>
      <c r="D2260" t="str">
        <f>T_Stocks[[#This Row],[Ticker]] &amp; "-" &amp; DATE(YEAR(T_Stocks[[#This Row],[Fecha]]),MONTH(T_Stocks[[#This Row],[Fecha]]),DAY(T_Stocks[[#This Row],[Fecha]]))</f>
        <v>BTCEUR-44264</v>
      </c>
    </row>
    <row r="2261" spans="1:4" ht="14.65" thickBot="1" x14ac:dyDescent="0.5">
      <c r="A2261" s="17">
        <v>44265.998611111114</v>
      </c>
      <c r="B2261" s="19">
        <v>46873.156199999998</v>
      </c>
      <c r="C2261" t="s">
        <v>155</v>
      </c>
      <c r="D2261" t="str">
        <f>T_Stocks[[#This Row],[Ticker]] &amp; "-" &amp; DATE(YEAR(T_Stocks[[#This Row],[Fecha]]),MONTH(T_Stocks[[#This Row],[Fecha]]),DAY(T_Stocks[[#This Row],[Fecha]]))</f>
        <v>BTCEUR-44265</v>
      </c>
    </row>
    <row r="2262" spans="1:4" ht="14.65" thickBot="1" x14ac:dyDescent="0.5">
      <c r="A2262" s="17">
        <v>44266.998611111114</v>
      </c>
      <c r="B2262" s="19">
        <v>48218.009749999997</v>
      </c>
      <c r="C2262" t="s">
        <v>155</v>
      </c>
      <c r="D2262" t="str">
        <f>T_Stocks[[#This Row],[Ticker]] &amp; "-" &amp; DATE(YEAR(T_Stocks[[#This Row],[Fecha]]),MONTH(T_Stocks[[#This Row],[Fecha]]),DAY(T_Stocks[[#This Row],[Fecha]]))</f>
        <v>BTCEUR-44266</v>
      </c>
    </row>
    <row r="2263" spans="1:4" ht="14.65" thickBot="1" x14ac:dyDescent="0.5">
      <c r="A2263" s="17">
        <v>44267.998611111114</v>
      </c>
      <c r="B2263" s="19">
        <v>47863.281300000002</v>
      </c>
      <c r="C2263" t="s">
        <v>155</v>
      </c>
      <c r="D2263" t="str">
        <f>T_Stocks[[#This Row],[Ticker]] &amp; "-" &amp; DATE(YEAR(T_Stocks[[#This Row],[Fecha]]),MONTH(T_Stocks[[#This Row],[Fecha]]),DAY(T_Stocks[[#This Row],[Fecha]]))</f>
        <v>BTCEUR-44267</v>
      </c>
    </row>
    <row r="2264" spans="1:4" ht="14.65" thickBot="1" x14ac:dyDescent="0.5">
      <c r="A2264" s="17">
        <v>44268.998611111114</v>
      </c>
      <c r="B2264" s="19">
        <v>51185.18982</v>
      </c>
      <c r="C2264" t="s">
        <v>155</v>
      </c>
      <c r="D2264" t="str">
        <f>T_Stocks[[#This Row],[Ticker]] &amp; "-" &amp; DATE(YEAR(T_Stocks[[#This Row],[Fecha]]),MONTH(T_Stocks[[#This Row],[Fecha]]),DAY(T_Stocks[[#This Row],[Fecha]]))</f>
        <v>BTCEUR-44268</v>
      </c>
    </row>
    <row r="2265" spans="1:4" ht="14.65" thickBot="1" x14ac:dyDescent="0.5">
      <c r="A2265" s="17">
        <v>44269.998611111114</v>
      </c>
      <c r="B2265" s="19">
        <v>49384.405100000004</v>
      </c>
      <c r="C2265" t="s">
        <v>155</v>
      </c>
      <c r="D2265" t="str">
        <f>T_Stocks[[#This Row],[Ticker]] &amp; "-" &amp; DATE(YEAR(T_Stocks[[#This Row],[Fecha]]),MONTH(T_Stocks[[#This Row],[Fecha]]),DAY(T_Stocks[[#This Row],[Fecha]]))</f>
        <v>BTCEUR-44269</v>
      </c>
    </row>
    <row r="2266" spans="1:4" ht="14.65" thickBot="1" x14ac:dyDescent="0.5">
      <c r="A2266" s="17">
        <v>44270.998611111114</v>
      </c>
      <c r="B2266" s="19">
        <v>46628.462079999998</v>
      </c>
      <c r="C2266" t="s">
        <v>155</v>
      </c>
      <c r="D2266" t="str">
        <f>T_Stocks[[#This Row],[Ticker]] &amp; "-" &amp; DATE(YEAR(T_Stocks[[#This Row],[Fecha]]),MONTH(T_Stocks[[#This Row],[Fecha]]),DAY(T_Stocks[[#This Row],[Fecha]]))</f>
        <v>BTCEUR-44270</v>
      </c>
    </row>
    <row r="2267" spans="1:4" ht="14.65" thickBot="1" x14ac:dyDescent="0.5">
      <c r="A2267" s="17">
        <v>44271.998611111114</v>
      </c>
      <c r="B2267" s="19">
        <v>47811.92929</v>
      </c>
      <c r="C2267" t="s">
        <v>155</v>
      </c>
      <c r="D2267" t="str">
        <f>T_Stocks[[#This Row],[Ticker]] &amp; "-" &amp; DATE(YEAR(T_Stocks[[#This Row],[Fecha]]),MONTH(T_Stocks[[#This Row],[Fecha]]),DAY(T_Stocks[[#This Row],[Fecha]]))</f>
        <v>BTCEUR-44271</v>
      </c>
    </row>
    <row r="2268" spans="1:4" ht="14.65" thickBot="1" x14ac:dyDescent="0.5">
      <c r="A2268" s="17">
        <v>44272.998611111114</v>
      </c>
      <c r="B2268" s="19">
        <v>49152.323190000003</v>
      </c>
      <c r="C2268" t="s">
        <v>155</v>
      </c>
      <c r="D2268" t="str">
        <f>T_Stocks[[#This Row],[Ticker]] &amp; "-" &amp; DATE(YEAR(T_Stocks[[#This Row],[Fecha]]),MONTH(T_Stocks[[#This Row],[Fecha]]),DAY(T_Stocks[[#This Row],[Fecha]]))</f>
        <v>BTCEUR-44272</v>
      </c>
    </row>
    <row r="2269" spans="1:4" ht="14.65" thickBot="1" x14ac:dyDescent="0.5">
      <c r="A2269" s="17">
        <v>44273.998611111114</v>
      </c>
      <c r="B2269" s="19">
        <v>48369.185210000003</v>
      </c>
      <c r="C2269" t="s">
        <v>155</v>
      </c>
      <c r="D2269" t="str">
        <f>T_Stocks[[#This Row],[Ticker]] &amp; "-" &amp; DATE(YEAR(T_Stocks[[#This Row],[Fecha]]),MONTH(T_Stocks[[#This Row],[Fecha]]),DAY(T_Stocks[[#This Row],[Fecha]]))</f>
        <v>BTCEUR-44273</v>
      </c>
    </row>
    <row r="2270" spans="1:4" ht="14.65" thickBot="1" x14ac:dyDescent="0.5">
      <c r="A2270" s="17">
        <v>44274.998611111114</v>
      </c>
      <c r="B2270" s="19">
        <v>48613.845600000001</v>
      </c>
      <c r="C2270" t="s">
        <v>155</v>
      </c>
      <c r="D2270" t="str">
        <f>T_Stocks[[#This Row],[Ticker]] &amp; "-" &amp; DATE(YEAR(T_Stocks[[#This Row],[Fecha]]),MONTH(T_Stocks[[#This Row],[Fecha]]),DAY(T_Stocks[[#This Row],[Fecha]]))</f>
        <v>BTCEUR-44274</v>
      </c>
    </row>
    <row r="2271" spans="1:4" ht="14.65" thickBot="1" x14ac:dyDescent="0.5">
      <c r="A2271" s="17">
        <v>44275.998611111114</v>
      </c>
      <c r="B2271" s="19">
        <v>48604.126470000003</v>
      </c>
      <c r="C2271" t="s">
        <v>155</v>
      </c>
      <c r="D2271" t="str">
        <f>T_Stocks[[#This Row],[Ticker]] &amp; "-" &amp; DATE(YEAR(T_Stocks[[#This Row],[Fecha]]),MONTH(T_Stocks[[#This Row],[Fecha]]),DAY(T_Stocks[[#This Row],[Fecha]]))</f>
        <v>BTCEUR-44275</v>
      </c>
    </row>
    <row r="2272" spans="1:4" ht="14.65" thickBot="1" x14ac:dyDescent="0.5">
      <c r="A2272" s="17">
        <v>44276.998611111114</v>
      </c>
      <c r="B2272" s="19">
        <v>48268.023309999997</v>
      </c>
      <c r="C2272" t="s">
        <v>155</v>
      </c>
      <c r="D2272" t="str">
        <f>T_Stocks[[#This Row],[Ticker]] &amp; "-" &amp; DATE(YEAR(T_Stocks[[#This Row],[Fecha]]),MONTH(T_Stocks[[#This Row],[Fecha]]),DAY(T_Stocks[[#This Row],[Fecha]]))</f>
        <v>BTCEUR-44276</v>
      </c>
    </row>
    <row r="2273" spans="1:4" ht="14.65" thickBot="1" x14ac:dyDescent="0.5">
      <c r="A2273" s="17">
        <v>44277.998611111114</v>
      </c>
      <c r="B2273" s="19">
        <v>45367.422789999997</v>
      </c>
      <c r="C2273" t="s">
        <v>155</v>
      </c>
      <c r="D2273" t="str">
        <f>T_Stocks[[#This Row],[Ticker]] &amp; "-" &amp; DATE(YEAR(T_Stocks[[#This Row],[Fecha]]),MONTH(T_Stocks[[#This Row],[Fecha]]),DAY(T_Stocks[[#This Row],[Fecha]]))</f>
        <v>BTCEUR-44277</v>
      </c>
    </row>
    <row r="2274" spans="1:4" ht="14.65" thickBot="1" x14ac:dyDescent="0.5">
      <c r="A2274" s="17">
        <v>44278.998611111114</v>
      </c>
      <c r="B2274" s="19">
        <v>45951.528570000002</v>
      </c>
      <c r="C2274" t="s">
        <v>155</v>
      </c>
      <c r="D2274" t="str">
        <f>T_Stocks[[#This Row],[Ticker]] &amp; "-" &amp; DATE(YEAR(T_Stocks[[#This Row],[Fecha]]),MONTH(T_Stocks[[#This Row],[Fecha]]),DAY(T_Stocks[[#This Row],[Fecha]]))</f>
        <v>BTCEUR-44278</v>
      </c>
    </row>
    <row r="2275" spans="1:4" ht="14.65" thickBot="1" x14ac:dyDescent="0.5">
      <c r="A2275" s="17">
        <v>44279.998611111114</v>
      </c>
      <c r="B2275" s="19">
        <v>44303.149039999997</v>
      </c>
      <c r="C2275" t="s">
        <v>155</v>
      </c>
      <c r="D2275" t="str">
        <f>T_Stocks[[#This Row],[Ticker]] &amp; "-" &amp; DATE(YEAR(T_Stocks[[#This Row],[Fecha]]),MONTH(T_Stocks[[#This Row],[Fecha]]),DAY(T_Stocks[[#This Row],[Fecha]]))</f>
        <v>BTCEUR-44279</v>
      </c>
    </row>
    <row r="2276" spans="1:4" ht="14.65" thickBot="1" x14ac:dyDescent="0.5">
      <c r="A2276" s="17">
        <v>44280.998611111114</v>
      </c>
      <c r="B2276" s="19">
        <v>43597.310100000002</v>
      </c>
      <c r="C2276" t="s">
        <v>155</v>
      </c>
      <c r="D2276" t="str">
        <f>T_Stocks[[#This Row],[Ticker]] &amp; "-" &amp; DATE(YEAR(T_Stocks[[#This Row],[Fecha]]),MONTH(T_Stocks[[#This Row],[Fecha]]),DAY(T_Stocks[[#This Row],[Fecha]]))</f>
        <v>BTCEUR-44280</v>
      </c>
    </row>
    <row r="2277" spans="1:4" ht="14.65" thickBot="1" x14ac:dyDescent="0.5">
      <c r="A2277" s="17">
        <v>44281.998611111114</v>
      </c>
      <c r="B2277" s="19">
        <v>46662.414019999997</v>
      </c>
      <c r="C2277" t="s">
        <v>155</v>
      </c>
      <c r="D2277" t="str">
        <f>T_Stocks[[#This Row],[Ticker]] &amp; "-" &amp; DATE(YEAR(T_Stocks[[#This Row],[Fecha]]),MONTH(T_Stocks[[#This Row],[Fecha]]),DAY(T_Stocks[[#This Row],[Fecha]]))</f>
        <v>BTCEUR-44281</v>
      </c>
    </row>
    <row r="2278" spans="1:4" ht="14.65" thickBot="1" x14ac:dyDescent="0.5">
      <c r="A2278" s="17">
        <v>44282.998611111114</v>
      </c>
      <c r="B2278" s="19">
        <v>47244.108829999997</v>
      </c>
      <c r="C2278" t="s">
        <v>155</v>
      </c>
      <c r="D2278" t="str">
        <f>T_Stocks[[#This Row],[Ticker]] &amp; "-" &amp; DATE(YEAR(T_Stocks[[#This Row],[Fecha]]),MONTH(T_Stocks[[#This Row],[Fecha]]),DAY(T_Stocks[[#This Row],[Fecha]]))</f>
        <v>BTCEUR-44282</v>
      </c>
    </row>
    <row r="2279" spans="1:4" ht="14.65" thickBot="1" x14ac:dyDescent="0.5">
      <c r="A2279" s="17">
        <v>44283.998611111114</v>
      </c>
      <c r="B2279" s="19">
        <v>47314.276019999998</v>
      </c>
      <c r="C2279" t="s">
        <v>155</v>
      </c>
      <c r="D2279" t="str">
        <f>T_Stocks[[#This Row],[Ticker]] &amp; "-" &amp; DATE(YEAR(T_Stocks[[#This Row],[Fecha]]),MONTH(T_Stocks[[#This Row],[Fecha]]),DAY(T_Stocks[[#This Row],[Fecha]]))</f>
        <v>BTCEUR-44283</v>
      </c>
    </row>
    <row r="2280" spans="1:4" ht="14.65" thickBot="1" x14ac:dyDescent="0.5">
      <c r="A2280" s="17">
        <v>44284.998611111114</v>
      </c>
      <c r="B2280" s="19">
        <v>48943.701009999997</v>
      </c>
      <c r="C2280" t="s">
        <v>155</v>
      </c>
      <c r="D2280" t="str">
        <f>T_Stocks[[#This Row],[Ticker]] &amp; "-" &amp; DATE(YEAR(T_Stocks[[#This Row],[Fecha]]),MONTH(T_Stocks[[#This Row],[Fecha]]),DAY(T_Stocks[[#This Row],[Fecha]]))</f>
        <v>BTCEUR-44284</v>
      </c>
    </row>
    <row r="2281" spans="1:4" ht="14.65" thickBot="1" x14ac:dyDescent="0.5">
      <c r="A2281" s="17">
        <v>44285.998611111114</v>
      </c>
      <c r="B2281" s="19">
        <v>50144.058490000003</v>
      </c>
      <c r="C2281" t="s">
        <v>155</v>
      </c>
      <c r="D2281" t="str">
        <f>T_Stocks[[#This Row],[Ticker]] &amp; "-" &amp; DATE(YEAR(T_Stocks[[#This Row],[Fecha]]),MONTH(T_Stocks[[#This Row],[Fecha]]),DAY(T_Stocks[[#This Row],[Fecha]]))</f>
        <v>BTCEUR-44285</v>
      </c>
    </row>
    <row r="2282" spans="1:4" ht="14.65" thickBot="1" x14ac:dyDescent="0.5">
      <c r="A2282" s="17">
        <v>44286.998611111114</v>
      </c>
      <c r="B2282" s="19">
        <v>50128.565840000003</v>
      </c>
      <c r="C2282" t="s">
        <v>155</v>
      </c>
      <c r="D2282" t="str">
        <f>T_Stocks[[#This Row],[Ticker]] &amp; "-" &amp; DATE(YEAR(T_Stocks[[#This Row],[Fecha]]),MONTH(T_Stocks[[#This Row],[Fecha]]),DAY(T_Stocks[[#This Row],[Fecha]]))</f>
        <v>BTCEUR-44286</v>
      </c>
    </row>
    <row r="2283" spans="1:4" ht="14.65" thickBot="1" x14ac:dyDescent="0.5">
      <c r="A2283" s="17">
        <v>44287.998611111114</v>
      </c>
      <c r="B2283" s="19">
        <v>49848.8681</v>
      </c>
      <c r="C2283" t="s">
        <v>155</v>
      </c>
      <c r="D2283" t="str">
        <f>T_Stocks[[#This Row],[Ticker]] &amp; "-" &amp; DATE(YEAR(T_Stocks[[#This Row],[Fecha]]),MONTH(T_Stocks[[#This Row],[Fecha]]),DAY(T_Stocks[[#This Row],[Fecha]]))</f>
        <v>BTCEUR-44287</v>
      </c>
    </row>
    <row r="2284" spans="1:4" ht="14.65" thickBot="1" x14ac:dyDescent="0.5">
      <c r="A2284" s="17">
        <v>44288.998611111114</v>
      </c>
      <c r="B2284" s="19">
        <v>50150.958059999997</v>
      </c>
      <c r="C2284" t="s">
        <v>155</v>
      </c>
      <c r="D2284" t="str">
        <f>T_Stocks[[#This Row],[Ticker]] &amp; "-" &amp; DATE(YEAR(T_Stocks[[#This Row],[Fecha]]),MONTH(T_Stocks[[#This Row],[Fecha]]),DAY(T_Stocks[[#This Row],[Fecha]]))</f>
        <v>BTCEUR-44288</v>
      </c>
    </row>
    <row r="2285" spans="1:4" ht="14.65" thickBot="1" x14ac:dyDescent="0.5">
      <c r="A2285" s="17">
        <v>44289.998611111114</v>
      </c>
      <c r="B2285" s="19">
        <v>48529.397230000002</v>
      </c>
      <c r="C2285" t="s">
        <v>155</v>
      </c>
      <c r="D2285" t="str">
        <f>T_Stocks[[#This Row],[Ticker]] &amp; "-" &amp; DATE(YEAR(T_Stocks[[#This Row],[Fecha]]),MONTH(T_Stocks[[#This Row],[Fecha]]),DAY(T_Stocks[[#This Row],[Fecha]]))</f>
        <v>BTCEUR-44289</v>
      </c>
    </row>
    <row r="2286" spans="1:4" ht="14.65" thickBot="1" x14ac:dyDescent="0.5">
      <c r="A2286" s="17">
        <v>44290.998611111114</v>
      </c>
      <c r="B2286" s="19">
        <v>49471.501770000003</v>
      </c>
      <c r="C2286" t="s">
        <v>155</v>
      </c>
      <c r="D2286" t="str">
        <f>T_Stocks[[#This Row],[Ticker]] &amp; "-" &amp; DATE(YEAR(T_Stocks[[#This Row],[Fecha]]),MONTH(T_Stocks[[#This Row],[Fecha]]),DAY(T_Stocks[[#This Row],[Fecha]]))</f>
        <v>BTCEUR-44290</v>
      </c>
    </row>
    <row r="2287" spans="1:4" ht="14.65" thickBot="1" x14ac:dyDescent="0.5">
      <c r="A2287" s="17">
        <v>44291.998611111114</v>
      </c>
      <c r="B2287" s="19">
        <v>49983.738239999999</v>
      </c>
      <c r="C2287" t="s">
        <v>155</v>
      </c>
      <c r="D2287" t="str">
        <f>T_Stocks[[#This Row],[Ticker]] &amp; "-" &amp; DATE(YEAR(T_Stocks[[#This Row],[Fecha]]),MONTH(T_Stocks[[#This Row],[Fecha]]),DAY(T_Stocks[[#This Row],[Fecha]]))</f>
        <v>BTCEUR-44291</v>
      </c>
    </row>
    <row r="2288" spans="1:4" ht="14.65" thickBot="1" x14ac:dyDescent="0.5">
      <c r="A2288" s="17">
        <v>44292.998611111114</v>
      </c>
      <c r="B2288" s="19">
        <v>48850.248740000003</v>
      </c>
      <c r="C2288" t="s">
        <v>155</v>
      </c>
      <c r="D2288" t="str">
        <f>T_Stocks[[#This Row],[Ticker]] &amp; "-" &amp; DATE(YEAR(T_Stocks[[#This Row],[Fecha]]),MONTH(T_Stocks[[#This Row],[Fecha]]),DAY(T_Stocks[[#This Row],[Fecha]]))</f>
        <v>BTCEUR-44292</v>
      </c>
    </row>
    <row r="2289" spans="1:4" ht="14.65" thickBot="1" x14ac:dyDescent="0.5">
      <c r="A2289" s="17">
        <v>44293.998611111114</v>
      </c>
      <c r="B2289" s="19">
        <v>47090.829749999997</v>
      </c>
      <c r="C2289" t="s">
        <v>155</v>
      </c>
      <c r="D2289" t="str">
        <f>T_Stocks[[#This Row],[Ticker]] &amp; "-" &amp; DATE(YEAR(T_Stocks[[#This Row],[Fecha]]),MONTH(T_Stocks[[#This Row],[Fecha]]),DAY(T_Stocks[[#This Row],[Fecha]]))</f>
        <v>BTCEUR-44293</v>
      </c>
    </row>
    <row r="2290" spans="1:4" ht="14.65" thickBot="1" x14ac:dyDescent="0.5">
      <c r="A2290" s="17">
        <v>44294.998611111114</v>
      </c>
      <c r="B2290" s="19">
        <v>48728.605920000002</v>
      </c>
      <c r="C2290" t="s">
        <v>155</v>
      </c>
      <c r="D2290" t="str">
        <f>T_Stocks[[#This Row],[Ticker]] &amp; "-" &amp; DATE(YEAR(T_Stocks[[#This Row],[Fecha]]),MONTH(T_Stocks[[#This Row],[Fecha]]),DAY(T_Stocks[[#This Row],[Fecha]]))</f>
        <v>BTCEUR-44294</v>
      </c>
    </row>
    <row r="2291" spans="1:4" ht="14.65" thickBot="1" x14ac:dyDescent="0.5">
      <c r="A2291" s="17">
        <v>44295.998611111114</v>
      </c>
      <c r="B2291" s="19">
        <v>48819.443370000001</v>
      </c>
      <c r="C2291" t="s">
        <v>155</v>
      </c>
      <c r="D2291" t="str">
        <f>T_Stocks[[#This Row],[Ticker]] &amp; "-" &amp; DATE(YEAR(T_Stocks[[#This Row],[Fecha]]),MONTH(T_Stocks[[#This Row],[Fecha]]),DAY(T_Stocks[[#This Row],[Fecha]]))</f>
        <v>BTCEUR-44295</v>
      </c>
    </row>
    <row r="2292" spans="1:4" ht="14.65" thickBot="1" x14ac:dyDescent="0.5">
      <c r="A2292" s="17">
        <v>44296.998611111114</v>
      </c>
      <c r="B2292" s="19">
        <v>50226.450510000002</v>
      </c>
      <c r="C2292" t="s">
        <v>155</v>
      </c>
      <c r="D2292" t="str">
        <f>T_Stocks[[#This Row],[Ticker]] &amp; "-" &amp; DATE(YEAR(T_Stocks[[#This Row],[Fecha]]),MONTH(T_Stocks[[#This Row],[Fecha]]),DAY(T_Stocks[[#This Row],[Fecha]]))</f>
        <v>BTCEUR-44296</v>
      </c>
    </row>
    <row r="2293" spans="1:4" ht="14.65" thickBot="1" x14ac:dyDescent="0.5">
      <c r="A2293" s="17">
        <v>44297.998611111114</v>
      </c>
      <c r="B2293" s="19">
        <v>50392.152370000003</v>
      </c>
      <c r="C2293" t="s">
        <v>155</v>
      </c>
      <c r="D2293" t="str">
        <f>T_Stocks[[#This Row],[Ticker]] &amp; "-" &amp; DATE(YEAR(T_Stocks[[#This Row],[Fecha]]),MONTH(T_Stocks[[#This Row],[Fecha]]),DAY(T_Stocks[[#This Row],[Fecha]]))</f>
        <v>BTCEUR-44297</v>
      </c>
    </row>
    <row r="2294" spans="1:4" ht="14.65" thickBot="1" x14ac:dyDescent="0.5">
      <c r="A2294" s="17">
        <v>44298.998611111114</v>
      </c>
      <c r="B2294" s="19">
        <v>50236.872219999997</v>
      </c>
      <c r="C2294" t="s">
        <v>155</v>
      </c>
      <c r="D2294" t="str">
        <f>T_Stocks[[#This Row],[Ticker]] &amp; "-" &amp; DATE(YEAR(T_Stocks[[#This Row],[Fecha]]),MONTH(T_Stocks[[#This Row],[Fecha]]),DAY(T_Stocks[[#This Row],[Fecha]]))</f>
        <v>BTCEUR-44298</v>
      </c>
    </row>
    <row r="2295" spans="1:4" ht="14.65" thickBot="1" x14ac:dyDescent="0.5">
      <c r="A2295" s="17">
        <v>44299.998611111114</v>
      </c>
      <c r="B2295" s="19">
        <v>53152.940519999996</v>
      </c>
      <c r="C2295" t="s">
        <v>155</v>
      </c>
      <c r="D2295" t="str">
        <f>T_Stocks[[#This Row],[Ticker]] &amp; "-" &amp; DATE(YEAR(T_Stocks[[#This Row],[Fecha]]),MONTH(T_Stocks[[#This Row],[Fecha]]),DAY(T_Stocks[[#This Row],[Fecha]]))</f>
        <v>BTCEUR-44299</v>
      </c>
    </row>
    <row r="2296" spans="1:4" ht="14.65" thickBot="1" x14ac:dyDescent="0.5">
      <c r="A2296" s="17">
        <v>44300.998611111114</v>
      </c>
      <c r="B2296" s="19">
        <v>52552.565340000001</v>
      </c>
      <c r="C2296" t="s">
        <v>155</v>
      </c>
      <c r="D2296" t="str">
        <f>T_Stocks[[#This Row],[Ticker]] &amp; "-" &amp; DATE(YEAR(T_Stocks[[#This Row],[Fecha]]),MONTH(T_Stocks[[#This Row],[Fecha]]),DAY(T_Stocks[[#This Row],[Fecha]]))</f>
        <v>BTCEUR-44300</v>
      </c>
    </row>
    <row r="2297" spans="1:4" ht="14.65" thickBot="1" x14ac:dyDescent="0.5">
      <c r="A2297" s="17">
        <v>44301.998611111114</v>
      </c>
      <c r="B2297" s="19">
        <v>52844.218719999997</v>
      </c>
      <c r="C2297" t="s">
        <v>155</v>
      </c>
      <c r="D2297" t="str">
        <f>T_Stocks[[#This Row],[Ticker]] &amp; "-" &amp; DATE(YEAR(T_Stocks[[#This Row],[Fecha]]),MONTH(T_Stocks[[#This Row],[Fecha]]),DAY(T_Stocks[[#This Row],[Fecha]]))</f>
        <v>BTCEUR-44301</v>
      </c>
    </row>
    <row r="2298" spans="1:4" ht="14.65" thickBot="1" x14ac:dyDescent="0.5">
      <c r="A2298" s="17">
        <v>44302.998611111114</v>
      </c>
      <c r="B2298" s="19">
        <v>51244.054490000002</v>
      </c>
      <c r="C2298" t="s">
        <v>155</v>
      </c>
      <c r="D2298" t="str">
        <f>T_Stocks[[#This Row],[Ticker]] &amp; "-" &amp; DATE(YEAR(T_Stocks[[#This Row],[Fecha]]),MONTH(T_Stocks[[#This Row],[Fecha]]),DAY(T_Stocks[[#This Row],[Fecha]]))</f>
        <v>BTCEUR-44302</v>
      </c>
    </row>
    <row r="2299" spans="1:4" ht="14.65" thickBot="1" x14ac:dyDescent="0.5">
      <c r="A2299" s="17">
        <v>44303.998611111114</v>
      </c>
      <c r="B2299" s="19">
        <v>50118.607329999999</v>
      </c>
      <c r="C2299" t="s">
        <v>155</v>
      </c>
      <c r="D2299" t="str">
        <f>T_Stocks[[#This Row],[Ticker]] &amp; "-" &amp; DATE(YEAR(T_Stocks[[#This Row],[Fecha]]),MONTH(T_Stocks[[#This Row],[Fecha]]),DAY(T_Stocks[[#This Row],[Fecha]]))</f>
        <v>BTCEUR-44303</v>
      </c>
    </row>
    <row r="2300" spans="1:4" ht="14.65" thickBot="1" x14ac:dyDescent="0.5">
      <c r="A2300" s="17">
        <v>44304.998611111114</v>
      </c>
      <c r="B2300" s="19">
        <v>46990.840360000002</v>
      </c>
      <c r="C2300" t="s">
        <v>155</v>
      </c>
      <c r="D2300" t="str">
        <f>T_Stocks[[#This Row],[Ticker]] &amp; "-" &amp; DATE(YEAR(T_Stocks[[#This Row],[Fecha]]),MONTH(T_Stocks[[#This Row],[Fecha]]),DAY(T_Stocks[[#This Row],[Fecha]]))</f>
        <v>BTCEUR-44304</v>
      </c>
    </row>
    <row r="2301" spans="1:4" ht="14.65" thickBot="1" x14ac:dyDescent="0.5">
      <c r="A2301" s="17">
        <v>44305.998611111114</v>
      </c>
      <c r="B2301" s="19">
        <v>46230.019079999998</v>
      </c>
      <c r="C2301" t="s">
        <v>155</v>
      </c>
      <c r="D2301" t="str">
        <f>T_Stocks[[#This Row],[Ticker]] &amp; "-" &amp; DATE(YEAR(T_Stocks[[#This Row],[Fecha]]),MONTH(T_Stocks[[#This Row],[Fecha]]),DAY(T_Stocks[[#This Row],[Fecha]]))</f>
        <v>BTCEUR-44305</v>
      </c>
    </row>
    <row r="2302" spans="1:4" ht="14.65" thickBot="1" x14ac:dyDescent="0.5">
      <c r="A2302" s="17">
        <v>44306.998611111114</v>
      </c>
      <c r="B2302" s="19">
        <v>46941.542269999998</v>
      </c>
      <c r="C2302" t="s">
        <v>155</v>
      </c>
      <c r="D2302" t="str">
        <f>T_Stocks[[#This Row],[Ticker]] &amp; "-" &amp; DATE(YEAR(T_Stocks[[#This Row],[Fecha]]),MONTH(T_Stocks[[#This Row],[Fecha]]),DAY(T_Stocks[[#This Row],[Fecha]]))</f>
        <v>BTCEUR-44306</v>
      </c>
    </row>
    <row r="2303" spans="1:4" ht="14.65" thickBot="1" x14ac:dyDescent="0.5">
      <c r="A2303" s="17">
        <v>44307.998611111114</v>
      </c>
      <c r="B2303" s="19">
        <v>44709.416850000001</v>
      </c>
      <c r="C2303" t="s">
        <v>155</v>
      </c>
      <c r="D2303" t="str">
        <f>T_Stocks[[#This Row],[Ticker]] &amp; "-" &amp; DATE(YEAR(T_Stocks[[#This Row],[Fecha]]),MONTH(T_Stocks[[#This Row],[Fecha]]),DAY(T_Stocks[[#This Row],[Fecha]]))</f>
        <v>BTCEUR-44307</v>
      </c>
    </row>
    <row r="2304" spans="1:4" ht="14.65" thickBot="1" x14ac:dyDescent="0.5">
      <c r="A2304" s="17">
        <v>44308.998611111114</v>
      </c>
      <c r="B2304" s="19">
        <v>43092.542289999998</v>
      </c>
      <c r="C2304" t="s">
        <v>155</v>
      </c>
      <c r="D2304" t="str">
        <f>T_Stocks[[#This Row],[Ticker]] &amp; "-" &amp; DATE(YEAR(T_Stocks[[#This Row],[Fecha]]),MONTH(T_Stocks[[#This Row],[Fecha]]),DAY(T_Stocks[[#This Row],[Fecha]]))</f>
        <v>BTCEUR-44308</v>
      </c>
    </row>
    <row r="2305" spans="1:4" ht="14.65" thickBot="1" x14ac:dyDescent="0.5">
      <c r="A2305" s="17">
        <v>44309.998611111114</v>
      </c>
      <c r="B2305" s="19">
        <v>42252.28196</v>
      </c>
      <c r="C2305" t="s">
        <v>155</v>
      </c>
      <c r="D2305" t="str">
        <f>T_Stocks[[#This Row],[Ticker]] &amp; "-" &amp; DATE(YEAR(T_Stocks[[#This Row],[Fecha]]),MONTH(T_Stocks[[#This Row],[Fecha]]),DAY(T_Stocks[[#This Row],[Fecha]]))</f>
        <v>BTCEUR-44309</v>
      </c>
    </row>
    <row r="2306" spans="1:4" ht="14.65" thickBot="1" x14ac:dyDescent="0.5">
      <c r="A2306" s="17">
        <v>44310.998611111114</v>
      </c>
      <c r="B2306" s="19">
        <v>41415.748570000003</v>
      </c>
      <c r="C2306" t="s">
        <v>155</v>
      </c>
      <c r="D2306" t="str">
        <f>T_Stocks[[#This Row],[Ticker]] &amp; "-" &amp; DATE(YEAR(T_Stocks[[#This Row],[Fecha]]),MONTH(T_Stocks[[#This Row],[Fecha]]),DAY(T_Stocks[[#This Row],[Fecha]]))</f>
        <v>BTCEUR-44310</v>
      </c>
    </row>
    <row r="2307" spans="1:4" ht="14.65" thickBot="1" x14ac:dyDescent="0.5">
      <c r="A2307" s="17">
        <v>44311.998611111114</v>
      </c>
      <c r="B2307" s="19">
        <v>40590.175040000002</v>
      </c>
      <c r="C2307" t="s">
        <v>155</v>
      </c>
      <c r="D2307" t="str">
        <f>T_Stocks[[#This Row],[Ticker]] &amp; "-" &amp; DATE(YEAR(T_Stocks[[#This Row],[Fecha]]),MONTH(T_Stocks[[#This Row],[Fecha]]),DAY(T_Stocks[[#This Row],[Fecha]]))</f>
        <v>BTCEUR-44311</v>
      </c>
    </row>
    <row r="2308" spans="1:4" ht="14.65" thickBot="1" x14ac:dyDescent="0.5">
      <c r="A2308" s="17">
        <v>44312.998611111114</v>
      </c>
      <c r="B2308" s="19">
        <v>44726.673210000001</v>
      </c>
      <c r="C2308" t="s">
        <v>155</v>
      </c>
      <c r="D2308" t="str">
        <f>T_Stocks[[#This Row],[Ticker]] &amp; "-" &amp; DATE(YEAR(T_Stocks[[#This Row],[Fecha]]),MONTH(T_Stocks[[#This Row],[Fecha]]),DAY(T_Stocks[[#This Row],[Fecha]]))</f>
        <v>BTCEUR-44312</v>
      </c>
    </row>
    <row r="2309" spans="1:4" ht="14.65" thickBot="1" x14ac:dyDescent="0.5">
      <c r="A2309" s="17">
        <v>44313.998611111114</v>
      </c>
      <c r="B2309" s="19">
        <v>45533.996370000001</v>
      </c>
      <c r="C2309" t="s">
        <v>155</v>
      </c>
      <c r="D2309" t="str">
        <f>T_Stocks[[#This Row],[Ticker]] &amp; "-" &amp; DATE(YEAR(T_Stocks[[#This Row],[Fecha]]),MONTH(T_Stocks[[#This Row],[Fecha]]),DAY(T_Stocks[[#This Row],[Fecha]]))</f>
        <v>BTCEUR-44313</v>
      </c>
    </row>
    <row r="2310" spans="1:4" ht="14.65" thickBot="1" x14ac:dyDescent="0.5">
      <c r="A2310" s="17">
        <v>44314.998611111114</v>
      </c>
      <c r="B2310" s="19">
        <v>45201.39344</v>
      </c>
      <c r="C2310" t="s">
        <v>155</v>
      </c>
      <c r="D2310" t="str">
        <f>T_Stocks[[#This Row],[Ticker]] &amp; "-" &amp; DATE(YEAR(T_Stocks[[#This Row],[Fecha]]),MONTH(T_Stocks[[#This Row],[Fecha]]),DAY(T_Stocks[[#This Row],[Fecha]]))</f>
        <v>BTCEUR-44314</v>
      </c>
    </row>
    <row r="2311" spans="1:4" ht="14.65" thickBot="1" x14ac:dyDescent="0.5">
      <c r="A2311" s="17">
        <v>44315.998611111114</v>
      </c>
      <c r="B2311" s="19">
        <v>44173.236530000002</v>
      </c>
      <c r="C2311" t="s">
        <v>155</v>
      </c>
      <c r="D2311" t="str">
        <f>T_Stocks[[#This Row],[Ticker]] &amp; "-" &amp; DATE(YEAR(T_Stocks[[#This Row],[Fecha]]),MONTH(T_Stocks[[#This Row],[Fecha]]),DAY(T_Stocks[[#This Row],[Fecha]]))</f>
        <v>BTCEUR-44315</v>
      </c>
    </row>
    <row r="2312" spans="1:4" ht="14.65" thickBot="1" x14ac:dyDescent="0.5">
      <c r="A2312" s="17">
        <v>44316.998611111114</v>
      </c>
      <c r="B2312" s="19">
        <v>48054.277249999999</v>
      </c>
      <c r="C2312" t="s">
        <v>155</v>
      </c>
      <c r="D2312" t="str">
        <f>T_Stocks[[#This Row],[Ticker]] &amp; "-" &amp; DATE(YEAR(T_Stocks[[#This Row],[Fecha]]),MONTH(T_Stocks[[#This Row],[Fecha]]),DAY(T_Stocks[[#This Row],[Fecha]]))</f>
        <v>BTCEUR-44316</v>
      </c>
    </row>
    <row r="2313" spans="1:4" ht="14.65" thickBot="1" x14ac:dyDescent="0.5">
      <c r="A2313" s="17">
        <v>44317.998611111114</v>
      </c>
      <c r="B2313" s="19">
        <v>48109.95953</v>
      </c>
      <c r="C2313" t="s">
        <v>155</v>
      </c>
      <c r="D2313" t="str">
        <f>T_Stocks[[#This Row],[Ticker]] &amp; "-" &amp; DATE(YEAR(T_Stocks[[#This Row],[Fecha]]),MONTH(T_Stocks[[#This Row],[Fecha]]),DAY(T_Stocks[[#This Row],[Fecha]]))</f>
        <v>BTCEUR-44317</v>
      </c>
    </row>
    <row r="2314" spans="1:4" ht="14.65" thickBot="1" x14ac:dyDescent="0.5">
      <c r="A2314" s="17">
        <v>44318.998611111114</v>
      </c>
      <c r="B2314" s="19">
        <v>47069.379220000003</v>
      </c>
      <c r="C2314" t="s">
        <v>155</v>
      </c>
      <c r="D2314" t="str">
        <f>T_Stocks[[#This Row],[Ticker]] &amp; "-" &amp; DATE(YEAR(T_Stocks[[#This Row],[Fecha]]),MONTH(T_Stocks[[#This Row],[Fecha]]),DAY(T_Stocks[[#This Row],[Fecha]]))</f>
        <v>BTCEUR-44318</v>
      </c>
    </row>
    <row r="2315" spans="1:4" ht="14.65" thickBot="1" x14ac:dyDescent="0.5">
      <c r="A2315" s="17">
        <v>44319.998611111114</v>
      </c>
      <c r="B2315" s="19">
        <v>47397.242610000001</v>
      </c>
      <c r="C2315" t="s">
        <v>155</v>
      </c>
      <c r="D2315" t="str">
        <f>T_Stocks[[#This Row],[Ticker]] &amp; "-" &amp; DATE(YEAR(T_Stocks[[#This Row],[Fecha]]),MONTH(T_Stocks[[#This Row],[Fecha]]),DAY(T_Stocks[[#This Row],[Fecha]]))</f>
        <v>BTCEUR-44319</v>
      </c>
    </row>
    <row r="2316" spans="1:4" ht="14.65" thickBot="1" x14ac:dyDescent="0.5">
      <c r="A2316" s="17">
        <v>44320.998611111114</v>
      </c>
      <c r="B2316" s="19">
        <v>44322.455379999999</v>
      </c>
      <c r="C2316" t="s">
        <v>155</v>
      </c>
      <c r="D2316" t="str">
        <f>T_Stocks[[#This Row],[Ticker]] &amp; "-" &amp; DATE(YEAR(T_Stocks[[#This Row],[Fecha]]),MONTH(T_Stocks[[#This Row],[Fecha]]),DAY(T_Stocks[[#This Row],[Fecha]]))</f>
        <v>BTCEUR-44320</v>
      </c>
    </row>
    <row r="2317" spans="1:4" ht="14.65" thickBot="1" x14ac:dyDescent="0.5">
      <c r="A2317" s="17">
        <v>44321.998611111114</v>
      </c>
      <c r="B2317" s="19">
        <v>47874.132120000002</v>
      </c>
      <c r="C2317" t="s">
        <v>155</v>
      </c>
      <c r="D2317" t="str">
        <f>T_Stocks[[#This Row],[Ticker]] &amp; "-" &amp; DATE(YEAR(T_Stocks[[#This Row],[Fecha]]),MONTH(T_Stocks[[#This Row],[Fecha]]),DAY(T_Stocks[[#This Row],[Fecha]]))</f>
        <v>BTCEUR-44321</v>
      </c>
    </row>
    <row r="2318" spans="1:4" ht="14.65" thickBot="1" x14ac:dyDescent="0.5">
      <c r="A2318" s="17">
        <v>44322.998611111114</v>
      </c>
      <c r="B2318" s="19">
        <v>46748.327669999999</v>
      </c>
      <c r="C2318" t="s">
        <v>155</v>
      </c>
      <c r="D2318" t="str">
        <f>T_Stocks[[#This Row],[Ticker]] &amp; "-" &amp; DATE(YEAR(T_Stocks[[#This Row],[Fecha]]),MONTH(T_Stocks[[#This Row],[Fecha]]),DAY(T_Stocks[[#This Row],[Fecha]]))</f>
        <v>BTCEUR-44322</v>
      </c>
    </row>
    <row r="2319" spans="1:4" ht="14.65" thickBot="1" x14ac:dyDescent="0.5">
      <c r="A2319" s="17">
        <v>44323.998611111114</v>
      </c>
      <c r="B2319" s="19">
        <v>47144.552920000002</v>
      </c>
      <c r="C2319" t="s">
        <v>155</v>
      </c>
      <c r="D2319" t="str">
        <f>T_Stocks[[#This Row],[Ticker]] &amp; "-" &amp; DATE(YEAR(T_Stocks[[#This Row],[Fecha]]),MONTH(T_Stocks[[#This Row],[Fecha]]),DAY(T_Stocks[[#This Row],[Fecha]]))</f>
        <v>BTCEUR-44323</v>
      </c>
    </row>
    <row r="2320" spans="1:4" ht="14.65" thickBot="1" x14ac:dyDescent="0.5">
      <c r="A2320" s="17">
        <v>44324.998611111114</v>
      </c>
      <c r="B2320" s="19">
        <v>48381.812899999997</v>
      </c>
      <c r="C2320" t="s">
        <v>155</v>
      </c>
      <c r="D2320" t="str">
        <f>T_Stocks[[#This Row],[Ticker]] &amp; "-" &amp; DATE(YEAR(T_Stocks[[#This Row],[Fecha]]),MONTH(T_Stocks[[#This Row],[Fecha]]),DAY(T_Stocks[[#This Row],[Fecha]]))</f>
        <v>BTCEUR-44324</v>
      </c>
    </row>
    <row r="2321" spans="1:4" ht="14.65" thickBot="1" x14ac:dyDescent="0.5">
      <c r="A2321" s="17">
        <v>44325.998611111114</v>
      </c>
      <c r="B2321" s="19">
        <v>47859.29105</v>
      </c>
      <c r="C2321" t="s">
        <v>155</v>
      </c>
      <c r="D2321" t="str">
        <f>T_Stocks[[#This Row],[Ticker]] &amp; "-" &amp; DATE(YEAR(T_Stocks[[#This Row],[Fecha]]),MONTH(T_Stocks[[#This Row],[Fecha]]),DAY(T_Stocks[[#This Row],[Fecha]]))</f>
        <v>BTCEUR-44325</v>
      </c>
    </row>
    <row r="2322" spans="1:4" ht="14.65" thickBot="1" x14ac:dyDescent="0.5">
      <c r="A2322" s="17">
        <v>44326.998611111114</v>
      </c>
      <c r="B2322" s="19">
        <v>46021.022340000003</v>
      </c>
      <c r="C2322" t="s">
        <v>155</v>
      </c>
      <c r="D2322" t="str">
        <f>T_Stocks[[#This Row],[Ticker]] &amp; "-" &amp; DATE(YEAR(T_Stocks[[#This Row],[Fecha]]),MONTH(T_Stocks[[#This Row],[Fecha]]),DAY(T_Stocks[[#This Row],[Fecha]]))</f>
        <v>BTCEUR-44326</v>
      </c>
    </row>
    <row r="2323" spans="1:4" ht="14.65" thickBot="1" x14ac:dyDescent="0.5">
      <c r="A2323" s="17">
        <v>44327.998611111114</v>
      </c>
      <c r="B2323" s="19">
        <v>46710.732790000002</v>
      </c>
      <c r="C2323" t="s">
        <v>155</v>
      </c>
      <c r="D2323" t="str">
        <f>T_Stocks[[#This Row],[Ticker]] &amp; "-" &amp; DATE(YEAR(T_Stocks[[#This Row],[Fecha]]),MONTH(T_Stocks[[#This Row],[Fecha]]),DAY(T_Stocks[[#This Row],[Fecha]]))</f>
        <v>BTCEUR-44327</v>
      </c>
    </row>
    <row r="2324" spans="1:4" ht="14.65" thickBot="1" x14ac:dyDescent="0.5">
      <c r="A2324" s="17">
        <v>44328.998611111114</v>
      </c>
      <c r="B2324" s="19">
        <v>40830.576269999998</v>
      </c>
      <c r="C2324" t="s">
        <v>155</v>
      </c>
      <c r="D2324" t="str">
        <f>T_Stocks[[#This Row],[Ticker]] &amp; "-" &amp; DATE(YEAR(T_Stocks[[#This Row],[Fecha]]),MONTH(T_Stocks[[#This Row],[Fecha]]),DAY(T_Stocks[[#This Row],[Fecha]]))</f>
        <v>BTCEUR-44328</v>
      </c>
    </row>
    <row r="2325" spans="1:4" ht="14.65" thickBot="1" x14ac:dyDescent="0.5">
      <c r="A2325" s="17">
        <v>44329.998611111114</v>
      </c>
      <c r="B2325" s="19">
        <v>41157.856350000002</v>
      </c>
      <c r="C2325" t="s">
        <v>155</v>
      </c>
      <c r="D2325" t="str">
        <f>T_Stocks[[#This Row],[Ticker]] &amp; "-" &amp; DATE(YEAR(T_Stocks[[#This Row],[Fecha]]),MONTH(T_Stocks[[#This Row],[Fecha]]),DAY(T_Stocks[[#This Row],[Fecha]]))</f>
        <v>BTCEUR-44329</v>
      </c>
    </row>
    <row r="2326" spans="1:4" ht="14.65" thickBot="1" x14ac:dyDescent="0.5">
      <c r="A2326" s="17">
        <v>44330.998611111114</v>
      </c>
      <c r="B2326" s="19">
        <v>41079.450409999998</v>
      </c>
      <c r="C2326" t="s">
        <v>155</v>
      </c>
      <c r="D2326" t="str">
        <f>T_Stocks[[#This Row],[Ticker]] &amp; "-" &amp; DATE(YEAR(T_Stocks[[#This Row],[Fecha]]),MONTH(T_Stocks[[#This Row],[Fecha]]),DAY(T_Stocks[[#This Row],[Fecha]]))</f>
        <v>BTCEUR-44330</v>
      </c>
    </row>
    <row r="2327" spans="1:4" ht="14.65" thickBot="1" x14ac:dyDescent="0.5">
      <c r="A2327" s="17">
        <v>44331.998611111114</v>
      </c>
      <c r="B2327" s="19">
        <v>38469.01268</v>
      </c>
      <c r="C2327" t="s">
        <v>155</v>
      </c>
      <c r="D2327" t="str">
        <f>T_Stocks[[#This Row],[Ticker]] &amp; "-" &amp; DATE(YEAR(T_Stocks[[#This Row],[Fecha]]),MONTH(T_Stocks[[#This Row],[Fecha]]),DAY(T_Stocks[[#This Row],[Fecha]]))</f>
        <v>BTCEUR-44331</v>
      </c>
    </row>
    <row r="2328" spans="1:4" ht="14.65" thickBot="1" x14ac:dyDescent="0.5">
      <c r="A2328" s="17">
        <v>44332.998611111114</v>
      </c>
      <c r="B2328" s="19">
        <v>38220.472679999999</v>
      </c>
      <c r="C2328" t="s">
        <v>155</v>
      </c>
      <c r="D2328" t="str">
        <f>T_Stocks[[#This Row],[Ticker]] &amp; "-" &amp; DATE(YEAR(T_Stocks[[#This Row],[Fecha]]),MONTH(T_Stocks[[#This Row],[Fecha]]),DAY(T_Stocks[[#This Row],[Fecha]]))</f>
        <v>BTCEUR-44332</v>
      </c>
    </row>
    <row r="2329" spans="1:4" ht="14.65" thickBot="1" x14ac:dyDescent="0.5">
      <c r="A2329" s="17">
        <v>44333.998611111114</v>
      </c>
      <c r="B2329" s="19">
        <v>35830.64705</v>
      </c>
      <c r="C2329" t="s">
        <v>155</v>
      </c>
      <c r="D2329" t="str">
        <f>T_Stocks[[#This Row],[Ticker]] &amp; "-" &amp; DATE(YEAR(T_Stocks[[#This Row],[Fecha]]),MONTH(T_Stocks[[#This Row],[Fecha]]),DAY(T_Stocks[[#This Row],[Fecha]]))</f>
        <v>BTCEUR-44333</v>
      </c>
    </row>
    <row r="2330" spans="1:4" ht="14.65" thickBot="1" x14ac:dyDescent="0.5">
      <c r="A2330" s="17">
        <v>44334.998611111114</v>
      </c>
      <c r="B2330" s="19">
        <v>35095.924870000003</v>
      </c>
      <c r="C2330" t="s">
        <v>155</v>
      </c>
      <c r="D2330" t="str">
        <f>T_Stocks[[#This Row],[Ticker]] &amp; "-" &amp; DATE(YEAR(T_Stocks[[#This Row],[Fecha]]),MONTH(T_Stocks[[#This Row],[Fecha]]),DAY(T_Stocks[[#This Row],[Fecha]]))</f>
        <v>BTCEUR-44334</v>
      </c>
    </row>
    <row r="2331" spans="1:4" ht="14.65" thickBot="1" x14ac:dyDescent="0.5">
      <c r="A2331" s="17">
        <v>44335.998611111114</v>
      </c>
      <c r="B2331" s="19">
        <v>30294.669089999999</v>
      </c>
      <c r="C2331" t="s">
        <v>155</v>
      </c>
      <c r="D2331" t="str">
        <f>T_Stocks[[#This Row],[Ticker]] &amp; "-" &amp; DATE(YEAR(T_Stocks[[#This Row],[Fecha]]),MONTH(T_Stocks[[#This Row],[Fecha]]),DAY(T_Stocks[[#This Row],[Fecha]]))</f>
        <v>BTCEUR-44335</v>
      </c>
    </row>
    <row r="2332" spans="1:4" ht="14.65" thickBot="1" x14ac:dyDescent="0.5">
      <c r="A2332" s="17">
        <v>44336.998611111114</v>
      </c>
      <c r="B2332" s="19">
        <v>33327.116099999999</v>
      </c>
      <c r="C2332" t="s">
        <v>155</v>
      </c>
      <c r="D2332" t="str">
        <f>T_Stocks[[#This Row],[Ticker]] &amp; "-" &amp; DATE(YEAR(T_Stocks[[#This Row],[Fecha]]),MONTH(T_Stocks[[#This Row],[Fecha]]),DAY(T_Stocks[[#This Row],[Fecha]]))</f>
        <v>BTCEUR-44336</v>
      </c>
    </row>
    <row r="2333" spans="1:4" ht="14.65" thickBot="1" x14ac:dyDescent="0.5">
      <c r="A2333" s="17">
        <v>44337.998611111114</v>
      </c>
      <c r="B2333" s="19">
        <v>30658.917659999999</v>
      </c>
      <c r="C2333" t="s">
        <v>155</v>
      </c>
      <c r="D2333" t="str">
        <f>T_Stocks[[#This Row],[Ticker]] &amp; "-" &amp; DATE(YEAR(T_Stocks[[#This Row],[Fecha]]),MONTH(T_Stocks[[#This Row],[Fecha]]),DAY(T_Stocks[[#This Row],[Fecha]]))</f>
        <v>BTCEUR-44337</v>
      </c>
    </row>
    <row r="2334" spans="1:4" ht="14.65" thickBot="1" x14ac:dyDescent="0.5">
      <c r="A2334" s="17">
        <v>44338.998611111114</v>
      </c>
      <c r="B2334" s="19">
        <v>30769.5285</v>
      </c>
      <c r="C2334" t="s">
        <v>155</v>
      </c>
      <c r="D2334" t="str">
        <f>T_Stocks[[#This Row],[Ticker]] &amp; "-" &amp; DATE(YEAR(T_Stocks[[#This Row],[Fecha]]),MONTH(T_Stocks[[#This Row],[Fecha]]),DAY(T_Stocks[[#This Row],[Fecha]]))</f>
        <v>BTCEUR-44338</v>
      </c>
    </row>
    <row r="2335" spans="1:4" ht="14.65" thickBot="1" x14ac:dyDescent="0.5">
      <c r="A2335" s="17">
        <v>44339.998611111114</v>
      </c>
      <c r="B2335" s="19">
        <v>28487.636920000001</v>
      </c>
      <c r="C2335" t="s">
        <v>155</v>
      </c>
      <c r="D2335" t="str">
        <f>T_Stocks[[#This Row],[Ticker]] &amp; "-" &amp; DATE(YEAR(T_Stocks[[#This Row],[Fecha]]),MONTH(T_Stocks[[#This Row],[Fecha]]),DAY(T_Stocks[[#This Row],[Fecha]]))</f>
        <v>BTCEUR-44339</v>
      </c>
    </row>
    <row r="2336" spans="1:4" ht="14.65" thickBot="1" x14ac:dyDescent="0.5">
      <c r="A2336" s="17">
        <v>44340.998611111114</v>
      </c>
      <c r="B2336" s="19">
        <v>31725.154429999999</v>
      </c>
      <c r="C2336" t="s">
        <v>155</v>
      </c>
      <c r="D2336" t="str">
        <f>T_Stocks[[#This Row],[Ticker]] &amp; "-" &amp; DATE(YEAR(T_Stocks[[#This Row],[Fecha]]),MONTH(T_Stocks[[#This Row],[Fecha]]),DAY(T_Stocks[[#This Row],[Fecha]]))</f>
        <v>BTCEUR-44340</v>
      </c>
    </row>
    <row r="2337" spans="1:4" ht="14.65" thickBot="1" x14ac:dyDescent="0.5">
      <c r="A2337" s="17">
        <v>44341.998611111114</v>
      </c>
      <c r="B2337" s="19">
        <v>31327.762470000001</v>
      </c>
      <c r="C2337" t="s">
        <v>155</v>
      </c>
      <c r="D2337" t="str">
        <f>T_Stocks[[#This Row],[Ticker]] &amp; "-" &amp; DATE(YEAR(T_Stocks[[#This Row],[Fecha]]),MONTH(T_Stocks[[#This Row],[Fecha]]),DAY(T_Stocks[[#This Row],[Fecha]]))</f>
        <v>BTCEUR-44341</v>
      </c>
    </row>
    <row r="2338" spans="1:4" ht="14.65" thickBot="1" x14ac:dyDescent="0.5">
      <c r="A2338" s="17">
        <v>44342.998611111114</v>
      </c>
      <c r="B2338" s="19">
        <v>32199.546129999999</v>
      </c>
      <c r="C2338" t="s">
        <v>155</v>
      </c>
      <c r="D2338" t="str">
        <f>T_Stocks[[#This Row],[Ticker]] &amp; "-" &amp; DATE(YEAR(T_Stocks[[#This Row],[Fecha]]),MONTH(T_Stocks[[#This Row],[Fecha]]),DAY(T_Stocks[[#This Row],[Fecha]]))</f>
        <v>BTCEUR-44342</v>
      </c>
    </row>
    <row r="2339" spans="1:4" ht="14.65" thickBot="1" x14ac:dyDescent="0.5">
      <c r="A2339" s="17">
        <v>44343.998611111114</v>
      </c>
      <c r="B2339" s="19">
        <v>31512.543890000001</v>
      </c>
      <c r="C2339" t="s">
        <v>155</v>
      </c>
      <c r="D2339" t="str">
        <f>T_Stocks[[#This Row],[Ticker]] &amp; "-" &amp; DATE(YEAR(T_Stocks[[#This Row],[Fecha]]),MONTH(T_Stocks[[#This Row],[Fecha]]),DAY(T_Stocks[[#This Row],[Fecha]]))</f>
        <v>BTCEUR-44343</v>
      </c>
    </row>
    <row r="2340" spans="1:4" ht="14.65" thickBot="1" x14ac:dyDescent="0.5">
      <c r="A2340" s="17">
        <v>44344.998611111114</v>
      </c>
      <c r="B2340" s="19">
        <v>29252.94239</v>
      </c>
      <c r="C2340" t="s">
        <v>155</v>
      </c>
      <c r="D2340" t="str">
        <f>T_Stocks[[#This Row],[Ticker]] &amp; "-" &amp; DATE(YEAR(T_Stocks[[#This Row],[Fecha]]),MONTH(T_Stocks[[#This Row],[Fecha]]),DAY(T_Stocks[[#This Row],[Fecha]]))</f>
        <v>BTCEUR-44344</v>
      </c>
    </row>
    <row r="2341" spans="1:4" ht="14.65" thickBot="1" x14ac:dyDescent="0.5">
      <c r="A2341" s="17">
        <v>44345.998611111114</v>
      </c>
      <c r="B2341" s="19">
        <v>28370.739259999998</v>
      </c>
      <c r="C2341" t="s">
        <v>155</v>
      </c>
      <c r="D2341" t="str">
        <f>T_Stocks[[#This Row],[Ticker]] &amp; "-" &amp; DATE(YEAR(T_Stocks[[#This Row],[Fecha]]),MONTH(T_Stocks[[#This Row],[Fecha]]),DAY(T_Stocks[[#This Row],[Fecha]]))</f>
        <v>BTCEUR-44345</v>
      </c>
    </row>
    <row r="2342" spans="1:4" ht="14.65" thickBot="1" x14ac:dyDescent="0.5">
      <c r="A2342" s="17">
        <v>44346.998611111114</v>
      </c>
      <c r="B2342" s="19">
        <v>29248.64025</v>
      </c>
      <c r="C2342" t="s">
        <v>155</v>
      </c>
      <c r="D2342" t="str">
        <f>T_Stocks[[#This Row],[Ticker]] &amp; "-" &amp; DATE(YEAR(T_Stocks[[#This Row],[Fecha]]),MONTH(T_Stocks[[#This Row],[Fecha]]),DAY(T_Stocks[[#This Row],[Fecha]]))</f>
        <v>BTCEUR-44346</v>
      </c>
    </row>
    <row r="2343" spans="1:4" ht="14.65" thickBot="1" x14ac:dyDescent="0.5">
      <c r="A2343" s="17">
        <v>44347.998611111114</v>
      </c>
      <c r="B2343" s="19">
        <v>30499.282510000001</v>
      </c>
      <c r="C2343" t="s">
        <v>155</v>
      </c>
      <c r="D2343" t="str">
        <f>T_Stocks[[#This Row],[Ticker]] &amp; "-" &amp; DATE(YEAR(T_Stocks[[#This Row],[Fecha]]),MONTH(T_Stocks[[#This Row],[Fecha]]),DAY(T_Stocks[[#This Row],[Fecha]]))</f>
        <v>BTCEUR-44347</v>
      </c>
    </row>
    <row r="2344" spans="1:4" ht="14.65" thickBot="1" x14ac:dyDescent="0.5">
      <c r="A2344" s="17">
        <v>44348.998611111114</v>
      </c>
      <c r="B2344" s="19">
        <v>30024.269100000001</v>
      </c>
      <c r="C2344" t="s">
        <v>155</v>
      </c>
      <c r="D2344" t="str">
        <f>T_Stocks[[#This Row],[Ticker]] &amp; "-" &amp; DATE(YEAR(T_Stocks[[#This Row],[Fecha]]),MONTH(T_Stocks[[#This Row],[Fecha]]),DAY(T_Stocks[[#This Row],[Fecha]]))</f>
        <v>BTCEUR-44348</v>
      </c>
    </row>
    <row r="2345" spans="1:4" ht="14.65" thickBot="1" x14ac:dyDescent="0.5">
      <c r="A2345" s="17">
        <v>44349.998611111114</v>
      </c>
      <c r="B2345" s="19">
        <v>30772.073039999999</v>
      </c>
      <c r="C2345" t="s">
        <v>155</v>
      </c>
      <c r="D2345" t="str">
        <f>T_Stocks[[#This Row],[Ticker]] &amp; "-" &amp; DATE(YEAR(T_Stocks[[#This Row],[Fecha]]),MONTH(T_Stocks[[#This Row],[Fecha]]),DAY(T_Stocks[[#This Row],[Fecha]]))</f>
        <v>BTCEUR-44349</v>
      </c>
    </row>
    <row r="2346" spans="1:4" ht="14.65" thickBot="1" x14ac:dyDescent="0.5">
      <c r="A2346" s="17">
        <v>44350.998611111114</v>
      </c>
      <c r="B2346" s="19">
        <v>32295.863809999999</v>
      </c>
      <c r="C2346" t="s">
        <v>155</v>
      </c>
      <c r="D2346" t="str">
        <f>T_Stocks[[#This Row],[Ticker]] &amp; "-" &amp; DATE(YEAR(T_Stocks[[#This Row],[Fecha]]),MONTH(T_Stocks[[#This Row],[Fecha]]),DAY(T_Stocks[[#This Row],[Fecha]]))</f>
        <v>BTCEUR-44350</v>
      </c>
    </row>
    <row r="2347" spans="1:4" ht="14.65" thickBot="1" x14ac:dyDescent="0.5">
      <c r="A2347" s="17">
        <v>44351.998611111114</v>
      </c>
      <c r="B2347" s="19">
        <v>30279.24452</v>
      </c>
      <c r="C2347" t="s">
        <v>155</v>
      </c>
      <c r="D2347" t="str">
        <f>T_Stocks[[#This Row],[Ticker]] &amp; "-" &amp; DATE(YEAR(T_Stocks[[#This Row],[Fecha]]),MONTH(T_Stocks[[#This Row],[Fecha]]),DAY(T_Stocks[[#This Row],[Fecha]]))</f>
        <v>BTCEUR-44351</v>
      </c>
    </row>
    <row r="2348" spans="1:4" ht="14.65" thickBot="1" x14ac:dyDescent="0.5">
      <c r="A2348" s="17">
        <v>44352.998611111114</v>
      </c>
      <c r="B2348" s="19">
        <v>29196.342550000001</v>
      </c>
      <c r="C2348" t="s">
        <v>155</v>
      </c>
      <c r="D2348" t="str">
        <f>T_Stocks[[#This Row],[Ticker]] &amp; "-" &amp; DATE(YEAR(T_Stocks[[#This Row],[Fecha]]),MONTH(T_Stocks[[#This Row],[Fecha]]),DAY(T_Stocks[[#This Row],[Fecha]]))</f>
        <v>BTCEUR-44352</v>
      </c>
    </row>
    <row r="2349" spans="1:4" ht="14.65" thickBot="1" x14ac:dyDescent="0.5">
      <c r="A2349" s="17">
        <v>44353.998611111114</v>
      </c>
      <c r="B2349" s="19">
        <v>29419.856520000001</v>
      </c>
      <c r="C2349" t="s">
        <v>155</v>
      </c>
      <c r="D2349" t="str">
        <f>T_Stocks[[#This Row],[Ticker]] &amp; "-" &amp; DATE(YEAR(T_Stocks[[#This Row],[Fecha]]),MONTH(T_Stocks[[#This Row],[Fecha]]),DAY(T_Stocks[[#This Row],[Fecha]]))</f>
        <v>BTCEUR-44353</v>
      </c>
    </row>
    <row r="2350" spans="1:4" ht="14.65" thickBot="1" x14ac:dyDescent="0.5">
      <c r="A2350" s="17">
        <v>44354.998611111114</v>
      </c>
      <c r="B2350" s="19">
        <v>27536.67812</v>
      </c>
      <c r="C2350" t="s">
        <v>155</v>
      </c>
      <c r="D2350" t="str">
        <f>T_Stocks[[#This Row],[Ticker]] &amp; "-" &amp; DATE(YEAR(T_Stocks[[#This Row],[Fecha]]),MONTH(T_Stocks[[#This Row],[Fecha]]),DAY(T_Stocks[[#This Row],[Fecha]]))</f>
        <v>BTCEUR-44354</v>
      </c>
    </row>
    <row r="2351" spans="1:4" ht="14.65" thickBot="1" x14ac:dyDescent="0.5">
      <c r="A2351" s="17">
        <v>44355.998611111114</v>
      </c>
      <c r="B2351" s="19">
        <v>27444.540560000001</v>
      </c>
      <c r="C2351" t="s">
        <v>155</v>
      </c>
      <c r="D2351" t="str">
        <f>T_Stocks[[#This Row],[Ticker]] &amp; "-" &amp; DATE(YEAR(T_Stocks[[#This Row],[Fecha]]),MONTH(T_Stocks[[#This Row],[Fecha]]),DAY(T_Stocks[[#This Row],[Fecha]]))</f>
        <v>BTCEUR-44355</v>
      </c>
    </row>
    <row r="2352" spans="1:4" ht="14.65" thickBot="1" x14ac:dyDescent="0.5">
      <c r="A2352" s="17">
        <v>44356.998611111114</v>
      </c>
      <c r="B2352" s="19">
        <v>30653.399560000002</v>
      </c>
      <c r="C2352" t="s">
        <v>155</v>
      </c>
      <c r="D2352" t="str">
        <f>T_Stocks[[#This Row],[Ticker]] &amp; "-" &amp; DATE(YEAR(T_Stocks[[#This Row],[Fecha]]),MONTH(T_Stocks[[#This Row],[Fecha]]),DAY(T_Stocks[[#This Row],[Fecha]]))</f>
        <v>BTCEUR-44356</v>
      </c>
    </row>
    <row r="2353" spans="1:4" ht="14.65" thickBot="1" x14ac:dyDescent="0.5">
      <c r="A2353" s="17">
        <v>44357.998611111114</v>
      </c>
      <c r="B2353" s="19">
        <v>30101.38004</v>
      </c>
      <c r="C2353" t="s">
        <v>155</v>
      </c>
      <c r="D2353" t="str">
        <f>T_Stocks[[#This Row],[Ticker]] &amp; "-" &amp; DATE(YEAR(T_Stocks[[#This Row],[Fecha]]),MONTH(T_Stocks[[#This Row],[Fecha]]),DAY(T_Stocks[[#This Row],[Fecha]]))</f>
        <v>BTCEUR-44357</v>
      </c>
    </row>
    <row r="2354" spans="1:4" ht="14.65" thickBot="1" x14ac:dyDescent="0.5">
      <c r="A2354" s="17">
        <v>44358.998611111114</v>
      </c>
      <c r="B2354" s="19">
        <v>30830.444019999999</v>
      </c>
      <c r="C2354" t="s">
        <v>155</v>
      </c>
      <c r="D2354" t="str">
        <f>T_Stocks[[#This Row],[Ticker]] &amp; "-" &amp; DATE(YEAR(T_Stocks[[#This Row],[Fecha]]),MONTH(T_Stocks[[#This Row],[Fecha]]),DAY(T_Stocks[[#This Row],[Fecha]]))</f>
        <v>BTCEUR-44358</v>
      </c>
    </row>
    <row r="2355" spans="1:4" ht="14.65" thickBot="1" x14ac:dyDescent="0.5">
      <c r="A2355" s="17">
        <v>44359.998611111114</v>
      </c>
      <c r="B2355" s="19">
        <v>29299.195650000001</v>
      </c>
      <c r="C2355" t="s">
        <v>155</v>
      </c>
      <c r="D2355" t="str">
        <f>T_Stocks[[#This Row],[Ticker]] &amp; "-" &amp; DATE(YEAR(T_Stocks[[#This Row],[Fecha]]),MONTH(T_Stocks[[#This Row],[Fecha]]),DAY(T_Stocks[[#This Row],[Fecha]]))</f>
        <v>BTCEUR-44359</v>
      </c>
    </row>
    <row r="2356" spans="1:4" ht="14.65" thickBot="1" x14ac:dyDescent="0.5">
      <c r="A2356" s="17">
        <v>44360.998611111114</v>
      </c>
      <c r="B2356" s="19">
        <v>32236.18175</v>
      </c>
      <c r="C2356" t="s">
        <v>155</v>
      </c>
      <c r="D2356" t="str">
        <f>T_Stocks[[#This Row],[Ticker]] &amp; "-" &amp; DATE(YEAR(T_Stocks[[#This Row],[Fecha]]),MONTH(T_Stocks[[#This Row],[Fecha]]),DAY(T_Stocks[[#This Row],[Fecha]]))</f>
        <v>BTCEUR-44360</v>
      </c>
    </row>
    <row r="2357" spans="1:4" ht="14.65" thickBot="1" x14ac:dyDescent="0.5">
      <c r="A2357" s="17">
        <v>44361.998611111114</v>
      </c>
      <c r="B2357" s="19">
        <v>33431.558640000003</v>
      </c>
      <c r="C2357" t="s">
        <v>155</v>
      </c>
      <c r="D2357" t="str">
        <f>T_Stocks[[#This Row],[Ticker]] &amp; "-" &amp; DATE(YEAR(T_Stocks[[#This Row],[Fecha]]),MONTH(T_Stocks[[#This Row],[Fecha]]),DAY(T_Stocks[[#This Row],[Fecha]]))</f>
        <v>BTCEUR-44361</v>
      </c>
    </row>
    <row r="2358" spans="1:4" ht="14.65" thickBot="1" x14ac:dyDescent="0.5">
      <c r="A2358" s="17">
        <v>44362.998611111114</v>
      </c>
      <c r="B2358" s="19">
        <v>33110.130810000002</v>
      </c>
      <c r="C2358" t="s">
        <v>155</v>
      </c>
      <c r="D2358" t="str">
        <f>T_Stocks[[#This Row],[Ticker]] &amp; "-" &amp; DATE(YEAR(T_Stocks[[#This Row],[Fecha]]),MONTH(T_Stocks[[#This Row],[Fecha]]),DAY(T_Stocks[[#This Row],[Fecha]]))</f>
        <v>BTCEUR-44362</v>
      </c>
    </row>
    <row r="2359" spans="1:4" ht="14.65" thickBot="1" x14ac:dyDescent="0.5">
      <c r="A2359" s="17">
        <v>44363.998611111114</v>
      </c>
      <c r="B2359" s="19">
        <v>31965.300569999999</v>
      </c>
      <c r="C2359" t="s">
        <v>155</v>
      </c>
      <c r="D2359" t="str">
        <f>T_Stocks[[#This Row],[Ticker]] &amp; "-" &amp; DATE(YEAR(T_Stocks[[#This Row],[Fecha]]),MONTH(T_Stocks[[#This Row],[Fecha]]),DAY(T_Stocks[[#This Row],[Fecha]]))</f>
        <v>BTCEUR-44363</v>
      </c>
    </row>
    <row r="2360" spans="1:4" ht="14.65" thickBot="1" x14ac:dyDescent="0.5">
      <c r="A2360" s="17">
        <v>44364.998611111114</v>
      </c>
      <c r="B2360" s="19">
        <v>31952.16937</v>
      </c>
      <c r="C2360" t="s">
        <v>155</v>
      </c>
      <c r="D2360" t="str">
        <f>T_Stocks[[#This Row],[Ticker]] &amp; "-" &amp; DATE(YEAR(T_Stocks[[#This Row],[Fecha]]),MONTH(T_Stocks[[#This Row],[Fecha]]),DAY(T_Stocks[[#This Row],[Fecha]]))</f>
        <v>BTCEUR-44364</v>
      </c>
    </row>
    <row r="2361" spans="1:4" ht="14.65" thickBot="1" x14ac:dyDescent="0.5">
      <c r="A2361" s="17">
        <v>44365.998611111114</v>
      </c>
      <c r="B2361" s="19">
        <v>30117.581040000001</v>
      </c>
      <c r="C2361" t="s">
        <v>155</v>
      </c>
      <c r="D2361" t="str">
        <f>T_Stocks[[#This Row],[Ticker]] &amp; "-" &amp; DATE(YEAR(T_Stocks[[#This Row],[Fecha]]),MONTH(T_Stocks[[#This Row],[Fecha]]),DAY(T_Stocks[[#This Row],[Fecha]]))</f>
        <v>BTCEUR-44365</v>
      </c>
    </row>
    <row r="2362" spans="1:4" ht="14.65" thickBot="1" x14ac:dyDescent="0.5">
      <c r="A2362" s="17">
        <v>44366.998611111114</v>
      </c>
      <c r="B2362" s="19">
        <v>29942.543389999999</v>
      </c>
      <c r="C2362" t="s">
        <v>155</v>
      </c>
      <c r="D2362" t="str">
        <f>T_Stocks[[#This Row],[Ticker]] &amp; "-" &amp; DATE(YEAR(T_Stocks[[#This Row],[Fecha]]),MONTH(T_Stocks[[#This Row],[Fecha]]),DAY(T_Stocks[[#This Row],[Fecha]]))</f>
        <v>BTCEUR-44366</v>
      </c>
    </row>
    <row r="2363" spans="1:4" ht="14.65" thickBot="1" x14ac:dyDescent="0.5">
      <c r="A2363" s="17">
        <v>44367.998611111114</v>
      </c>
      <c r="B2363" s="19">
        <v>29998.448130000001</v>
      </c>
      <c r="C2363" t="s">
        <v>155</v>
      </c>
      <c r="D2363" t="str">
        <f>T_Stocks[[#This Row],[Ticker]] &amp; "-" &amp; DATE(YEAR(T_Stocks[[#This Row],[Fecha]]),MONTH(T_Stocks[[#This Row],[Fecha]]),DAY(T_Stocks[[#This Row],[Fecha]]))</f>
        <v>BTCEUR-44367</v>
      </c>
    </row>
    <row r="2364" spans="1:4" ht="14.65" thickBot="1" x14ac:dyDescent="0.5">
      <c r="A2364" s="17">
        <v>44368.998611111114</v>
      </c>
      <c r="B2364" s="19">
        <v>26599.803250000001</v>
      </c>
      <c r="C2364" t="s">
        <v>155</v>
      </c>
      <c r="D2364" t="str">
        <f>T_Stocks[[#This Row],[Ticker]] &amp; "-" &amp; DATE(YEAR(T_Stocks[[#This Row],[Fecha]]),MONTH(T_Stocks[[#This Row],[Fecha]]),DAY(T_Stocks[[#This Row],[Fecha]]))</f>
        <v>BTCEUR-44368</v>
      </c>
    </row>
    <row r="2365" spans="1:4" ht="14.65" thickBot="1" x14ac:dyDescent="0.5">
      <c r="A2365" s="17">
        <v>44369.998611111114</v>
      </c>
      <c r="B2365" s="19">
        <v>27217.07332</v>
      </c>
      <c r="C2365" t="s">
        <v>155</v>
      </c>
      <c r="D2365" t="str">
        <f>T_Stocks[[#This Row],[Ticker]] &amp; "-" &amp; DATE(YEAR(T_Stocks[[#This Row],[Fecha]]),MONTH(T_Stocks[[#This Row],[Fecha]]),DAY(T_Stocks[[#This Row],[Fecha]]))</f>
        <v>BTCEUR-44369</v>
      </c>
    </row>
    <row r="2366" spans="1:4" ht="14.65" thickBot="1" x14ac:dyDescent="0.5">
      <c r="A2366" s="17">
        <v>44370.998611111114</v>
      </c>
      <c r="B2366" s="19">
        <v>28208.538120000001</v>
      </c>
      <c r="C2366" t="s">
        <v>155</v>
      </c>
      <c r="D2366" t="str">
        <f>T_Stocks[[#This Row],[Ticker]] &amp; "-" &amp; DATE(YEAR(T_Stocks[[#This Row],[Fecha]]),MONTH(T_Stocks[[#This Row],[Fecha]]),DAY(T_Stocks[[#This Row],[Fecha]]))</f>
        <v>BTCEUR-44370</v>
      </c>
    </row>
    <row r="2367" spans="1:4" ht="14.65" thickBot="1" x14ac:dyDescent="0.5">
      <c r="A2367" s="17">
        <v>44371.998611111114</v>
      </c>
      <c r="B2367" s="19">
        <v>29042.850470000001</v>
      </c>
      <c r="C2367" t="s">
        <v>155</v>
      </c>
      <c r="D2367" t="str">
        <f>T_Stocks[[#This Row],[Ticker]] &amp; "-" &amp; DATE(YEAR(T_Stocks[[#This Row],[Fecha]]),MONTH(T_Stocks[[#This Row],[Fecha]]),DAY(T_Stocks[[#This Row],[Fecha]]))</f>
        <v>BTCEUR-44371</v>
      </c>
    </row>
    <row r="2368" spans="1:4" ht="14.65" thickBot="1" x14ac:dyDescent="0.5">
      <c r="A2368" s="17">
        <v>44372.998611111114</v>
      </c>
      <c r="B2368" s="19">
        <v>26466.186819999999</v>
      </c>
      <c r="C2368" t="s">
        <v>155</v>
      </c>
      <c r="D2368" t="str">
        <f>T_Stocks[[#This Row],[Ticker]] &amp; "-" &amp; DATE(YEAR(T_Stocks[[#This Row],[Fecha]]),MONTH(T_Stocks[[#This Row],[Fecha]]),DAY(T_Stocks[[#This Row],[Fecha]]))</f>
        <v>BTCEUR-44372</v>
      </c>
    </row>
    <row r="2369" spans="1:4" ht="14.65" thickBot="1" x14ac:dyDescent="0.5">
      <c r="A2369" s="17">
        <v>44373.998611111114</v>
      </c>
      <c r="B2369" s="19">
        <v>26988.045989999999</v>
      </c>
      <c r="C2369" t="s">
        <v>155</v>
      </c>
      <c r="D2369" t="str">
        <f>T_Stocks[[#This Row],[Ticker]] &amp; "-" &amp; DATE(YEAR(T_Stocks[[#This Row],[Fecha]]),MONTH(T_Stocks[[#This Row],[Fecha]]),DAY(T_Stocks[[#This Row],[Fecha]]))</f>
        <v>BTCEUR-44373</v>
      </c>
    </row>
    <row r="2370" spans="1:4" ht="14.65" thickBot="1" x14ac:dyDescent="0.5">
      <c r="A2370" s="17">
        <v>44374.998611111114</v>
      </c>
      <c r="B2370" s="19">
        <v>29030.412079999998</v>
      </c>
      <c r="C2370" t="s">
        <v>155</v>
      </c>
      <c r="D2370" t="str">
        <f>T_Stocks[[#This Row],[Ticker]] &amp; "-" &amp; DATE(YEAR(T_Stocks[[#This Row],[Fecha]]),MONTH(T_Stocks[[#This Row],[Fecha]]),DAY(T_Stocks[[#This Row],[Fecha]]))</f>
        <v>BTCEUR-44374</v>
      </c>
    </row>
    <row r="2371" spans="1:4" ht="14.65" thickBot="1" x14ac:dyDescent="0.5">
      <c r="A2371" s="17">
        <v>44375.998611111114</v>
      </c>
      <c r="B2371" s="19">
        <v>28890.58439</v>
      </c>
      <c r="C2371" t="s">
        <v>155</v>
      </c>
      <c r="D2371" t="str">
        <f>T_Stocks[[#This Row],[Ticker]] &amp; "-" &amp; DATE(YEAR(T_Stocks[[#This Row],[Fecha]]),MONTH(T_Stocks[[#This Row],[Fecha]]),DAY(T_Stocks[[#This Row],[Fecha]]))</f>
        <v>BTCEUR-44375</v>
      </c>
    </row>
    <row r="2372" spans="1:4" ht="14.65" thickBot="1" x14ac:dyDescent="0.5">
      <c r="A2372" s="17">
        <v>44376.998611111114</v>
      </c>
      <c r="B2372" s="19">
        <v>30123.38812</v>
      </c>
      <c r="C2372" t="s">
        <v>155</v>
      </c>
      <c r="D2372" t="str">
        <f>T_Stocks[[#This Row],[Ticker]] &amp; "-" &amp; DATE(YEAR(T_Stocks[[#This Row],[Fecha]]),MONTH(T_Stocks[[#This Row],[Fecha]]),DAY(T_Stocks[[#This Row],[Fecha]]))</f>
        <v>BTCEUR-44376</v>
      </c>
    </row>
    <row r="2373" spans="1:4" ht="14.65" thickBot="1" x14ac:dyDescent="0.5">
      <c r="A2373" s="17">
        <v>44377.998611111114</v>
      </c>
      <c r="B2373" s="19">
        <v>29545.744210000001</v>
      </c>
      <c r="C2373" t="s">
        <v>155</v>
      </c>
      <c r="D2373" t="str">
        <f>T_Stocks[[#This Row],[Ticker]] &amp; "-" &amp; DATE(YEAR(T_Stocks[[#This Row],[Fecha]]),MONTH(T_Stocks[[#This Row],[Fecha]]),DAY(T_Stocks[[#This Row],[Fecha]]))</f>
        <v>BTCEUR-44377</v>
      </c>
    </row>
    <row r="2374" spans="1:4" ht="14.65" thickBot="1" x14ac:dyDescent="0.5">
      <c r="A2374" s="17">
        <v>44378.998611111114</v>
      </c>
      <c r="B2374" s="19">
        <v>28319.637050000001</v>
      </c>
      <c r="C2374" t="s">
        <v>155</v>
      </c>
      <c r="D2374" t="str">
        <f>T_Stocks[[#This Row],[Ticker]] &amp; "-" &amp; DATE(YEAR(T_Stocks[[#This Row],[Fecha]]),MONTH(T_Stocks[[#This Row],[Fecha]]),DAY(T_Stocks[[#This Row],[Fecha]]))</f>
        <v>BTCEUR-44378</v>
      </c>
    </row>
    <row r="2375" spans="1:4" ht="14.65" thickBot="1" x14ac:dyDescent="0.5">
      <c r="A2375" s="17">
        <v>44379.998611111114</v>
      </c>
      <c r="B2375" s="19">
        <v>28512.22076</v>
      </c>
      <c r="C2375" t="s">
        <v>155</v>
      </c>
      <c r="D2375" t="str">
        <f>T_Stocks[[#This Row],[Ticker]] &amp; "-" &amp; DATE(YEAR(T_Stocks[[#This Row],[Fecha]]),MONTH(T_Stocks[[#This Row],[Fecha]]),DAY(T_Stocks[[#This Row],[Fecha]]))</f>
        <v>BTCEUR-44379</v>
      </c>
    </row>
    <row r="2376" spans="1:4" ht="14.65" thickBot="1" x14ac:dyDescent="0.5">
      <c r="A2376" s="17">
        <v>44380.998611111114</v>
      </c>
      <c r="B2376" s="19">
        <v>29217.99552</v>
      </c>
      <c r="C2376" t="s">
        <v>155</v>
      </c>
      <c r="D2376" t="str">
        <f>T_Stocks[[#This Row],[Ticker]] &amp; "-" &amp; DATE(YEAR(T_Stocks[[#This Row],[Fecha]]),MONTH(T_Stocks[[#This Row],[Fecha]]),DAY(T_Stocks[[#This Row],[Fecha]]))</f>
        <v>BTCEUR-44380</v>
      </c>
    </row>
    <row r="2377" spans="1:4" ht="14.65" thickBot="1" x14ac:dyDescent="0.5">
      <c r="A2377" s="17">
        <v>44381.998611111114</v>
      </c>
      <c r="B2377" s="19">
        <v>29775.55746</v>
      </c>
      <c r="C2377" t="s">
        <v>155</v>
      </c>
      <c r="D2377" t="str">
        <f>T_Stocks[[#This Row],[Ticker]] &amp; "-" &amp; DATE(YEAR(T_Stocks[[#This Row],[Fecha]]),MONTH(T_Stocks[[#This Row],[Fecha]]),DAY(T_Stocks[[#This Row],[Fecha]]))</f>
        <v>BTCEUR-44381</v>
      </c>
    </row>
    <row r="2378" spans="1:4" ht="14.65" thickBot="1" x14ac:dyDescent="0.5">
      <c r="A2378" s="17">
        <v>44382.998611111114</v>
      </c>
      <c r="B2378" s="19">
        <v>28411.975880000002</v>
      </c>
      <c r="C2378" t="s">
        <v>155</v>
      </c>
      <c r="D2378" t="str">
        <f>T_Stocks[[#This Row],[Ticker]] &amp; "-" &amp; DATE(YEAR(T_Stocks[[#This Row],[Fecha]]),MONTH(T_Stocks[[#This Row],[Fecha]]),DAY(T_Stocks[[#This Row],[Fecha]]))</f>
        <v>BTCEUR-44382</v>
      </c>
    </row>
    <row r="2379" spans="1:4" ht="14.65" thickBot="1" x14ac:dyDescent="0.5">
      <c r="A2379" s="17">
        <v>44383.998611111114</v>
      </c>
      <c r="B2379" s="19">
        <v>28943.786499999998</v>
      </c>
      <c r="C2379" t="s">
        <v>155</v>
      </c>
      <c r="D2379" t="str">
        <f>T_Stocks[[#This Row],[Ticker]] &amp; "-" &amp; DATE(YEAR(T_Stocks[[#This Row],[Fecha]]),MONTH(T_Stocks[[#This Row],[Fecha]]),DAY(T_Stocks[[#This Row],[Fecha]]))</f>
        <v>BTCEUR-44383</v>
      </c>
    </row>
    <row r="2380" spans="1:4" ht="14.65" thickBot="1" x14ac:dyDescent="0.5">
      <c r="A2380" s="17">
        <v>44384.998611111114</v>
      </c>
      <c r="B2380" s="19">
        <v>28725.278740000002</v>
      </c>
      <c r="C2380" t="s">
        <v>155</v>
      </c>
      <c r="D2380" t="str">
        <f>T_Stocks[[#This Row],[Ticker]] &amp; "-" &amp; DATE(YEAR(T_Stocks[[#This Row],[Fecha]]),MONTH(T_Stocks[[#This Row],[Fecha]]),DAY(T_Stocks[[#This Row],[Fecha]]))</f>
        <v>BTCEUR-44384</v>
      </c>
    </row>
    <row r="2381" spans="1:4" ht="14.65" thickBot="1" x14ac:dyDescent="0.5">
      <c r="A2381" s="17">
        <v>44385.998611111114</v>
      </c>
      <c r="B2381" s="19">
        <v>27739.29751</v>
      </c>
      <c r="C2381" t="s">
        <v>155</v>
      </c>
      <c r="D2381" t="str">
        <f>T_Stocks[[#This Row],[Ticker]] &amp; "-" &amp; DATE(YEAR(T_Stocks[[#This Row],[Fecha]]),MONTH(T_Stocks[[#This Row],[Fecha]]),DAY(T_Stocks[[#This Row],[Fecha]]))</f>
        <v>BTCEUR-44385</v>
      </c>
    </row>
    <row r="2382" spans="1:4" ht="14.65" thickBot="1" x14ac:dyDescent="0.5">
      <c r="A2382" s="17">
        <v>44386.998611111114</v>
      </c>
      <c r="B2382" s="19">
        <v>28458.844870000001</v>
      </c>
      <c r="C2382" t="s">
        <v>155</v>
      </c>
      <c r="D2382" t="str">
        <f>T_Stocks[[#This Row],[Ticker]] &amp; "-" &amp; DATE(YEAR(T_Stocks[[#This Row],[Fecha]]),MONTH(T_Stocks[[#This Row],[Fecha]]),DAY(T_Stocks[[#This Row],[Fecha]]))</f>
        <v>BTCEUR-44386</v>
      </c>
    </row>
    <row r="2383" spans="1:4" ht="14.65" thickBot="1" x14ac:dyDescent="0.5">
      <c r="A2383" s="17">
        <v>44387.998611111114</v>
      </c>
      <c r="B2383" s="19">
        <v>28214.96128</v>
      </c>
      <c r="C2383" t="s">
        <v>155</v>
      </c>
      <c r="D2383" t="str">
        <f>T_Stocks[[#This Row],[Ticker]] &amp; "-" &amp; DATE(YEAR(T_Stocks[[#This Row],[Fecha]]),MONTH(T_Stocks[[#This Row],[Fecha]]),DAY(T_Stocks[[#This Row],[Fecha]]))</f>
        <v>BTCEUR-44387</v>
      </c>
    </row>
    <row r="2384" spans="1:4" ht="14.65" thickBot="1" x14ac:dyDescent="0.5">
      <c r="A2384" s="17">
        <v>44388.998611111114</v>
      </c>
      <c r="B2384" s="19">
        <v>28844.038820000002</v>
      </c>
      <c r="C2384" t="s">
        <v>155</v>
      </c>
      <c r="D2384" t="str">
        <f>T_Stocks[[#This Row],[Ticker]] &amp; "-" &amp; DATE(YEAR(T_Stocks[[#This Row],[Fecha]]),MONTH(T_Stocks[[#This Row],[Fecha]]),DAY(T_Stocks[[#This Row],[Fecha]]))</f>
        <v>BTCEUR-44388</v>
      </c>
    </row>
    <row r="2385" spans="1:4" ht="14.65" thickBot="1" x14ac:dyDescent="0.5">
      <c r="A2385" s="17">
        <v>44389.998611111114</v>
      </c>
      <c r="B2385" s="19">
        <v>27909.204000000002</v>
      </c>
      <c r="C2385" t="s">
        <v>155</v>
      </c>
      <c r="D2385" t="str">
        <f>T_Stocks[[#This Row],[Ticker]] &amp; "-" &amp; DATE(YEAR(T_Stocks[[#This Row],[Fecha]]),MONTH(T_Stocks[[#This Row],[Fecha]]),DAY(T_Stocks[[#This Row],[Fecha]]))</f>
        <v>BTCEUR-44389</v>
      </c>
    </row>
    <row r="2386" spans="1:4" ht="14.65" thickBot="1" x14ac:dyDescent="0.5">
      <c r="A2386" s="17">
        <v>44390.998611111114</v>
      </c>
      <c r="B2386" s="19">
        <v>27791.009279999998</v>
      </c>
      <c r="C2386" t="s">
        <v>155</v>
      </c>
      <c r="D2386" t="str">
        <f>T_Stocks[[#This Row],[Ticker]] &amp; "-" &amp; DATE(YEAR(T_Stocks[[#This Row],[Fecha]]),MONTH(T_Stocks[[#This Row],[Fecha]]),DAY(T_Stocks[[#This Row],[Fecha]]))</f>
        <v>BTCEUR-44390</v>
      </c>
    </row>
    <row r="2387" spans="1:4" ht="14.65" thickBot="1" x14ac:dyDescent="0.5">
      <c r="A2387" s="17">
        <v>44391.998611111114</v>
      </c>
      <c r="B2387" s="19">
        <v>27732.738239999999</v>
      </c>
      <c r="C2387" t="s">
        <v>155</v>
      </c>
      <c r="D2387" t="str">
        <f>T_Stocks[[#This Row],[Ticker]] &amp; "-" &amp; DATE(YEAR(T_Stocks[[#This Row],[Fecha]]),MONTH(T_Stocks[[#This Row],[Fecha]]),DAY(T_Stocks[[#This Row],[Fecha]]))</f>
        <v>BTCEUR-44391</v>
      </c>
    </row>
    <row r="2388" spans="1:4" ht="14.65" thickBot="1" x14ac:dyDescent="0.5">
      <c r="A2388" s="17">
        <v>44392.998611111114</v>
      </c>
      <c r="B2388" s="19">
        <v>26963.216250000001</v>
      </c>
      <c r="C2388" t="s">
        <v>155</v>
      </c>
      <c r="D2388" t="str">
        <f>T_Stocks[[#This Row],[Ticker]] &amp; "-" &amp; DATE(YEAR(T_Stocks[[#This Row],[Fecha]]),MONTH(T_Stocks[[#This Row],[Fecha]]),DAY(T_Stocks[[#This Row],[Fecha]]))</f>
        <v>BTCEUR-44392</v>
      </c>
    </row>
    <row r="2389" spans="1:4" ht="14.65" thickBot="1" x14ac:dyDescent="0.5">
      <c r="A2389" s="17">
        <v>44393.998611111114</v>
      </c>
      <c r="B2389" s="19">
        <v>26590.369589999998</v>
      </c>
      <c r="C2389" t="s">
        <v>155</v>
      </c>
      <c r="D2389" t="str">
        <f>T_Stocks[[#This Row],[Ticker]] &amp; "-" &amp; DATE(YEAR(T_Stocks[[#This Row],[Fecha]]),MONTH(T_Stocks[[#This Row],[Fecha]]),DAY(T_Stocks[[#This Row],[Fecha]]))</f>
        <v>BTCEUR-44393</v>
      </c>
    </row>
    <row r="2390" spans="1:4" ht="14.65" thickBot="1" x14ac:dyDescent="0.5">
      <c r="A2390" s="17">
        <v>44394.998611111114</v>
      </c>
      <c r="B2390" s="19">
        <v>26714.852500000001</v>
      </c>
      <c r="C2390" t="s">
        <v>155</v>
      </c>
      <c r="D2390" t="str">
        <f>T_Stocks[[#This Row],[Ticker]] &amp; "-" &amp; DATE(YEAR(T_Stocks[[#This Row],[Fecha]]),MONTH(T_Stocks[[#This Row],[Fecha]]),DAY(T_Stocks[[#This Row],[Fecha]]))</f>
        <v>BTCEUR-44394</v>
      </c>
    </row>
    <row r="2391" spans="1:4" ht="14.65" thickBot="1" x14ac:dyDescent="0.5">
      <c r="A2391" s="17">
        <v>44395.998611111114</v>
      </c>
      <c r="B2391" s="19">
        <v>26919.48661</v>
      </c>
      <c r="C2391" t="s">
        <v>155</v>
      </c>
      <c r="D2391" t="str">
        <f>T_Stocks[[#This Row],[Ticker]] &amp; "-" &amp; DATE(YEAR(T_Stocks[[#This Row],[Fecha]]),MONTH(T_Stocks[[#This Row],[Fecha]]),DAY(T_Stocks[[#This Row],[Fecha]]))</f>
        <v>BTCEUR-44395</v>
      </c>
    </row>
    <row r="2392" spans="1:4" ht="14.65" thickBot="1" x14ac:dyDescent="0.5">
      <c r="A2392" s="17">
        <v>44396.998611111114</v>
      </c>
      <c r="B2392" s="19">
        <v>26147.76065</v>
      </c>
      <c r="C2392" t="s">
        <v>155</v>
      </c>
      <c r="D2392" t="str">
        <f>T_Stocks[[#This Row],[Ticker]] &amp; "-" &amp; DATE(YEAR(T_Stocks[[#This Row],[Fecha]]),MONTH(T_Stocks[[#This Row],[Fecha]]),DAY(T_Stocks[[#This Row],[Fecha]]))</f>
        <v>BTCEUR-44396</v>
      </c>
    </row>
    <row r="2393" spans="1:4" ht="14.65" thickBot="1" x14ac:dyDescent="0.5">
      <c r="A2393" s="17">
        <v>44397.998611111114</v>
      </c>
      <c r="B2393" s="19">
        <v>25279.98069</v>
      </c>
      <c r="C2393" t="s">
        <v>155</v>
      </c>
      <c r="D2393" t="str">
        <f>T_Stocks[[#This Row],[Ticker]] &amp; "-" &amp; DATE(YEAR(T_Stocks[[#This Row],[Fecha]]),MONTH(T_Stocks[[#This Row],[Fecha]]),DAY(T_Stocks[[#This Row],[Fecha]]))</f>
        <v>BTCEUR-44397</v>
      </c>
    </row>
    <row r="2394" spans="1:4" ht="14.65" thickBot="1" x14ac:dyDescent="0.5">
      <c r="A2394" s="17">
        <v>44398.998611111114</v>
      </c>
      <c r="B2394" s="19">
        <v>27238.194530000001</v>
      </c>
      <c r="C2394" t="s">
        <v>155</v>
      </c>
      <c r="D2394" t="str">
        <f>T_Stocks[[#This Row],[Ticker]] &amp; "-" &amp; DATE(YEAR(T_Stocks[[#This Row],[Fecha]]),MONTH(T_Stocks[[#This Row],[Fecha]]),DAY(T_Stocks[[#This Row],[Fecha]]))</f>
        <v>BTCEUR-44398</v>
      </c>
    </row>
    <row r="2395" spans="1:4" ht="14.65" thickBot="1" x14ac:dyDescent="0.5">
      <c r="A2395" s="17">
        <v>44399.998611111114</v>
      </c>
      <c r="B2395" s="19">
        <v>27439.578730000001</v>
      </c>
      <c r="C2395" t="s">
        <v>155</v>
      </c>
      <c r="D2395" t="str">
        <f>T_Stocks[[#This Row],[Ticker]] &amp; "-" &amp; DATE(YEAR(T_Stocks[[#This Row],[Fecha]]),MONTH(T_Stocks[[#This Row],[Fecha]]),DAY(T_Stocks[[#This Row],[Fecha]]))</f>
        <v>BTCEUR-44399</v>
      </c>
    </row>
    <row r="2396" spans="1:4" ht="14.65" thickBot="1" x14ac:dyDescent="0.5">
      <c r="A2396" s="17">
        <v>44400.998611111114</v>
      </c>
      <c r="B2396" s="19">
        <v>28547.42798</v>
      </c>
      <c r="C2396" t="s">
        <v>155</v>
      </c>
      <c r="D2396" t="str">
        <f>T_Stocks[[#This Row],[Ticker]] &amp; "-" &amp; DATE(YEAR(T_Stocks[[#This Row],[Fecha]]),MONTH(T_Stocks[[#This Row],[Fecha]]),DAY(T_Stocks[[#This Row],[Fecha]]))</f>
        <v>BTCEUR-44400</v>
      </c>
    </row>
    <row r="2397" spans="1:4" ht="14.65" thickBot="1" x14ac:dyDescent="0.5">
      <c r="A2397" s="17">
        <v>44401.998611111114</v>
      </c>
      <c r="B2397" s="19">
        <v>29121.682970000002</v>
      </c>
      <c r="C2397" t="s">
        <v>155</v>
      </c>
      <c r="D2397" t="str">
        <f>T_Stocks[[#This Row],[Ticker]] &amp; "-" &amp; DATE(YEAR(T_Stocks[[#This Row],[Fecha]]),MONTH(T_Stocks[[#This Row],[Fecha]]),DAY(T_Stocks[[#This Row],[Fecha]]))</f>
        <v>BTCEUR-44401</v>
      </c>
    </row>
    <row r="2398" spans="1:4" ht="14.65" thickBot="1" x14ac:dyDescent="0.5">
      <c r="A2398" s="17">
        <v>44402.998611111114</v>
      </c>
      <c r="B2398" s="19">
        <v>30078.518970000001</v>
      </c>
      <c r="C2398" t="s">
        <v>155</v>
      </c>
      <c r="D2398" t="str">
        <f>T_Stocks[[#This Row],[Ticker]] &amp; "-" &amp; DATE(YEAR(T_Stocks[[#This Row],[Fecha]]),MONTH(T_Stocks[[#This Row],[Fecha]]),DAY(T_Stocks[[#This Row],[Fecha]]))</f>
        <v>BTCEUR-44402</v>
      </c>
    </row>
    <row r="2399" spans="1:4" ht="14.65" thickBot="1" x14ac:dyDescent="0.5">
      <c r="A2399" s="17">
        <v>44403.998611111114</v>
      </c>
      <c r="B2399" s="19">
        <v>31595.04423</v>
      </c>
      <c r="C2399" t="s">
        <v>155</v>
      </c>
      <c r="D2399" t="str">
        <f>T_Stocks[[#This Row],[Ticker]] &amp; "-" &amp; DATE(YEAR(T_Stocks[[#This Row],[Fecha]]),MONTH(T_Stocks[[#This Row],[Fecha]]),DAY(T_Stocks[[#This Row],[Fecha]]))</f>
        <v>BTCEUR-44403</v>
      </c>
    </row>
    <row r="2400" spans="1:4" ht="14.65" thickBot="1" x14ac:dyDescent="0.5">
      <c r="A2400" s="17">
        <v>44404.998611111114</v>
      </c>
      <c r="B2400" s="19">
        <v>33350.553720000004</v>
      </c>
      <c r="C2400" t="s">
        <v>155</v>
      </c>
      <c r="D2400" t="str">
        <f>T_Stocks[[#This Row],[Ticker]] &amp; "-" &amp; DATE(YEAR(T_Stocks[[#This Row],[Fecha]]),MONTH(T_Stocks[[#This Row],[Fecha]]),DAY(T_Stocks[[#This Row],[Fecha]]))</f>
        <v>BTCEUR-44404</v>
      </c>
    </row>
    <row r="2401" spans="1:4" ht="14.65" thickBot="1" x14ac:dyDescent="0.5">
      <c r="A2401" s="17">
        <v>44405.998611111114</v>
      </c>
      <c r="B2401" s="19">
        <v>33771.35007</v>
      </c>
      <c r="C2401" t="s">
        <v>155</v>
      </c>
      <c r="D2401" t="str">
        <f>T_Stocks[[#This Row],[Ticker]] &amp; "-" &amp; DATE(YEAR(T_Stocks[[#This Row],[Fecha]]),MONTH(T_Stocks[[#This Row],[Fecha]]),DAY(T_Stocks[[#This Row],[Fecha]]))</f>
        <v>BTCEUR-44405</v>
      </c>
    </row>
    <row r="2402" spans="1:4" ht="14.65" thickBot="1" x14ac:dyDescent="0.5">
      <c r="A2402" s="17">
        <v>44406.998611111114</v>
      </c>
      <c r="B2402" s="19">
        <v>33657.477550000003</v>
      </c>
      <c r="C2402" t="s">
        <v>155</v>
      </c>
      <c r="D2402" t="str">
        <f>T_Stocks[[#This Row],[Ticker]] &amp; "-" &amp; DATE(YEAR(T_Stocks[[#This Row],[Fecha]]),MONTH(T_Stocks[[#This Row],[Fecha]]),DAY(T_Stocks[[#This Row],[Fecha]]))</f>
        <v>BTCEUR-44406</v>
      </c>
    </row>
    <row r="2403" spans="1:4" ht="14.65" thickBot="1" x14ac:dyDescent="0.5">
      <c r="A2403" s="17">
        <v>44407.998611111114</v>
      </c>
      <c r="B2403" s="19">
        <v>35600.475460000001</v>
      </c>
      <c r="C2403" t="s">
        <v>155</v>
      </c>
      <c r="D2403" t="str">
        <f>T_Stocks[[#This Row],[Ticker]] &amp; "-" &amp; DATE(YEAR(T_Stocks[[#This Row],[Fecha]]),MONTH(T_Stocks[[#This Row],[Fecha]]),DAY(T_Stocks[[#This Row],[Fecha]]))</f>
        <v>BTCEUR-44407</v>
      </c>
    </row>
    <row r="2404" spans="1:4" ht="14.65" thickBot="1" x14ac:dyDescent="0.5">
      <c r="A2404" s="17">
        <v>44408.998611111114</v>
      </c>
      <c r="B2404" s="19">
        <v>35001.939919999997</v>
      </c>
      <c r="C2404" t="s">
        <v>155</v>
      </c>
      <c r="D2404" t="str">
        <f>T_Stocks[[#This Row],[Ticker]] &amp; "-" &amp; DATE(YEAR(T_Stocks[[#This Row],[Fecha]]),MONTH(T_Stocks[[#This Row],[Fecha]]),DAY(T_Stocks[[#This Row],[Fecha]]))</f>
        <v>BTCEUR-44408</v>
      </c>
    </row>
    <row r="2405" spans="1:4" ht="14.65" thickBot="1" x14ac:dyDescent="0.5">
      <c r="A2405" s="17">
        <v>44409.998611111114</v>
      </c>
      <c r="B2405" s="19">
        <v>33620.79709</v>
      </c>
      <c r="C2405" t="s">
        <v>155</v>
      </c>
      <c r="D2405" t="str">
        <f>T_Stocks[[#This Row],[Ticker]] &amp; "-" &amp; DATE(YEAR(T_Stocks[[#This Row],[Fecha]]),MONTH(T_Stocks[[#This Row],[Fecha]]),DAY(T_Stocks[[#This Row],[Fecha]]))</f>
        <v>BTCEUR-44409</v>
      </c>
    </row>
    <row r="2406" spans="1:4" ht="14.65" thickBot="1" x14ac:dyDescent="0.5">
      <c r="A2406" s="17">
        <v>44410.998611111114</v>
      </c>
      <c r="B2406" s="19">
        <v>32993.912320000003</v>
      </c>
      <c r="C2406" t="s">
        <v>155</v>
      </c>
      <c r="D2406" t="str">
        <f>T_Stocks[[#This Row],[Ticker]] &amp; "-" &amp; DATE(YEAR(T_Stocks[[#This Row],[Fecha]]),MONTH(T_Stocks[[#This Row],[Fecha]]),DAY(T_Stocks[[#This Row],[Fecha]]))</f>
        <v>BTCEUR-44410</v>
      </c>
    </row>
    <row r="2407" spans="1:4" ht="14.65" thickBot="1" x14ac:dyDescent="0.5">
      <c r="A2407" s="17">
        <v>44411.998611111114</v>
      </c>
      <c r="B2407" s="19">
        <v>32131.89687</v>
      </c>
      <c r="C2407" t="s">
        <v>155</v>
      </c>
      <c r="D2407" t="str">
        <f>T_Stocks[[#This Row],[Ticker]] &amp; "-" &amp; DATE(YEAR(T_Stocks[[#This Row],[Fecha]]),MONTH(T_Stocks[[#This Row],[Fecha]]),DAY(T_Stocks[[#This Row],[Fecha]]))</f>
        <v>BTCEUR-44411</v>
      </c>
    </row>
    <row r="2408" spans="1:4" ht="14.65" thickBot="1" x14ac:dyDescent="0.5">
      <c r="A2408" s="17">
        <v>44412.998611111114</v>
      </c>
      <c r="B2408" s="19">
        <v>33563.341460000003</v>
      </c>
      <c r="C2408" t="s">
        <v>155</v>
      </c>
      <c r="D2408" t="str">
        <f>T_Stocks[[#This Row],[Ticker]] &amp; "-" &amp; DATE(YEAR(T_Stocks[[#This Row],[Fecha]]),MONTH(T_Stocks[[#This Row],[Fecha]]),DAY(T_Stocks[[#This Row],[Fecha]]))</f>
        <v>BTCEUR-44412</v>
      </c>
    </row>
    <row r="2409" spans="1:4" ht="14.65" thickBot="1" x14ac:dyDescent="0.5">
      <c r="A2409" s="17">
        <v>44413.998611111114</v>
      </c>
      <c r="B2409" s="19">
        <v>34533.40337</v>
      </c>
      <c r="C2409" t="s">
        <v>155</v>
      </c>
      <c r="D2409" t="str">
        <f>T_Stocks[[#This Row],[Ticker]] &amp; "-" &amp; DATE(YEAR(T_Stocks[[#This Row],[Fecha]]),MONTH(T_Stocks[[#This Row],[Fecha]]),DAY(T_Stocks[[#This Row],[Fecha]]))</f>
        <v>BTCEUR-44413</v>
      </c>
    </row>
    <row r="2410" spans="1:4" ht="14.65" thickBot="1" x14ac:dyDescent="0.5">
      <c r="A2410" s="17">
        <v>44414.998611111114</v>
      </c>
      <c r="B2410" s="19">
        <v>36408.527329999997</v>
      </c>
      <c r="C2410" t="s">
        <v>155</v>
      </c>
      <c r="D2410" t="str">
        <f>T_Stocks[[#This Row],[Ticker]] &amp; "-" &amp; DATE(YEAR(T_Stocks[[#This Row],[Fecha]]),MONTH(T_Stocks[[#This Row],[Fecha]]),DAY(T_Stocks[[#This Row],[Fecha]]))</f>
        <v>BTCEUR-44414</v>
      </c>
    </row>
    <row r="2411" spans="1:4" ht="14.65" thickBot="1" x14ac:dyDescent="0.5">
      <c r="A2411" s="17">
        <v>44415.998611111114</v>
      </c>
      <c r="B2411" s="19">
        <v>37909.886559999999</v>
      </c>
      <c r="C2411" t="s">
        <v>155</v>
      </c>
      <c r="D2411" t="str">
        <f>T_Stocks[[#This Row],[Ticker]] &amp; "-" &amp; DATE(YEAR(T_Stocks[[#This Row],[Fecha]]),MONTH(T_Stocks[[#This Row],[Fecha]]),DAY(T_Stocks[[#This Row],[Fecha]]))</f>
        <v>BTCEUR-44415</v>
      </c>
    </row>
    <row r="2412" spans="1:4" ht="14.65" thickBot="1" x14ac:dyDescent="0.5">
      <c r="A2412" s="17">
        <v>44416.998611111114</v>
      </c>
      <c r="B2412" s="19">
        <v>37281.941859999999</v>
      </c>
      <c r="C2412" t="s">
        <v>155</v>
      </c>
      <c r="D2412" t="str">
        <f>T_Stocks[[#This Row],[Ticker]] &amp; "-" &amp; DATE(YEAR(T_Stocks[[#This Row],[Fecha]]),MONTH(T_Stocks[[#This Row],[Fecha]]),DAY(T_Stocks[[#This Row],[Fecha]]))</f>
        <v>BTCEUR-44416</v>
      </c>
    </row>
    <row r="2413" spans="1:4" ht="14.65" thickBot="1" x14ac:dyDescent="0.5">
      <c r="A2413" s="17">
        <v>44417.998611111114</v>
      </c>
      <c r="B2413" s="19">
        <v>39445.031589999999</v>
      </c>
      <c r="C2413" t="s">
        <v>155</v>
      </c>
      <c r="D2413" t="str">
        <f>T_Stocks[[#This Row],[Ticker]] &amp; "-" &amp; DATE(YEAR(T_Stocks[[#This Row],[Fecha]]),MONTH(T_Stocks[[#This Row],[Fecha]]),DAY(T_Stocks[[#This Row],[Fecha]]))</f>
        <v>BTCEUR-44417</v>
      </c>
    </row>
    <row r="2414" spans="1:4" ht="14.65" thickBot="1" x14ac:dyDescent="0.5">
      <c r="A2414" s="17">
        <v>44418.998611111114</v>
      </c>
      <c r="B2414" s="19">
        <v>38894.445720000003</v>
      </c>
      <c r="C2414" t="s">
        <v>155</v>
      </c>
      <c r="D2414" t="str">
        <f>T_Stocks[[#This Row],[Ticker]] &amp; "-" &amp; DATE(YEAR(T_Stocks[[#This Row],[Fecha]]),MONTH(T_Stocks[[#This Row],[Fecha]]),DAY(T_Stocks[[#This Row],[Fecha]]))</f>
        <v>BTCEUR-44418</v>
      </c>
    </row>
    <row r="2415" spans="1:4" ht="14.65" thickBot="1" x14ac:dyDescent="0.5">
      <c r="A2415" s="17">
        <v>44419.998611111114</v>
      </c>
      <c r="B2415" s="19">
        <v>38818.776039999997</v>
      </c>
      <c r="C2415" t="s">
        <v>155</v>
      </c>
      <c r="D2415" t="str">
        <f>T_Stocks[[#This Row],[Ticker]] &amp; "-" &amp; DATE(YEAR(T_Stocks[[#This Row],[Fecha]]),MONTH(T_Stocks[[#This Row],[Fecha]]),DAY(T_Stocks[[#This Row],[Fecha]]))</f>
        <v>BTCEUR-44419</v>
      </c>
    </row>
    <row r="2416" spans="1:4" ht="14.65" thickBot="1" x14ac:dyDescent="0.5">
      <c r="A2416" s="17">
        <v>44420.998611111114</v>
      </c>
      <c r="B2416" s="19">
        <v>37850.473449999998</v>
      </c>
      <c r="C2416" t="s">
        <v>155</v>
      </c>
      <c r="D2416" t="str">
        <f>T_Stocks[[#This Row],[Ticker]] &amp; "-" &amp; DATE(YEAR(T_Stocks[[#This Row],[Fecha]]),MONTH(T_Stocks[[#This Row],[Fecha]]),DAY(T_Stocks[[#This Row],[Fecha]]))</f>
        <v>BTCEUR-44420</v>
      </c>
    </row>
    <row r="2417" spans="1:4" ht="14.65" thickBot="1" x14ac:dyDescent="0.5">
      <c r="A2417" s="17">
        <v>44421.998611111114</v>
      </c>
      <c r="B2417" s="19">
        <v>40545.332199999997</v>
      </c>
      <c r="C2417" t="s">
        <v>155</v>
      </c>
      <c r="D2417" t="str">
        <f>T_Stocks[[#This Row],[Ticker]] &amp; "-" &amp; DATE(YEAR(T_Stocks[[#This Row],[Fecha]]),MONTH(T_Stocks[[#This Row],[Fecha]]),DAY(T_Stocks[[#This Row],[Fecha]]))</f>
        <v>BTCEUR-44421</v>
      </c>
    </row>
    <row r="2418" spans="1:4" ht="14.65" thickBot="1" x14ac:dyDescent="0.5">
      <c r="A2418" s="17">
        <v>44422.998611111114</v>
      </c>
      <c r="B2418" s="19">
        <v>39927.001040000003</v>
      </c>
      <c r="C2418" t="s">
        <v>155</v>
      </c>
      <c r="D2418" t="str">
        <f>T_Stocks[[#This Row],[Ticker]] &amp; "-" &amp; DATE(YEAR(T_Stocks[[#This Row],[Fecha]]),MONTH(T_Stocks[[#This Row],[Fecha]]),DAY(T_Stocks[[#This Row],[Fecha]]))</f>
        <v>BTCEUR-44422</v>
      </c>
    </row>
    <row r="2419" spans="1:4" ht="14.65" thickBot="1" x14ac:dyDescent="0.5">
      <c r="A2419" s="17">
        <v>44423.998611111114</v>
      </c>
      <c r="B2419" s="19">
        <v>39878.290050000003</v>
      </c>
      <c r="C2419" t="s">
        <v>155</v>
      </c>
      <c r="D2419" t="str">
        <f>T_Stocks[[#This Row],[Ticker]] &amp; "-" &amp; DATE(YEAR(T_Stocks[[#This Row],[Fecha]]),MONTH(T_Stocks[[#This Row],[Fecha]]),DAY(T_Stocks[[#This Row],[Fecha]]))</f>
        <v>BTCEUR-44423</v>
      </c>
    </row>
    <row r="2420" spans="1:4" ht="14.65" thickBot="1" x14ac:dyDescent="0.5">
      <c r="A2420" s="17">
        <v>44424.998611111114</v>
      </c>
      <c r="B2420" s="19">
        <v>39017.863360000003</v>
      </c>
      <c r="C2420" t="s">
        <v>155</v>
      </c>
      <c r="D2420" t="str">
        <f>T_Stocks[[#This Row],[Ticker]] &amp; "-" &amp; DATE(YEAR(T_Stocks[[#This Row],[Fecha]]),MONTH(T_Stocks[[#This Row],[Fecha]]),DAY(T_Stocks[[#This Row],[Fecha]]))</f>
        <v>BTCEUR-44424</v>
      </c>
    </row>
    <row r="2421" spans="1:4" ht="14.65" thickBot="1" x14ac:dyDescent="0.5">
      <c r="A2421" s="17">
        <v>44425.998611111114</v>
      </c>
      <c r="B2421" s="19">
        <v>38158.220289999997</v>
      </c>
      <c r="C2421" t="s">
        <v>155</v>
      </c>
      <c r="D2421" t="str">
        <f>T_Stocks[[#This Row],[Ticker]] &amp; "-" &amp; DATE(YEAR(T_Stocks[[#This Row],[Fecha]]),MONTH(T_Stocks[[#This Row],[Fecha]]),DAY(T_Stocks[[#This Row],[Fecha]]))</f>
        <v>BTCEUR-44425</v>
      </c>
    </row>
    <row r="2422" spans="1:4" ht="14.65" thickBot="1" x14ac:dyDescent="0.5">
      <c r="A2422" s="17">
        <v>44426.998611111114</v>
      </c>
      <c r="B2422" s="19">
        <v>38234.658329999998</v>
      </c>
      <c r="C2422" t="s">
        <v>155</v>
      </c>
      <c r="D2422" t="str">
        <f>T_Stocks[[#This Row],[Ticker]] &amp; "-" &amp; DATE(YEAR(T_Stocks[[#This Row],[Fecha]]),MONTH(T_Stocks[[#This Row],[Fecha]]),DAY(T_Stocks[[#This Row],[Fecha]]))</f>
        <v>BTCEUR-44426</v>
      </c>
    </row>
    <row r="2423" spans="1:4" ht="14.65" thickBot="1" x14ac:dyDescent="0.5">
      <c r="A2423" s="17">
        <v>44427.998611111114</v>
      </c>
      <c r="B2423" s="19">
        <v>40045.75045</v>
      </c>
      <c r="C2423" t="s">
        <v>155</v>
      </c>
      <c r="D2423" t="str">
        <f>T_Stocks[[#This Row],[Ticker]] &amp; "-" &amp; DATE(YEAR(T_Stocks[[#This Row],[Fecha]]),MONTH(T_Stocks[[#This Row],[Fecha]]),DAY(T_Stocks[[#This Row],[Fecha]]))</f>
        <v>BTCEUR-44427</v>
      </c>
    </row>
    <row r="2424" spans="1:4" ht="14.65" thickBot="1" x14ac:dyDescent="0.5">
      <c r="A2424" s="17">
        <v>44428.998611111114</v>
      </c>
      <c r="B2424" s="19">
        <v>42153.97481</v>
      </c>
      <c r="C2424" t="s">
        <v>155</v>
      </c>
      <c r="D2424" t="str">
        <f>T_Stocks[[#This Row],[Ticker]] &amp; "-" &amp; DATE(YEAR(T_Stocks[[#This Row],[Fecha]]),MONTH(T_Stocks[[#This Row],[Fecha]]),DAY(T_Stocks[[#This Row],[Fecha]]))</f>
        <v>BTCEUR-44428</v>
      </c>
    </row>
    <row r="2425" spans="1:4" ht="14.65" thickBot="1" x14ac:dyDescent="0.5">
      <c r="A2425" s="17">
        <v>44429.998611111114</v>
      </c>
      <c r="B2425" s="19">
        <v>41785.742010000002</v>
      </c>
      <c r="C2425" t="s">
        <v>155</v>
      </c>
      <c r="D2425" t="str">
        <f>T_Stocks[[#This Row],[Ticker]] &amp; "-" &amp; DATE(YEAR(T_Stocks[[#This Row],[Fecha]]),MONTH(T_Stocks[[#This Row],[Fecha]]),DAY(T_Stocks[[#This Row],[Fecha]]))</f>
        <v>BTCEUR-44429</v>
      </c>
    </row>
    <row r="2426" spans="1:4" ht="14.65" thickBot="1" x14ac:dyDescent="0.5">
      <c r="A2426" s="17">
        <v>44430.998611111114</v>
      </c>
      <c r="B2426" s="19">
        <v>42128.785600000003</v>
      </c>
      <c r="C2426" t="s">
        <v>155</v>
      </c>
      <c r="D2426" t="str">
        <f>T_Stocks[[#This Row],[Ticker]] &amp; "-" &amp; DATE(YEAR(T_Stocks[[#This Row],[Fecha]]),MONTH(T_Stocks[[#This Row],[Fecha]]),DAY(T_Stocks[[#This Row],[Fecha]]))</f>
        <v>BTCEUR-44430</v>
      </c>
    </row>
    <row r="2427" spans="1:4" ht="14.65" thickBot="1" x14ac:dyDescent="0.5">
      <c r="A2427" s="17">
        <v>44431.998611111114</v>
      </c>
      <c r="B2427" s="19">
        <v>42180.272579999997</v>
      </c>
      <c r="C2427" t="s">
        <v>155</v>
      </c>
      <c r="D2427" t="str">
        <f>T_Stocks[[#This Row],[Ticker]] &amp; "-" &amp; DATE(YEAR(T_Stocks[[#This Row],[Fecha]]),MONTH(T_Stocks[[#This Row],[Fecha]]),DAY(T_Stocks[[#This Row],[Fecha]]))</f>
        <v>BTCEUR-44431</v>
      </c>
    </row>
    <row r="2428" spans="1:4" ht="14.65" thickBot="1" x14ac:dyDescent="0.5">
      <c r="A2428" s="17">
        <v>44432.998611111114</v>
      </c>
      <c r="B2428" s="19">
        <v>40602.297509999997</v>
      </c>
      <c r="C2428" t="s">
        <v>155</v>
      </c>
      <c r="D2428" t="str">
        <f>T_Stocks[[#This Row],[Ticker]] &amp; "-" &amp; DATE(YEAR(T_Stocks[[#This Row],[Fecha]]),MONTH(T_Stocks[[#This Row],[Fecha]]),DAY(T_Stocks[[#This Row],[Fecha]]))</f>
        <v>BTCEUR-44432</v>
      </c>
    </row>
    <row r="2429" spans="1:4" ht="14.65" thickBot="1" x14ac:dyDescent="0.5">
      <c r="A2429" s="17">
        <v>44433.998611111114</v>
      </c>
      <c r="B2429" s="19">
        <v>41616.744630000001</v>
      </c>
      <c r="C2429" t="s">
        <v>155</v>
      </c>
      <c r="D2429" t="str">
        <f>T_Stocks[[#This Row],[Ticker]] &amp; "-" &amp; DATE(YEAR(T_Stocks[[#This Row],[Fecha]]),MONTH(T_Stocks[[#This Row],[Fecha]]),DAY(T_Stocks[[#This Row],[Fecha]]))</f>
        <v>BTCEUR-44433</v>
      </c>
    </row>
    <row r="2430" spans="1:4" ht="14.65" thickBot="1" x14ac:dyDescent="0.5">
      <c r="A2430" s="17">
        <v>44434.998611111114</v>
      </c>
      <c r="B2430" s="19">
        <v>39855.654049999997</v>
      </c>
      <c r="C2430" t="s">
        <v>155</v>
      </c>
      <c r="D2430" t="str">
        <f>T_Stocks[[#This Row],[Ticker]] &amp; "-" &amp; DATE(YEAR(T_Stocks[[#This Row],[Fecha]]),MONTH(T_Stocks[[#This Row],[Fecha]]),DAY(T_Stocks[[#This Row],[Fecha]]))</f>
        <v>BTCEUR-44434</v>
      </c>
    </row>
    <row r="2431" spans="1:4" ht="14.65" thickBot="1" x14ac:dyDescent="0.5">
      <c r="A2431" s="17">
        <v>44435.998611111114</v>
      </c>
      <c r="B2431" s="19">
        <v>41586.744429999999</v>
      </c>
      <c r="C2431" t="s">
        <v>155</v>
      </c>
      <c r="D2431" t="str">
        <f>T_Stocks[[#This Row],[Ticker]] &amp; "-" &amp; DATE(YEAR(T_Stocks[[#This Row],[Fecha]]),MONTH(T_Stocks[[#This Row],[Fecha]]),DAY(T_Stocks[[#This Row],[Fecha]]))</f>
        <v>BTCEUR-44435</v>
      </c>
    </row>
    <row r="2432" spans="1:4" ht="14.65" thickBot="1" x14ac:dyDescent="0.5">
      <c r="A2432" s="17">
        <v>44436.998611111114</v>
      </c>
      <c r="B2432" s="19">
        <v>41466.18692</v>
      </c>
      <c r="C2432" t="s">
        <v>155</v>
      </c>
      <c r="D2432" t="str">
        <f>T_Stocks[[#This Row],[Ticker]] &amp; "-" &amp; DATE(YEAR(T_Stocks[[#This Row],[Fecha]]),MONTH(T_Stocks[[#This Row],[Fecha]]),DAY(T_Stocks[[#This Row],[Fecha]]))</f>
        <v>BTCEUR-44436</v>
      </c>
    </row>
    <row r="2433" spans="1:4" ht="14.65" thickBot="1" x14ac:dyDescent="0.5">
      <c r="A2433" s="17">
        <v>44437.998611111114</v>
      </c>
      <c r="B2433" s="19">
        <v>41361.744879999998</v>
      </c>
      <c r="C2433" t="s">
        <v>155</v>
      </c>
      <c r="D2433" t="str">
        <f>T_Stocks[[#This Row],[Ticker]] &amp; "-" &amp; DATE(YEAR(T_Stocks[[#This Row],[Fecha]]),MONTH(T_Stocks[[#This Row],[Fecha]]),DAY(T_Stocks[[#This Row],[Fecha]]))</f>
        <v>BTCEUR-44437</v>
      </c>
    </row>
    <row r="2434" spans="1:4" ht="14.65" thickBot="1" x14ac:dyDescent="0.5">
      <c r="A2434" s="17">
        <v>44438.998611111114</v>
      </c>
      <c r="B2434" s="19">
        <v>39838.00159</v>
      </c>
      <c r="C2434" t="s">
        <v>155</v>
      </c>
      <c r="D2434" t="str">
        <f>T_Stocks[[#This Row],[Ticker]] &amp; "-" &amp; DATE(YEAR(T_Stocks[[#This Row],[Fecha]]),MONTH(T_Stocks[[#This Row],[Fecha]]),DAY(T_Stocks[[#This Row],[Fecha]]))</f>
        <v>BTCEUR-44438</v>
      </c>
    </row>
    <row r="2435" spans="1:4" ht="14.65" thickBot="1" x14ac:dyDescent="0.5">
      <c r="A2435" s="17">
        <v>44439.998611111114</v>
      </c>
      <c r="B2435" s="19">
        <v>39910.849970000003</v>
      </c>
      <c r="C2435" t="s">
        <v>155</v>
      </c>
      <c r="D2435" t="str">
        <f>T_Stocks[[#This Row],[Ticker]] &amp; "-" &amp; DATE(YEAR(T_Stocks[[#This Row],[Fecha]]),MONTH(T_Stocks[[#This Row],[Fecha]]),DAY(T_Stocks[[#This Row],[Fecha]]))</f>
        <v>BTCEUR-44439</v>
      </c>
    </row>
    <row r="2436" spans="1:4" ht="14.65" thickBot="1" x14ac:dyDescent="0.5">
      <c r="A2436" s="17">
        <v>44440.998611111114</v>
      </c>
      <c r="B2436" s="19">
        <v>41267.265930000001</v>
      </c>
      <c r="C2436" t="s">
        <v>155</v>
      </c>
      <c r="D2436" t="str">
        <f>T_Stocks[[#This Row],[Ticker]] &amp; "-" &amp; DATE(YEAR(T_Stocks[[#This Row],[Fecha]]),MONTH(T_Stocks[[#This Row],[Fecha]]),DAY(T_Stocks[[#This Row],[Fecha]]))</f>
        <v>BTCEUR-44440</v>
      </c>
    </row>
    <row r="2437" spans="1:4" ht="14.65" thickBot="1" x14ac:dyDescent="0.5">
      <c r="A2437" s="17">
        <v>44441.998611111114</v>
      </c>
      <c r="B2437" s="19">
        <v>41507.198320000003</v>
      </c>
      <c r="C2437" t="s">
        <v>155</v>
      </c>
      <c r="D2437" t="str">
        <f>T_Stocks[[#This Row],[Ticker]] &amp; "-" &amp; DATE(YEAR(T_Stocks[[#This Row],[Fecha]]),MONTH(T_Stocks[[#This Row],[Fecha]]),DAY(T_Stocks[[#This Row],[Fecha]]))</f>
        <v>BTCEUR-44441</v>
      </c>
    </row>
    <row r="2438" spans="1:4" ht="14.65" thickBot="1" x14ac:dyDescent="0.5">
      <c r="A2438" s="17">
        <v>44442.998611111114</v>
      </c>
      <c r="B2438" s="19">
        <v>42101.741309999998</v>
      </c>
      <c r="C2438" t="s">
        <v>155</v>
      </c>
      <c r="D2438" t="str">
        <f>T_Stocks[[#This Row],[Ticker]] &amp; "-" &amp; DATE(YEAR(T_Stocks[[#This Row],[Fecha]]),MONTH(T_Stocks[[#This Row],[Fecha]]),DAY(T_Stocks[[#This Row],[Fecha]]))</f>
        <v>BTCEUR-44442</v>
      </c>
    </row>
    <row r="2439" spans="1:4" ht="14.65" thickBot="1" x14ac:dyDescent="0.5">
      <c r="A2439" s="17">
        <v>44443.998611111114</v>
      </c>
      <c r="B2439" s="19">
        <v>42019.865339999997</v>
      </c>
      <c r="C2439" t="s">
        <v>155</v>
      </c>
      <c r="D2439" t="str">
        <f>T_Stocks[[#This Row],[Ticker]] &amp; "-" &amp; DATE(YEAR(T_Stocks[[#This Row],[Fecha]]),MONTH(T_Stocks[[#This Row],[Fecha]]),DAY(T_Stocks[[#This Row],[Fecha]]))</f>
        <v>BTCEUR-44443</v>
      </c>
    </row>
    <row r="2440" spans="1:4" ht="14.65" thickBot="1" x14ac:dyDescent="0.5">
      <c r="A2440" s="17">
        <v>44444.998611111114</v>
      </c>
      <c r="B2440" s="19">
        <v>43567.23921</v>
      </c>
      <c r="C2440" t="s">
        <v>155</v>
      </c>
      <c r="D2440" t="str">
        <f>T_Stocks[[#This Row],[Ticker]] &amp; "-" &amp; DATE(YEAR(T_Stocks[[#This Row],[Fecha]]),MONTH(T_Stocks[[#This Row],[Fecha]]),DAY(T_Stocks[[#This Row],[Fecha]]))</f>
        <v>BTCEUR-44444</v>
      </c>
    </row>
    <row r="2441" spans="1:4" ht="14.65" thickBot="1" x14ac:dyDescent="0.5">
      <c r="A2441" s="17">
        <v>44445.998611111114</v>
      </c>
      <c r="B2441" s="19">
        <v>44367.604800000001</v>
      </c>
      <c r="C2441" t="s">
        <v>155</v>
      </c>
      <c r="D2441" t="str">
        <f>T_Stocks[[#This Row],[Ticker]] &amp; "-" &amp; DATE(YEAR(T_Stocks[[#This Row],[Fecha]]),MONTH(T_Stocks[[#This Row],[Fecha]]),DAY(T_Stocks[[#This Row],[Fecha]]))</f>
        <v>BTCEUR-44445</v>
      </c>
    </row>
    <row r="2442" spans="1:4" ht="14.65" thickBot="1" x14ac:dyDescent="0.5">
      <c r="A2442" s="17">
        <v>44446.998611111114</v>
      </c>
      <c r="B2442" s="19">
        <v>39512.114589999997</v>
      </c>
      <c r="C2442" t="s">
        <v>155</v>
      </c>
      <c r="D2442" t="str">
        <f>T_Stocks[[#This Row],[Ticker]] &amp; "-" &amp; DATE(YEAR(T_Stocks[[#This Row],[Fecha]]),MONTH(T_Stocks[[#This Row],[Fecha]]),DAY(T_Stocks[[#This Row],[Fecha]]))</f>
        <v>BTCEUR-44446</v>
      </c>
    </row>
    <row r="2443" spans="1:4" ht="14.65" thickBot="1" x14ac:dyDescent="0.5">
      <c r="A2443" s="17">
        <v>44447.998611111114</v>
      </c>
      <c r="B2443" s="19">
        <v>38982.9254</v>
      </c>
      <c r="C2443" t="s">
        <v>155</v>
      </c>
      <c r="D2443" t="str">
        <f>T_Stocks[[#This Row],[Ticker]] &amp; "-" &amp; DATE(YEAR(T_Stocks[[#This Row],[Fecha]]),MONTH(T_Stocks[[#This Row],[Fecha]]),DAY(T_Stocks[[#This Row],[Fecha]]))</f>
        <v>BTCEUR-44447</v>
      </c>
    </row>
    <row r="2444" spans="1:4" ht="14.65" thickBot="1" x14ac:dyDescent="0.5">
      <c r="A2444" s="17">
        <v>44448.998611111114</v>
      </c>
      <c r="B2444" s="19">
        <v>39224.289100000002</v>
      </c>
      <c r="C2444" t="s">
        <v>155</v>
      </c>
      <c r="D2444" t="str">
        <f>T_Stocks[[#This Row],[Ticker]] &amp; "-" &amp; DATE(YEAR(T_Stocks[[#This Row],[Fecha]]),MONTH(T_Stocks[[#This Row],[Fecha]]),DAY(T_Stocks[[#This Row],[Fecha]]))</f>
        <v>BTCEUR-44448</v>
      </c>
    </row>
    <row r="2445" spans="1:4" ht="14.65" thickBot="1" x14ac:dyDescent="0.5">
      <c r="A2445" s="17">
        <v>44449.998611111114</v>
      </c>
      <c r="B2445" s="19">
        <v>37968.183989999998</v>
      </c>
      <c r="C2445" t="s">
        <v>155</v>
      </c>
      <c r="D2445" t="str">
        <f>T_Stocks[[#This Row],[Ticker]] &amp; "-" &amp; DATE(YEAR(T_Stocks[[#This Row],[Fecha]]),MONTH(T_Stocks[[#This Row],[Fecha]]),DAY(T_Stocks[[#This Row],[Fecha]]))</f>
        <v>BTCEUR-44449</v>
      </c>
    </row>
    <row r="2446" spans="1:4" ht="14.65" thickBot="1" x14ac:dyDescent="0.5">
      <c r="A2446" s="17">
        <v>44450.998611111114</v>
      </c>
      <c r="B2446" s="19">
        <v>38224.338199999998</v>
      </c>
      <c r="C2446" t="s">
        <v>155</v>
      </c>
      <c r="D2446" t="str">
        <f>T_Stocks[[#This Row],[Ticker]] &amp; "-" &amp; DATE(YEAR(T_Stocks[[#This Row],[Fecha]]),MONTH(T_Stocks[[#This Row],[Fecha]]),DAY(T_Stocks[[#This Row],[Fecha]]))</f>
        <v>BTCEUR-44450</v>
      </c>
    </row>
    <row r="2447" spans="1:4" ht="14.65" thickBot="1" x14ac:dyDescent="0.5">
      <c r="A2447" s="17">
        <v>44451.998611111114</v>
      </c>
      <c r="B2447" s="19">
        <v>38994.971680000002</v>
      </c>
      <c r="C2447" t="s">
        <v>155</v>
      </c>
      <c r="D2447" t="str">
        <f>T_Stocks[[#This Row],[Ticker]] &amp; "-" &amp; DATE(YEAR(T_Stocks[[#This Row],[Fecha]]),MONTH(T_Stocks[[#This Row],[Fecha]]),DAY(T_Stocks[[#This Row],[Fecha]]))</f>
        <v>BTCEUR-44451</v>
      </c>
    </row>
    <row r="2448" spans="1:4" ht="14.65" thickBot="1" x14ac:dyDescent="0.5">
      <c r="A2448" s="17">
        <v>44452.998611111114</v>
      </c>
      <c r="B2448" s="19">
        <v>38054.543010000001</v>
      </c>
      <c r="C2448" t="s">
        <v>155</v>
      </c>
      <c r="D2448" t="str">
        <f>T_Stocks[[#This Row],[Ticker]] &amp; "-" &amp; DATE(YEAR(T_Stocks[[#This Row],[Fecha]]),MONTH(T_Stocks[[#This Row],[Fecha]]),DAY(T_Stocks[[#This Row],[Fecha]]))</f>
        <v>BTCEUR-44452</v>
      </c>
    </row>
    <row r="2449" spans="1:4" ht="14.65" thickBot="1" x14ac:dyDescent="0.5">
      <c r="A2449" s="17">
        <v>44453.998611111114</v>
      </c>
      <c r="B2449" s="19">
        <v>39872.590389999998</v>
      </c>
      <c r="C2449" t="s">
        <v>155</v>
      </c>
      <c r="D2449" t="str">
        <f>T_Stocks[[#This Row],[Ticker]] &amp; "-" &amp; DATE(YEAR(T_Stocks[[#This Row],[Fecha]]),MONTH(T_Stocks[[#This Row],[Fecha]]),DAY(T_Stocks[[#This Row],[Fecha]]))</f>
        <v>BTCEUR-44453</v>
      </c>
    </row>
    <row r="2450" spans="1:4" ht="14.65" thickBot="1" x14ac:dyDescent="0.5">
      <c r="A2450" s="17">
        <v>44454.998611111114</v>
      </c>
      <c r="B2450" s="19">
        <v>40730.575839999998</v>
      </c>
      <c r="C2450" t="s">
        <v>155</v>
      </c>
      <c r="D2450" t="str">
        <f>T_Stocks[[#This Row],[Ticker]] &amp; "-" &amp; DATE(YEAR(T_Stocks[[#This Row],[Fecha]]),MONTH(T_Stocks[[#This Row],[Fecha]]),DAY(T_Stocks[[#This Row],[Fecha]]))</f>
        <v>BTCEUR-44454</v>
      </c>
    </row>
    <row r="2451" spans="1:4" ht="14.65" thickBot="1" x14ac:dyDescent="0.5">
      <c r="A2451" s="17">
        <v>44455.998611111114</v>
      </c>
      <c r="B2451" s="19">
        <v>40593.135920000001</v>
      </c>
      <c r="C2451" t="s">
        <v>155</v>
      </c>
      <c r="D2451" t="str">
        <f>T_Stocks[[#This Row],[Ticker]] &amp; "-" &amp; DATE(YEAR(T_Stocks[[#This Row],[Fecha]]),MONTH(T_Stocks[[#This Row],[Fecha]]),DAY(T_Stocks[[#This Row],[Fecha]]))</f>
        <v>BTCEUR-44455</v>
      </c>
    </row>
    <row r="2452" spans="1:4" ht="14.65" thickBot="1" x14ac:dyDescent="0.5">
      <c r="A2452" s="17">
        <v>44456.998611111114</v>
      </c>
      <c r="B2452" s="19">
        <v>40319.492870000002</v>
      </c>
      <c r="C2452" t="s">
        <v>155</v>
      </c>
      <c r="D2452" t="str">
        <f>T_Stocks[[#This Row],[Ticker]] &amp; "-" &amp; DATE(YEAR(T_Stocks[[#This Row],[Fecha]]),MONTH(T_Stocks[[#This Row],[Fecha]]),DAY(T_Stocks[[#This Row],[Fecha]]))</f>
        <v>BTCEUR-44456</v>
      </c>
    </row>
    <row r="2453" spans="1:4" ht="14.65" thickBot="1" x14ac:dyDescent="0.5">
      <c r="A2453" s="17">
        <v>44457.998611111114</v>
      </c>
      <c r="B2453" s="19">
        <v>41193.018680000001</v>
      </c>
      <c r="C2453" t="s">
        <v>155</v>
      </c>
      <c r="D2453" t="str">
        <f>T_Stocks[[#This Row],[Ticker]] &amp; "-" &amp; DATE(YEAR(T_Stocks[[#This Row],[Fecha]]),MONTH(T_Stocks[[#This Row],[Fecha]]),DAY(T_Stocks[[#This Row],[Fecha]]))</f>
        <v>BTCEUR-44457</v>
      </c>
    </row>
    <row r="2454" spans="1:4" ht="14.65" thickBot="1" x14ac:dyDescent="0.5">
      <c r="A2454" s="17">
        <v>44458.998611111114</v>
      </c>
      <c r="B2454" s="19">
        <v>40278.65438</v>
      </c>
      <c r="C2454" t="s">
        <v>155</v>
      </c>
      <c r="D2454" t="str">
        <f>T_Stocks[[#This Row],[Ticker]] &amp; "-" &amp; DATE(YEAR(T_Stocks[[#This Row],[Fecha]]),MONTH(T_Stocks[[#This Row],[Fecha]]),DAY(T_Stocks[[#This Row],[Fecha]]))</f>
        <v>BTCEUR-44458</v>
      </c>
    </row>
    <row r="2455" spans="1:4" ht="14.65" thickBot="1" x14ac:dyDescent="0.5">
      <c r="A2455" s="17">
        <v>44459.998611111114</v>
      </c>
      <c r="B2455" s="19">
        <v>36611.089899999999</v>
      </c>
      <c r="C2455" t="s">
        <v>155</v>
      </c>
      <c r="D2455" t="str">
        <f>T_Stocks[[#This Row],[Ticker]] &amp; "-" &amp; DATE(YEAR(T_Stocks[[#This Row],[Fecha]]),MONTH(T_Stocks[[#This Row],[Fecha]]),DAY(T_Stocks[[#This Row],[Fecha]]))</f>
        <v>BTCEUR-44459</v>
      </c>
    </row>
    <row r="2456" spans="1:4" ht="14.65" thickBot="1" x14ac:dyDescent="0.5">
      <c r="A2456" s="17">
        <v>44460.998611111114</v>
      </c>
      <c r="B2456" s="19">
        <v>34620.42727</v>
      </c>
      <c r="C2456" t="s">
        <v>155</v>
      </c>
      <c r="D2456" t="str">
        <f>T_Stocks[[#This Row],[Ticker]] &amp; "-" &amp; DATE(YEAR(T_Stocks[[#This Row],[Fecha]]),MONTH(T_Stocks[[#This Row],[Fecha]]),DAY(T_Stocks[[#This Row],[Fecha]]))</f>
        <v>BTCEUR-44460</v>
      </c>
    </row>
    <row r="2457" spans="1:4" ht="14.65" thickBot="1" x14ac:dyDescent="0.5">
      <c r="A2457" s="17">
        <v>44461.998611111114</v>
      </c>
      <c r="B2457" s="19">
        <v>37290.342060000003</v>
      </c>
      <c r="C2457" t="s">
        <v>155</v>
      </c>
      <c r="D2457" t="str">
        <f>T_Stocks[[#This Row],[Ticker]] &amp; "-" &amp; DATE(YEAR(T_Stocks[[#This Row],[Fecha]]),MONTH(T_Stocks[[#This Row],[Fecha]]),DAY(T_Stocks[[#This Row],[Fecha]]))</f>
        <v>BTCEUR-44461</v>
      </c>
    </row>
    <row r="2458" spans="1:4" ht="14.65" thickBot="1" x14ac:dyDescent="0.5">
      <c r="A2458" s="17">
        <v>44462.998611111114</v>
      </c>
      <c r="B2458" s="19">
        <v>38235.086490000002</v>
      </c>
      <c r="C2458" t="s">
        <v>155</v>
      </c>
      <c r="D2458" t="str">
        <f>T_Stocks[[#This Row],[Ticker]] &amp; "-" &amp; DATE(YEAR(T_Stocks[[#This Row],[Fecha]]),MONTH(T_Stocks[[#This Row],[Fecha]]),DAY(T_Stocks[[#This Row],[Fecha]]))</f>
        <v>BTCEUR-44462</v>
      </c>
    </row>
    <row r="2459" spans="1:4" ht="14.65" thickBot="1" x14ac:dyDescent="0.5">
      <c r="A2459" s="17">
        <v>44463.998611111114</v>
      </c>
      <c r="B2459" s="19">
        <v>36546.54954</v>
      </c>
      <c r="C2459" t="s">
        <v>155</v>
      </c>
      <c r="D2459" t="str">
        <f>T_Stocks[[#This Row],[Ticker]] &amp; "-" &amp; DATE(YEAR(T_Stocks[[#This Row],[Fecha]]),MONTH(T_Stocks[[#This Row],[Fecha]]),DAY(T_Stocks[[#This Row],[Fecha]]))</f>
        <v>BTCEUR-44463</v>
      </c>
    </row>
    <row r="2460" spans="1:4" ht="14.65" thickBot="1" x14ac:dyDescent="0.5">
      <c r="A2460" s="17">
        <v>44464.998611111114</v>
      </c>
      <c r="B2460" s="19">
        <v>36436.023670000002</v>
      </c>
      <c r="C2460" t="s">
        <v>155</v>
      </c>
      <c r="D2460" t="str">
        <f>T_Stocks[[#This Row],[Ticker]] &amp; "-" &amp; DATE(YEAR(T_Stocks[[#This Row],[Fecha]]),MONTH(T_Stocks[[#This Row],[Fecha]]),DAY(T_Stocks[[#This Row],[Fecha]]))</f>
        <v>BTCEUR-44464</v>
      </c>
    </row>
    <row r="2461" spans="1:4" ht="14.65" thickBot="1" x14ac:dyDescent="0.5">
      <c r="A2461" s="17">
        <v>44465.998611111114</v>
      </c>
      <c r="B2461" s="19">
        <v>36824.540719999997</v>
      </c>
      <c r="C2461" t="s">
        <v>155</v>
      </c>
      <c r="D2461" t="str">
        <f>T_Stocks[[#This Row],[Ticker]] &amp; "-" &amp; DATE(YEAR(T_Stocks[[#This Row],[Fecha]]),MONTH(T_Stocks[[#This Row],[Fecha]]),DAY(T_Stocks[[#This Row],[Fecha]]))</f>
        <v>BTCEUR-44465</v>
      </c>
    </row>
    <row r="2462" spans="1:4" ht="14.65" thickBot="1" x14ac:dyDescent="0.5">
      <c r="A2462" s="17">
        <v>44466.998611111114</v>
      </c>
      <c r="B2462" s="19">
        <v>36082.159939999998</v>
      </c>
      <c r="C2462" t="s">
        <v>155</v>
      </c>
      <c r="D2462" t="str">
        <f>T_Stocks[[#This Row],[Ticker]] &amp; "-" &amp; DATE(YEAR(T_Stocks[[#This Row],[Fecha]]),MONTH(T_Stocks[[#This Row],[Fecha]]),DAY(T_Stocks[[#This Row],[Fecha]]))</f>
        <v>BTCEUR-44466</v>
      </c>
    </row>
    <row r="2463" spans="1:4" ht="14.65" thickBot="1" x14ac:dyDescent="0.5">
      <c r="A2463" s="17">
        <v>44467.998611111114</v>
      </c>
      <c r="B2463" s="19">
        <v>35123.549939999997</v>
      </c>
      <c r="C2463" t="s">
        <v>155</v>
      </c>
      <c r="D2463" t="str">
        <f>T_Stocks[[#This Row],[Ticker]] &amp; "-" &amp; DATE(YEAR(T_Stocks[[#This Row],[Fecha]]),MONTH(T_Stocks[[#This Row],[Fecha]]),DAY(T_Stocks[[#This Row],[Fecha]]))</f>
        <v>BTCEUR-44467</v>
      </c>
    </row>
    <row r="2464" spans="1:4" ht="14.65" thickBot="1" x14ac:dyDescent="0.5">
      <c r="A2464" s="17">
        <v>44468.998611111114</v>
      </c>
      <c r="B2464" s="19">
        <v>35806.217380000002</v>
      </c>
      <c r="C2464" t="s">
        <v>155</v>
      </c>
      <c r="D2464" t="str">
        <f>T_Stocks[[#This Row],[Ticker]] &amp; "-" &amp; DATE(YEAR(T_Stocks[[#This Row],[Fecha]]),MONTH(T_Stocks[[#This Row],[Fecha]]),DAY(T_Stocks[[#This Row],[Fecha]]))</f>
        <v>BTCEUR-44468</v>
      </c>
    </row>
    <row r="2465" spans="1:4" ht="14.65" thickBot="1" x14ac:dyDescent="0.5">
      <c r="A2465" s="17">
        <v>44469.998611111114</v>
      </c>
      <c r="B2465" s="19">
        <v>37831.552909999999</v>
      </c>
      <c r="C2465" t="s">
        <v>155</v>
      </c>
      <c r="D2465" t="str">
        <f>T_Stocks[[#This Row],[Ticker]] &amp; "-" &amp; DATE(YEAR(T_Stocks[[#This Row],[Fecha]]),MONTH(T_Stocks[[#This Row],[Fecha]]),DAY(T_Stocks[[#This Row],[Fecha]]))</f>
        <v>BTCEUR-44469</v>
      </c>
    </row>
    <row r="2466" spans="1:4" ht="14.65" thickBot="1" x14ac:dyDescent="0.5">
      <c r="A2466" s="17">
        <v>44470.998611111114</v>
      </c>
      <c r="B2466" s="19">
        <v>41514.571199999998</v>
      </c>
      <c r="C2466" t="s">
        <v>155</v>
      </c>
      <c r="D2466" t="str">
        <f>T_Stocks[[#This Row],[Ticker]] &amp; "-" &amp; DATE(YEAR(T_Stocks[[#This Row],[Fecha]]),MONTH(T_Stocks[[#This Row],[Fecha]]),DAY(T_Stocks[[#This Row],[Fecha]]))</f>
        <v>BTCEUR-44470</v>
      </c>
    </row>
    <row r="2467" spans="1:4" ht="14.65" thickBot="1" x14ac:dyDescent="0.5">
      <c r="A2467" s="17">
        <v>44471.998611111114</v>
      </c>
      <c r="B2467" s="19">
        <v>41110.29909</v>
      </c>
      <c r="C2467" t="s">
        <v>155</v>
      </c>
      <c r="D2467" t="str">
        <f>T_Stocks[[#This Row],[Ticker]] &amp; "-" &amp; DATE(YEAR(T_Stocks[[#This Row],[Fecha]]),MONTH(T_Stocks[[#This Row],[Fecha]]),DAY(T_Stocks[[#This Row],[Fecha]]))</f>
        <v>BTCEUR-44471</v>
      </c>
    </row>
    <row r="2468" spans="1:4" ht="14.65" thickBot="1" x14ac:dyDescent="0.5">
      <c r="A2468" s="17">
        <v>44472.998611111114</v>
      </c>
      <c r="B2468" s="19">
        <v>41550.282370000001</v>
      </c>
      <c r="C2468" t="s">
        <v>155</v>
      </c>
      <c r="D2468" t="str">
        <f>T_Stocks[[#This Row],[Ticker]] &amp; "-" &amp; DATE(YEAR(T_Stocks[[#This Row],[Fecha]]),MONTH(T_Stocks[[#This Row],[Fecha]]),DAY(T_Stocks[[#This Row],[Fecha]]))</f>
        <v>BTCEUR-44472</v>
      </c>
    </row>
    <row r="2469" spans="1:4" ht="14.65" thickBot="1" x14ac:dyDescent="0.5">
      <c r="A2469" s="17">
        <v>44473.998611111114</v>
      </c>
      <c r="B2469" s="19">
        <v>42401.67972</v>
      </c>
      <c r="C2469" t="s">
        <v>155</v>
      </c>
      <c r="D2469" t="str">
        <f>T_Stocks[[#This Row],[Ticker]] &amp; "-" &amp; DATE(YEAR(T_Stocks[[#This Row],[Fecha]]),MONTH(T_Stocks[[#This Row],[Fecha]]),DAY(T_Stocks[[#This Row],[Fecha]]))</f>
        <v>BTCEUR-44473</v>
      </c>
    </row>
    <row r="2470" spans="1:4" ht="14.65" thickBot="1" x14ac:dyDescent="0.5">
      <c r="A2470" s="17">
        <v>44474.998611111114</v>
      </c>
      <c r="B2470" s="19">
        <v>44403.416559999998</v>
      </c>
      <c r="C2470" t="s">
        <v>155</v>
      </c>
      <c r="D2470" t="str">
        <f>T_Stocks[[#This Row],[Ticker]] &amp; "-" &amp; DATE(YEAR(T_Stocks[[#This Row],[Fecha]]),MONTH(T_Stocks[[#This Row],[Fecha]]),DAY(T_Stocks[[#This Row],[Fecha]]))</f>
        <v>BTCEUR-44474</v>
      </c>
    </row>
    <row r="2471" spans="1:4" ht="14.65" thickBot="1" x14ac:dyDescent="0.5">
      <c r="A2471" s="17">
        <v>44475.998611111114</v>
      </c>
      <c r="B2471" s="19">
        <v>47890.292710000002</v>
      </c>
      <c r="C2471" t="s">
        <v>155</v>
      </c>
      <c r="D2471" t="str">
        <f>T_Stocks[[#This Row],[Ticker]] &amp; "-" &amp; DATE(YEAR(T_Stocks[[#This Row],[Fecha]]),MONTH(T_Stocks[[#This Row],[Fecha]]),DAY(T_Stocks[[#This Row],[Fecha]]))</f>
        <v>BTCEUR-44475</v>
      </c>
    </row>
    <row r="2472" spans="1:4" ht="14.65" thickBot="1" x14ac:dyDescent="0.5">
      <c r="A2472" s="17">
        <v>44476.998611111114</v>
      </c>
      <c r="B2472" s="19">
        <v>46525.116880000001</v>
      </c>
      <c r="C2472" t="s">
        <v>155</v>
      </c>
      <c r="D2472" t="str">
        <f>T_Stocks[[#This Row],[Ticker]] &amp; "-" &amp; DATE(YEAR(T_Stocks[[#This Row],[Fecha]]),MONTH(T_Stocks[[#This Row],[Fecha]]),DAY(T_Stocks[[#This Row],[Fecha]]))</f>
        <v>BTCEUR-44476</v>
      </c>
    </row>
    <row r="2473" spans="1:4" ht="14.65" thickBot="1" x14ac:dyDescent="0.5">
      <c r="A2473" s="17">
        <v>44477.998611111114</v>
      </c>
      <c r="B2473" s="19">
        <v>46594.42583</v>
      </c>
      <c r="C2473" t="s">
        <v>155</v>
      </c>
      <c r="D2473" t="str">
        <f>T_Stocks[[#This Row],[Ticker]] &amp; "-" &amp; DATE(YEAR(T_Stocks[[#This Row],[Fecha]]),MONTH(T_Stocks[[#This Row],[Fecha]]),DAY(T_Stocks[[#This Row],[Fecha]]))</f>
        <v>BTCEUR-44477</v>
      </c>
    </row>
    <row r="2474" spans="1:4" ht="14.65" thickBot="1" x14ac:dyDescent="0.5">
      <c r="A2474" s="17">
        <v>44478.998611111114</v>
      </c>
      <c r="B2474" s="19">
        <v>47477.514490000001</v>
      </c>
      <c r="C2474" t="s">
        <v>155</v>
      </c>
      <c r="D2474" t="str">
        <f>T_Stocks[[#This Row],[Ticker]] &amp; "-" &amp; DATE(YEAR(T_Stocks[[#This Row],[Fecha]]),MONTH(T_Stocks[[#This Row],[Fecha]]),DAY(T_Stocks[[#This Row],[Fecha]]))</f>
        <v>BTCEUR-44478</v>
      </c>
    </row>
    <row r="2475" spans="1:4" ht="14.65" thickBot="1" x14ac:dyDescent="0.5">
      <c r="A2475" s="17">
        <v>44479.998611111114</v>
      </c>
      <c r="B2475" s="19">
        <v>47295.012000000002</v>
      </c>
      <c r="C2475" t="s">
        <v>155</v>
      </c>
      <c r="D2475" t="str">
        <f>T_Stocks[[#This Row],[Ticker]] &amp; "-" &amp; DATE(YEAR(T_Stocks[[#This Row],[Fecha]]),MONTH(T_Stocks[[#This Row],[Fecha]]),DAY(T_Stocks[[#This Row],[Fecha]]))</f>
        <v>BTCEUR-44479</v>
      </c>
    </row>
    <row r="2476" spans="1:4" ht="14.65" thickBot="1" x14ac:dyDescent="0.5">
      <c r="A2476" s="17">
        <v>44480.998611111114</v>
      </c>
      <c r="B2476" s="19">
        <v>49758.606310000003</v>
      </c>
      <c r="C2476" t="s">
        <v>155</v>
      </c>
      <c r="D2476" t="str">
        <f>T_Stocks[[#This Row],[Ticker]] &amp; "-" &amp; DATE(YEAR(T_Stocks[[#This Row],[Fecha]]),MONTH(T_Stocks[[#This Row],[Fecha]]),DAY(T_Stocks[[#This Row],[Fecha]]))</f>
        <v>BTCEUR-44480</v>
      </c>
    </row>
    <row r="2477" spans="1:4" ht="14.65" thickBot="1" x14ac:dyDescent="0.5">
      <c r="A2477" s="17">
        <v>44481.998611111114</v>
      </c>
      <c r="B2477" s="19">
        <v>48559.300139999999</v>
      </c>
      <c r="C2477" t="s">
        <v>155</v>
      </c>
      <c r="D2477" t="str">
        <f>T_Stocks[[#This Row],[Ticker]] &amp; "-" &amp; DATE(YEAR(T_Stocks[[#This Row],[Fecha]]),MONTH(T_Stocks[[#This Row],[Fecha]]),DAY(T_Stocks[[#This Row],[Fecha]]))</f>
        <v>BTCEUR-44481</v>
      </c>
    </row>
    <row r="2478" spans="1:4" ht="14.65" thickBot="1" x14ac:dyDescent="0.5">
      <c r="A2478" s="17">
        <v>44482.998611111114</v>
      </c>
      <c r="B2478" s="19">
        <v>49470.565349999997</v>
      </c>
      <c r="C2478" t="s">
        <v>155</v>
      </c>
      <c r="D2478" t="str">
        <f>T_Stocks[[#This Row],[Ticker]] &amp; "-" &amp; DATE(YEAR(T_Stocks[[#This Row],[Fecha]]),MONTH(T_Stocks[[#This Row],[Fecha]]),DAY(T_Stocks[[#This Row],[Fecha]]))</f>
        <v>BTCEUR-44482</v>
      </c>
    </row>
    <row r="2479" spans="1:4" ht="14.65" thickBot="1" x14ac:dyDescent="0.5">
      <c r="A2479" s="17">
        <v>44483.998611111114</v>
      </c>
      <c r="B2479" s="19">
        <v>49477.095909999996</v>
      </c>
      <c r="C2479" t="s">
        <v>155</v>
      </c>
      <c r="D2479" t="str">
        <f>T_Stocks[[#This Row],[Ticker]] &amp; "-" &amp; DATE(YEAR(T_Stocks[[#This Row],[Fecha]]),MONTH(T_Stocks[[#This Row],[Fecha]]),DAY(T_Stocks[[#This Row],[Fecha]]))</f>
        <v>BTCEUR-44483</v>
      </c>
    </row>
    <row r="2480" spans="1:4" ht="14.65" thickBot="1" x14ac:dyDescent="0.5">
      <c r="A2480" s="17">
        <v>44484.998611111114</v>
      </c>
      <c r="B2480" s="19">
        <v>53161.107929999998</v>
      </c>
      <c r="C2480" t="s">
        <v>155</v>
      </c>
      <c r="D2480" t="str">
        <f>T_Stocks[[#This Row],[Ticker]] &amp; "-" &amp; DATE(YEAR(T_Stocks[[#This Row],[Fecha]]),MONTH(T_Stocks[[#This Row],[Fecha]]),DAY(T_Stocks[[#This Row],[Fecha]]))</f>
        <v>BTCEUR-44484</v>
      </c>
    </row>
    <row r="2481" spans="1:4" ht="14.65" thickBot="1" x14ac:dyDescent="0.5">
      <c r="A2481" s="17">
        <v>44485.998611111114</v>
      </c>
      <c r="B2481" s="19">
        <v>52471.411310000003</v>
      </c>
      <c r="C2481" t="s">
        <v>155</v>
      </c>
      <c r="D2481" t="str">
        <f>T_Stocks[[#This Row],[Ticker]] &amp; "-" &amp; DATE(YEAR(T_Stocks[[#This Row],[Fecha]]),MONTH(T_Stocks[[#This Row],[Fecha]]),DAY(T_Stocks[[#This Row],[Fecha]]))</f>
        <v>BTCEUR-44485</v>
      </c>
    </row>
    <row r="2482" spans="1:4" ht="14.65" thickBot="1" x14ac:dyDescent="0.5">
      <c r="A2482" s="17">
        <v>44486.998611111114</v>
      </c>
      <c r="B2482" s="19">
        <v>53050.176160000003</v>
      </c>
      <c r="C2482" t="s">
        <v>155</v>
      </c>
      <c r="D2482" t="str">
        <f>T_Stocks[[#This Row],[Ticker]] &amp; "-" &amp; DATE(YEAR(T_Stocks[[#This Row],[Fecha]]),MONTH(T_Stocks[[#This Row],[Fecha]]),DAY(T_Stocks[[#This Row],[Fecha]]))</f>
        <v>BTCEUR-44486</v>
      </c>
    </row>
    <row r="2483" spans="1:4" ht="14.65" thickBot="1" x14ac:dyDescent="0.5">
      <c r="A2483" s="17">
        <v>44487.998611111114</v>
      </c>
      <c r="B2483" s="19">
        <v>53417.828070000003</v>
      </c>
      <c r="C2483" t="s">
        <v>155</v>
      </c>
      <c r="D2483" t="str">
        <f>T_Stocks[[#This Row],[Ticker]] &amp; "-" &amp; DATE(YEAR(T_Stocks[[#This Row],[Fecha]]),MONTH(T_Stocks[[#This Row],[Fecha]]),DAY(T_Stocks[[#This Row],[Fecha]]))</f>
        <v>BTCEUR-44487</v>
      </c>
    </row>
    <row r="2484" spans="1:4" ht="14.65" thickBot="1" x14ac:dyDescent="0.5">
      <c r="A2484" s="17">
        <v>44488.998611111114</v>
      </c>
      <c r="B2484" s="19">
        <v>55231.202969999998</v>
      </c>
      <c r="C2484" t="s">
        <v>155</v>
      </c>
      <c r="D2484" t="str">
        <f>T_Stocks[[#This Row],[Ticker]] &amp; "-" &amp; DATE(YEAR(T_Stocks[[#This Row],[Fecha]]),MONTH(T_Stocks[[#This Row],[Fecha]]),DAY(T_Stocks[[#This Row],[Fecha]]))</f>
        <v>BTCEUR-44488</v>
      </c>
    </row>
    <row r="2485" spans="1:4" ht="14.65" thickBot="1" x14ac:dyDescent="0.5">
      <c r="A2485" s="17">
        <v>44489.998611111114</v>
      </c>
      <c r="B2485" s="19">
        <v>56620.741320000001</v>
      </c>
      <c r="C2485" t="s">
        <v>155</v>
      </c>
      <c r="D2485" t="str">
        <f>T_Stocks[[#This Row],[Ticker]] &amp; "-" &amp; DATE(YEAR(T_Stocks[[#This Row],[Fecha]]),MONTH(T_Stocks[[#This Row],[Fecha]]),DAY(T_Stocks[[#This Row],[Fecha]]))</f>
        <v>BTCEUR-44489</v>
      </c>
    </row>
    <row r="2486" spans="1:4" ht="14.65" thickBot="1" x14ac:dyDescent="0.5">
      <c r="A2486" s="17">
        <v>44490.998611111114</v>
      </c>
      <c r="B2486" s="19">
        <v>53503.706169999998</v>
      </c>
      <c r="C2486" t="s">
        <v>155</v>
      </c>
      <c r="D2486" t="str">
        <f>T_Stocks[[#This Row],[Ticker]] &amp; "-" &amp; DATE(YEAR(T_Stocks[[#This Row],[Fecha]]),MONTH(T_Stocks[[#This Row],[Fecha]]),DAY(T_Stocks[[#This Row],[Fecha]]))</f>
        <v>BTCEUR-44490</v>
      </c>
    </row>
    <row r="2487" spans="1:4" ht="14.65" thickBot="1" x14ac:dyDescent="0.5">
      <c r="A2487" s="17">
        <v>44491.998611111114</v>
      </c>
      <c r="B2487" s="19">
        <v>52105.790410000001</v>
      </c>
      <c r="C2487" t="s">
        <v>155</v>
      </c>
      <c r="D2487" t="str">
        <f>T_Stocks[[#This Row],[Ticker]] &amp; "-" &amp; DATE(YEAR(T_Stocks[[#This Row],[Fecha]]),MONTH(T_Stocks[[#This Row],[Fecha]]),DAY(T_Stocks[[#This Row],[Fecha]]))</f>
        <v>BTCEUR-44491</v>
      </c>
    </row>
    <row r="2488" spans="1:4" ht="14.65" thickBot="1" x14ac:dyDescent="0.5">
      <c r="A2488" s="17">
        <v>44492.998611111114</v>
      </c>
      <c r="B2488" s="19">
        <v>52655.496550000003</v>
      </c>
      <c r="C2488" t="s">
        <v>155</v>
      </c>
      <c r="D2488" t="str">
        <f>T_Stocks[[#This Row],[Ticker]] &amp; "-" &amp; DATE(YEAR(T_Stocks[[#This Row],[Fecha]]),MONTH(T_Stocks[[#This Row],[Fecha]]),DAY(T_Stocks[[#This Row],[Fecha]]))</f>
        <v>BTCEUR-44492</v>
      </c>
    </row>
    <row r="2489" spans="1:4" ht="14.65" thickBot="1" x14ac:dyDescent="0.5">
      <c r="A2489" s="17">
        <v>44493.998611111114</v>
      </c>
      <c r="B2489" s="19">
        <v>52282.74697</v>
      </c>
      <c r="C2489" t="s">
        <v>155</v>
      </c>
      <c r="D2489" t="str">
        <f>T_Stocks[[#This Row],[Ticker]] &amp; "-" &amp; DATE(YEAR(T_Stocks[[#This Row],[Fecha]]),MONTH(T_Stocks[[#This Row],[Fecha]]),DAY(T_Stocks[[#This Row],[Fecha]]))</f>
        <v>BTCEUR-44493</v>
      </c>
    </row>
    <row r="2490" spans="1:4" ht="14.65" thickBot="1" x14ac:dyDescent="0.5">
      <c r="A2490" s="17">
        <v>44494.998611111114</v>
      </c>
      <c r="B2490" s="19">
        <v>54315.866770000001</v>
      </c>
      <c r="C2490" t="s">
        <v>155</v>
      </c>
      <c r="D2490" t="str">
        <f>T_Stocks[[#This Row],[Ticker]] &amp; "-" &amp; DATE(YEAR(T_Stocks[[#This Row],[Fecha]]),MONTH(T_Stocks[[#This Row],[Fecha]]),DAY(T_Stocks[[#This Row],[Fecha]]))</f>
        <v>BTCEUR-44494</v>
      </c>
    </row>
    <row r="2491" spans="1:4" ht="14.65" thickBot="1" x14ac:dyDescent="0.5">
      <c r="A2491" s="17">
        <v>44495.998611111114</v>
      </c>
      <c r="B2491" s="19">
        <v>51999.635499999997</v>
      </c>
      <c r="C2491" t="s">
        <v>155</v>
      </c>
      <c r="D2491" t="str">
        <f>T_Stocks[[#This Row],[Ticker]] &amp; "-" &amp; DATE(YEAR(T_Stocks[[#This Row],[Fecha]]),MONTH(T_Stocks[[#This Row],[Fecha]]),DAY(T_Stocks[[#This Row],[Fecha]]))</f>
        <v>BTCEUR-44495</v>
      </c>
    </row>
    <row r="2492" spans="1:4" ht="14.65" thickBot="1" x14ac:dyDescent="0.5">
      <c r="A2492" s="17">
        <v>44496.998611111114</v>
      </c>
      <c r="B2492" s="19">
        <v>50384.010479999997</v>
      </c>
      <c r="C2492" t="s">
        <v>155</v>
      </c>
      <c r="D2492" t="str">
        <f>T_Stocks[[#This Row],[Ticker]] &amp; "-" &amp; DATE(YEAR(T_Stocks[[#This Row],[Fecha]]),MONTH(T_Stocks[[#This Row],[Fecha]]),DAY(T_Stocks[[#This Row],[Fecha]]))</f>
        <v>BTCEUR-44496</v>
      </c>
    </row>
    <row r="2493" spans="1:4" ht="14.65" thickBot="1" x14ac:dyDescent="0.5">
      <c r="A2493" s="17">
        <v>44497.998611111114</v>
      </c>
      <c r="B2493" s="19">
        <v>51864.381719999998</v>
      </c>
      <c r="C2493" t="s">
        <v>155</v>
      </c>
      <c r="D2493" t="str">
        <f>T_Stocks[[#This Row],[Ticker]] &amp; "-" &amp; DATE(YEAR(T_Stocks[[#This Row],[Fecha]]),MONTH(T_Stocks[[#This Row],[Fecha]]),DAY(T_Stocks[[#This Row],[Fecha]]))</f>
        <v>BTCEUR-44497</v>
      </c>
    </row>
    <row r="2494" spans="1:4" ht="14.65" thickBot="1" x14ac:dyDescent="0.5">
      <c r="A2494" s="17">
        <v>44498.998611111114</v>
      </c>
      <c r="B2494" s="19">
        <v>53841.078909999997</v>
      </c>
      <c r="C2494" t="s">
        <v>155</v>
      </c>
      <c r="D2494" t="str">
        <f>T_Stocks[[#This Row],[Ticker]] &amp; "-" &amp; DATE(YEAR(T_Stocks[[#This Row],[Fecha]]),MONTH(T_Stocks[[#This Row],[Fecha]]),DAY(T_Stocks[[#This Row],[Fecha]]))</f>
        <v>BTCEUR-44498</v>
      </c>
    </row>
    <row r="2495" spans="1:4" ht="14.65" thickBot="1" x14ac:dyDescent="0.5">
      <c r="A2495" s="17">
        <v>44499.998611111114</v>
      </c>
      <c r="B2495" s="19">
        <v>53502.260699999999</v>
      </c>
      <c r="C2495" t="s">
        <v>155</v>
      </c>
      <c r="D2495" t="str">
        <f>T_Stocks[[#This Row],[Ticker]] &amp; "-" &amp; DATE(YEAR(T_Stocks[[#This Row],[Fecha]]),MONTH(T_Stocks[[#This Row],[Fecha]]),DAY(T_Stocks[[#This Row],[Fecha]]))</f>
        <v>BTCEUR-44499</v>
      </c>
    </row>
    <row r="2496" spans="1:4" ht="14.65" thickBot="1" x14ac:dyDescent="0.5">
      <c r="A2496" s="17">
        <v>44500.998611111114</v>
      </c>
      <c r="B2496" s="19">
        <v>53078.073089999998</v>
      </c>
      <c r="C2496" t="s">
        <v>155</v>
      </c>
      <c r="D2496" t="str">
        <f>T_Stocks[[#This Row],[Ticker]] &amp; "-" &amp; DATE(YEAR(T_Stocks[[#This Row],[Fecha]]),MONTH(T_Stocks[[#This Row],[Fecha]]),DAY(T_Stocks[[#This Row],[Fecha]]))</f>
        <v>BTCEUR-44500</v>
      </c>
    </row>
    <row r="2497" spans="1:4" ht="14.65" thickBot="1" x14ac:dyDescent="0.5">
      <c r="A2497" s="17">
        <v>44501.998611111114</v>
      </c>
      <c r="B2497" s="19">
        <v>52546.305390000001</v>
      </c>
      <c r="C2497" t="s">
        <v>155</v>
      </c>
      <c r="D2497" t="str">
        <f>T_Stocks[[#This Row],[Ticker]] &amp; "-" &amp; DATE(YEAR(T_Stocks[[#This Row],[Fecha]]),MONTH(T_Stocks[[#This Row],[Fecha]]),DAY(T_Stocks[[#This Row],[Fecha]]))</f>
        <v>BTCEUR-44501</v>
      </c>
    </row>
    <row r="2498" spans="1:4" ht="14.65" thickBot="1" x14ac:dyDescent="0.5">
      <c r="A2498" s="17">
        <v>44502.998611111114</v>
      </c>
      <c r="B2498" s="19">
        <v>54609.400560000002</v>
      </c>
      <c r="C2498" t="s">
        <v>155</v>
      </c>
      <c r="D2498" t="str">
        <f>T_Stocks[[#This Row],[Ticker]] &amp; "-" &amp; DATE(YEAR(T_Stocks[[#This Row],[Fecha]]),MONTH(T_Stocks[[#This Row],[Fecha]]),DAY(T_Stocks[[#This Row],[Fecha]]))</f>
        <v>BTCEUR-44502</v>
      </c>
    </row>
    <row r="2499" spans="1:4" ht="14.65" thickBot="1" x14ac:dyDescent="0.5">
      <c r="A2499" s="17">
        <v>44503.998611111114</v>
      </c>
      <c r="B2499" s="19">
        <v>54167.982960000001</v>
      </c>
      <c r="C2499" t="s">
        <v>155</v>
      </c>
      <c r="D2499" t="str">
        <f>T_Stocks[[#This Row],[Ticker]] &amp; "-" &amp; DATE(YEAR(T_Stocks[[#This Row],[Fecha]]),MONTH(T_Stocks[[#This Row],[Fecha]]),DAY(T_Stocks[[#This Row],[Fecha]]))</f>
        <v>BTCEUR-44503</v>
      </c>
    </row>
    <row r="2500" spans="1:4" ht="14.65" thickBot="1" x14ac:dyDescent="0.5">
      <c r="A2500" s="17">
        <v>44504.998611111114</v>
      </c>
      <c r="B2500" s="19">
        <v>53170.634660000003</v>
      </c>
      <c r="C2500" t="s">
        <v>155</v>
      </c>
      <c r="D2500" t="str">
        <f>T_Stocks[[#This Row],[Ticker]] &amp; "-" &amp; DATE(YEAR(T_Stocks[[#This Row],[Fecha]]),MONTH(T_Stocks[[#This Row],[Fecha]]),DAY(T_Stocks[[#This Row],[Fecha]]))</f>
        <v>BTCEUR-44504</v>
      </c>
    </row>
    <row r="2501" spans="1:4" ht="14.65" thickBot="1" x14ac:dyDescent="0.5">
      <c r="A2501" s="17">
        <v>44505.998611111114</v>
      </c>
      <c r="B2501" s="19">
        <v>52823.938920000001</v>
      </c>
      <c r="C2501" t="s">
        <v>155</v>
      </c>
      <c r="D2501" t="str">
        <f>T_Stocks[[#This Row],[Ticker]] &amp; "-" &amp; DATE(YEAR(T_Stocks[[#This Row],[Fecha]]),MONTH(T_Stocks[[#This Row],[Fecha]]),DAY(T_Stocks[[#This Row],[Fecha]]))</f>
        <v>BTCEUR-44505</v>
      </c>
    </row>
    <row r="2502" spans="1:4" ht="14.65" thickBot="1" x14ac:dyDescent="0.5">
      <c r="A2502" s="17">
        <v>44506.998611111114</v>
      </c>
      <c r="B2502" s="19">
        <v>53274.215620000003</v>
      </c>
      <c r="C2502" t="s">
        <v>155</v>
      </c>
      <c r="D2502" t="str">
        <f>T_Stocks[[#This Row],[Ticker]] &amp; "-" &amp; DATE(YEAR(T_Stocks[[#This Row],[Fecha]]),MONTH(T_Stocks[[#This Row],[Fecha]]),DAY(T_Stocks[[#This Row],[Fecha]]))</f>
        <v>BTCEUR-44506</v>
      </c>
    </row>
    <row r="2503" spans="1:4" ht="14.65" thickBot="1" x14ac:dyDescent="0.5">
      <c r="A2503" s="17">
        <v>44507.998611111114</v>
      </c>
      <c r="B2503" s="19">
        <v>54711.478609999998</v>
      </c>
      <c r="C2503" t="s">
        <v>155</v>
      </c>
      <c r="D2503" t="str">
        <f>T_Stocks[[#This Row],[Ticker]] &amp; "-" &amp; DATE(YEAR(T_Stocks[[#This Row],[Fecha]]),MONTH(T_Stocks[[#This Row],[Fecha]]),DAY(T_Stocks[[#This Row],[Fecha]]))</f>
        <v>BTCEUR-44507</v>
      </c>
    </row>
    <row r="2504" spans="1:4" ht="14.65" thickBot="1" x14ac:dyDescent="0.5">
      <c r="A2504" s="17">
        <v>44508.998611111114</v>
      </c>
      <c r="B2504" s="19">
        <v>58270.260560000002</v>
      </c>
      <c r="C2504" t="s">
        <v>155</v>
      </c>
      <c r="D2504" t="str">
        <f>T_Stocks[[#This Row],[Ticker]] &amp; "-" &amp; DATE(YEAR(T_Stocks[[#This Row],[Fecha]]),MONTH(T_Stocks[[#This Row],[Fecha]]),DAY(T_Stocks[[#This Row],[Fecha]]))</f>
        <v>BTCEUR-44508</v>
      </c>
    </row>
    <row r="2505" spans="1:4" ht="14.65" thickBot="1" x14ac:dyDescent="0.5">
      <c r="A2505" s="17">
        <v>44509.998611111114</v>
      </c>
      <c r="B2505" s="19">
        <v>57721.708350000001</v>
      </c>
      <c r="C2505" t="s">
        <v>155</v>
      </c>
      <c r="D2505" t="str">
        <f>T_Stocks[[#This Row],[Ticker]] &amp; "-" &amp; DATE(YEAR(T_Stocks[[#This Row],[Fecha]]),MONTH(T_Stocks[[#This Row],[Fecha]]),DAY(T_Stocks[[#This Row],[Fecha]]))</f>
        <v>BTCEUR-44509</v>
      </c>
    </row>
    <row r="2506" spans="1:4" ht="14.65" thickBot="1" x14ac:dyDescent="0.5">
      <c r="A2506" s="17">
        <v>44510.998611111114</v>
      </c>
      <c r="B2506" s="19">
        <v>56561.444340000002</v>
      </c>
      <c r="C2506" t="s">
        <v>155</v>
      </c>
      <c r="D2506" t="str">
        <f>T_Stocks[[#This Row],[Ticker]] &amp; "-" &amp; DATE(YEAR(T_Stocks[[#This Row],[Fecha]]),MONTH(T_Stocks[[#This Row],[Fecha]]),DAY(T_Stocks[[#This Row],[Fecha]]))</f>
        <v>BTCEUR-44510</v>
      </c>
    </row>
    <row r="2507" spans="1:4" ht="14.65" thickBot="1" x14ac:dyDescent="0.5">
      <c r="A2507" s="17">
        <v>44511.998611111114</v>
      </c>
      <c r="B2507" s="19">
        <v>56618.038849999997</v>
      </c>
      <c r="C2507" t="s">
        <v>155</v>
      </c>
      <c r="D2507" t="str">
        <f>T_Stocks[[#This Row],[Ticker]] &amp; "-" &amp; DATE(YEAR(T_Stocks[[#This Row],[Fecha]]),MONTH(T_Stocks[[#This Row],[Fecha]]),DAY(T_Stocks[[#This Row],[Fecha]]))</f>
        <v>BTCEUR-44511</v>
      </c>
    </row>
    <row r="2508" spans="1:4" ht="14.65" thickBot="1" x14ac:dyDescent="0.5">
      <c r="A2508" s="17">
        <v>44512.998611111114</v>
      </c>
      <c r="B2508" s="19">
        <v>56085.91029</v>
      </c>
      <c r="C2508" t="s">
        <v>155</v>
      </c>
      <c r="D2508" t="str">
        <f>T_Stocks[[#This Row],[Ticker]] &amp; "-" &amp; DATE(YEAR(T_Stocks[[#This Row],[Fecha]]),MONTH(T_Stocks[[#This Row],[Fecha]]),DAY(T_Stocks[[#This Row],[Fecha]]))</f>
        <v>BTCEUR-44512</v>
      </c>
    </row>
    <row r="2509" spans="1:4" ht="14.65" thickBot="1" x14ac:dyDescent="0.5">
      <c r="A2509" s="17">
        <v>44513.998611111114</v>
      </c>
      <c r="B2509" s="19">
        <v>56274.904499999997</v>
      </c>
      <c r="C2509" t="s">
        <v>155</v>
      </c>
      <c r="D2509" t="str">
        <f>T_Stocks[[#This Row],[Ticker]] &amp; "-" &amp; DATE(YEAR(T_Stocks[[#This Row],[Fecha]]),MONTH(T_Stocks[[#This Row],[Fecha]]),DAY(T_Stocks[[#This Row],[Fecha]]))</f>
        <v>BTCEUR-44513</v>
      </c>
    </row>
    <row r="2510" spans="1:4" ht="14.65" thickBot="1" x14ac:dyDescent="0.5">
      <c r="A2510" s="17">
        <v>44514.998611111114</v>
      </c>
      <c r="B2510" s="19">
        <v>57226.618320000001</v>
      </c>
      <c r="C2510" t="s">
        <v>155</v>
      </c>
      <c r="D2510" t="str">
        <f>T_Stocks[[#This Row],[Ticker]] &amp; "-" &amp; DATE(YEAR(T_Stocks[[#This Row],[Fecha]]),MONTH(T_Stocks[[#This Row],[Fecha]]),DAY(T_Stocks[[#This Row],[Fecha]]))</f>
        <v>BTCEUR-44514</v>
      </c>
    </row>
    <row r="2511" spans="1:4" ht="14.65" thickBot="1" x14ac:dyDescent="0.5">
      <c r="A2511" s="17">
        <v>44515.998611111114</v>
      </c>
      <c r="B2511" s="19">
        <v>55930.922570000002</v>
      </c>
      <c r="C2511" t="s">
        <v>155</v>
      </c>
      <c r="D2511" t="str">
        <f>T_Stocks[[#This Row],[Ticker]] &amp; "-" &amp; DATE(YEAR(T_Stocks[[#This Row],[Fecha]]),MONTH(T_Stocks[[#This Row],[Fecha]]),DAY(T_Stocks[[#This Row],[Fecha]]))</f>
        <v>BTCEUR-44515</v>
      </c>
    </row>
    <row r="2512" spans="1:4" ht="14.65" thickBot="1" x14ac:dyDescent="0.5">
      <c r="A2512" s="17">
        <v>44516.998611111114</v>
      </c>
      <c r="B2512" s="19">
        <v>53119.436079999999</v>
      </c>
      <c r="C2512" t="s">
        <v>155</v>
      </c>
      <c r="D2512" t="str">
        <f>T_Stocks[[#This Row],[Ticker]] &amp; "-" &amp; DATE(YEAR(T_Stocks[[#This Row],[Fecha]]),MONTH(T_Stocks[[#This Row],[Fecha]]),DAY(T_Stocks[[#This Row],[Fecha]]))</f>
        <v>BTCEUR-44516</v>
      </c>
    </row>
    <row r="2513" spans="1:4" ht="14.65" thickBot="1" x14ac:dyDescent="0.5">
      <c r="A2513" s="17">
        <v>44517.998611111114</v>
      </c>
      <c r="B2513" s="19">
        <v>53324.52951</v>
      </c>
      <c r="C2513" t="s">
        <v>155</v>
      </c>
      <c r="D2513" t="str">
        <f>T_Stocks[[#This Row],[Ticker]] &amp; "-" &amp; DATE(YEAR(T_Stocks[[#This Row],[Fecha]]),MONTH(T_Stocks[[#This Row],[Fecha]]),DAY(T_Stocks[[#This Row],[Fecha]]))</f>
        <v>BTCEUR-44517</v>
      </c>
    </row>
    <row r="2514" spans="1:4" ht="14.65" thickBot="1" x14ac:dyDescent="0.5">
      <c r="A2514" s="17">
        <v>44518.998611111114</v>
      </c>
      <c r="B2514" s="19">
        <v>50058.203939999999</v>
      </c>
      <c r="C2514" t="s">
        <v>155</v>
      </c>
      <c r="D2514" t="str">
        <f>T_Stocks[[#This Row],[Ticker]] &amp; "-" &amp; DATE(YEAR(T_Stocks[[#This Row],[Fecha]]),MONTH(T_Stocks[[#This Row],[Fecha]]),DAY(T_Stocks[[#This Row],[Fecha]]))</f>
        <v>BTCEUR-44518</v>
      </c>
    </row>
    <row r="2515" spans="1:4" ht="14.65" thickBot="1" x14ac:dyDescent="0.5">
      <c r="A2515" s="17">
        <v>44519.998611111114</v>
      </c>
      <c r="B2515" s="19">
        <v>51522.762300000002</v>
      </c>
      <c r="C2515" t="s">
        <v>155</v>
      </c>
      <c r="D2515" t="str">
        <f>T_Stocks[[#This Row],[Ticker]] &amp; "-" &amp; DATE(YEAR(T_Stocks[[#This Row],[Fecha]]),MONTH(T_Stocks[[#This Row],[Fecha]]),DAY(T_Stocks[[#This Row],[Fecha]]))</f>
        <v>BTCEUR-44519</v>
      </c>
    </row>
    <row r="2516" spans="1:4" ht="14.65" thickBot="1" x14ac:dyDescent="0.5">
      <c r="A2516" s="17">
        <v>44520.998611111114</v>
      </c>
      <c r="B2516" s="19">
        <v>52960.39673</v>
      </c>
      <c r="C2516" t="s">
        <v>155</v>
      </c>
      <c r="D2516" t="str">
        <f>T_Stocks[[#This Row],[Ticker]] &amp; "-" &amp; DATE(YEAR(T_Stocks[[#This Row],[Fecha]]),MONTH(T_Stocks[[#This Row],[Fecha]]),DAY(T_Stocks[[#This Row],[Fecha]]))</f>
        <v>BTCEUR-44520</v>
      </c>
    </row>
    <row r="2517" spans="1:4" ht="14.65" thickBot="1" x14ac:dyDescent="0.5">
      <c r="A2517" s="17">
        <v>44521.998611111114</v>
      </c>
      <c r="B2517" s="19">
        <v>52121.613579999997</v>
      </c>
      <c r="C2517" t="s">
        <v>155</v>
      </c>
      <c r="D2517" t="str">
        <f>T_Stocks[[#This Row],[Ticker]] &amp; "-" &amp; DATE(YEAR(T_Stocks[[#This Row],[Fecha]]),MONTH(T_Stocks[[#This Row],[Fecha]]),DAY(T_Stocks[[#This Row],[Fecha]]))</f>
        <v>BTCEUR-44521</v>
      </c>
    </row>
    <row r="2518" spans="1:4" ht="14.65" thickBot="1" x14ac:dyDescent="0.5">
      <c r="A2518" s="17">
        <v>44522.998611111114</v>
      </c>
      <c r="B2518" s="19">
        <v>50073.800190000002</v>
      </c>
      <c r="C2518" t="s">
        <v>155</v>
      </c>
      <c r="D2518" t="str">
        <f>T_Stocks[[#This Row],[Ticker]] &amp; "-" &amp; DATE(YEAR(T_Stocks[[#This Row],[Fecha]]),MONTH(T_Stocks[[#This Row],[Fecha]]),DAY(T_Stocks[[#This Row],[Fecha]]))</f>
        <v>BTCEUR-44522</v>
      </c>
    </row>
    <row r="2519" spans="1:4" ht="14.65" thickBot="1" x14ac:dyDescent="0.5">
      <c r="A2519" s="17">
        <v>44523.998611111114</v>
      </c>
      <c r="B2519" s="19">
        <v>51202.588069999998</v>
      </c>
      <c r="C2519" t="s">
        <v>155</v>
      </c>
      <c r="D2519" t="str">
        <f>T_Stocks[[#This Row],[Ticker]] &amp; "-" &amp; DATE(YEAR(T_Stocks[[#This Row],[Fecha]]),MONTH(T_Stocks[[#This Row],[Fecha]]),DAY(T_Stocks[[#This Row],[Fecha]]))</f>
        <v>BTCEUR-44523</v>
      </c>
    </row>
    <row r="2520" spans="1:4" ht="14.65" thickBot="1" x14ac:dyDescent="0.5">
      <c r="A2520" s="17">
        <v>44524.998611111114</v>
      </c>
      <c r="B2520" s="19">
        <v>51049.928599999999</v>
      </c>
      <c r="C2520" t="s">
        <v>155</v>
      </c>
      <c r="D2520" t="str">
        <f>T_Stocks[[#This Row],[Ticker]] &amp; "-" &amp; DATE(YEAR(T_Stocks[[#This Row],[Fecha]]),MONTH(T_Stocks[[#This Row],[Fecha]]),DAY(T_Stocks[[#This Row],[Fecha]]))</f>
        <v>BTCEUR-44524</v>
      </c>
    </row>
    <row r="2521" spans="1:4" ht="14.65" thickBot="1" x14ac:dyDescent="0.5">
      <c r="A2521" s="17">
        <v>44525.998611111114</v>
      </c>
      <c r="B2521" s="19">
        <v>52595.761930000001</v>
      </c>
      <c r="C2521" t="s">
        <v>155</v>
      </c>
      <c r="D2521" t="str">
        <f>T_Stocks[[#This Row],[Ticker]] &amp; "-" &amp; DATE(YEAR(T_Stocks[[#This Row],[Fecha]]),MONTH(T_Stocks[[#This Row],[Fecha]]),DAY(T_Stocks[[#This Row],[Fecha]]))</f>
        <v>BTCEUR-44525</v>
      </c>
    </row>
    <row r="2522" spans="1:4" ht="14.65" thickBot="1" x14ac:dyDescent="0.5">
      <c r="A2522" s="17">
        <v>44526.998611111114</v>
      </c>
      <c r="B2522" s="19">
        <v>47380.549449999999</v>
      </c>
      <c r="C2522" t="s">
        <v>155</v>
      </c>
      <c r="D2522" t="str">
        <f>T_Stocks[[#This Row],[Ticker]] &amp; "-" &amp; DATE(YEAR(T_Stocks[[#This Row],[Fecha]]),MONTH(T_Stocks[[#This Row],[Fecha]]),DAY(T_Stocks[[#This Row],[Fecha]]))</f>
        <v>BTCEUR-44526</v>
      </c>
    </row>
    <row r="2523" spans="1:4" ht="14.65" thickBot="1" x14ac:dyDescent="0.5">
      <c r="A2523" s="17">
        <v>44527.998611111114</v>
      </c>
      <c r="B2523" s="19">
        <v>48418.941980000003</v>
      </c>
      <c r="C2523" t="s">
        <v>155</v>
      </c>
      <c r="D2523" t="str">
        <f>T_Stocks[[#This Row],[Ticker]] &amp; "-" &amp; DATE(YEAR(T_Stocks[[#This Row],[Fecha]]),MONTH(T_Stocks[[#This Row],[Fecha]]),DAY(T_Stocks[[#This Row],[Fecha]]))</f>
        <v>BTCEUR-44527</v>
      </c>
    </row>
    <row r="2524" spans="1:4" ht="14.65" thickBot="1" x14ac:dyDescent="0.5">
      <c r="A2524" s="17">
        <v>44528.998611111114</v>
      </c>
      <c r="B2524" s="19">
        <v>50713.818950000001</v>
      </c>
      <c r="C2524" t="s">
        <v>155</v>
      </c>
      <c r="D2524" t="str">
        <f>T_Stocks[[#This Row],[Ticker]] &amp; "-" &amp; DATE(YEAR(T_Stocks[[#This Row],[Fecha]]),MONTH(T_Stocks[[#This Row],[Fecha]]),DAY(T_Stocks[[#This Row],[Fecha]]))</f>
        <v>BTCEUR-44528</v>
      </c>
    </row>
    <row r="2525" spans="1:4" ht="14.65" thickBot="1" x14ac:dyDescent="0.5">
      <c r="A2525" s="17">
        <v>44529.998611111114</v>
      </c>
      <c r="B2525" s="19">
        <v>51212.937239999999</v>
      </c>
      <c r="C2525" t="s">
        <v>155</v>
      </c>
      <c r="D2525" t="str">
        <f>T_Stocks[[#This Row],[Ticker]] &amp; "-" &amp; DATE(YEAR(T_Stocks[[#This Row],[Fecha]]),MONTH(T_Stocks[[#This Row],[Fecha]]),DAY(T_Stocks[[#This Row],[Fecha]]))</f>
        <v>BTCEUR-44529</v>
      </c>
    </row>
    <row r="2526" spans="1:4" ht="14.65" thickBot="1" x14ac:dyDescent="0.5">
      <c r="A2526" s="17">
        <v>44530.998611111114</v>
      </c>
      <c r="B2526" s="19">
        <v>50271.735059999999</v>
      </c>
      <c r="C2526" t="s">
        <v>155</v>
      </c>
      <c r="D2526" t="str">
        <f>T_Stocks[[#This Row],[Ticker]] &amp; "-" &amp; DATE(YEAR(T_Stocks[[#This Row],[Fecha]]),MONTH(T_Stocks[[#This Row],[Fecha]]),DAY(T_Stocks[[#This Row],[Fecha]]))</f>
        <v>BTCEUR-44530</v>
      </c>
    </row>
    <row r="2527" spans="1:4" ht="14.65" thickBot="1" x14ac:dyDescent="0.5">
      <c r="A2527" s="17">
        <v>44531.998611111114</v>
      </c>
      <c r="B2527" s="19">
        <v>50557.780129999999</v>
      </c>
      <c r="C2527" t="s">
        <v>155</v>
      </c>
      <c r="D2527" t="str">
        <f>T_Stocks[[#This Row],[Ticker]] &amp; "-" &amp; DATE(YEAR(T_Stocks[[#This Row],[Fecha]]),MONTH(T_Stocks[[#This Row],[Fecha]]),DAY(T_Stocks[[#This Row],[Fecha]]))</f>
        <v>BTCEUR-44531</v>
      </c>
    </row>
    <row r="2528" spans="1:4" ht="14.65" thickBot="1" x14ac:dyDescent="0.5">
      <c r="A2528" s="17">
        <v>44532.998611111114</v>
      </c>
      <c r="B2528" s="19">
        <v>49988.926529999997</v>
      </c>
      <c r="C2528" t="s">
        <v>155</v>
      </c>
      <c r="D2528" t="str">
        <f>T_Stocks[[#This Row],[Ticker]] &amp; "-" &amp; DATE(YEAR(T_Stocks[[#This Row],[Fecha]]),MONTH(T_Stocks[[#This Row],[Fecha]]),DAY(T_Stocks[[#This Row],[Fecha]]))</f>
        <v>BTCEUR-44532</v>
      </c>
    </row>
    <row r="2529" spans="1:4" ht="14.65" thickBot="1" x14ac:dyDescent="0.5">
      <c r="A2529" s="17">
        <v>44533.998611111114</v>
      </c>
      <c r="B2529" s="19">
        <v>47426.784930000002</v>
      </c>
      <c r="C2529" t="s">
        <v>155</v>
      </c>
      <c r="D2529" t="str">
        <f>T_Stocks[[#This Row],[Ticker]] &amp; "-" &amp; DATE(YEAR(T_Stocks[[#This Row],[Fecha]]),MONTH(T_Stocks[[#This Row],[Fecha]]),DAY(T_Stocks[[#This Row],[Fecha]]))</f>
        <v>BTCEUR-44533</v>
      </c>
    </row>
    <row r="2530" spans="1:4" ht="14.65" thickBot="1" x14ac:dyDescent="0.5">
      <c r="A2530" s="17">
        <v>44534.998611111114</v>
      </c>
      <c r="B2530" s="19">
        <v>43534.255749999997</v>
      </c>
      <c r="C2530" t="s">
        <v>155</v>
      </c>
      <c r="D2530" t="str">
        <f>T_Stocks[[#This Row],[Ticker]] &amp; "-" &amp; DATE(YEAR(T_Stocks[[#This Row],[Fecha]]),MONTH(T_Stocks[[#This Row],[Fecha]]),DAY(T_Stocks[[#This Row],[Fecha]]))</f>
        <v>BTCEUR-44534</v>
      </c>
    </row>
    <row r="2531" spans="1:4" ht="14.65" thickBot="1" x14ac:dyDescent="0.5">
      <c r="A2531" s="17">
        <v>44535.998611111114</v>
      </c>
      <c r="B2531" s="19">
        <v>43745.559329999996</v>
      </c>
      <c r="C2531" t="s">
        <v>155</v>
      </c>
      <c r="D2531" t="str">
        <f>T_Stocks[[#This Row],[Ticker]] &amp; "-" &amp; DATE(YEAR(T_Stocks[[#This Row],[Fecha]]),MONTH(T_Stocks[[#This Row],[Fecha]]),DAY(T_Stocks[[#This Row],[Fecha]]))</f>
        <v>BTCEUR-44535</v>
      </c>
    </row>
    <row r="2532" spans="1:4" ht="14.65" thickBot="1" x14ac:dyDescent="0.5">
      <c r="A2532" s="17">
        <v>44536.998611111114</v>
      </c>
      <c r="B2532" s="19">
        <v>44826.301720000003</v>
      </c>
      <c r="C2532" t="s">
        <v>155</v>
      </c>
      <c r="D2532" t="str">
        <f>T_Stocks[[#This Row],[Ticker]] &amp; "-" &amp; DATE(YEAR(T_Stocks[[#This Row],[Fecha]]),MONTH(T_Stocks[[#This Row],[Fecha]]),DAY(T_Stocks[[#This Row],[Fecha]]))</f>
        <v>BTCEUR-44536</v>
      </c>
    </row>
    <row r="2533" spans="1:4" ht="14.65" thickBot="1" x14ac:dyDescent="0.5">
      <c r="A2533" s="17">
        <v>44537.998611111114</v>
      </c>
      <c r="B2533" s="19">
        <v>44900.351179999998</v>
      </c>
      <c r="C2533" t="s">
        <v>155</v>
      </c>
      <c r="D2533" t="str">
        <f>T_Stocks[[#This Row],[Ticker]] &amp; "-" &amp; DATE(YEAR(T_Stocks[[#This Row],[Fecha]]),MONTH(T_Stocks[[#This Row],[Fecha]]),DAY(T_Stocks[[#This Row],[Fecha]]))</f>
        <v>BTCEUR-44537</v>
      </c>
    </row>
    <row r="2534" spans="1:4" ht="14.65" thickBot="1" x14ac:dyDescent="0.5">
      <c r="A2534" s="17">
        <v>44538.998611111114</v>
      </c>
      <c r="B2534" s="19">
        <v>44506.434020000001</v>
      </c>
      <c r="C2534" t="s">
        <v>155</v>
      </c>
      <c r="D2534" t="str">
        <f>T_Stocks[[#This Row],[Ticker]] &amp; "-" &amp; DATE(YEAR(T_Stocks[[#This Row],[Fecha]]),MONTH(T_Stocks[[#This Row],[Fecha]]),DAY(T_Stocks[[#This Row],[Fecha]]))</f>
        <v>BTCEUR-44538</v>
      </c>
    </row>
    <row r="2535" spans="1:4" ht="14.65" thickBot="1" x14ac:dyDescent="0.5">
      <c r="A2535" s="17">
        <v>44539.998611111114</v>
      </c>
      <c r="B2535" s="19">
        <v>42153.629589999997</v>
      </c>
      <c r="C2535" t="s">
        <v>155</v>
      </c>
      <c r="D2535" t="str">
        <f>T_Stocks[[#This Row],[Ticker]] &amp; "-" &amp; DATE(YEAR(T_Stocks[[#This Row],[Fecha]]),MONTH(T_Stocks[[#This Row],[Fecha]]),DAY(T_Stocks[[#This Row],[Fecha]]))</f>
        <v>BTCEUR-44539</v>
      </c>
    </row>
    <row r="2536" spans="1:4" ht="14.65" thickBot="1" x14ac:dyDescent="0.5">
      <c r="A2536" s="17">
        <v>44540.998611111114</v>
      </c>
      <c r="B2536" s="19">
        <v>41669.274799999999</v>
      </c>
      <c r="C2536" t="s">
        <v>155</v>
      </c>
      <c r="D2536" t="str">
        <f>T_Stocks[[#This Row],[Ticker]] &amp; "-" &amp; DATE(YEAR(T_Stocks[[#This Row],[Fecha]]),MONTH(T_Stocks[[#This Row],[Fecha]]),DAY(T_Stocks[[#This Row],[Fecha]]))</f>
        <v>BTCEUR-44540</v>
      </c>
    </row>
    <row r="2537" spans="1:4" ht="14.65" thickBot="1" x14ac:dyDescent="0.5">
      <c r="A2537" s="17">
        <v>44541.998611111114</v>
      </c>
      <c r="B2537" s="19">
        <v>43598.146569999997</v>
      </c>
      <c r="C2537" t="s">
        <v>155</v>
      </c>
      <c r="D2537" t="str">
        <f>T_Stocks[[#This Row],[Ticker]] &amp; "-" &amp; DATE(YEAR(T_Stocks[[#This Row],[Fecha]]),MONTH(T_Stocks[[#This Row],[Fecha]]),DAY(T_Stocks[[#This Row],[Fecha]]))</f>
        <v>BTCEUR-44541</v>
      </c>
    </row>
    <row r="2538" spans="1:4" ht="14.65" thickBot="1" x14ac:dyDescent="0.5">
      <c r="A2538" s="17">
        <v>44542.998611111114</v>
      </c>
      <c r="B2538" s="19">
        <v>44287.047579999999</v>
      </c>
      <c r="C2538" t="s">
        <v>155</v>
      </c>
      <c r="D2538" t="str">
        <f>T_Stocks[[#This Row],[Ticker]] &amp; "-" &amp; DATE(YEAR(T_Stocks[[#This Row],[Fecha]]),MONTH(T_Stocks[[#This Row],[Fecha]]),DAY(T_Stocks[[#This Row],[Fecha]]))</f>
        <v>BTCEUR-44542</v>
      </c>
    </row>
    <row r="2539" spans="1:4" ht="14.65" thickBot="1" x14ac:dyDescent="0.5">
      <c r="A2539" s="17">
        <v>44543.998611111114</v>
      </c>
      <c r="B2539" s="19">
        <v>41403.25288</v>
      </c>
      <c r="C2539" t="s">
        <v>155</v>
      </c>
      <c r="D2539" t="str">
        <f>T_Stocks[[#This Row],[Ticker]] &amp; "-" &amp; DATE(YEAR(T_Stocks[[#This Row],[Fecha]]),MONTH(T_Stocks[[#This Row],[Fecha]]),DAY(T_Stocks[[#This Row],[Fecha]]))</f>
        <v>BTCEUR-44543</v>
      </c>
    </row>
    <row r="2540" spans="1:4" ht="14.65" thickBot="1" x14ac:dyDescent="0.5">
      <c r="A2540" s="17">
        <v>44544.998611111114</v>
      </c>
      <c r="B2540" s="19">
        <v>42968.295359999996</v>
      </c>
      <c r="C2540" t="s">
        <v>155</v>
      </c>
      <c r="D2540" t="str">
        <f>T_Stocks[[#This Row],[Ticker]] &amp; "-" &amp; DATE(YEAR(T_Stocks[[#This Row],[Fecha]]),MONTH(T_Stocks[[#This Row],[Fecha]]),DAY(T_Stocks[[#This Row],[Fecha]]))</f>
        <v>BTCEUR-44544</v>
      </c>
    </row>
    <row r="2541" spans="1:4" ht="14.65" thickBot="1" x14ac:dyDescent="0.5">
      <c r="A2541" s="17">
        <v>44545.998611111114</v>
      </c>
      <c r="B2541" s="19">
        <v>43286.759740000001</v>
      </c>
      <c r="C2541" t="s">
        <v>155</v>
      </c>
      <c r="D2541" t="str">
        <f>T_Stocks[[#This Row],[Ticker]] &amp; "-" &amp; DATE(YEAR(T_Stocks[[#This Row],[Fecha]]),MONTH(T_Stocks[[#This Row],[Fecha]]),DAY(T_Stocks[[#This Row],[Fecha]]))</f>
        <v>BTCEUR-44545</v>
      </c>
    </row>
    <row r="2542" spans="1:4" ht="14.65" thickBot="1" x14ac:dyDescent="0.5">
      <c r="A2542" s="17">
        <v>44546.998611111114</v>
      </c>
      <c r="B2542" s="19">
        <v>42014.526270000002</v>
      </c>
      <c r="C2542" t="s">
        <v>155</v>
      </c>
      <c r="D2542" t="str">
        <f>T_Stocks[[#This Row],[Ticker]] &amp; "-" &amp; DATE(YEAR(T_Stocks[[#This Row],[Fecha]]),MONTH(T_Stocks[[#This Row],[Fecha]]),DAY(T_Stocks[[#This Row],[Fecha]]))</f>
        <v>BTCEUR-44546</v>
      </c>
    </row>
    <row r="2543" spans="1:4" ht="14.65" thickBot="1" x14ac:dyDescent="0.5">
      <c r="A2543" s="17">
        <v>44547.998611111114</v>
      </c>
      <c r="B2543" s="19">
        <v>41086.807800000002</v>
      </c>
      <c r="C2543" t="s">
        <v>155</v>
      </c>
      <c r="D2543" t="str">
        <f>T_Stocks[[#This Row],[Ticker]] &amp; "-" &amp; DATE(YEAR(T_Stocks[[#This Row],[Fecha]]),MONTH(T_Stocks[[#This Row],[Fecha]]),DAY(T_Stocks[[#This Row],[Fecha]]))</f>
        <v>BTCEUR-44547</v>
      </c>
    </row>
    <row r="2544" spans="1:4" ht="14.65" thickBot="1" x14ac:dyDescent="0.5">
      <c r="A2544" s="17">
        <v>44548.998611111114</v>
      </c>
      <c r="B2544" s="19">
        <v>41694.070460000003</v>
      </c>
      <c r="C2544" t="s">
        <v>155</v>
      </c>
      <c r="D2544" t="str">
        <f>T_Stocks[[#This Row],[Ticker]] &amp; "-" &amp; DATE(YEAR(T_Stocks[[#This Row],[Fecha]]),MONTH(T_Stocks[[#This Row],[Fecha]]),DAY(T_Stocks[[#This Row],[Fecha]]))</f>
        <v>BTCEUR-44548</v>
      </c>
    </row>
    <row r="2545" spans="1:4" ht="14.65" thickBot="1" x14ac:dyDescent="0.5">
      <c r="A2545" s="17">
        <v>44549.998611111114</v>
      </c>
      <c r="B2545" s="19">
        <v>41532.471890000001</v>
      </c>
      <c r="C2545" t="s">
        <v>155</v>
      </c>
      <c r="D2545" t="str">
        <f>T_Stocks[[#This Row],[Ticker]] &amp; "-" &amp; DATE(YEAR(T_Stocks[[#This Row],[Fecha]]),MONTH(T_Stocks[[#This Row],[Fecha]]),DAY(T_Stocks[[#This Row],[Fecha]]))</f>
        <v>BTCEUR-44549</v>
      </c>
    </row>
    <row r="2546" spans="1:4" ht="14.65" thickBot="1" x14ac:dyDescent="0.5">
      <c r="A2546" s="17">
        <v>44550.998611111114</v>
      </c>
      <c r="B2546" s="19">
        <v>41588.001510000002</v>
      </c>
      <c r="C2546" t="s">
        <v>155</v>
      </c>
      <c r="D2546" t="str">
        <f>T_Stocks[[#This Row],[Ticker]] &amp; "-" &amp; DATE(YEAR(T_Stocks[[#This Row],[Fecha]]),MONTH(T_Stocks[[#This Row],[Fecha]]),DAY(T_Stocks[[#This Row],[Fecha]]))</f>
        <v>BTCEUR-44550</v>
      </c>
    </row>
    <row r="2547" spans="1:4" ht="14.65" thickBot="1" x14ac:dyDescent="0.5">
      <c r="A2547" s="17">
        <v>44551.998611111114</v>
      </c>
      <c r="B2547" s="19">
        <v>43324.971440000001</v>
      </c>
      <c r="C2547" t="s">
        <v>155</v>
      </c>
      <c r="D2547" t="str">
        <f>T_Stocks[[#This Row],[Ticker]] &amp; "-" &amp; DATE(YEAR(T_Stocks[[#This Row],[Fecha]]),MONTH(T_Stocks[[#This Row],[Fecha]]),DAY(T_Stocks[[#This Row],[Fecha]]))</f>
        <v>BTCEUR-44551</v>
      </c>
    </row>
    <row r="2548" spans="1:4" ht="14.65" thickBot="1" x14ac:dyDescent="0.5">
      <c r="A2548" s="17">
        <v>44552.998611111114</v>
      </c>
      <c r="B2548" s="19">
        <v>42902.680180000003</v>
      </c>
      <c r="C2548" t="s">
        <v>155</v>
      </c>
      <c r="D2548" t="str">
        <f>T_Stocks[[#This Row],[Ticker]] &amp; "-" &amp; DATE(YEAR(T_Stocks[[#This Row],[Fecha]]),MONTH(T_Stocks[[#This Row],[Fecha]]),DAY(T_Stocks[[#This Row],[Fecha]]))</f>
        <v>BTCEUR-44552</v>
      </c>
    </row>
    <row r="2549" spans="1:4" ht="14.65" thickBot="1" x14ac:dyDescent="0.5">
      <c r="A2549" s="17">
        <v>44553.998611111114</v>
      </c>
      <c r="B2549" s="19">
        <v>44845.569810000001</v>
      </c>
      <c r="C2549" t="s">
        <v>155</v>
      </c>
      <c r="D2549" t="str">
        <f>T_Stocks[[#This Row],[Ticker]] &amp; "-" &amp; DATE(YEAR(T_Stocks[[#This Row],[Fecha]]),MONTH(T_Stocks[[#This Row],[Fecha]]),DAY(T_Stocks[[#This Row],[Fecha]]))</f>
        <v>BTCEUR-44553</v>
      </c>
    </row>
    <row r="2550" spans="1:4" ht="14.65" thickBot="1" x14ac:dyDescent="0.5">
      <c r="A2550" s="17">
        <v>44554.998611111114</v>
      </c>
      <c r="B2550" s="19">
        <v>44792.961009999999</v>
      </c>
      <c r="C2550" t="s">
        <v>155</v>
      </c>
      <c r="D2550" t="str">
        <f>T_Stocks[[#This Row],[Ticker]] &amp; "-" &amp; DATE(YEAR(T_Stocks[[#This Row],[Fecha]]),MONTH(T_Stocks[[#This Row],[Fecha]]),DAY(T_Stocks[[#This Row],[Fecha]]))</f>
        <v>BTCEUR-44554</v>
      </c>
    </row>
    <row r="2551" spans="1:4" ht="14.65" thickBot="1" x14ac:dyDescent="0.5">
      <c r="A2551" s="17">
        <v>44555.998611111114</v>
      </c>
      <c r="B2551" s="19">
        <v>44474.455699999999</v>
      </c>
      <c r="C2551" t="s">
        <v>155</v>
      </c>
      <c r="D2551" t="str">
        <f>T_Stocks[[#This Row],[Ticker]] &amp; "-" &amp; DATE(YEAR(T_Stocks[[#This Row],[Fecha]]),MONTH(T_Stocks[[#This Row],[Fecha]]),DAY(T_Stocks[[#This Row],[Fecha]]))</f>
        <v>BTCEUR-44555</v>
      </c>
    </row>
    <row r="2552" spans="1:4" ht="14.65" thickBot="1" x14ac:dyDescent="0.5">
      <c r="A2552" s="17">
        <v>44556.998611111114</v>
      </c>
      <c r="B2552" s="19">
        <v>44850.5026</v>
      </c>
      <c r="C2552" t="s">
        <v>155</v>
      </c>
      <c r="D2552" t="str">
        <f>T_Stocks[[#This Row],[Ticker]] &amp; "-" &amp; DATE(YEAR(T_Stocks[[#This Row],[Fecha]]),MONTH(T_Stocks[[#This Row],[Fecha]]),DAY(T_Stocks[[#This Row],[Fecha]]))</f>
        <v>BTCEUR-44556</v>
      </c>
    </row>
    <row r="2553" spans="1:4" ht="14.65" thickBot="1" x14ac:dyDescent="0.5">
      <c r="A2553" s="17">
        <v>44557.998611111114</v>
      </c>
      <c r="B2553" s="19">
        <v>44732.131099999999</v>
      </c>
      <c r="C2553" t="s">
        <v>155</v>
      </c>
      <c r="D2553" t="str">
        <f>T_Stocks[[#This Row],[Ticker]] &amp; "-" &amp; DATE(YEAR(T_Stocks[[#This Row],[Fecha]]),MONTH(T_Stocks[[#This Row],[Fecha]]),DAY(T_Stocks[[#This Row],[Fecha]]))</f>
        <v>BTCEUR-44557</v>
      </c>
    </row>
    <row r="2554" spans="1:4" ht="14.65" thickBot="1" x14ac:dyDescent="0.5">
      <c r="A2554" s="17">
        <v>44558.998611111114</v>
      </c>
      <c r="B2554" s="19">
        <v>42014.261160000002</v>
      </c>
      <c r="C2554" t="s">
        <v>155</v>
      </c>
      <c r="D2554" t="str">
        <f>T_Stocks[[#This Row],[Ticker]] &amp; "-" &amp; DATE(YEAR(T_Stocks[[#This Row],[Fecha]]),MONTH(T_Stocks[[#This Row],[Fecha]]),DAY(T_Stocks[[#This Row],[Fecha]]))</f>
        <v>BTCEUR-44558</v>
      </c>
    </row>
    <row r="2555" spans="1:4" ht="14.65" thickBot="1" x14ac:dyDescent="0.5">
      <c r="A2555" s="17">
        <v>44559.998611111114</v>
      </c>
      <c r="B2555" s="19">
        <v>40878.347970000003</v>
      </c>
      <c r="C2555" t="s">
        <v>155</v>
      </c>
      <c r="D2555" t="str">
        <f>T_Stocks[[#This Row],[Ticker]] &amp; "-" &amp; DATE(YEAR(T_Stocks[[#This Row],[Fecha]]),MONTH(T_Stocks[[#This Row],[Fecha]]),DAY(T_Stocks[[#This Row],[Fecha]]))</f>
        <v>BTCEUR-44559</v>
      </c>
    </row>
    <row r="2556" spans="1:4" ht="14.65" thickBot="1" x14ac:dyDescent="0.5">
      <c r="A2556" s="17">
        <v>44560.998611111114</v>
      </c>
      <c r="B2556" s="19">
        <v>41615.039449999997</v>
      </c>
      <c r="C2556" t="s">
        <v>155</v>
      </c>
      <c r="D2556" t="str">
        <f>T_Stocks[[#This Row],[Ticker]] &amp; "-" &amp; DATE(YEAR(T_Stocks[[#This Row],[Fecha]]),MONTH(T_Stocks[[#This Row],[Fecha]]),DAY(T_Stocks[[#This Row],[Fecha]]))</f>
        <v>BTCEUR-44560</v>
      </c>
    </row>
    <row r="2557" spans="1:4" ht="14.65" thickBot="1" x14ac:dyDescent="0.5">
      <c r="A2557" s="17">
        <v>44561.998611111114</v>
      </c>
      <c r="B2557" s="19">
        <v>40617.321029999999</v>
      </c>
      <c r="C2557" t="s">
        <v>155</v>
      </c>
      <c r="D2557" t="str">
        <f>T_Stocks[[#This Row],[Ticker]] &amp; "-" &amp; DATE(YEAR(T_Stocks[[#This Row],[Fecha]]),MONTH(T_Stocks[[#This Row],[Fecha]]),DAY(T_Stocks[[#This Row],[Fecha]]))</f>
        <v>BTCEUR-44561</v>
      </c>
    </row>
    <row r="2558" spans="1:4" ht="14.65" thickBot="1" x14ac:dyDescent="0.5">
      <c r="A2558" s="17">
        <v>44562.998611111114</v>
      </c>
      <c r="B2558" s="19">
        <v>41968.357069999998</v>
      </c>
      <c r="C2558" t="s">
        <v>155</v>
      </c>
      <c r="D2558" t="str">
        <f>T_Stocks[[#This Row],[Ticker]] &amp; "-" &amp; DATE(YEAR(T_Stocks[[#This Row],[Fecha]]),MONTH(T_Stocks[[#This Row],[Fecha]]),DAY(T_Stocks[[#This Row],[Fecha]]))</f>
        <v>BTCEUR-44562</v>
      </c>
    </row>
    <row r="2559" spans="1:4" ht="14.65" thickBot="1" x14ac:dyDescent="0.5">
      <c r="A2559" s="17">
        <v>44563.998611111114</v>
      </c>
      <c r="B2559" s="19">
        <v>41597.969819999998</v>
      </c>
      <c r="C2559" t="s">
        <v>155</v>
      </c>
      <c r="D2559" t="str">
        <f>T_Stocks[[#This Row],[Ticker]] &amp; "-" &amp; DATE(YEAR(T_Stocks[[#This Row],[Fecha]]),MONTH(T_Stocks[[#This Row],[Fecha]]),DAY(T_Stocks[[#This Row],[Fecha]]))</f>
        <v>BTCEUR-44563</v>
      </c>
    </row>
    <row r="2560" spans="1:4" ht="14.65" thickBot="1" x14ac:dyDescent="0.5">
      <c r="A2560" s="17">
        <v>44564.998611111114</v>
      </c>
      <c r="B2560" s="19">
        <v>41079.24712</v>
      </c>
      <c r="C2560" t="s">
        <v>155</v>
      </c>
      <c r="D2560" t="str">
        <f>T_Stocks[[#This Row],[Ticker]] &amp; "-" &amp; DATE(YEAR(T_Stocks[[#This Row],[Fecha]]),MONTH(T_Stocks[[#This Row],[Fecha]]),DAY(T_Stocks[[#This Row],[Fecha]]))</f>
        <v>BTCEUR-44564</v>
      </c>
    </row>
    <row r="2561" spans="1:4" ht="14.65" thickBot="1" x14ac:dyDescent="0.5">
      <c r="A2561" s="17">
        <v>44565.998611111114</v>
      </c>
      <c r="B2561" s="19">
        <v>40628.59158</v>
      </c>
      <c r="C2561" t="s">
        <v>155</v>
      </c>
      <c r="D2561" t="str">
        <f>T_Stocks[[#This Row],[Ticker]] &amp; "-" &amp; DATE(YEAR(T_Stocks[[#This Row],[Fecha]]),MONTH(T_Stocks[[#This Row],[Fecha]]),DAY(T_Stocks[[#This Row],[Fecha]]))</f>
        <v>BTCEUR-44565</v>
      </c>
    </row>
    <row r="2562" spans="1:4" ht="14.65" thickBot="1" x14ac:dyDescent="0.5">
      <c r="A2562" s="17">
        <v>44566.998611111114</v>
      </c>
      <c r="B2562" s="19">
        <v>38399.965980000001</v>
      </c>
      <c r="C2562" t="s">
        <v>155</v>
      </c>
      <c r="D2562" t="str">
        <f>T_Stocks[[#This Row],[Ticker]] &amp; "-" &amp; DATE(YEAR(T_Stocks[[#This Row],[Fecha]]),MONTH(T_Stocks[[#This Row],[Fecha]]),DAY(T_Stocks[[#This Row],[Fecha]]))</f>
        <v>BTCEUR-44566</v>
      </c>
    </row>
    <row r="2563" spans="1:4" ht="14.65" thickBot="1" x14ac:dyDescent="0.5">
      <c r="A2563" s="17">
        <v>44567.998611111114</v>
      </c>
      <c r="B2563" s="19">
        <v>38159.71501</v>
      </c>
      <c r="C2563" t="s">
        <v>155</v>
      </c>
      <c r="D2563" t="str">
        <f>T_Stocks[[#This Row],[Ticker]] &amp; "-" &amp; DATE(YEAR(T_Stocks[[#This Row],[Fecha]]),MONTH(T_Stocks[[#This Row],[Fecha]]),DAY(T_Stocks[[#This Row],[Fecha]]))</f>
        <v>BTCEUR-44567</v>
      </c>
    </row>
    <row r="2564" spans="1:4" ht="14.65" thickBot="1" x14ac:dyDescent="0.5">
      <c r="A2564" s="17">
        <v>44568.998611111114</v>
      </c>
      <c r="B2564" s="19">
        <v>36551.477599999998</v>
      </c>
      <c r="C2564" t="s">
        <v>155</v>
      </c>
      <c r="D2564" t="str">
        <f>T_Stocks[[#This Row],[Ticker]] &amp; "-" &amp; DATE(YEAR(T_Stocks[[#This Row],[Fecha]]),MONTH(T_Stocks[[#This Row],[Fecha]]),DAY(T_Stocks[[#This Row],[Fecha]]))</f>
        <v>BTCEUR-44568</v>
      </c>
    </row>
    <row r="2565" spans="1:4" ht="14.65" thickBot="1" x14ac:dyDescent="0.5">
      <c r="A2565" s="17">
        <v>44569.998611111114</v>
      </c>
      <c r="B2565" s="19">
        <v>36677.132799999999</v>
      </c>
      <c r="C2565" t="s">
        <v>155</v>
      </c>
      <c r="D2565" t="str">
        <f>T_Stocks[[#This Row],[Ticker]] &amp; "-" &amp; DATE(YEAR(T_Stocks[[#This Row],[Fecha]]),MONTH(T_Stocks[[#This Row],[Fecha]]),DAY(T_Stocks[[#This Row],[Fecha]]))</f>
        <v>BTCEUR-44569</v>
      </c>
    </row>
    <row r="2566" spans="1:4" ht="14.65" thickBot="1" x14ac:dyDescent="0.5">
      <c r="A2566" s="17">
        <v>44570.998611111114</v>
      </c>
      <c r="B2566" s="19">
        <v>36865.658439999999</v>
      </c>
      <c r="C2566" t="s">
        <v>155</v>
      </c>
      <c r="D2566" t="str">
        <f>T_Stocks[[#This Row],[Ticker]] &amp; "-" &amp; DATE(YEAR(T_Stocks[[#This Row],[Fecha]]),MONTH(T_Stocks[[#This Row],[Fecha]]),DAY(T_Stocks[[#This Row],[Fecha]]))</f>
        <v>BTCEUR-44570</v>
      </c>
    </row>
    <row r="2567" spans="1:4" ht="14.65" thickBot="1" x14ac:dyDescent="0.5">
      <c r="A2567" s="17">
        <v>44571.998611111114</v>
      </c>
      <c r="B2567" s="19">
        <v>36916.203200000004</v>
      </c>
      <c r="C2567" t="s">
        <v>155</v>
      </c>
      <c r="D2567" t="str">
        <f>T_Stocks[[#This Row],[Ticker]] &amp; "-" &amp; DATE(YEAR(T_Stocks[[#This Row],[Fecha]]),MONTH(T_Stocks[[#This Row],[Fecha]]),DAY(T_Stocks[[#This Row],[Fecha]]))</f>
        <v>BTCEUR-44571</v>
      </c>
    </row>
    <row r="2568" spans="1:4" ht="14.65" thickBot="1" x14ac:dyDescent="0.5">
      <c r="A2568" s="17">
        <v>44572.998611111114</v>
      </c>
      <c r="B2568" s="19">
        <v>37593.756009999997</v>
      </c>
      <c r="C2568" t="s">
        <v>155</v>
      </c>
      <c r="D2568" t="str">
        <f>T_Stocks[[#This Row],[Ticker]] &amp; "-" &amp; DATE(YEAR(T_Stocks[[#This Row],[Fecha]]),MONTH(T_Stocks[[#This Row],[Fecha]]),DAY(T_Stocks[[#This Row],[Fecha]]))</f>
        <v>BTCEUR-44572</v>
      </c>
    </row>
    <row r="2569" spans="1:4" ht="14.65" thickBot="1" x14ac:dyDescent="0.5">
      <c r="A2569" s="17">
        <v>44573.998611111114</v>
      </c>
      <c r="B2569" s="19">
        <v>38369.954700000002</v>
      </c>
      <c r="C2569" t="s">
        <v>155</v>
      </c>
      <c r="D2569" t="str">
        <f>T_Stocks[[#This Row],[Ticker]] &amp; "-" &amp; DATE(YEAR(T_Stocks[[#This Row],[Fecha]]),MONTH(T_Stocks[[#This Row],[Fecha]]),DAY(T_Stocks[[#This Row],[Fecha]]))</f>
        <v>BTCEUR-44573</v>
      </c>
    </row>
    <row r="2570" spans="1:4" ht="14.65" thickBot="1" x14ac:dyDescent="0.5">
      <c r="A2570" s="17">
        <v>44574.998611111114</v>
      </c>
      <c r="B2570" s="19">
        <v>37127.510920000001</v>
      </c>
      <c r="C2570" t="s">
        <v>155</v>
      </c>
      <c r="D2570" t="str">
        <f>T_Stocks[[#This Row],[Ticker]] &amp; "-" &amp; DATE(YEAR(T_Stocks[[#This Row],[Fecha]]),MONTH(T_Stocks[[#This Row],[Fecha]]),DAY(T_Stocks[[#This Row],[Fecha]]))</f>
        <v>BTCEUR-44574</v>
      </c>
    </row>
    <row r="2571" spans="1:4" ht="14.65" thickBot="1" x14ac:dyDescent="0.5">
      <c r="A2571" s="17">
        <v>44575.998611111114</v>
      </c>
      <c r="B2571" s="19">
        <v>37737.718459999996</v>
      </c>
      <c r="C2571" t="s">
        <v>155</v>
      </c>
      <c r="D2571" t="str">
        <f>T_Stocks[[#This Row],[Ticker]] &amp; "-" &amp; DATE(YEAR(T_Stocks[[#This Row],[Fecha]]),MONTH(T_Stocks[[#This Row],[Fecha]]),DAY(T_Stocks[[#This Row],[Fecha]]))</f>
        <v>BTCEUR-44575</v>
      </c>
    </row>
    <row r="2572" spans="1:4" ht="14.65" thickBot="1" x14ac:dyDescent="0.5">
      <c r="A2572" s="17">
        <v>44576.998611111114</v>
      </c>
      <c r="B2572" s="19">
        <v>37746.784339999998</v>
      </c>
      <c r="C2572" t="s">
        <v>155</v>
      </c>
      <c r="D2572" t="str">
        <f>T_Stocks[[#This Row],[Ticker]] &amp; "-" &amp; DATE(YEAR(T_Stocks[[#This Row],[Fecha]]),MONTH(T_Stocks[[#This Row],[Fecha]]),DAY(T_Stocks[[#This Row],[Fecha]]))</f>
        <v>BTCEUR-44576</v>
      </c>
    </row>
    <row r="2573" spans="1:4" ht="14.65" thickBot="1" x14ac:dyDescent="0.5">
      <c r="A2573" s="17">
        <v>44577.998611111114</v>
      </c>
      <c r="B2573" s="19">
        <v>37759.34792</v>
      </c>
      <c r="C2573" t="s">
        <v>155</v>
      </c>
      <c r="D2573" t="str">
        <f>T_Stocks[[#This Row],[Ticker]] &amp; "-" &amp; DATE(YEAR(T_Stocks[[#This Row],[Fecha]]),MONTH(T_Stocks[[#This Row],[Fecha]]),DAY(T_Stocks[[#This Row],[Fecha]]))</f>
        <v>BTCEUR-44577</v>
      </c>
    </row>
    <row r="2574" spans="1:4" ht="14.65" thickBot="1" x14ac:dyDescent="0.5">
      <c r="A2574" s="17">
        <v>44578.998611111114</v>
      </c>
      <c r="B2574" s="19">
        <v>37016.082719999999</v>
      </c>
      <c r="C2574" t="s">
        <v>155</v>
      </c>
      <c r="D2574" t="str">
        <f>T_Stocks[[#This Row],[Ticker]] &amp; "-" &amp; DATE(YEAR(T_Stocks[[#This Row],[Fecha]]),MONTH(T_Stocks[[#This Row],[Fecha]]),DAY(T_Stocks[[#This Row],[Fecha]]))</f>
        <v>BTCEUR-44578</v>
      </c>
    </row>
    <row r="2575" spans="1:4" ht="14.65" thickBot="1" x14ac:dyDescent="0.5">
      <c r="A2575" s="17">
        <v>44579.998611111114</v>
      </c>
      <c r="B2575" s="19">
        <v>37395.497329999998</v>
      </c>
      <c r="C2575" t="s">
        <v>155</v>
      </c>
      <c r="D2575" t="str">
        <f>T_Stocks[[#This Row],[Ticker]] &amp; "-" &amp; DATE(YEAR(T_Stocks[[#This Row],[Fecha]]),MONTH(T_Stocks[[#This Row],[Fecha]]),DAY(T_Stocks[[#This Row],[Fecha]]))</f>
        <v>BTCEUR-44579</v>
      </c>
    </row>
    <row r="2576" spans="1:4" ht="14.65" thickBot="1" x14ac:dyDescent="0.5">
      <c r="A2576" s="17">
        <v>44580.998611111114</v>
      </c>
      <c r="B2576" s="19">
        <v>36753.226320000002</v>
      </c>
      <c r="C2576" t="s">
        <v>155</v>
      </c>
      <c r="D2576" t="str">
        <f>T_Stocks[[#This Row],[Ticker]] &amp; "-" &amp; DATE(YEAR(T_Stocks[[#This Row],[Fecha]]),MONTH(T_Stocks[[#This Row],[Fecha]]),DAY(T_Stocks[[#This Row],[Fecha]]))</f>
        <v>BTCEUR-44580</v>
      </c>
    </row>
    <row r="2577" spans="1:4" ht="14.65" thickBot="1" x14ac:dyDescent="0.5">
      <c r="A2577" s="17">
        <v>44581.998611111114</v>
      </c>
      <c r="B2577" s="19">
        <v>35996.958749999998</v>
      </c>
      <c r="C2577" t="s">
        <v>155</v>
      </c>
      <c r="D2577" t="str">
        <f>T_Stocks[[#This Row],[Ticker]] &amp; "-" &amp; DATE(YEAR(T_Stocks[[#This Row],[Fecha]]),MONTH(T_Stocks[[#This Row],[Fecha]]),DAY(T_Stocks[[#This Row],[Fecha]]))</f>
        <v>BTCEUR-44581</v>
      </c>
    </row>
    <row r="2578" spans="1:4" ht="14.65" thickBot="1" x14ac:dyDescent="0.5">
      <c r="A2578" s="17">
        <v>44582.998611111114</v>
      </c>
      <c r="B2578" s="19">
        <v>32166.40754</v>
      </c>
      <c r="C2578" t="s">
        <v>155</v>
      </c>
      <c r="D2578" t="str">
        <f>T_Stocks[[#This Row],[Ticker]] &amp; "-" &amp; DATE(YEAR(T_Stocks[[#This Row],[Fecha]]),MONTH(T_Stocks[[#This Row],[Fecha]]),DAY(T_Stocks[[#This Row],[Fecha]]))</f>
        <v>BTCEUR-44582</v>
      </c>
    </row>
    <row r="2579" spans="1:4" ht="14.65" thickBot="1" x14ac:dyDescent="0.5">
      <c r="A2579" s="17">
        <v>44583.998611111114</v>
      </c>
      <c r="B2579" s="19">
        <v>30902.122889999999</v>
      </c>
      <c r="C2579" t="s">
        <v>155</v>
      </c>
      <c r="D2579" t="str">
        <f>T_Stocks[[#This Row],[Ticker]] &amp; "-" &amp; DATE(YEAR(T_Stocks[[#This Row],[Fecha]]),MONTH(T_Stocks[[#This Row],[Fecha]]),DAY(T_Stocks[[#This Row],[Fecha]]))</f>
        <v>BTCEUR-44583</v>
      </c>
    </row>
    <row r="2580" spans="1:4" ht="14.65" thickBot="1" x14ac:dyDescent="0.5">
      <c r="A2580" s="17">
        <v>44584.998611111114</v>
      </c>
      <c r="B2580" s="19">
        <v>31979.68461</v>
      </c>
      <c r="C2580" t="s">
        <v>155</v>
      </c>
      <c r="D2580" t="str">
        <f>T_Stocks[[#This Row],[Ticker]] &amp; "-" &amp; DATE(YEAR(T_Stocks[[#This Row],[Fecha]]),MONTH(T_Stocks[[#This Row],[Fecha]]),DAY(T_Stocks[[#This Row],[Fecha]]))</f>
        <v>BTCEUR-44584</v>
      </c>
    </row>
    <row r="2581" spans="1:4" ht="14.65" thickBot="1" x14ac:dyDescent="0.5">
      <c r="A2581" s="17">
        <v>44585.998611111114</v>
      </c>
      <c r="B2581" s="19">
        <v>32396.438480000001</v>
      </c>
      <c r="C2581" t="s">
        <v>155</v>
      </c>
      <c r="D2581" t="str">
        <f>T_Stocks[[#This Row],[Ticker]] &amp; "-" &amp; DATE(YEAR(T_Stocks[[#This Row],[Fecha]]),MONTH(T_Stocks[[#This Row],[Fecha]]),DAY(T_Stocks[[#This Row],[Fecha]]))</f>
        <v>BTCEUR-44585</v>
      </c>
    </row>
    <row r="2582" spans="1:4" ht="14.65" thickBot="1" x14ac:dyDescent="0.5">
      <c r="A2582" s="17">
        <v>44586.998611111114</v>
      </c>
      <c r="B2582" s="19">
        <v>32689.800309999999</v>
      </c>
      <c r="C2582" t="s">
        <v>155</v>
      </c>
      <c r="D2582" t="str">
        <f>T_Stocks[[#This Row],[Ticker]] &amp; "-" &amp; DATE(YEAR(T_Stocks[[#This Row],[Fecha]]),MONTH(T_Stocks[[#This Row],[Fecha]]),DAY(T_Stocks[[#This Row],[Fecha]]))</f>
        <v>BTCEUR-44586</v>
      </c>
    </row>
    <row r="2583" spans="1:4" ht="14.65" thickBot="1" x14ac:dyDescent="0.5">
      <c r="A2583" s="17">
        <v>44587.998611111114</v>
      </c>
      <c r="B2583" s="19">
        <v>32748.472880000001</v>
      </c>
      <c r="C2583" t="s">
        <v>155</v>
      </c>
      <c r="D2583" t="str">
        <f>T_Stocks[[#This Row],[Ticker]] &amp; "-" &amp; DATE(YEAR(T_Stocks[[#This Row],[Fecha]]),MONTH(T_Stocks[[#This Row],[Fecha]]),DAY(T_Stocks[[#This Row],[Fecha]]))</f>
        <v>BTCEUR-44587</v>
      </c>
    </row>
    <row r="2584" spans="1:4" ht="14.65" thickBot="1" x14ac:dyDescent="0.5">
      <c r="A2584" s="17">
        <v>44588.998611111114</v>
      </c>
      <c r="B2584" s="19">
        <v>33301.868090000004</v>
      </c>
      <c r="C2584" t="s">
        <v>155</v>
      </c>
      <c r="D2584" t="str">
        <f>T_Stocks[[#This Row],[Ticker]] &amp; "-" &amp; DATE(YEAR(T_Stocks[[#This Row],[Fecha]]),MONTH(T_Stocks[[#This Row],[Fecha]]),DAY(T_Stocks[[#This Row],[Fecha]]))</f>
        <v>BTCEUR-44588</v>
      </c>
    </row>
    <row r="2585" spans="1:4" ht="14.65" thickBot="1" x14ac:dyDescent="0.5">
      <c r="A2585" s="17">
        <v>44589.998611111114</v>
      </c>
      <c r="B2585" s="19">
        <v>33852.376349999999</v>
      </c>
      <c r="C2585" t="s">
        <v>155</v>
      </c>
      <c r="D2585" t="str">
        <f>T_Stocks[[#This Row],[Ticker]] &amp; "-" &amp; DATE(YEAR(T_Stocks[[#This Row],[Fecha]]),MONTH(T_Stocks[[#This Row],[Fecha]]),DAY(T_Stocks[[#This Row],[Fecha]]))</f>
        <v>BTCEUR-44589</v>
      </c>
    </row>
    <row r="2586" spans="1:4" ht="14.65" thickBot="1" x14ac:dyDescent="0.5">
      <c r="A2586" s="17">
        <v>44590.998611111114</v>
      </c>
      <c r="B2586" s="19">
        <v>34240.651769999997</v>
      </c>
      <c r="C2586" t="s">
        <v>155</v>
      </c>
      <c r="D2586" t="str">
        <f>T_Stocks[[#This Row],[Ticker]] &amp; "-" &amp; DATE(YEAR(T_Stocks[[#This Row],[Fecha]]),MONTH(T_Stocks[[#This Row],[Fecha]]),DAY(T_Stocks[[#This Row],[Fecha]]))</f>
        <v>BTCEUR-44590</v>
      </c>
    </row>
    <row r="2587" spans="1:4" ht="14.65" thickBot="1" x14ac:dyDescent="0.5">
      <c r="A2587" s="17">
        <v>44591.998611111114</v>
      </c>
      <c r="B2587" s="19">
        <v>33994.481299999999</v>
      </c>
      <c r="C2587" t="s">
        <v>155</v>
      </c>
      <c r="D2587" t="str">
        <f>T_Stocks[[#This Row],[Ticker]] &amp; "-" &amp; DATE(YEAR(T_Stocks[[#This Row],[Fecha]]),MONTH(T_Stocks[[#This Row],[Fecha]]),DAY(T_Stocks[[#This Row],[Fecha]]))</f>
        <v>BTCEUR-44591</v>
      </c>
    </row>
    <row r="2588" spans="1:4" ht="14.65" thickBot="1" x14ac:dyDescent="0.5">
      <c r="A2588" s="17">
        <v>44592.998611111114</v>
      </c>
      <c r="B2588" s="19">
        <v>34279.254289999997</v>
      </c>
      <c r="C2588" t="s">
        <v>155</v>
      </c>
      <c r="D2588" t="str">
        <f>T_Stocks[[#This Row],[Ticker]] &amp; "-" &amp; DATE(YEAR(T_Stocks[[#This Row],[Fecha]]),MONTH(T_Stocks[[#This Row],[Fecha]]),DAY(T_Stocks[[#This Row],[Fecha]]))</f>
        <v>BTCEUR-44592</v>
      </c>
    </row>
    <row r="2589" spans="1:4" ht="14.65" thickBot="1" x14ac:dyDescent="0.5">
      <c r="A2589" s="17">
        <v>44593.998611111114</v>
      </c>
      <c r="B2589" s="19">
        <v>34340.613019999997</v>
      </c>
      <c r="C2589" t="s">
        <v>155</v>
      </c>
      <c r="D2589" t="str">
        <f>T_Stocks[[#This Row],[Ticker]] &amp; "-" &amp; DATE(YEAR(T_Stocks[[#This Row],[Fecha]]),MONTH(T_Stocks[[#This Row],[Fecha]]),DAY(T_Stocks[[#This Row],[Fecha]]))</f>
        <v>BTCEUR-44593</v>
      </c>
    </row>
    <row r="2590" spans="1:4" ht="14.65" thickBot="1" x14ac:dyDescent="0.5">
      <c r="A2590" s="17">
        <v>44594.998611111114</v>
      </c>
      <c r="B2590" s="19">
        <v>32662.767400000001</v>
      </c>
      <c r="C2590" t="s">
        <v>155</v>
      </c>
      <c r="D2590" t="str">
        <f>T_Stocks[[#This Row],[Ticker]] &amp; "-" &amp; DATE(YEAR(T_Stocks[[#This Row],[Fecha]]),MONTH(T_Stocks[[#This Row],[Fecha]]),DAY(T_Stocks[[#This Row],[Fecha]]))</f>
        <v>BTCEUR-44594</v>
      </c>
    </row>
    <row r="2591" spans="1:4" ht="14.65" thickBot="1" x14ac:dyDescent="0.5">
      <c r="A2591" s="17">
        <v>44595.998611111114</v>
      </c>
      <c r="B2591" s="19">
        <v>32602.23302</v>
      </c>
      <c r="C2591" t="s">
        <v>155</v>
      </c>
      <c r="D2591" t="str">
        <f>T_Stocks[[#This Row],[Ticker]] &amp; "-" &amp; DATE(YEAR(T_Stocks[[#This Row],[Fecha]]),MONTH(T_Stocks[[#This Row],[Fecha]]),DAY(T_Stocks[[#This Row],[Fecha]]))</f>
        <v>BTCEUR-44595</v>
      </c>
    </row>
    <row r="2592" spans="1:4" ht="14.65" thickBot="1" x14ac:dyDescent="0.5">
      <c r="A2592" s="17">
        <v>44596.998611111114</v>
      </c>
      <c r="B2592" s="19">
        <v>36301.124799999998</v>
      </c>
      <c r="C2592" t="s">
        <v>155</v>
      </c>
      <c r="D2592" t="str">
        <f>T_Stocks[[#This Row],[Ticker]] &amp; "-" &amp; DATE(YEAR(T_Stocks[[#This Row],[Fecha]]),MONTH(T_Stocks[[#This Row],[Fecha]]),DAY(T_Stocks[[#This Row],[Fecha]]))</f>
        <v>BTCEUR-44596</v>
      </c>
    </row>
    <row r="2593" spans="1:4" ht="14.65" thickBot="1" x14ac:dyDescent="0.5">
      <c r="A2593" s="17">
        <v>44597.998611111114</v>
      </c>
      <c r="B2593" s="19">
        <v>36182.72279</v>
      </c>
      <c r="C2593" t="s">
        <v>155</v>
      </c>
      <c r="D2593" t="str">
        <f>T_Stocks[[#This Row],[Ticker]] &amp; "-" &amp; DATE(YEAR(T_Stocks[[#This Row],[Fecha]]),MONTH(T_Stocks[[#This Row],[Fecha]]),DAY(T_Stocks[[#This Row],[Fecha]]))</f>
        <v>BTCEUR-44597</v>
      </c>
    </row>
    <row r="2594" spans="1:4" ht="14.65" thickBot="1" x14ac:dyDescent="0.5">
      <c r="A2594" s="17">
        <v>44598.998611111114</v>
      </c>
      <c r="B2594" s="19">
        <v>37012.05111</v>
      </c>
      <c r="C2594" t="s">
        <v>155</v>
      </c>
      <c r="D2594" t="str">
        <f>T_Stocks[[#This Row],[Ticker]] &amp; "-" &amp; DATE(YEAR(T_Stocks[[#This Row],[Fecha]]),MONTH(T_Stocks[[#This Row],[Fecha]]),DAY(T_Stocks[[#This Row],[Fecha]]))</f>
        <v>BTCEUR-44598</v>
      </c>
    </row>
    <row r="2595" spans="1:4" ht="14.65" thickBot="1" x14ac:dyDescent="0.5">
      <c r="A2595" s="17">
        <v>44599.998611111114</v>
      </c>
      <c r="B2595" s="19">
        <v>38323.800860000003</v>
      </c>
      <c r="C2595" t="s">
        <v>155</v>
      </c>
      <c r="D2595" t="str">
        <f>T_Stocks[[#This Row],[Ticker]] &amp; "-" &amp; DATE(YEAR(T_Stocks[[#This Row],[Fecha]]),MONTH(T_Stocks[[#This Row],[Fecha]]),DAY(T_Stocks[[#This Row],[Fecha]]))</f>
        <v>BTCEUR-44599</v>
      </c>
    </row>
    <row r="2596" spans="1:4" ht="14.65" thickBot="1" x14ac:dyDescent="0.5">
      <c r="A2596" s="17">
        <v>44600.998611111114</v>
      </c>
      <c r="B2596" s="19">
        <v>38581.104859999999</v>
      </c>
      <c r="C2596" t="s">
        <v>155</v>
      </c>
      <c r="D2596" t="str">
        <f>T_Stocks[[#This Row],[Ticker]] &amp; "-" &amp; DATE(YEAR(T_Stocks[[#This Row],[Fecha]]),MONTH(T_Stocks[[#This Row],[Fecha]]),DAY(T_Stocks[[#This Row],[Fecha]]))</f>
        <v>BTCEUR-44600</v>
      </c>
    </row>
    <row r="2597" spans="1:4" ht="14.65" thickBot="1" x14ac:dyDescent="0.5">
      <c r="A2597" s="17">
        <v>44601.998611111114</v>
      </c>
      <c r="B2597" s="19">
        <v>38878.134810000003</v>
      </c>
      <c r="C2597" t="s">
        <v>155</v>
      </c>
      <c r="D2597" t="str">
        <f>T_Stocks[[#This Row],[Ticker]] &amp; "-" &amp; DATE(YEAR(T_Stocks[[#This Row],[Fecha]]),MONTH(T_Stocks[[#This Row],[Fecha]]),DAY(T_Stocks[[#This Row],[Fecha]]))</f>
        <v>BTCEUR-44601</v>
      </c>
    </row>
    <row r="2598" spans="1:4" ht="14.65" thickBot="1" x14ac:dyDescent="0.5">
      <c r="A2598" s="17">
        <v>44602.998611111114</v>
      </c>
      <c r="B2598" s="19">
        <v>38120.944560000004</v>
      </c>
      <c r="C2598" t="s">
        <v>155</v>
      </c>
      <c r="D2598" t="str">
        <f>T_Stocks[[#This Row],[Ticker]] &amp; "-" &amp; DATE(YEAR(T_Stocks[[#This Row],[Fecha]]),MONTH(T_Stocks[[#This Row],[Fecha]]),DAY(T_Stocks[[#This Row],[Fecha]]))</f>
        <v>BTCEUR-44602</v>
      </c>
    </row>
    <row r="2599" spans="1:4" ht="14.65" thickBot="1" x14ac:dyDescent="0.5">
      <c r="A2599" s="17">
        <v>44603.998611111114</v>
      </c>
      <c r="B2599" s="19">
        <v>37346.585529999997</v>
      </c>
      <c r="C2599" t="s">
        <v>155</v>
      </c>
      <c r="D2599" t="str">
        <f>T_Stocks[[#This Row],[Ticker]] &amp; "-" &amp; DATE(YEAR(T_Stocks[[#This Row],[Fecha]]),MONTH(T_Stocks[[#This Row],[Fecha]]),DAY(T_Stocks[[#This Row],[Fecha]]))</f>
        <v>BTCEUR-44603</v>
      </c>
    </row>
    <row r="2600" spans="1:4" ht="14.65" thickBot="1" x14ac:dyDescent="0.5">
      <c r="A2600" s="17">
        <v>44604.998611111114</v>
      </c>
      <c r="B2600" s="19">
        <v>37197.696530000001</v>
      </c>
      <c r="C2600" t="s">
        <v>155</v>
      </c>
      <c r="D2600" t="str">
        <f>T_Stocks[[#This Row],[Ticker]] &amp; "-" &amp; DATE(YEAR(T_Stocks[[#This Row],[Fecha]]),MONTH(T_Stocks[[#This Row],[Fecha]]),DAY(T_Stocks[[#This Row],[Fecha]]))</f>
        <v>BTCEUR-44604</v>
      </c>
    </row>
    <row r="2601" spans="1:4" ht="14.65" thickBot="1" x14ac:dyDescent="0.5">
      <c r="A2601" s="17">
        <v>44605.998611111114</v>
      </c>
      <c r="B2601" s="19">
        <v>37002.330929999996</v>
      </c>
      <c r="C2601" t="s">
        <v>155</v>
      </c>
      <c r="D2601" t="str">
        <f>T_Stocks[[#This Row],[Ticker]] &amp; "-" &amp; DATE(YEAR(T_Stocks[[#This Row],[Fecha]]),MONTH(T_Stocks[[#This Row],[Fecha]]),DAY(T_Stocks[[#This Row],[Fecha]]))</f>
        <v>BTCEUR-44605</v>
      </c>
    </row>
    <row r="2602" spans="1:4" ht="14.65" thickBot="1" x14ac:dyDescent="0.5">
      <c r="A2602" s="17">
        <v>44606.998611111114</v>
      </c>
      <c r="B2602" s="19">
        <v>37634.153310000002</v>
      </c>
      <c r="C2602" t="s">
        <v>155</v>
      </c>
      <c r="D2602" t="str">
        <f>T_Stocks[[#This Row],[Ticker]] &amp; "-" &amp; DATE(YEAR(T_Stocks[[#This Row],[Fecha]]),MONTH(T_Stocks[[#This Row],[Fecha]]),DAY(T_Stocks[[#This Row],[Fecha]]))</f>
        <v>BTCEUR-44606</v>
      </c>
    </row>
    <row r="2603" spans="1:4" ht="14.65" thickBot="1" x14ac:dyDescent="0.5">
      <c r="A2603" s="17">
        <v>44607.998611111114</v>
      </c>
      <c r="B2603" s="19">
        <v>39221.245260000003</v>
      </c>
      <c r="C2603" t="s">
        <v>155</v>
      </c>
      <c r="D2603" t="str">
        <f>T_Stocks[[#This Row],[Ticker]] &amp; "-" &amp; DATE(YEAR(T_Stocks[[#This Row],[Fecha]]),MONTH(T_Stocks[[#This Row],[Fecha]]),DAY(T_Stocks[[#This Row],[Fecha]]))</f>
        <v>BTCEUR-44607</v>
      </c>
    </row>
    <row r="2604" spans="1:4" ht="14.65" thickBot="1" x14ac:dyDescent="0.5">
      <c r="A2604" s="17">
        <v>44608.998611111114</v>
      </c>
      <c r="B2604" s="19">
        <v>38564.200559999997</v>
      </c>
      <c r="C2604" t="s">
        <v>155</v>
      </c>
      <c r="D2604" t="str">
        <f>T_Stocks[[#This Row],[Ticker]] &amp; "-" &amp; DATE(YEAR(T_Stocks[[#This Row],[Fecha]]),MONTH(T_Stocks[[#This Row],[Fecha]]),DAY(T_Stocks[[#This Row],[Fecha]]))</f>
        <v>BTCEUR-44608</v>
      </c>
    </row>
    <row r="2605" spans="1:4" ht="14.65" thickBot="1" x14ac:dyDescent="0.5">
      <c r="A2605" s="17">
        <v>44609.998611111114</v>
      </c>
      <c r="B2605" s="19">
        <v>35677.612760000004</v>
      </c>
      <c r="C2605" t="s">
        <v>155</v>
      </c>
      <c r="D2605" t="str">
        <f>T_Stocks[[#This Row],[Ticker]] &amp; "-" &amp; DATE(YEAR(T_Stocks[[#This Row],[Fecha]]),MONTH(T_Stocks[[#This Row],[Fecha]]),DAY(T_Stocks[[#This Row],[Fecha]]))</f>
        <v>BTCEUR-44609</v>
      </c>
    </row>
    <row r="2606" spans="1:4" ht="14.65" thickBot="1" x14ac:dyDescent="0.5">
      <c r="A2606" s="17">
        <v>44610.998611111114</v>
      </c>
      <c r="B2606" s="19">
        <v>35326.993699999999</v>
      </c>
      <c r="C2606" t="s">
        <v>155</v>
      </c>
      <c r="D2606" t="str">
        <f>T_Stocks[[#This Row],[Ticker]] &amp; "-" &amp; DATE(YEAR(T_Stocks[[#This Row],[Fecha]]),MONTH(T_Stocks[[#This Row],[Fecha]]),DAY(T_Stocks[[#This Row],[Fecha]]))</f>
        <v>BTCEUR-44610</v>
      </c>
    </row>
    <row r="2607" spans="1:4" ht="14.65" thickBot="1" x14ac:dyDescent="0.5">
      <c r="A2607" s="17">
        <v>44611.998611111114</v>
      </c>
      <c r="B2607" s="19">
        <v>35407.09087</v>
      </c>
      <c r="C2607" t="s">
        <v>155</v>
      </c>
      <c r="D2607" t="str">
        <f>T_Stocks[[#This Row],[Ticker]] &amp; "-" &amp; DATE(YEAR(T_Stocks[[#This Row],[Fecha]]),MONTH(T_Stocks[[#This Row],[Fecha]]),DAY(T_Stocks[[#This Row],[Fecha]]))</f>
        <v>BTCEUR-44611</v>
      </c>
    </row>
    <row r="2608" spans="1:4" ht="14.65" thickBot="1" x14ac:dyDescent="0.5">
      <c r="A2608" s="17">
        <v>44612.998611111114</v>
      </c>
      <c r="B2608" s="19">
        <v>33911.599869999998</v>
      </c>
      <c r="C2608" t="s">
        <v>155</v>
      </c>
      <c r="D2608" t="str">
        <f>T_Stocks[[#This Row],[Ticker]] &amp; "-" &amp; DATE(YEAR(T_Stocks[[#This Row],[Fecha]]),MONTH(T_Stocks[[#This Row],[Fecha]]),DAY(T_Stocks[[#This Row],[Fecha]]))</f>
        <v>BTCEUR-44612</v>
      </c>
    </row>
    <row r="2609" spans="1:4" ht="14.65" thickBot="1" x14ac:dyDescent="0.5">
      <c r="A2609" s="17">
        <v>44613.998611111114</v>
      </c>
      <c r="B2609" s="19">
        <v>32743.78282</v>
      </c>
      <c r="C2609" t="s">
        <v>155</v>
      </c>
      <c r="D2609" t="str">
        <f>T_Stocks[[#This Row],[Ticker]] &amp; "-" &amp; DATE(YEAR(T_Stocks[[#This Row],[Fecha]]),MONTH(T_Stocks[[#This Row],[Fecha]]),DAY(T_Stocks[[#This Row],[Fecha]]))</f>
        <v>BTCEUR-44613</v>
      </c>
    </row>
    <row r="2610" spans="1:4" ht="14.65" thickBot="1" x14ac:dyDescent="0.5">
      <c r="A2610" s="17">
        <v>44614.998611111114</v>
      </c>
      <c r="B2610" s="19">
        <v>33760.056140000001</v>
      </c>
      <c r="C2610" t="s">
        <v>155</v>
      </c>
      <c r="D2610" t="str">
        <f>T_Stocks[[#This Row],[Ticker]] &amp; "-" &amp; DATE(YEAR(T_Stocks[[#This Row],[Fecha]]),MONTH(T_Stocks[[#This Row],[Fecha]]),DAY(T_Stocks[[#This Row],[Fecha]]))</f>
        <v>BTCEUR-44614</v>
      </c>
    </row>
    <row r="2611" spans="1:4" ht="14.65" thickBot="1" x14ac:dyDescent="0.5">
      <c r="A2611" s="17">
        <v>44615.998611111114</v>
      </c>
      <c r="B2611" s="19">
        <v>32941.575949999999</v>
      </c>
      <c r="C2611" t="s">
        <v>155</v>
      </c>
      <c r="D2611" t="str">
        <f>T_Stocks[[#This Row],[Ticker]] &amp; "-" &amp; DATE(YEAR(T_Stocks[[#This Row],[Fecha]]),MONTH(T_Stocks[[#This Row],[Fecha]]),DAY(T_Stocks[[#This Row],[Fecha]]))</f>
        <v>BTCEUR-44615</v>
      </c>
    </row>
    <row r="2612" spans="1:4" ht="14.65" thickBot="1" x14ac:dyDescent="0.5">
      <c r="A2612" s="17">
        <v>44616.998611111114</v>
      </c>
      <c r="B2612" s="19">
        <v>34264.296690000003</v>
      </c>
      <c r="C2612" t="s">
        <v>155</v>
      </c>
      <c r="D2612" t="str">
        <f>T_Stocks[[#This Row],[Ticker]] &amp; "-" &amp; DATE(YEAR(T_Stocks[[#This Row],[Fecha]]),MONTH(T_Stocks[[#This Row],[Fecha]]),DAY(T_Stocks[[#This Row],[Fecha]]))</f>
        <v>BTCEUR-44616</v>
      </c>
    </row>
    <row r="2613" spans="1:4" ht="14.65" thickBot="1" x14ac:dyDescent="0.5">
      <c r="A2613" s="17">
        <v>44617.998611111114</v>
      </c>
      <c r="B2613" s="19">
        <v>34796.935210000003</v>
      </c>
      <c r="C2613" t="s">
        <v>155</v>
      </c>
      <c r="D2613" t="str">
        <f>T_Stocks[[#This Row],[Ticker]] &amp; "-" &amp; DATE(YEAR(T_Stocks[[#This Row],[Fecha]]),MONTH(T_Stocks[[#This Row],[Fecha]]),DAY(T_Stocks[[#This Row],[Fecha]]))</f>
        <v>BTCEUR-44617</v>
      </c>
    </row>
    <row r="2614" spans="1:4" ht="14.65" thickBot="1" x14ac:dyDescent="0.5">
      <c r="A2614" s="17">
        <v>44618.998611111114</v>
      </c>
      <c r="B2614" s="19">
        <v>34697.938199999997</v>
      </c>
      <c r="C2614" t="s">
        <v>155</v>
      </c>
      <c r="D2614" t="str">
        <f>T_Stocks[[#This Row],[Ticker]] &amp; "-" &amp; DATE(YEAR(T_Stocks[[#This Row],[Fecha]]),MONTH(T_Stocks[[#This Row],[Fecha]]),DAY(T_Stocks[[#This Row],[Fecha]]))</f>
        <v>BTCEUR-44618</v>
      </c>
    </row>
    <row r="2615" spans="1:4" ht="14.65" thickBot="1" x14ac:dyDescent="0.5">
      <c r="A2615" s="17">
        <v>44619.998611111114</v>
      </c>
      <c r="B2615" s="19">
        <v>33727.10411</v>
      </c>
      <c r="C2615" t="s">
        <v>155</v>
      </c>
      <c r="D2615" t="str">
        <f>T_Stocks[[#This Row],[Ticker]] &amp; "-" &amp; DATE(YEAR(T_Stocks[[#This Row],[Fecha]]),MONTH(T_Stocks[[#This Row],[Fecha]]),DAY(T_Stocks[[#This Row],[Fecha]]))</f>
        <v>BTCEUR-44619</v>
      </c>
    </row>
    <row r="2616" spans="1:4" ht="14.65" thickBot="1" x14ac:dyDescent="0.5">
      <c r="A2616" s="17">
        <v>44620.998611111114</v>
      </c>
      <c r="B2616" s="19">
        <v>38511.16014</v>
      </c>
      <c r="C2616" t="s">
        <v>155</v>
      </c>
      <c r="D2616" t="str">
        <f>T_Stocks[[#This Row],[Ticker]] &amp; "-" &amp; DATE(YEAR(T_Stocks[[#This Row],[Fecha]]),MONTH(T_Stocks[[#This Row],[Fecha]]),DAY(T_Stocks[[#This Row],[Fecha]]))</f>
        <v>BTCEUR-44620</v>
      </c>
    </row>
    <row r="2617" spans="1:4" ht="14.65" thickBot="1" x14ac:dyDescent="0.5">
      <c r="A2617" s="17">
        <v>44621.998611111114</v>
      </c>
      <c r="B2617" s="19">
        <v>39907.073729999996</v>
      </c>
      <c r="C2617" t="s">
        <v>155</v>
      </c>
      <c r="D2617" t="str">
        <f>T_Stocks[[#This Row],[Ticker]] &amp; "-" &amp; DATE(YEAR(T_Stocks[[#This Row],[Fecha]]),MONTH(T_Stocks[[#This Row],[Fecha]]),DAY(T_Stocks[[#This Row],[Fecha]]))</f>
        <v>BTCEUR-44621</v>
      </c>
    </row>
    <row r="2618" spans="1:4" ht="14.65" thickBot="1" x14ac:dyDescent="0.5">
      <c r="A2618" s="17">
        <v>44622.998611111114</v>
      </c>
      <c r="B2618" s="19">
        <v>39523.814969999999</v>
      </c>
      <c r="C2618" t="s">
        <v>155</v>
      </c>
      <c r="D2618" t="str">
        <f>T_Stocks[[#This Row],[Ticker]] &amp; "-" &amp; DATE(YEAR(T_Stocks[[#This Row],[Fecha]]),MONTH(T_Stocks[[#This Row],[Fecha]]),DAY(T_Stocks[[#This Row],[Fecha]]))</f>
        <v>BTCEUR-44622</v>
      </c>
    </row>
    <row r="2619" spans="1:4" ht="14.65" thickBot="1" x14ac:dyDescent="0.5">
      <c r="A2619" s="17">
        <v>44623.998611111114</v>
      </c>
      <c r="B2619" s="19">
        <v>38370.642079999998</v>
      </c>
      <c r="C2619" t="s">
        <v>155</v>
      </c>
      <c r="D2619" t="str">
        <f>T_Stocks[[#This Row],[Ticker]] &amp; "-" &amp; DATE(YEAR(T_Stocks[[#This Row],[Fecha]]),MONTH(T_Stocks[[#This Row],[Fecha]]),DAY(T_Stocks[[#This Row],[Fecha]]))</f>
        <v>BTCEUR-44623</v>
      </c>
    </row>
    <row r="2620" spans="1:4" ht="14.65" thickBot="1" x14ac:dyDescent="0.5">
      <c r="A2620" s="17">
        <v>44624.998611111114</v>
      </c>
      <c r="B2620" s="19">
        <v>35750.846360000003</v>
      </c>
      <c r="C2620" t="s">
        <v>155</v>
      </c>
      <c r="D2620" t="str">
        <f>T_Stocks[[#This Row],[Ticker]] &amp; "-" &amp; DATE(YEAR(T_Stocks[[#This Row],[Fecha]]),MONTH(T_Stocks[[#This Row],[Fecha]]),DAY(T_Stocks[[#This Row],[Fecha]]))</f>
        <v>BTCEUR-44624</v>
      </c>
    </row>
    <row r="2621" spans="1:4" ht="14.65" thickBot="1" x14ac:dyDescent="0.5">
      <c r="A2621" s="17">
        <v>44625.998611111114</v>
      </c>
      <c r="B2621" s="19">
        <v>35974.985710000001</v>
      </c>
      <c r="C2621" t="s">
        <v>155</v>
      </c>
      <c r="D2621" t="str">
        <f>T_Stocks[[#This Row],[Ticker]] &amp; "-" &amp; DATE(YEAR(T_Stocks[[#This Row],[Fecha]]),MONTH(T_Stocks[[#This Row],[Fecha]]),DAY(T_Stocks[[#This Row],[Fecha]]))</f>
        <v>BTCEUR-44625</v>
      </c>
    </row>
    <row r="2622" spans="1:4" ht="14.65" thickBot="1" x14ac:dyDescent="0.5">
      <c r="A2622" s="17">
        <v>44626.998611111114</v>
      </c>
      <c r="B2622" s="19">
        <v>35324.939230000004</v>
      </c>
      <c r="C2622" t="s">
        <v>155</v>
      </c>
      <c r="D2622" t="str">
        <f>T_Stocks[[#This Row],[Ticker]] &amp; "-" &amp; DATE(YEAR(T_Stocks[[#This Row],[Fecha]]),MONTH(T_Stocks[[#This Row],[Fecha]]),DAY(T_Stocks[[#This Row],[Fecha]]))</f>
        <v>BTCEUR-44626</v>
      </c>
    </row>
    <row r="2623" spans="1:4" ht="14.65" thickBot="1" x14ac:dyDescent="0.5">
      <c r="A2623" s="17">
        <v>44627.998611111114</v>
      </c>
      <c r="B2623" s="19">
        <v>35004.567280000003</v>
      </c>
      <c r="C2623" t="s">
        <v>155</v>
      </c>
      <c r="D2623" t="str">
        <f>T_Stocks[[#This Row],[Ticker]] &amp; "-" &amp; DATE(YEAR(T_Stocks[[#This Row],[Fecha]]),MONTH(T_Stocks[[#This Row],[Fecha]]),DAY(T_Stocks[[#This Row],[Fecha]]))</f>
        <v>BTCEUR-44627</v>
      </c>
    </row>
    <row r="2624" spans="1:4" ht="14.65" thickBot="1" x14ac:dyDescent="0.5">
      <c r="A2624" s="17">
        <v>44628.998611111114</v>
      </c>
      <c r="B2624" s="19">
        <v>35557.170100000003</v>
      </c>
      <c r="C2624" t="s">
        <v>155</v>
      </c>
      <c r="D2624" t="str">
        <f>T_Stocks[[#This Row],[Ticker]] &amp; "-" &amp; DATE(YEAR(T_Stocks[[#This Row],[Fecha]]),MONTH(T_Stocks[[#This Row],[Fecha]]),DAY(T_Stocks[[#This Row],[Fecha]]))</f>
        <v>BTCEUR-44628</v>
      </c>
    </row>
    <row r="2625" spans="1:4" ht="14.65" thickBot="1" x14ac:dyDescent="0.5">
      <c r="A2625" s="17">
        <v>44629.998611111114</v>
      </c>
      <c r="B2625" s="19">
        <v>37869.411890000003</v>
      </c>
      <c r="C2625" t="s">
        <v>155</v>
      </c>
      <c r="D2625" t="str">
        <f>T_Stocks[[#This Row],[Ticker]] &amp; "-" &amp; DATE(YEAR(T_Stocks[[#This Row],[Fecha]]),MONTH(T_Stocks[[#This Row],[Fecha]]),DAY(T_Stocks[[#This Row],[Fecha]]))</f>
        <v>BTCEUR-44629</v>
      </c>
    </row>
    <row r="2626" spans="1:4" ht="14.65" thickBot="1" x14ac:dyDescent="0.5">
      <c r="A2626" s="17">
        <v>44630.998611111114</v>
      </c>
      <c r="B2626" s="19">
        <v>35801.526899999997</v>
      </c>
      <c r="C2626" t="s">
        <v>155</v>
      </c>
      <c r="D2626" t="str">
        <f>T_Stocks[[#This Row],[Ticker]] &amp; "-" &amp; DATE(YEAR(T_Stocks[[#This Row],[Fecha]]),MONTH(T_Stocks[[#This Row],[Fecha]]),DAY(T_Stocks[[#This Row],[Fecha]]))</f>
        <v>BTCEUR-44630</v>
      </c>
    </row>
    <row r="2627" spans="1:4" ht="14.65" thickBot="1" x14ac:dyDescent="0.5">
      <c r="A2627" s="17">
        <v>44631.998611111114</v>
      </c>
      <c r="B2627" s="19">
        <v>35497.200559999997</v>
      </c>
      <c r="C2627" t="s">
        <v>155</v>
      </c>
      <c r="D2627" t="str">
        <f>T_Stocks[[#This Row],[Ticker]] &amp; "-" &amp; DATE(YEAR(T_Stocks[[#This Row],[Fecha]]),MONTH(T_Stocks[[#This Row],[Fecha]]),DAY(T_Stocks[[#This Row],[Fecha]]))</f>
        <v>BTCEUR-44631</v>
      </c>
    </row>
    <row r="2628" spans="1:4" ht="14.65" thickBot="1" x14ac:dyDescent="0.5">
      <c r="A2628" s="17">
        <v>44632.998611111114</v>
      </c>
      <c r="B2628" s="19">
        <v>35562.401709999998</v>
      </c>
      <c r="C2628" t="s">
        <v>155</v>
      </c>
      <c r="D2628" t="str">
        <f>T_Stocks[[#This Row],[Ticker]] &amp; "-" &amp; DATE(YEAR(T_Stocks[[#This Row],[Fecha]]),MONTH(T_Stocks[[#This Row],[Fecha]]),DAY(T_Stocks[[#This Row],[Fecha]]))</f>
        <v>BTCEUR-44632</v>
      </c>
    </row>
    <row r="2629" spans="1:4" ht="14.65" thickBot="1" x14ac:dyDescent="0.5">
      <c r="A2629" s="17">
        <v>44633.998611111114</v>
      </c>
      <c r="B2629" s="19">
        <v>34583.57518</v>
      </c>
      <c r="C2629" t="s">
        <v>155</v>
      </c>
      <c r="D2629" t="str">
        <f>T_Stocks[[#This Row],[Ticker]] &amp; "-" &amp; DATE(YEAR(T_Stocks[[#This Row],[Fecha]]),MONTH(T_Stocks[[#This Row],[Fecha]]),DAY(T_Stocks[[#This Row],[Fecha]]))</f>
        <v>BTCEUR-44633</v>
      </c>
    </row>
    <row r="2630" spans="1:4" ht="14.65" thickBot="1" x14ac:dyDescent="0.5">
      <c r="A2630" s="17">
        <v>44634.998611111114</v>
      </c>
      <c r="B2630" s="19">
        <v>36259.048710000003</v>
      </c>
      <c r="C2630" t="s">
        <v>155</v>
      </c>
      <c r="D2630" t="str">
        <f>T_Stocks[[#This Row],[Ticker]] &amp; "-" &amp; DATE(YEAR(T_Stocks[[#This Row],[Fecha]]),MONTH(T_Stocks[[#This Row],[Fecha]]),DAY(T_Stocks[[#This Row],[Fecha]]))</f>
        <v>BTCEUR-44634</v>
      </c>
    </row>
    <row r="2631" spans="1:4" ht="14.65" thickBot="1" x14ac:dyDescent="0.5">
      <c r="A2631" s="17">
        <v>44635.998611111114</v>
      </c>
      <c r="B2631" s="19">
        <v>35828.699930000002</v>
      </c>
      <c r="C2631" t="s">
        <v>155</v>
      </c>
      <c r="D2631" t="str">
        <f>T_Stocks[[#This Row],[Ticker]] &amp; "-" &amp; DATE(YEAR(T_Stocks[[#This Row],[Fecha]]),MONTH(T_Stocks[[#This Row],[Fecha]]),DAY(T_Stocks[[#This Row],[Fecha]]))</f>
        <v>BTCEUR-44635</v>
      </c>
    </row>
    <row r="2632" spans="1:4" ht="14.65" thickBot="1" x14ac:dyDescent="0.5">
      <c r="A2632" s="17">
        <v>44636.998611111114</v>
      </c>
      <c r="B2632" s="19">
        <v>37306.573329999999</v>
      </c>
      <c r="C2632" t="s">
        <v>155</v>
      </c>
      <c r="D2632" t="str">
        <f>T_Stocks[[#This Row],[Ticker]] &amp; "-" &amp; DATE(YEAR(T_Stocks[[#This Row],[Fecha]]),MONTH(T_Stocks[[#This Row],[Fecha]]),DAY(T_Stocks[[#This Row],[Fecha]]))</f>
        <v>BTCEUR-44636</v>
      </c>
    </row>
    <row r="2633" spans="1:4" ht="14.65" thickBot="1" x14ac:dyDescent="0.5">
      <c r="A2633" s="17">
        <v>44637.998611111114</v>
      </c>
      <c r="B2633" s="19">
        <v>36883.934020000001</v>
      </c>
      <c r="C2633" t="s">
        <v>155</v>
      </c>
      <c r="D2633" t="str">
        <f>T_Stocks[[#This Row],[Ticker]] &amp; "-" &amp; DATE(YEAR(T_Stocks[[#This Row],[Fecha]]),MONTH(T_Stocks[[#This Row],[Fecha]]),DAY(T_Stocks[[#This Row],[Fecha]]))</f>
        <v>BTCEUR-44637</v>
      </c>
    </row>
    <row r="2634" spans="1:4" ht="14.65" thickBot="1" x14ac:dyDescent="0.5">
      <c r="A2634" s="17">
        <v>44638.998611111114</v>
      </c>
      <c r="B2634" s="19">
        <v>37750.279920000001</v>
      </c>
      <c r="C2634" t="s">
        <v>155</v>
      </c>
      <c r="D2634" t="str">
        <f>T_Stocks[[#This Row],[Ticker]] &amp; "-" &amp; DATE(YEAR(T_Stocks[[#This Row],[Fecha]]),MONTH(T_Stocks[[#This Row],[Fecha]]),DAY(T_Stocks[[#This Row],[Fecha]]))</f>
        <v>BTCEUR-44638</v>
      </c>
    </row>
    <row r="2635" spans="1:4" ht="14.65" thickBot="1" x14ac:dyDescent="0.5">
      <c r="A2635" s="17">
        <v>44639.998611111114</v>
      </c>
      <c r="B2635" s="19">
        <v>38155.06482</v>
      </c>
      <c r="C2635" t="s">
        <v>155</v>
      </c>
      <c r="D2635" t="str">
        <f>T_Stocks[[#This Row],[Ticker]] &amp; "-" &amp; DATE(YEAR(T_Stocks[[#This Row],[Fecha]]),MONTH(T_Stocks[[#This Row],[Fecha]]),DAY(T_Stocks[[#This Row],[Fecha]]))</f>
        <v>BTCEUR-44639</v>
      </c>
    </row>
    <row r="2636" spans="1:4" ht="14.65" thickBot="1" x14ac:dyDescent="0.5">
      <c r="A2636" s="17">
        <v>44640.998611111114</v>
      </c>
      <c r="B2636" s="19">
        <v>37358.270020000004</v>
      </c>
      <c r="C2636" t="s">
        <v>155</v>
      </c>
      <c r="D2636" t="str">
        <f>T_Stocks[[#This Row],[Ticker]] &amp; "-" &amp; DATE(YEAR(T_Stocks[[#This Row],[Fecha]]),MONTH(T_Stocks[[#This Row],[Fecha]]),DAY(T_Stocks[[#This Row],[Fecha]]))</f>
        <v>BTCEUR-44640</v>
      </c>
    </row>
    <row r="2637" spans="1:4" ht="14.65" thickBot="1" x14ac:dyDescent="0.5">
      <c r="A2637" s="17">
        <v>44641.998611111114</v>
      </c>
      <c r="B2637" s="19">
        <v>37247.082580000002</v>
      </c>
      <c r="C2637" t="s">
        <v>155</v>
      </c>
      <c r="D2637" t="str">
        <f>T_Stocks[[#This Row],[Ticker]] &amp; "-" &amp; DATE(YEAR(T_Stocks[[#This Row],[Fecha]]),MONTH(T_Stocks[[#This Row],[Fecha]]),DAY(T_Stocks[[#This Row],[Fecha]]))</f>
        <v>BTCEUR-44641</v>
      </c>
    </row>
    <row r="2638" spans="1:4" ht="14.65" thickBot="1" x14ac:dyDescent="0.5">
      <c r="A2638" s="17">
        <v>44642.998611111114</v>
      </c>
      <c r="B2638" s="19">
        <v>38414.69945</v>
      </c>
      <c r="C2638" t="s">
        <v>155</v>
      </c>
      <c r="D2638" t="str">
        <f>T_Stocks[[#This Row],[Ticker]] &amp; "-" &amp; DATE(YEAR(T_Stocks[[#This Row],[Fecha]]),MONTH(T_Stocks[[#This Row],[Fecha]]),DAY(T_Stocks[[#This Row],[Fecha]]))</f>
        <v>BTCEUR-44642</v>
      </c>
    </row>
    <row r="2639" spans="1:4" ht="14.65" thickBot="1" x14ac:dyDescent="0.5">
      <c r="A2639" s="17">
        <v>44643.998611111114</v>
      </c>
      <c r="B2639" s="19">
        <v>38983.313390000003</v>
      </c>
      <c r="C2639" t="s">
        <v>155</v>
      </c>
      <c r="D2639" t="str">
        <f>T_Stocks[[#This Row],[Ticker]] &amp; "-" &amp; DATE(YEAR(T_Stocks[[#This Row],[Fecha]]),MONTH(T_Stocks[[#This Row],[Fecha]]),DAY(T_Stocks[[#This Row],[Fecha]]))</f>
        <v>BTCEUR-44643</v>
      </c>
    </row>
    <row r="2640" spans="1:4" ht="14.65" thickBot="1" x14ac:dyDescent="0.5">
      <c r="A2640" s="17">
        <v>44644.998611111114</v>
      </c>
      <c r="B2640" s="19">
        <v>39972.775220000003</v>
      </c>
      <c r="C2640" t="s">
        <v>155</v>
      </c>
      <c r="D2640" t="str">
        <f>T_Stocks[[#This Row],[Ticker]] &amp; "-" &amp; DATE(YEAR(T_Stocks[[#This Row],[Fecha]]),MONTH(T_Stocks[[#This Row],[Fecha]]),DAY(T_Stocks[[#This Row],[Fecha]]))</f>
        <v>BTCEUR-44644</v>
      </c>
    </row>
    <row r="2641" spans="1:4" ht="14.65" thickBot="1" x14ac:dyDescent="0.5">
      <c r="A2641" s="17">
        <v>44645.998611111114</v>
      </c>
      <c r="B2641" s="19">
        <v>40357.294809999999</v>
      </c>
      <c r="C2641" t="s">
        <v>155</v>
      </c>
      <c r="D2641" t="str">
        <f>T_Stocks[[#This Row],[Ticker]] &amp; "-" &amp; DATE(YEAR(T_Stocks[[#This Row],[Fecha]]),MONTH(T_Stocks[[#This Row],[Fecha]]),DAY(T_Stocks[[#This Row],[Fecha]]))</f>
        <v>BTCEUR-44645</v>
      </c>
    </row>
    <row r="2642" spans="1:4" ht="14.65" thickBot="1" x14ac:dyDescent="0.5">
      <c r="A2642" s="17">
        <v>44646.998611111114</v>
      </c>
      <c r="B2642" s="19">
        <v>40554.347450000001</v>
      </c>
      <c r="C2642" t="s">
        <v>155</v>
      </c>
      <c r="D2642" t="str">
        <f>T_Stocks[[#This Row],[Ticker]] &amp; "-" &amp; DATE(YEAR(T_Stocks[[#This Row],[Fecha]]),MONTH(T_Stocks[[#This Row],[Fecha]]),DAY(T_Stocks[[#This Row],[Fecha]]))</f>
        <v>BTCEUR-44646</v>
      </c>
    </row>
    <row r="2643" spans="1:4" ht="14.65" thickBot="1" x14ac:dyDescent="0.5">
      <c r="A2643" s="17">
        <v>44647.998611111114</v>
      </c>
      <c r="B2643" s="19">
        <v>42655.441200000001</v>
      </c>
      <c r="C2643" t="s">
        <v>155</v>
      </c>
      <c r="D2643" t="str">
        <f>T_Stocks[[#This Row],[Ticker]] &amp; "-" &amp; DATE(YEAR(T_Stocks[[#This Row],[Fecha]]),MONTH(T_Stocks[[#This Row],[Fecha]]),DAY(T_Stocks[[#This Row],[Fecha]]))</f>
        <v>BTCEUR-44647</v>
      </c>
    </row>
    <row r="2644" spans="1:4" ht="14.65" thickBot="1" x14ac:dyDescent="0.5">
      <c r="A2644" s="17">
        <v>44648.998611111114</v>
      </c>
      <c r="B2644" s="19">
        <v>42844.352129999999</v>
      </c>
      <c r="C2644" t="s">
        <v>155</v>
      </c>
      <c r="D2644" t="str">
        <f>T_Stocks[[#This Row],[Ticker]] &amp; "-" &amp; DATE(YEAR(T_Stocks[[#This Row],[Fecha]]),MONTH(T_Stocks[[#This Row],[Fecha]]),DAY(T_Stocks[[#This Row],[Fecha]]))</f>
        <v>BTCEUR-44648</v>
      </c>
    </row>
    <row r="2645" spans="1:4" ht="14.65" thickBot="1" x14ac:dyDescent="0.5">
      <c r="A2645" s="17">
        <v>44649.998611111114</v>
      </c>
      <c r="B2645" s="19">
        <v>42781.851979999999</v>
      </c>
      <c r="C2645" t="s">
        <v>155</v>
      </c>
      <c r="D2645" t="str">
        <f>T_Stocks[[#This Row],[Ticker]] &amp; "-" &amp; DATE(YEAR(T_Stocks[[#This Row],[Fecha]]),MONTH(T_Stocks[[#This Row],[Fecha]]),DAY(T_Stocks[[#This Row],[Fecha]]))</f>
        <v>BTCEUR-44649</v>
      </c>
    </row>
    <row r="2646" spans="1:4" ht="14.65" thickBot="1" x14ac:dyDescent="0.5">
      <c r="A2646" s="17">
        <v>44650.998611111114</v>
      </c>
      <c r="B2646" s="19">
        <v>42151.76814</v>
      </c>
      <c r="C2646" t="s">
        <v>155</v>
      </c>
      <c r="D2646" t="str">
        <f>T_Stocks[[#This Row],[Ticker]] &amp; "-" &amp; DATE(YEAR(T_Stocks[[#This Row],[Fecha]]),MONTH(T_Stocks[[#This Row],[Fecha]]),DAY(T_Stocks[[#This Row],[Fecha]]))</f>
        <v>BTCEUR-44650</v>
      </c>
    </row>
    <row r="2647" spans="1:4" ht="14.65" thickBot="1" x14ac:dyDescent="0.5">
      <c r="A2647" s="17">
        <v>44651.998611111114</v>
      </c>
      <c r="B2647" s="19">
        <v>41112.742720000002</v>
      </c>
      <c r="C2647" t="s">
        <v>155</v>
      </c>
      <c r="D2647" t="str">
        <f>T_Stocks[[#This Row],[Ticker]] &amp; "-" &amp; DATE(YEAR(T_Stocks[[#This Row],[Fecha]]),MONTH(T_Stocks[[#This Row],[Fecha]]),DAY(T_Stocks[[#This Row],[Fecha]]))</f>
        <v>BTCEUR-44651</v>
      </c>
    </row>
    <row r="2648" spans="1:4" ht="14.65" thickBot="1" x14ac:dyDescent="0.5">
      <c r="A2648" s="17">
        <v>44652.998611111114</v>
      </c>
      <c r="B2648" s="19">
        <v>41905.120000000003</v>
      </c>
      <c r="C2648" t="s">
        <v>155</v>
      </c>
      <c r="D2648" t="str">
        <f>T_Stocks[[#This Row],[Ticker]] &amp; "-" &amp; DATE(YEAR(T_Stocks[[#This Row],[Fecha]]),MONTH(T_Stocks[[#This Row],[Fecha]]),DAY(T_Stocks[[#This Row],[Fecha]]))</f>
        <v>BTCEUR-44652</v>
      </c>
    </row>
    <row r="2649" spans="1:4" ht="14.65" thickBot="1" x14ac:dyDescent="0.5">
      <c r="A2649" s="17">
        <v>44653.998611111114</v>
      </c>
      <c r="B2649" s="19">
        <v>41454.439050000001</v>
      </c>
      <c r="C2649" t="s">
        <v>155</v>
      </c>
      <c r="D2649" t="str">
        <f>T_Stocks[[#This Row],[Ticker]] &amp; "-" &amp; DATE(YEAR(T_Stocks[[#This Row],[Fecha]]),MONTH(T_Stocks[[#This Row],[Fecha]]),DAY(T_Stocks[[#This Row],[Fecha]]))</f>
        <v>BTCEUR-44653</v>
      </c>
    </row>
    <row r="2650" spans="1:4" ht="14.65" thickBot="1" x14ac:dyDescent="0.5">
      <c r="A2650" s="17">
        <v>44654.998611111114</v>
      </c>
      <c r="B2650" s="19">
        <v>42002.954619999997</v>
      </c>
      <c r="C2650" t="s">
        <v>155</v>
      </c>
      <c r="D2650" t="str">
        <f>T_Stocks[[#This Row],[Ticker]] &amp; "-" &amp; DATE(YEAR(T_Stocks[[#This Row],[Fecha]]),MONTH(T_Stocks[[#This Row],[Fecha]]),DAY(T_Stocks[[#This Row],[Fecha]]))</f>
        <v>BTCEUR-44654</v>
      </c>
    </row>
    <row r="2651" spans="1:4" ht="14.65" thickBot="1" x14ac:dyDescent="0.5">
      <c r="A2651" s="17">
        <v>44655.998611111114</v>
      </c>
      <c r="B2651" s="19">
        <v>42460.265249999997</v>
      </c>
      <c r="C2651" t="s">
        <v>155</v>
      </c>
      <c r="D2651" t="str">
        <f>T_Stocks[[#This Row],[Ticker]] &amp; "-" &amp; DATE(YEAR(T_Stocks[[#This Row],[Fecha]]),MONTH(T_Stocks[[#This Row],[Fecha]]),DAY(T_Stocks[[#This Row],[Fecha]]))</f>
        <v>BTCEUR-44655</v>
      </c>
    </row>
    <row r="2652" spans="1:4" ht="14.65" thickBot="1" x14ac:dyDescent="0.5">
      <c r="A2652" s="17">
        <v>44656.998611111114</v>
      </c>
      <c r="B2652" s="19">
        <v>41718.852579999999</v>
      </c>
      <c r="C2652" t="s">
        <v>155</v>
      </c>
      <c r="D2652" t="str">
        <f>T_Stocks[[#This Row],[Ticker]] &amp; "-" &amp; DATE(YEAR(T_Stocks[[#This Row],[Fecha]]),MONTH(T_Stocks[[#This Row],[Fecha]]),DAY(T_Stocks[[#This Row],[Fecha]]))</f>
        <v>BTCEUR-44656</v>
      </c>
    </row>
    <row r="2653" spans="1:4" ht="14.65" thickBot="1" x14ac:dyDescent="0.5">
      <c r="A2653" s="17">
        <v>44657.998611111114</v>
      </c>
      <c r="B2653" s="19">
        <v>39626.031799999997</v>
      </c>
      <c r="C2653" t="s">
        <v>155</v>
      </c>
      <c r="D2653" t="str">
        <f>T_Stocks[[#This Row],[Ticker]] &amp; "-" &amp; DATE(YEAR(T_Stocks[[#This Row],[Fecha]]),MONTH(T_Stocks[[#This Row],[Fecha]]),DAY(T_Stocks[[#This Row],[Fecha]]))</f>
        <v>BTCEUR-44657</v>
      </c>
    </row>
    <row r="2654" spans="1:4" ht="14.65" thickBot="1" x14ac:dyDescent="0.5">
      <c r="A2654" s="17">
        <v>44658.998611111114</v>
      </c>
      <c r="B2654" s="19">
        <v>40004.39445</v>
      </c>
      <c r="C2654" t="s">
        <v>155</v>
      </c>
      <c r="D2654" t="str">
        <f>T_Stocks[[#This Row],[Ticker]] &amp; "-" &amp; DATE(YEAR(T_Stocks[[#This Row],[Fecha]]),MONTH(T_Stocks[[#This Row],[Fecha]]),DAY(T_Stocks[[#This Row],[Fecha]]))</f>
        <v>BTCEUR-44658</v>
      </c>
    </row>
    <row r="2655" spans="1:4" ht="14.65" thickBot="1" x14ac:dyDescent="0.5">
      <c r="A2655" s="17">
        <v>44659.998611111114</v>
      </c>
      <c r="B2655" s="19">
        <v>38860.287900000003</v>
      </c>
      <c r="C2655" t="s">
        <v>155</v>
      </c>
      <c r="D2655" t="str">
        <f>T_Stocks[[#This Row],[Ticker]] &amp; "-" &amp; DATE(YEAR(T_Stocks[[#This Row],[Fecha]]),MONTH(T_Stocks[[#This Row],[Fecha]]),DAY(T_Stocks[[#This Row],[Fecha]]))</f>
        <v>BTCEUR-44659</v>
      </c>
    </row>
    <row r="2656" spans="1:4" ht="14.65" thickBot="1" x14ac:dyDescent="0.5">
      <c r="A2656" s="17">
        <v>44660.998611111114</v>
      </c>
      <c r="B2656" s="19">
        <v>39316.789859999997</v>
      </c>
      <c r="C2656" t="s">
        <v>155</v>
      </c>
      <c r="D2656" t="str">
        <f>T_Stocks[[#This Row],[Ticker]] &amp; "-" &amp; DATE(YEAR(T_Stocks[[#This Row],[Fecha]]),MONTH(T_Stocks[[#This Row],[Fecha]]),DAY(T_Stocks[[#This Row],[Fecha]]))</f>
        <v>BTCEUR-44660</v>
      </c>
    </row>
    <row r="2657" spans="1:4" ht="14.65" thickBot="1" x14ac:dyDescent="0.5">
      <c r="A2657" s="17">
        <v>44661.998611111114</v>
      </c>
      <c r="B2657" s="19">
        <v>38725.538489999999</v>
      </c>
      <c r="C2657" t="s">
        <v>155</v>
      </c>
      <c r="D2657" t="str">
        <f>T_Stocks[[#This Row],[Ticker]] &amp; "-" &amp; DATE(YEAR(T_Stocks[[#This Row],[Fecha]]),MONTH(T_Stocks[[#This Row],[Fecha]]),DAY(T_Stocks[[#This Row],[Fecha]]))</f>
        <v>BTCEUR-44661</v>
      </c>
    </row>
    <row r="2658" spans="1:4" ht="14.65" thickBot="1" x14ac:dyDescent="0.5">
      <c r="A2658" s="17">
        <v>44662.998611111114</v>
      </c>
      <c r="B2658" s="19">
        <v>36309.79466</v>
      </c>
      <c r="C2658" t="s">
        <v>155</v>
      </c>
      <c r="D2658" t="str">
        <f>T_Stocks[[#This Row],[Ticker]] &amp; "-" &amp; DATE(YEAR(T_Stocks[[#This Row],[Fecha]]),MONTH(T_Stocks[[#This Row],[Fecha]]),DAY(T_Stocks[[#This Row],[Fecha]]))</f>
        <v>BTCEUR-44662</v>
      </c>
    </row>
    <row r="2659" spans="1:4" ht="14.65" thickBot="1" x14ac:dyDescent="0.5">
      <c r="A2659" s="17">
        <v>44663.998611111114</v>
      </c>
      <c r="B2659" s="19">
        <v>37020.968690000002</v>
      </c>
      <c r="C2659" t="s">
        <v>155</v>
      </c>
      <c r="D2659" t="str">
        <f>T_Stocks[[#This Row],[Ticker]] &amp; "-" &amp; DATE(YEAR(T_Stocks[[#This Row],[Fecha]]),MONTH(T_Stocks[[#This Row],[Fecha]]),DAY(T_Stocks[[#This Row],[Fecha]]))</f>
        <v>BTCEUR-44663</v>
      </c>
    </row>
    <row r="2660" spans="1:4" ht="14.65" thickBot="1" x14ac:dyDescent="0.5">
      <c r="A2660" s="17">
        <v>44664.998611111114</v>
      </c>
      <c r="B2660" s="19">
        <v>37754.156490000001</v>
      </c>
      <c r="C2660" t="s">
        <v>155</v>
      </c>
      <c r="D2660" t="str">
        <f>T_Stocks[[#This Row],[Ticker]] &amp; "-" &amp; DATE(YEAR(T_Stocks[[#This Row],[Fecha]]),MONTH(T_Stocks[[#This Row],[Fecha]]),DAY(T_Stocks[[#This Row],[Fecha]]))</f>
        <v>BTCEUR-44664</v>
      </c>
    </row>
    <row r="2661" spans="1:4" ht="14.65" thickBot="1" x14ac:dyDescent="0.5">
      <c r="A2661" s="17">
        <v>44665.998611111114</v>
      </c>
      <c r="B2661" s="19">
        <v>36909.816879999998</v>
      </c>
      <c r="C2661" t="s">
        <v>155</v>
      </c>
      <c r="D2661" t="str">
        <f>T_Stocks[[#This Row],[Ticker]] &amp; "-" &amp; DATE(YEAR(T_Stocks[[#This Row],[Fecha]]),MONTH(T_Stocks[[#This Row],[Fecha]]),DAY(T_Stocks[[#This Row],[Fecha]]))</f>
        <v>BTCEUR-44665</v>
      </c>
    </row>
    <row r="2662" spans="1:4" ht="14.65" thickBot="1" x14ac:dyDescent="0.5">
      <c r="A2662" s="17">
        <v>44666.998611111114</v>
      </c>
      <c r="B2662" s="19">
        <v>37495.140639999998</v>
      </c>
      <c r="C2662" t="s">
        <v>155</v>
      </c>
      <c r="D2662" t="str">
        <f>T_Stocks[[#This Row],[Ticker]] &amp; "-" &amp; DATE(YEAR(T_Stocks[[#This Row],[Fecha]]),MONTH(T_Stocks[[#This Row],[Fecha]]),DAY(T_Stocks[[#This Row],[Fecha]]))</f>
        <v>BTCEUR-44666</v>
      </c>
    </row>
    <row r="2663" spans="1:4" ht="14.65" thickBot="1" x14ac:dyDescent="0.5">
      <c r="A2663" s="17">
        <v>44667.998611111114</v>
      </c>
      <c r="B2663" s="19">
        <v>37341.17441</v>
      </c>
      <c r="C2663" t="s">
        <v>155</v>
      </c>
      <c r="D2663" t="str">
        <f>T_Stocks[[#This Row],[Ticker]] &amp; "-" &amp; DATE(YEAR(T_Stocks[[#This Row],[Fecha]]),MONTH(T_Stocks[[#This Row],[Fecha]]),DAY(T_Stocks[[#This Row],[Fecha]]))</f>
        <v>BTCEUR-44667</v>
      </c>
    </row>
    <row r="2664" spans="1:4" ht="14.65" thickBot="1" x14ac:dyDescent="0.5">
      <c r="A2664" s="17">
        <v>44668.998611111114</v>
      </c>
      <c r="B2664" s="19">
        <v>36700.830699999999</v>
      </c>
      <c r="C2664" t="s">
        <v>155</v>
      </c>
      <c r="D2664" t="str">
        <f>T_Stocks[[#This Row],[Ticker]] &amp; "-" &amp; DATE(YEAR(T_Stocks[[#This Row],[Fecha]]),MONTH(T_Stocks[[#This Row],[Fecha]]),DAY(T_Stocks[[#This Row],[Fecha]]))</f>
        <v>BTCEUR-44668</v>
      </c>
    </row>
    <row r="2665" spans="1:4" ht="14.65" thickBot="1" x14ac:dyDescent="0.5">
      <c r="A2665" s="17">
        <v>44669.998611111114</v>
      </c>
      <c r="B2665" s="19">
        <v>37843.957090000004</v>
      </c>
      <c r="C2665" t="s">
        <v>155</v>
      </c>
      <c r="D2665" t="str">
        <f>T_Stocks[[#This Row],[Ticker]] &amp; "-" &amp; DATE(YEAR(T_Stocks[[#This Row],[Fecha]]),MONTH(T_Stocks[[#This Row],[Fecha]]),DAY(T_Stocks[[#This Row],[Fecha]]))</f>
        <v>BTCEUR-44669</v>
      </c>
    </row>
    <row r="2666" spans="1:4" ht="14.65" thickBot="1" x14ac:dyDescent="0.5">
      <c r="A2666" s="17">
        <v>44670.998611111114</v>
      </c>
      <c r="B2666" s="19">
        <v>38444.210400000004</v>
      </c>
      <c r="C2666" t="s">
        <v>155</v>
      </c>
      <c r="D2666" t="str">
        <f>T_Stocks[[#This Row],[Ticker]] &amp; "-" &amp; DATE(YEAR(T_Stocks[[#This Row],[Fecha]]),MONTH(T_Stocks[[#This Row],[Fecha]]),DAY(T_Stocks[[#This Row],[Fecha]]))</f>
        <v>BTCEUR-44670</v>
      </c>
    </row>
    <row r="2667" spans="1:4" ht="14.65" thickBot="1" x14ac:dyDescent="0.5">
      <c r="A2667" s="17">
        <v>44671.998611111114</v>
      </c>
      <c r="B2667" s="19">
        <v>38122.962469999999</v>
      </c>
      <c r="C2667" t="s">
        <v>155</v>
      </c>
      <c r="D2667" t="str">
        <f>T_Stocks[[#This Row],[Ticker]] &amp; "-" &amp; DATE(YEAR(T_Stocks[[#This Row],[Fecha]]),MONTH(T_Stocks[[#This Row],[Fecha]]),DAY(T_Stocks[[#This Row],[Fecha]]))</f>
        <v>BTCEUR-44671</v>
      </c>
    </row>
    <row r="2668" spans="1:4" ht="14.65" thickBot="1" x14ac:dyDescent="0.5">
      <c r="A2668" s="17">
        <v>44672.998611111114</v>
      </c>
      <c r="B2668" s="19">
        <v>37355.306969999998</v>
      </c>
      <c r="C2668" t="s">
        <v>155</v>
      </c>
      <c r="D2668" t="str">
        <f>T_Stocks[[#This Row],[Ticker]] &amp; "-" &amp; DATE(YEAR(T_Stocks[[#This Row],[Fecha]]),MONTH(T_Stocks[[#This Row],[Fecha]]),DAY(T_Stocks[[#This Row],[Fecha]]))</f>
        <v>BTCEUR-44672</v>
      </c>
    </row>
    <row r="2669" spans="1:4" ht="14.65" thickBot="1" x14ac:dyDescent="0.5">
      <c r="A2669" s="17">
        <v>44673.998611111114</v>
      </c>
      <c r="B2669" s="19">
        <v>36757.121659999997</v>
      </c>
      <c r="C2669" t="s">
        <v>155</v>
      </c>
      <c r="D2669" t="str">
        <f>T_Stocks[[#This Row],[Ticker]] &amp; "-" &amp; DATE(YEAR(T_Stocks[[#This Row],[Fecha]]),MONTH(T_Stocks[[#This Row],[Fecha]]),DAY(T_Stocks[[#This Row],[Fecha]]))</f>
        <v>BTCEUR-44673</v>
      </c>
    </row>
    <row r="2670" spans="1:4" ht="14.65" thickBot="1" x14ac:dyDescent="0.5">
      <c r="A2670" s="17">
        <v>44674.998611111114</v>
      </c>
      <c r="B2670" s="19">
        <v>36513.495940000001</v>
      </c>
      <c r="C2670" t="s">
        <v>155</v>
      </c>
      <c r="D2670" t="str">
        <f>T_Stocks[[#This Row],[Ticker]] &amp; "-" &amp; DATE(YEAR(T_Stocks[[#This Row],[Fecha]]),MONTH(T_Stocks[[#This Row],[Fecha]]),DAY(T_Stocks[[#This Row],[Fecha]]))</f>
        <v>BTCEUR-44674</v>
      </c>
    </row>
    <row r="2671" spans="1:4" ht="14.65" thickBot="1" x14ac:dyDescent="0.5">
      <c r="A2671" s="17">
        <v>44675.998611111114</v>
      </c>
      <c r="B2671" s="19">
        <v>36506.527900000001</v>
      </c>
      <c r="C2671" t="s">
        <v>155</v>
      </c>
      <c r="D2671" t="str">
        <f>T_Stocks[[#This Row],[Ticker]] &amp; "-" &amp; DATE(YEAR(T_Stocks[[#This Row],[Fecha]]),MONTH(T_Stocks[[#This Row],[Fecha]]),DAY(T_Stocks[[#This Row],[Fecha]]))</f>
        <v>BTCEUR-44675</v>
      </c>
    </row>
    <row r="2672" spans="1:4" ht="14.65" thickBot="1" x14ac:dyDescent="0.5">
      <c r="A2672" s="17">
        <v>44676.998611111114</v>
      </c>
      <c r="B2672" s="19">
        <v>37738.212220000001</v>
      </c>
      <c r="C2672" t="s">
        <v>155</v>
      </c>
      <c r="D2672" t="str">
        <f>T_Stocks[[#This Row],[Ticker]] &amp; "-" &amp; DATE(YEAR(T_Stocks[[#This Row],[Fecha]]),MONTH(T_Stocks[[#This Row],[Fecha]]),DAY(T_Stocks[[#This Row],[Fecha]]))</f>
        <v>BTCEUR-44676</v>
      </c>
    </row>
    <row r="2673" spans="1:4" ht="14.65" thickBot="1" x14ac:dyDescent="0.5">
      <c r="A2673" s="17">
        <v>44677.998611111114</v>
      </c>
      <c r="B2673" s="19">
        <v>35820.595939999999</v>
      </c>
      <c r="C2673" t="s">
        <v>155</v>
      </c>
      <c r="D2673" t="str">
        <f>T_Stocks[[#This Row],[Ticker]] &amp; "-" &amp; DATE(YEAR(T_Stocks[[#This Row],[Fecha]]),MONTH(T_Stocks[[#This Row],[Fecha]]),DAY(T_Stocks[[#This Row],[Fecha]]))</f>
        <v>BTCEUR-44677</v>
      </c>
    </row>
    <row r="2674" spans="1:4" ht="14.65" thickBot="1" x14ac:dyDescent="0.5">
      <c r="A2674" s="17">
        <v>44678.998611111114</v>
      </c>
      <c r="B2674" s="19">
        <v>37178.774819999999</v>
      </c>
      <c r="C2674" t="s">
        <v>155</v>
      </c>
      <c r="D2674" t="str">
        <f>T_Stocks[[#This Row],[Ticker]] &amp; "-" &amp; DATE(YEAR(T_Stocks[[#This Row],[Fecha]]),MONTH(T_Stocks[[#This Row],[Fecha]]),DAY(T_Stocks[[#This Row],[Fecha]]))</f>
        <v>BTCEUR-44678</v>
      </c>
    </row>
    <row r="2675" spans="1:4" ht="14.65" thickBot="1" x14ac:dyDescent="0.5">
      <c r="A2675" s="17">
        <v>44679.998611111114</v>
      </c>
      <c r="B2675" s="19">
        <v>37841.895279999997</v>
      </c>
      <c r="C2675" t="s">
        <v>155</v>
      </c>
      <c r="D2675" t="str">
        <f>T_Stocks[[#This Row],[Ticker]] &amp; "-" &amp; DATE(YEAR(T_Stocks[[#This Row],[Fecha]]),MONTH(T_Stocks[[#This Row],[Fecha]]),DAY(T_Stocks[[#This Row],[Fecha]]))</f>
        <v>BTCEUR-44679</v>
      </c>
    </row>
    <row r="2676" spans="1:4" ht="14.65" thickBot="1" x14ac:dyDescent="0.5">
      <c r="A2676" s="17">
        <v>44680.998611111114</v>
      </c>
      <c r="B2676" s="19">
        <v>36587.899449999997</v>
      </c>
      <c r="C2676" t="s">
        <v>155</v>
      </c>
      <c r="D2676" t="str">
        <f>T_Stocks[[#This Row],[Ticker]] &amp; "-" &amp; DATE(YEAR(T_Stocks[[#This Row],[Fecha]]),MONTH(T_Stocks[[#This Row],[Fecha]]),DAY(T_Stocks[[#This Row],[Fecha]]))</f>
        <v>BTCEUR-44680</v>
      </c>
    </row>
    <row r="2677" spans="1:4" ht="14.65" thickBot="1" x14ac:dyDescent="0.5">
      <c r="A2677" s="17">
        <v>44681.998611111114</v>
      </c>
      <c r="B2677" s="19">
        <v>35698.686979999999</v>
      </c>
      <c r="C2677" t="s">
        <v>155</v>
      </c>
      <c r="D2677" t="str">
        <f>T_Stocks[[#This Row],[Ticker]] &amp; "-" &amp; DATE(YEAR(T_Stocks[[#This Row],[Fecha]]),MONTH(T_Stocks[[#This Row],[Fecha]]),DAY(T_Stocks[[#This Row],[Fecha]]))</f>
        <v>BTCEUR-44681</v>
      </c>
    </row>
    <row r="2678" spans="1:4" ht="14.65" thickBot="1" x14ac:dyDescent="0.5">
      <c r="A2678" s="17">
        <v>44682.998611111114</v>
      </c>
      <c r="B2678" s="19">
        <v>36524.306759999999</v>
      </c>
      <c r="C2678" t="s">
        <v>155</v>
      </c>
      <c r="D2678" t="str">
        <f>T_Stocks[[#This Row],[Ticker]] &amp; "-" &amp; DATE(YEAR(T_Stocks[[#This Row],[Fecha]]),MONTH(T_Stocks[[#This Row],[Fecha]]),DAY(T_Stocks[[#This Row],[Fecha]]))</f>
        <v>BTCEUR-44682</v>
      </c>
    </row>
    <row r="2679" spans="1:4" ht="14.65" thickBot="1" x14ac:dyDescent="0.5">
      <c r="A2679" s="17">
        <v>44683.998611111114</v>
      </c>
      <c r="B2679" s="19">
        <v>36642.805690000001</v>
      </c>
      <c r="C2679" t="s">
        <v>155</v>
      </c>
      <c r="D2679" t="str">
        <f>T_Stocks[[#This Row],[Ticker]] &amp; "-" &amp; DATE(YEAR(T_Stocks[[#This Row],[Fecha]]),MONTH(T_Stocks[[#This Row],[Fecha]]),DAY(T_Stocks[[#This Row],[Fecha]]))</f>
        <v>BTCEUR-44683</v>
      </c>
    </row>
    <row r="2680" spans="1:4" ht="14.65" thickBot="1" x14ac:dyDescent="0.5">
      <c r="A2680" s="17">
        <v>44684.998611111114</v>
      </c>
      <c r="B2680" s="19">
        <v>35826.275529999999</v>
      </c>
      <c r="C2680" t="s">
        <v>155</v>
      </c>
      <c r="D2680" t="str">
        <f>T_Stocks[[#This Row],[Ticker]] &amp; "-" &amp; DATE(YEAR(T_Stocks[[#This Row],[Fecha]]),MONTH(T_Stocks[[#This Row],[Fecha]]),DAY(T_Stocks[[#This Row],[Fecha]]))</f>
        <v>BTCEUR-44684</v>
      </c>
    </row>
    <row r="2681" spans="1:4" ht="14.65" thickBot="1" x14ac:dyDescent="0.5">
      <c r="A2681" s="17">
        <v>44685.998611111114</v>
      </c>
      <c r="B2681" s="19">
        <v>37355.51453</v>
      </c>
      <c r="C2681" t="s">
        <v>155</v>
      </c>
      <c r="D2681" t="str">
        <f>T_Stocks[[#This Row],[Ticker]] &amp; "-" &amp; DATE(YEAR(T_Stocks[[#This Row],[Fecha]]),MONTH(T_Stocks[[#This Row],[Fecha]]),DAY(T_Stocks[[#This Row],[Fecha]]))</f>
        <v>BTCEUR-44685</v>
      </c>
    </row>
    <row r="2682" spans="1:4" ht="14.65" thickBot="1" x14ac:dyDescent="0.5">
      <c r="A2682" s="17">
        <v>44686.998611111114</v>
      </c>
      <c r="B2682" s="19">
        <v>34673.179490000002</v>
      </c>
      <c r="C2682" t="s">
        <v>155</v>
      </c>
      <c r="D2682" t="str">
        <f>T_Stocks[[#This Row],[Ticker]] &amp; "-" &amp; DATE(YEAR(T_Stocks[[#This Row],[Fecha]]),MONTH(T_Stocks[[#This Row],[Fecha]]),DAY(T_Stocks[[#This Row],[Fecha]]))</f>
        <v>BTCEUR-44686</v>
      </c>
    </row>
    <row r="2683" spans="1:4" ht="14.65" thickBot="1" x14ac:dyDescent="0.5">
      <c r="A2683" s="17">
        <v>44687.998611111114</v>
      </c>
      <c r="B2683" s="19">
        <v>34132.059029999997</v>
      </c>
      <c r="C2683" t="s">
        <v>155</v>
      </c>
      <c r="D2683" t="str">
        <f>T_Stocks[[#This Row],[Ticker]] &amp; "-" &amp; DATE(YEAR(T_Stocks[[#This Row],[Fecha]]),MONTH(T_Stocks[[#This Row],[Fecha]]),DAY(T_Stocks[[#This Row],[Fecha]]))</f>
        <v>BTCEUR-44687</v>
      </c>
    </row>
    <row r="2684" spans="1:4" ht="14.65" thickBot="1" x14ac:dyDescent="0.5">
      <c r="A2684" s="17">
        <v>44688.998611111114</v>
      </c>
      <c r="B2684" s="19">
        <v>33620.69541</v>
      </c>
      <c r="C2684" t="s">
        <v>155</v>
      </c>
      <c r="D2684" t="str">
        <f>T_Stocks[[#This Row],[Ticker]] &amp; "-" &amp; DATE(YEAR(T_Stocks[[#This Row],[Fecha]]),MONTH(T_Stocks[[#This Row],[Fecha]]),DAY(T_Stocks[[#This Row],[Fecha]]))</f>
        <v>BTCEUR-44688</v>
      </c>
    </row>
    <row r="2685" spans="1:4" ht="14.65" thickBot="1" x14ac:dyDescent="0.5">
      <c r="A2685" s="17">
        <v>44689.998611111114</v>
      </c>
      <c r="B2685" s="19">
        <v>32316.911</v>
      </c>
      <c r="C2685" t="s">
        <v>155</v>
      </c>
      <c r="D2685" t="str">
        <f>T_Stocks[[#This Row],[Ticker]] &amp; "-" &amp; DATE(YEAR(T_Stocks[[#This Row],[Fecha]]),MONTH(T_Stocks[[#This Row],[Fecha]]),DAY(T_Stocks[[#This Row],[Fecha]]))</f>
        <v>BTCEUR-44689</v>
      </c>
    </row>
    <row r="2686" spans="1:4" ht="14.65" thickBot="1" x14ac:dyDescent="0.5">
      <c r="A2686" s="17">
        <v>44690.998611111114</v>
      </c>
      <c r="B2686" s="19">
        <v>28471.137289999999</v>
      </c>
      <c r="C2686" t="s">
        <v>155</v>
      </c>
      <c r="D2686" t="str">
        <f>T_Stocks[[#This Row],[Ticker]] &amp; "-" &amp; DATE(YEAR(T_Stocks[[#This Row],[Fecha]]),MONTH(T_Stocks[[#This Row],[Fecha]]),DAY(T_Stocks[[#This Row],[Fecha]]))</f>
        <v>BTCEUR-44690</v>
      </c>
    </row>
    <row r="2687" spans="1:4" ht="14.65" thickBot="1" x14ac:dyDescent="0.5">
      <c r="A2687" s="17">
        <v>44691.998611111114</v>
      </c>
      <c r="B2687" s="19">
        <v>29435.59634</v>
      </c>
      <c r="C2687" t="s">
        <v>155</v>
      </c>
      <c r="D2687" t="str">
        <f>T_Stocks[[#This Row],[Ticker]] &amp; "-" &amp; DATE(YEAR(T_Stocks[[#This Row],[Fecha]]),MONTH(T_Stocks[[#This Row],[Fecha]]),DAY(T_Stocks[[#This Row],[Fecha]]))</f>
        <v>BTCEUR-44691</v>
      </c>
    </row>
    <row r="2688" spans="1:4" ht="14.65" thickBot="1" x14ac:dyDescent="0.5">
      <c r="A2688" s="17">
        <v>44692.998611111114</v>
      </c>
      <c r="B2688" s="19">
        <v>27565.284449999999</v>
      </c>
      <c r="C2688" t="s">
        <v>155</v>
      </c>
      <c r="D2688" t="str">
        <f>T_Stocks[[#This Row],[Ticker]] &amp; "-" &amp; DATE(YEAR(T_Stocks[[#This Row],[Fecha]]),MONTH(T_Stocks[[#This Row],[Fecha]]),DAY(T_Stocks[[#This Row],[Fecha]]))</f>
        <v>BTCEUR-44692</v>
      </c>
    </row>
    <row r="2689" spans="1:4" ht="14.65" thickBot="1" x14ac:dyDescent="0.5">
      <c r="A2689" s="17">
        <v>44693.998611111114</v>
      </c>
      <c r="B2689" s="19">
        <v>27919.893100000001</v>
      </c>
      <c r="C2689" t="s">
        <v>155</v>
      </c>
      <c r="D2689" t="str">
        <f>T_Stocks[[#This Row],[Ticker]] &amp; "-" &amp; DATE(YEAR(T_Stocks[[#This Row],[Fecha]]),MONTH(T_Stocks[[#This Row],[Fecha]]),DAY(T_Stocks[[#This Row],[Fecha]]))</f>
        <v>BTCEUR-44693</v>
      </c>
    </row>
    <row r="2690" spans="1:4" ht="14.65" thickBot="1" x14ac:dyDescent="0.5">
      <c r="A2690" s="17">
        <v>44694.998611111114</v>
      </c>
      <c r="B2690" s="19">
        <v>28089.414239999998</v>
      </c>
      <c r="C2690" t="s">
        <v>155</v>
      </c>
      <c r="D2690" t="str">
        <f>T_Stocks[[#This Row],[Ticker]] &amp; "-" &amp; DATE(YEAR(T_Stocks[[#This Row],[Fecha]]),MONTH(T_Stocks[[#This Row],[Fecha]]),DAY(T_Stocks[[#This Row],[Fecha]]))</f>
        <v>BTCEUR-44694</v>
      </c>
    </row>
    <row r="2691" spans="1:4" ht="14.65" thickBot="1" x14ac:dyDescent="0.5">
      <c r="A2691" s="17">
        <v>44695.998611111114</v>
      </c>
      <c r="B2691" s="19">
        <v>28863.957640000001</v>
      </c>
      <c r="C2691" t="s">
        <v>155</v>
      </c>
      <c r="D2691" t="str">
        <f>T_Stocks[[#This Row],[Ticker]] &amp; "-" &amp; DATE(YEAR(T_Stocks[[#This Row],[Fecha]]),MONTH(T_Stocks[[#This Row],[Fecha]]),DAY(T_Stocks[[#This Row],[Fecha]]))</f>
        <v>BTCEUR-44695</v>
      </c>
    </row>
    <row r="2692" spans="1:4" ht="14.65" thickBot="1" x14ac:dyDescent="0.5">
      <c r="A2692" s="17">
        <v>44696.998611111114</v>
      </c>
      <c r="B2692" s="19">
        <v>30085.007249999999</v>
      </c>
      <c r="C2692" t="s">
        <v>155</v>
      </c>
      <c r="D2692" t="str">
        <f>T_Stocks[[#This Row],[Ticker]] &amp; "-" &amp; DATE(YEAR(T_Stocks[[#This Row],[Fecha]]),MONTH(T_Stocks[[#This Row],[Fecha]]),DAY(T_Stocks[[#This Row],[Fecha]]))</f>
        <v>BTCEUR-44696</v>
      </c>
    </row>
    <row r="2693" spans="1:4" ht="14.65" thickBot="1" x14ac:dyDescent="0.5">
      <c r="A2693" s="17">
        <v>44697.998611111114</v>
      </c>
      <c r="B2693" s="19">
        <v>28579.192910000002</v>
      </c>
      <c r="C2693" t="s">
        <v>155</v>
      </c>
      <c r="D2693" t="str">
        <f>T_Stocks[[#This Row],[Ticker]] &amp; "-" &amp; DATE(YEAR(T_Stocks[[#This Row],[Fecha]]),MONTH(T_Stocks[[#This Row],[Fecha]]),DAY(T_Stocks[[#This Row],[Fecha]]))</f>
        <v>BTCEUR-44697</v>
      </c>
    </row>
    <row r="2694" spans="1:4" ht="14.65" thickBot="1" x14ac:dyDescent="0.5">
      <c r="A2694" s="17">
        <v>44698.998611111114</v>
      </c>
      <c r="B2694" s="19">
        <v>28836.344639999999</v>
      </c>
      <c r="C2694" t="s">
        <v>155</v>
      </c>
      <c r="D2694" t="str">
        <f>T_Stocks[[#This Row],[Ticker]] &amp; "-" &amp; DATE(YEAR(T_Stocks[[#This Row],[Fecha]]),MONTH(T_Stocks[[#This Row],[Fecha]]),DAY(T_Stocks[[#This Row],[Fecha]]))</f>
        <v>BTCEUR-44698</v>
      </c>
    </row>
    <row r="2695" spans="1:4" ht="14.65" thickBot="1" x14ac:dyDescent="0.5">
      <c r="A2695" s="17">
        <v>44699.998611111114</v>
      </c>
      <c r="B2695" s="19">
        <v>27370.527170000001</v>
      </c>
      <c r="C2695" t="s">
        <v>155</v>
      </c>
      <c r="D2695" t="str">
        <f>T_Stocks[[#This Row],[Ticker]] &amp; "-" &amp; DATE(YEAR(T_Stocks[[#This Row],[Fecha]]),MONTH(T_Stocks[[#This Row],[Fecha]]),DAY(T_Stocks[[#This Row],[Fecha]]))</f>
        <v>BTCEUR-44699</v>
      </c>
    </row>
    <row r="2696" spans="1:4" ht="14.65" thickBot="1" x14ac:dyDescent="0.5">
      <c r="A2696" s="17">
        <v>44700.998611111114</v>
      </c>
      <c r="B2696" s="19">
        <v>28623.021369999999</v>
      </c>
      <c r="C2696" t="s">
        <v>155</v>
      </c>
      <c r="D2696" t="str">
        <f>T_Stocks[[#This Row],[Ticker]] &amp; "-" &amp; DATE(YEAR(T_Stocks[[#This Row],[Fecha]]),MONTH(T_Stocks[[#This Row],[Fecha]]),DAY(T_Stocks[[#This Row],[Fecha]]))</f>
        <v>BTCEUR-44700</v>
      </c>
    </row>
    <row r="2697" spans="1:4" ht="14.65" thickBot="1" x14ac:dyDescent="0.5">
      <c r="A2697" s="17">
        <v>44701.998611111114</v>
      </c>
      <c r="B2697" s="19">
        <v>27603.329300000001</v>
      </c>
      <c r="C2697" t="s">
        <v>155</v>
      </c>
      <c r="D2697" t="str">
        <f>T_Stocks[[#This Row],[Ticker]] &amp; "-" &amp; DATE(YEAR(T_Stocks[[#This Row],[Fecha]]),MONTH(T_Stocks[[#This Row],[Fecha]]),DAY(T_Stocks[[#This Row],[Fecha]]))</f>
        <v>BTCEUR-44701</v>
      </c>
    </row>
    <row r="2698" spans="1:4" ht="14.65" thickBot="1" x14ac:dyDescent="0.5">
      <c r="A2698" s="17">
        <v>44702.998611111114</v>
      </c>
      <c r="B2698" s="19">
        <v>27839.515459999999</v>
      </c>
      <c r="C2698" t="s">
        <v>155</v>
      </c>
      <c r="D2698" t="str">
        <f>T_Stocks[[#This Row],[Ticker]] &amp; "-" &amp; DATE(YEAR(T_Stocks[[#This Row],[Fecha]]),MONTH(T_Stocks[[#This Row],[Fecha]]),DAY(T_Stocks[[#This Row],[Fecha]]))</f>
        <v>BTCEUR-44702</v>
      </c>
    </row>
    <row r="2699" spans="1:4" ht="14.65" thickBot="1" x14ac:dyDescent="0.5">
      <c r="A2699" s="17">
        <v>44703.998611111114</v>
      </c>
      <c r="B2699" s="19">
        <v>28633.234090000002</v>
      </c>
      <c r="C2699" t="s">
        <v>155</v>
      </c>
      <c r="D2699" t="str">
        <f>T_Stocks[[#This Row],[Ticker]] &amp; "-" &amp; DATE(YEAR(T_Stocks[[#This Row],[Fecha]]),MONTH(T_Stocks[[#This Row],[Fecha]]),DAY(T_Stocks[[#This Row],[Fecha]]))</f>
        <v>BTCEUR-44703</v>
      </c>
    </row>
    <row r="2700" spans="1:4" ht="14.65" thickBot="1" x14ac:dyDescent="0.5">
      <c r="A2700" s="17">
        <v>44704.998611111114</v>
      </c>
      <c r="B2700" s="19">
        <v>27218.645499999999</v>
      </c>
      <c r="C2700" t="s">
        <v>155</v>
      </c>
      <c r="D2700" t="str">
        <f>T_Stocks[[#This Row],[Ticker]] &amp; "-" &amp; DATE(YEAR(T_Stocks[[#This Row],[Fecha]]),MONTH(T_Stocks[[#This Row],[Fecha]]),DAY(T_Stocks[[#This Row],[Fecha]]))</f>
        <v>BTCEUR-44704</v>
      </c>
    </row>
    <row r="2701" spans="1:4" ht="14.65" thickBot="1" x14ac:dyDescent="0.5">
      <c r="A2701" s="17">
        <v>44705.998611111114</v>
      </c>
      <c r="B2701" s="19">
        <v>27598.415850000001</v>
      </c>
      <c r="C2701" t="s">
        <v>155</v>
      </c>
      <c r="D2701" t="str">
        <f>T_Stocks[[#This Row],[Ticker]] &amp; "-" &amp; DATE(YEAR(T_Stocks[[#This Row],[Fecha]]),MONTH(T_Stocks[[#This Row],[Fecha]]),DAY(T_Stocks[[#This Row],[Fecha]]))</f>
        <v>BTCEUR-44705</v>
      </c>
    </row>
    <row r="2702" spans="1:4" ht="14.65" thickBot="1" x14ac:dyDescent="0.5">
      <c r="A2702" s="17">
        <v>44706.998611111114</v>
      </c>
      <c r="B2702" s="19">
        <v>27610.28628</v>
      </c>
      <c r="C2702" t="s">
        <v>155</v>
      </c>
      <c r="D2702" t="str">
        <f>T_Stocks[[#This Row],[Ticker]] &amp; "-" &amp; DATE(YEAR(T_Stocks[[#This Row],[Fecha]]),MONTH(T_Stocks[[#This Row],[Fecha]]),DAY(T_Stocks[[#This Row],[Fecha]]))</f>
        <v>BTCEUR-44706</v>
      </c>
    </row>
    <row r="2703" spans="1:4" ht="14.65" thickBot="1" x14ac:dyDescent="0.5">
      <c r="A2703" s="17">
        <v>44707.998611111114</v>
      </c>
      <c r="B2703" s="19">
        <v>27194.527859999998</v>
      </c>
      <c r="C2703" t="s">
        <v>155</v>
      </c>
      <c r="D2703" t="str">
        <f>T_Stocks[[#This Row],[Ticker]] &amp; "-" &amp; DATE(YEAR(T_Stocks[[#This Row],[Fecha]]),MONTH(T_Stocks[[#This Row],[Fecha]]),DAY(T_Stocks[[#This Row],[Fecha]]))</f>
        <v>BTCEUR-44707</v>
      </c>
    </row>
    <row r="2704" spans="1:4" ht="14.65" thickBot="1" x14ac:dyDescent="0.5">
      <c r="A2704" s="17">
        <v>44708.998611111114</v>
      </c>
      <c r="B2704" s="19">
        <v>26627.347389999999</v>
      </c>
      <c r="C2704" t="s">
        <v>155</v>
      </c>
      <c r="D2704" t="str">
        <f>T_Stocks[[#This Row],[Ticker]] &amp; "-" &amp; DATE(YEAR(T_Stocks[[#This Row],[Fecha]]),MONTH(T_Stocks[[#This Row],[Fecha]]),DAY(T_Stocks[[#This Row],[Fecha]]))</f>
        <v>BTCEUR-44708</v>
      </c>
    </row>
    <row r="2705" spans="1:4" ht="14.65" thickBot="1" x14ac:dyDescent="0.5">
      <c r="A2705" s="17">
        <v>44709.998611111114</v>
      </c>
      <c r="B2705" s="19">
        <v>27017.762299999999</v>
      </c>
      <c r="C2705" t="s">
        <v>155</v>
      </c>
      <c r="D2705" t="str">
        <f>T_Stocks[[#This Row],[Ticker]] &amp; "-" &amp; DATE(YEAR(T_Stocks[[#This Row],[Fecha]]),MONTH(T_Stocks[[#This Row],[Fecha]]),DAY(T_Stocks[[#This Row],[Fecha]]))</f>
        <v>BTCEUR-44709</v>
      </c>
    </row>
    <row r="2706" spans="1:4" ht="14.65" thickBot="1" x14ac:dyDescent="0.5">
      <c r="A2706" s="17">
        <v>44710.998611111114</v>
      </c>
      <c r="B2706" s="19">
        <v>27446.098529999999</v>
      </c>
      <c r="C2706" t="s">
        <v>155</v>
      </c>
      <c r="D2706" t="str">
        <f>T_Stocks[[#This Row],[Ticker]] &amp; "-" &amp; DATE(YEAR(T_Stocks[[#This Row],[Fecha]]),MONTH(T_Stocks[[#This Row],[Fecha]]),DAY(T_Stocks[[#This Row],[Fecha]]))</f>
        <v>BTCEUR-44710</v>
      </c>
    </row>
    <row r="2707" spans="1:4" ht="14.65" thickBot="1" x14ac:dyDescent="0.5">
      <c r="A2707" s="17">
        <v>44711.998611111114</v>
      </c>
      <c r="B2707" s="19">
        <v>29439.570879999999</v>
      </c>
      <c r="C2707" t="s">
        <v>155</v>
      </c>
      <c r="D2707" t="str">
        <f>T_Stocks[[#This Row],[Ticker]] &amp; "-" &amp; DATE(YEAR(T_Stocks[[#This Row],[Fecha]]),MONTH(T_Stocks[[#This Row],[Fecha]]),DAY(T_Stocks[[#This Row],[Fecha]]))</f>
        <v>BTCEUR-44711</v>
      </c>
    </row>
    <row r="2708" spans="1:4" ht="14.65" thickBot="1" x14ac:dyDescent="0.5">
      <c r="A2708" s="17">
        <v>44712.998611111114</v>
      </c>
      <c r="B2708" s="19">
        <v>29599.904780000001</v>
      </c>
      <c r="C2708" t="s">
        <v>155</v>
      </c>
      <c r="D2708" t="str">
        <f>T_Stocks[[#This Row],[Ticker]] &amp; "-" &amp; DATE(YEAR(T_Stocks[[#This Row],[Fecha]]),MONTH(T_Stocks[[#This Row],[Fecha]]),DAY(T_Stocks[[#This Row],[Fecha]]))</f>
        <v>BTCEUR-44712</v>
      </c>
    </row>
    <row r="2709" spans="1:4" ht="14.65" thickBot="1" x14ac:dyDescent="0.5">
      <c r="A2709" s="17">
        <v>44713.998611111114</v>
      </c>
      <c r="B2709" s="19">
        <v>27960.077410000002</v>
      </c>
      <c r="C2709" t="s">
        <v>155</v>
      </c>
      <c r="D2709" t="str">
        <f>T_Stocks[[#This Row],[Ticker]] &amp; "-" &amp; DATE(YEAR(T_Stocks[[#This Row],[Fecha]]),MONTH(T_Stocks[[#This Row],[Fecha]]),DAY(T_Stocks[[#This Row],[Fecha]]))</f>
        <v>BTCEUR-44713</v>
      </c>
    </row>
    <row r="2710" spans="1:4" ht="14.65" thickBot="1" x14ac:dyDescent="0.5">
      <c r="A2710" s="17">
        <v>44714.998611111114</v>
      </c>
      <c r="B2710" s="19">
        <v>28315.024229999999</v>
      </c>
      <c r="C2710" t="s">
        <v>155</v>
      </c>
      <c r="D2710" t="str">
        <f>T_Stocks[[#This Row],[Ticker]] &amp; "-" &amp; DATE(YEAR(T_Stocks[[#This Row],[Fecha]]),MONTH(T_Stocks[[#This Row],[Fecha]]),DAY(T_Stocks[[#This Row],[Fecha]]))</f>
        <v>BTCEUR-44714</v>
      </c>
    </row>
    <row r="2711" spans="1:4" ht="14.65" thickBot="1" x14ac:dyDescent="0.5">
      <c r="A2711" s="17">
        <v>44715.998611111114</v>
      </c>
      <c r="B2711" s="19">
        <v>27684.046969999999</v>
      </c>
      <c r="C2711" t="s">
        <v>155</v>
      </c>
      <c r="D2711" t="str">
        <f>T_Stocks[[#This Row],[Ticker]] &amp; "-" &amp; DATE(YEAR(T_Stocks[[#This Row],[Fecha]]),MONTH(T_Stocks[[#This Row],[Fecha]]),DAY(T_Stocks[[#This Row],[Fecha]]))</f>
        <v>BTCEUR-44715</v>
      </c>
    </row>
    <row r="2712" spans="1:4" ht="14.65" thickBot="1" x14ac:dyDescent="0.5">
      <c r="A2712" s="17">
        <v>44716.998611111114</v>
      </c>
      <c r="B2712" s="19">
        <v>27840.91778</v>
      </c>
      <c r="C2712" t="s">
        <v>155</v>
      </c>
      <c r="D2712" t="str">
        <f>T_Stocks[[#This Row],[Ticker]] &amp; "-" &amp; DATE(YEAR(T_Stocks[[#This Row],[Fecha]]),MONTH(T_Stocks[[#This Row],[Fecha]]),DAY(T_Stocks[[#This Row],[Fecha]]))</f>
        <v>BTCEUR-44716</v>
      </c>
    </row>
    <row r="2713" spans="1:4" ht="14.65" thickBot="1" x14ac:dyDescent="0.5">
      <c r="A2713" s="17">
        <v>44717.998611111114</v>
      </c>
      <c r="B2713" s="19">
        <v>27880.15251</v>
      </c>
      <c r="C2713" t="s">
        <v>155</v>
      </c>
      <c r="D2713" t="str">
        <f>T_Stocks[[#This Row],[Ticker]] &amp; "-" &amp; DATE(YEAR(T_Stocks[[#This Row],[Fecha]]),MONTH(T_Stocks[[#This Row],[Fecha]]),DAY(T_Stocks[[#This Row],[Fecha]]))</f>
        <v>BTCEUR-44717</v>
      </c>
    </row>
    <row r="2714" spans="1:4" ht="14.65" thickBot="1" x14ac:dyDescent="0.5">
      <c r="A2714" s="17">
        <v>44718.998611111114</v>
      </c>
      <c r="B2714" s="19">
        <v>29335.100859999999</v>
      </c>
      <c r="C2714" t="s">
        <v>155</v>
      </c>
      <c r="D2714" t="str">
        <f>T_Stocks[[#This Row],[Ticker]] &amp; "-" &amp; DATE(YEAR(T_Stocks[[#This Row],[Fecha]]),MONTH(T_Stocks[[#This Row],[Fecha]]),DAY(T_Stocks[[#This Row],[Fecha]]))</f>
        <v>BTCEUR-44718</v>
      </c>
    </row>
    <row r="2715" spans="1:4" ht="14.65" thickBot="1" x14ac:dyDescent="0.5">
      <c r="A2715" s="17">
        <v>44719.998611111114</v>
      </c>
      <c r="B2715" s="19">
        <v>29078.788059999999</v>
      </c>
      <c r="C2715" t="s">
        <v>155</v>
      </c>
      <c r="D2715" t="str">
        <f>T_Stocks[[#This Row],[Ticker]] &amp; "-" &amp; DATE(YEAR(T_Stocks[[#This Row],[Fecha]]),MONTH(T_Stocks[[#This Row],[Fecha]]),DAY(T_Stocks[[#This Row],[Fecha]]))</f>
        <v>BTCEUR-44719</v>
      </c>
    </row>
    <row r="2716" spans="1:4" ht="14.65" thickBot="1" x14ac:dyDescent="0.5">
      <c r="A2716" s="17">
        <v>44720.998611111114</v>
      </c>
      <c r="B2716" s="19">
        <v>28175.410080000001</v>
      </c>
      <c r="C2716" t="s">
        <v>155</v>
      </c>
      <c r="D2716" t="str">
        <f>T_Stocks[[#This Row],[Ticker]] &amp; "-" &amp; DATE(YEAR(T_Stocks[[#This Row],[Fecha]]),MONTH(T_Stocks[[#This Row],[Fecha]]),DAY(T_Stocks[[#This Row],[Fecha]]))</f>
        <v>BTCEUR-44720</v>
      </c>
    </row>
    <row r="2717" spans="1:4" ht="14.65" thickBot="1" x14ac:dyDescent="0.5">
      <c r="A2717" s="17">
        <v>44721.998611111114</v>
      </c>
      <c r="B2717" s="19">
        <v>28335.99828</v>
      </c>
      <c r="C2717" t="s">
        <v>155</v>
      </c>
      <c r="D2717" t="str">
        <f>T_Stocks[[#This Row],[Ticker]] &amp; "-" &amp; DATE(YEAR(T_Stocks[[#This Row],[Fecha]]),MONTH(T_Stocks[[#This Row],[Fecha]]),DAY(T_Stocks[[#This Row],[Fecha]]))</f>
        <v>BTCEUR-44721</v>
      </c>
    </row>
    <row r="2718" spans="1:4" ht="14.65" thickBot="1" x14ac:dyDescent="0.5">
      <c r="A2718" s="17">
        <v>44722.998611111114</v>
      </c>
      <c r="B2718" s="19">
        <v>27621.122490000002</v>
      </c>
      <c r="C2718" t="s">
        <v>155</v>
      </c>
      <c r="D2718" t="str">
        <f>T_Stocks[[#This Row],[Ticker]] &amp; "-" &amp; DATE(YEAR(T_Stocks[[#This Row],[Fecha]]),MONTH(T_Stocks[[#This Row],[Fecha]]),DAY(T_Stocks[[#This Row],[Fecha]]))</f>
        <v>BTCEUR-44722</v>
      </c>
    </row>
    <row r="2719" spans="1:4" ht="14.65" thickBot="1" x14ac:dyDescent="0.5">
      <c r="A2719" s="17">
        <v>44723.998611111114</v>
      </c>
      <c r="B2719" s="19">
        <v>26977.601309999998</v>
      </c>
      <c r="C2719" t="s">
        <v>155</v>
      </c>
      <c r="D2719" t="str">
        <f>T_Stocks[[#This Row],[Ticker]] &amp; "-" &amp; DATE(YEAR(T_Stocks[[#This Row],[Fecha]]),MONTH(T_Stocks[[#This Row],[Fecha]]),DAY(T_Stocks[[#This Row],[Fecha]]))</f>
        <v>BTCEUR-44723</v>
      </c>
    </row>
    <row r="2720" spans="1:4" ht="14.65" thickBot="1" x14ac:dyDescent="0.5">
      <c r="A2720" s="17">
        <v>44724.998611111114</v>
      </c>
      <c r="B2720" s="19">
        <v>25356.751359999998</v>
      </c>
      <c r="C2720" t="s">
        <v>155</v>
      </c>
      <c r="D2720" t="str">
        <f>T_Stocks[[#This Row],[Ticker]] &amp; "-" &amp; DATE(YEAR(T_Stocks[[#This Row],[Fecha]]),MONTH(T_Stocks[[#This Row],[Fecha]]),DAY(T_Stocks[[#This Row],[Fecha]]))</f>
        <v>BTCEUR-44724</v>
      </c>
    </row>
    <row r="2721" spans="1:4" ht="14.65" thickBot="1" x14ac:dyDescent="0.5">
      <c r="A2721" s="17">
        <v>44725.998611111114</v>
      </c>
      <c r="B2721" s="19">
        <v>21544.936710000002</v>
      </c>
      <c r="C2721" t="s">
        <v>155</v>
      </c>
      <c r="D2721" t="str">
        <f>T_Stocks[[#This Row],[Ticker]] &amp; "-" &amp; DATE(YEAR(T_Stocks[[#This Row],[Fecha]]),MONTH(T_Stocks[[#This Row],[Fecha]]),DAY(T_Stocks[[#This Row],[Fecha]]))</f>
        <v>BTCEUR-44725</v>
      </c>
    </row>
    <row r="2722" spans="1:4" ht="14.65" thickBot="1" x14ac:dyDescent="0.5">
      <c r="A2722" s="17">
        <v>44726.998611111114</v>
      </c>
      <c r="B2722" s="19">
        <v>21211.208920000001</v>
      </c>
      <c r="C2722" t="s">
        <v>155</v>
      </c>
      <c r="D2722" t="str">
        <f>T_Stocks[[#This Row],[Ticker]] &amp; "-" &amp; DATE(YEAR(T_Stocks[[#This Row],[Fecha]]),MONTH(T_Stocks[[#This Row],[Fecha]]),DAY(T_Stocks[[#This Row],[Fecha]]))</f>
        <v>BTCEUR-44726</v>
      </c>
    </row>
    <row r="2723" spans="1:4" ht="14.65" thickBot="1" x14ac:dyDescent="0.5">
      <c r="A2723" s="17">
        <v>44727.998611111114</v>
      </c>
      <c r="B2723" s="19">
        <v>21582.535680000001</v>
      </c>
      <c r="C2723" t="s">
        <v>155</v>
      </c>
      <c r="D2723" t="str">
        <f>T_Stocks[[#This Row],[Ticker]] &amp; "-" &amp; DATE(YEAR(T_Stocks[[#This Row],[Fecha]]),MONTH(T_Stocks[[#This Row],[Fecha]]),DAY(T_Stocks[[#This Row],[Fecha]]))</f>
        <v>BTCEUR-44727</v>
      </c>
    </row>
    <row r="2724" spans="1:4" ht="14.65" thickBot="1" x14ac:dyDescent="0.5">
      <c r="A2724" s="17">
        <v>44728.998611111114</v>
      </c>
      <c r="B2724" s="19">
        <v>19318.935509999999</v>
      </c>
      <c r="C2724" t="s">
        <v>155</v>
      </c>
      <c r="D2724" t="str">
        <f>T_Stocks[[#This Row],[Ticker]] &amp; "-" &amp; DATE(YEAR(T_Stocks[[#This Row],[Fecha]]),MONTH(T_Stocks[[#This Row],[Fecha]]),DAY(T_Stocks[[#This Row],[Fecha]]))</f>
        <v>BTCEUR-44728</v>
      </c>
    </row>
    <row r="2725" spans="1:4" ht="14.65" thickBot="1" x14ac:dyDescent="0.5">
      <c r="A2725" s="17">
        <v>44729.998611111114</v>
      </c>
      <c r="B2725" s="19">
        <v>19470.94915</v>
      </c>
      <c r="C2725" t="s">
        <v>155</v>
      </c>
      <c r="D2725" t="str">
        <f>T_Stocks[[#This Row],[Ticker]] &amp; "-" &amp; DATE(YEAR(T_Stocks[[#This Row],[Fecha]]),MONTH(T_Stocks[[#This Row],[Fecha]]),DAY(T_Stocks[[#This Row],[Fecha]]))</f>
        <v>BTCEUR-44729</v>
      </c>
    </row>
    <row r="2726" spans="1:4" ht="14.65" thickBot="1" x14ac:dyDescent="0.5">
      <c r="A2726" s="17">
        <v>44730.998611111114</v>
      </c>
      <c r="B2726" s="19">
        <v>18074.071830000001</v>
      </c>
      <c r="C2726" t="s">
        <v>155</v>
      </c>
      <c r="D2726" t="str">
        <f>T_Stocks[[#This Row],[Ticker]] &amp; "-" &amp; DATE(YEAR(T_Stocks[[#This Row],[Fecha]]),MONTH(T_Stocks[[#This Row],[Fecha]]),DAY(T_Stocks[[#This Row],[Fecha]]))</f>
        <v>BTCEUR-44730</v>
      </c>
    </row>
    <row r="2727" spans="1:4" ht="14.65" thickBot="1" x14ac:dyDescent="0.5">
      <c r="A2727" s="17">
        <v>44731.998611111114</v>
      </c>
      <c r="B2727" s="19">
        <v>19596.76943</v>
      </c>
      <c r="C2727" t="s">
        <v>155</v>
      </c>
      <c r="D2727" t="str">
        <f>T_Stocks[[#This Row],[Ticker]] &amp; "-" &amp; DATE(YEAR(T_Stocks[[#This Row],[Fecha]]),MONTH(T_Stocks[[#This Row],[Fecha]]),DAY(T_Stocks[[#This Row],[Fecha]]))</f>
        <v>BTCEUR-44731</v>
      </c>
    </row>
    <row r="2728" spans="1:4" ht="14.65" thickBot="1" x14ac:dyDescent="0.5">
      <c r="A2728" s="17">
        <v>44732.998611111114</v>
      </c>
      <c r="B2728" s="19">
        <v>19550.159640000002</v>
      </c>
      <c r="C2728" t="s">
        <v>155</v>
      </c>
      <c r="D2728" t="str">
        <f>T_Stocks[[#This Row],[Ticker]] &amp; "-" &amp; DATE(YEAR(T_Stocks[[#This Row],[Fecha]]),MONTH(T_Stocks[[#This Row],[Fecha]]),DAY(T_Stocks[[#This Row],[Fecha]]))</f>
        <v>BTCEUR-44732</v>
      </c>
    </row>
    <row r="2729" spans="1:4" ht="14.65" thickBot="1" x14ac:dyDescent="0.5">
      <c r="A2729" s="17">
        <v>44733.998611111114</v>
      </c>
      <c r="B2729" s="19">
        <v>19655.584060000001</v>
      </c>
      <c r="C2729" t="s">
        <v>155</v>
      </c>
      <c r="D2729" t="str">
        <f>T_Stocks[[#This Row],[Ticker]] &amp; "-" &amp; DATE(YEAR(T_Stocks[[#This Row],[Fecha]]),MONTH(T_Stocks[[#This Row],[Fecha]]),DAY(T_Stocks[[#This Row],[Fecha]]))</f>
        <v>BTCEUR-44733</v>
      </c>
    </row>
    <row r="2730" spans="1:4" ht="14.65" thickBot="1" x14ac:dyDescent="0.5">
      <c r="A2730" s="17">
        <v>44734.998611111114</v>
      </c>
      <c r="B2730" s="19">
        <v>18894.524099999999</v>
      </c>
      <c r="C2730" t="s">
        <v>155</v>
      </c>
      <c r="D2730" t="str">
        <f>T_Stocks[[#This Row],[Ticker]] &amp; "-" &amp; DATE(YEAR(T_Stocks[[#This Row],[Fecha]]),MONTH(T_Stocks[[#This Row],[Fecha]]),DAY(T_Stocks[[#This Row],[Fecha]]))</f>
        <v>BTCEUR-44734</v>
      </c>
    </row>
    <row r="2731" spans="1:4" ht="14.65" thickBot="1" x14ac:dyDescent="0.5">
      <c r="A2731" s="17">
        <v>44735.998611111114</v>
      </c>
      <c r="B2731" s="19">
        <v>20045.684939999999</v>
      </c>
      <c r="C2731" t="s">
        <v>155</v>
      </c>
      <c r="D2731" t="str">
        <f>T_Stocks[[#This Row],[Ticker]] &amp; "-" &amp; DATE(YEAR(T_Stocks[[#This Row],[Fecha]]),MONTH(T_Stocks[[#This Row],[Fecha]]),DAY(T_Stocks[[#This Row],[Fecha]]))</f>
        <v>BTCEUR-44735</v>
      </c>
    </row>
    <row r="2732" spans="1:4" ht="14.65" thickBot="1" x14ac:dyDescent="0.5">
      <c r="A2732" s="17">
        <v>44736.998611111114</v>
      </c>
      <c r="B2732" s="19">
        <v>20095.624619999999</v>
      </c>
      <c r="C2732" t="s">
        <v>155</v>
      </c>
      <c r="D2732" t="str">
        <f>T_Stocks[[#This Row],[Ticker]] &amp; "-" &amp; DATE(YEAR(T_Stocks[[#This Row],[Fecha]]),MONTH(T_Stocks[[#This Row],[Fecha]]),DAY(T_Stocks[[#This Row],[Fecha]]))</f>
        <v>BTCEUR-44736</v>
      </c>
    </row>
    <row r="2733" spans="1:4" ht="14.65" thickBot="1" x14ac:dyDescent="0.5">
      <c r="A2733" s="17">
        <v>44737.998611111114</v>
      </c>
      <c r="B2733" s="19">
        <v>20347.25015</v>
      </c>
      <c r="C2733" t="s">
        <v>155</v>
      </c>
      <c r="D2733" t="str">
        <f>T_Stocks[[#This Row],[Ticker]] &amp; "-" &amp; DATE(YEAR(T_Stocks[[#This Row],[Fecha]]),MONTH(T_Stocks[[#This Row],[Fecha]]),DAY(T_Stocks[[#This Row],[Fecha]]))</f>
        <v>BTCEUR-44737</v>
      </c>
    </row>
    <row r="2734" spans="1:4" ht="14.65" thickBot="1" x14ac:dyDescent="0.5">
      <c r="A2734" s="17">
        <v>44738.998611111114</v>
      </c>
      <c r="B2734" s="19">
        <v>19909.43057</v>
      </c>
      <c r="C2734" t="s">
        <v>155</v>
      </c>
      <c r="D2734" t="str">
        <f>T_Stocks[[#This Row],[Ticker]] &amp; "-" &amp; DATE(YEAR(T_Stocks[[#This Row],[Fecha]]),MONTH(T_Stocks[[#This Row],[Fecha]]),DAY(T_Stocks[[#This Row],[Fecha]]))</f>
        <v>BTCEUR-44738</v>
      </c>
    </row>
    <row r="2735" spans="1:4" ht="14.65" thickBot="1" x14ac:dyDescent="0.5">
      <c r="A2735" s="17">
        <v>44739.998611111114</v>
      </c>
      <c r="B2735" s="19">
        <v>19572.425579999999</v>
      </c>
      <c r="C2735" t="s">
        <v>155</v>
      </c>
      <c r="D2735" t="str">
        <f>T_Stocks[[#This Row],[Ticker]] &amp; "-" &amp; DATE(YEAR(T_Stocks[[#This Row],[Fecha]]),MONTH(T_Stocks[[#This Row],[Fecha]]),DAY(T_Stocks[[#This Row],[Fecha]]))</f>
        <v>BTCEUR-44739</v>
      </c>
    </row>
    <row r="2736" spans="1:4" ht="14.65" thickBot="1" x14ac:dyDescent="0.5">
      <c r="A2736" s="17">
        <v>44740.998611111114</v>
      </c>
      <c r="B2736" s="19">
        <v>19253.6139</v>
      </c>
      <c r="C2736" t="s">
        <v>155</v>
      </c>
      <c r="D2736" t="str">
        <f>T_Stocks[[#This Row],[Ticker]] &amp; "-" &amp; DATE(YEAR(T_Stocks[[#This Row],[Fecha]]),MONTH(T_Stocks[[#This Row],[Fecha]]),DAY(T_Stocks[[#This Row],[Fecha]]))</f>
        <v>BTCEUR-44740</v>
      </c>
    </row>
    <row r="2737" spans="1:4" ht="14.65" thickBot="1" x14ac:dyDescent="0.5">
      <c r="A2737" s="17">
        <v>44741.998611111114</v>
      </c>
      <c r="B2737" s="19">
        <v>19238.3223</v>
      </c>
      <c r="C2737" t="s">
        <v>155</v>
      </c>
      <c r="D2737" t="str">
        <f>T_Stocks[[#This Row],[Ticker]] &amp; "-" &amp; DATE(YEAR(T_Stocks[[#This Row],[Fecha]]),MONTH(T_Stocks[[#This Row],[Fecha]]),DAY(T_Stocks[[#This Row],[Fecha]]))</f>
        <v>BTCEUR-44741</v>
      </c>
    </row>
    <row r="2738" spans="1:4" ht="14.65" thickBot="1" x14ac:dyDescent="0.5">
      <c r="A2738" s="17">
        <v>44742.998611111114</v>
      </c>
      <c r="B2738" s="19">
        <v>19005.299940000001</v>
      </c>
      <c r="C2738" t="s">
        <v>155</v>
      </c>
      <c r="D2738" t="str">
        <f>T_Stocks[[#This Row],[Ticker]] &amp; "-" &amp; DATE(YEAR(T_Stocks[[#This Row],[Fecha]]),MONTH(T_Stocks[[#This Row],[Fecha]]),DAY(T_Stocks[[#This Row],[Fecha]]))</f>
        <v>BTCEUR-44742</v>
      </c>
    </row>
    <row r="2739" spans="1:4" ht="14.65" thickBot="1" x14ac:dyDescent="0.5">
      <c r="A2739" s="17">
        <v>44743.998611111114</v>
      </c>
      <c r="B2739" s="19">
        <v>18456.190480000001</v>
      </c>
      <c r="C2739" t="s">
        <v>155</v>
      </c>
      <c r="D2739" t="str">
        <f>T_Stocks[[#This Row],[Ticker]] &amp; "-" &amp; DATE(YEAR(T_Stocks[[#This Row],[Fecha]]),MONTH(T_Stocks[[#This Row],[Fecha]]),DAY(T_Stocks[[#This Row],[Fecha]]))</f>
        <v>BTCEUR-44743</v>
      </c>
    </row>
    <row r="2740" spans="1:4" ht="14.65" thickBot="1" x14ac:dyDescent="0.5">
      <c r="A2740" s="17">
        <v>44744.998611111114</v>
      </c>
      <c r="B2740" s="19">
        <v>18435.959800000001</v>
      </c>
      <c r="C2740" t="s">
        <v>155</v>
      </c>
      <c r="D2740" t="str">
        <f>T_Stocks[[#This Row],[Ticker]] &amp; "-" &amp; DATE(YEAR(T_Stocks[[#This Row],[Fecha]]),MONTH(T_Stocks[[#This Row],[Fecha]]),DAY(T_Stocks[[#This Row],[Fecha]]))</f>
        <v>BTCEUR-44744</v>
      </c>
    </row>
    <row r="2741" spans="1:4" ht="14.65" thickBot="1" x14ac:dyDescent="0.5">
      <c r="A2741" s="17">
        <v>44745.998611111114</v>
      </c>
      <c r="B2741" s="19">
        <v>18493.92022</v>
      </c>
      <c r="C2741" t="s">
        <v>155</v>
      </c>
      <c r="D2741" t="str">
        <f>T_Stocks[[#This Row],[Ticker]] &amp; "-" &amp; DATE(YEAR(T_Stocks[[#This Row],[Fecha]]),MONTH(T_Stocks[[#This Row],[Fecha]]),DAY(T_Stocks[[#This Row],[Fecha]]))</f>
        <v>BTCEUR-44745</v>
      </c>
    </row>
    <row r="2742" spans="1:4" ht="14.65" thickBot="1" x14ac:dyDescent="0.5">
      <c r="A2742" s="17">
        <v>44746.998611111114</v>
      </c>
      <c r="B2742" s="19">
        <v>19373.248240000001</v>
      </c>
      <c r="C2742" t="s">
        <v>155</v>
      </c>
      <c r="D2742" t="str">
        <f>T_Stocks[[#This Row],[Ticker]] &amp; "-" &amp; DATE(YEAR(T_Stocks[[#This Row],[Fecha]]),MONTH(T_Stocks[[#This Row],[Fecha]]),DAY(T_Stocks[[#This Row],[Fecha]]))</f>
        <v>BTCEUR-44746</v>
      </c>
    </row>
    <row r="2743" spans="1:4" ht="14.65" thickBot="1" x14ac:dyDescent="0.5">
      <c r="A2743" s="17">
        <v>44747.998611111114</v>
      </c>
      <c r="B2743" s="19">
        <v>19668.204000000002</v>
      </c>
      <c r="C2743" t="s">
        <v>155</v>
      </c>
      <c r="D2743" t="str">
        <f>T_Stocks[[#This Row],[Ticker]] &amp; "-" &amp; DATE(YEAR(T_Stocks[[#This Row],[Fecha]]),MONTH(T_Stocks[[#This Row],[Fecha]]),DAY(T_Stocks[[#This Row],[Fecha]]))</f>
        <v>BTCEUR-44747</v>
      </c>
    </row>
    <row r="2744" spans="1:4" ht="14.65" thickBot="1" x14ac:dyDescent="0.5">
      <c r="A2744" s="17">
        <v>44748.998611111114</v>
      </c>
      <c r="B2744" s="19">
        <v>20172.776590000001</v>
      </c>
      <c r="C2744" t="s">
        <v>155</v>
      </c>
      <c r="D2744" t="str">
        <f>T_Stocks[[#This Row],[Ticker]] &amp; "-" &amp; DATE(YEAR(T_Stocks[[#This Row],[Fecha]]),MONTH(T_Stocks[[#This Row],[Fecha]]),DAY(T_Stocks[[#This Row],[Fecha]]))</f>
        <v>BTCEUR-44748</v>
      </c>
    </row>
    <row r="2745" spans="1:4" ht="14.65" thickBot="1" x14ac:dyDescent="0.5">
      <c r="A2745" s="17">
        <v>44749.998611111114</v>
      </c>
      <c r="B2745" s="19">
        <v>21270.460439999999</v>
      </c>
      <c r="C2745" t="s">
        <v>155</v>
      </c>
      <c r="D2745" t="str">
        <f>T_Stocks[[#This Row],[Ticker]] &amp; "-" &amp; DATE(YEAR(T_Stocks[[#This Row],[Fecha]]),MONTH(T_Stocks[[#This Row],[Fecha]]),DAY(T_Stocks[[#This Row],[Fecha]]))</f>
        <v>BTCEUR-44749</v>
      </c>
    </row>
    <row r="2746" spans="1:4" ht="14.65" thickBot="1" x14ac:dyDescent="0.5">
      <c r="A2746" s="17">
        <v>44750.998611111114</v>
      </c>
      <c r="B2746" s="19">
        <v>21209.11708</v>
      </c>
      <c r="C2746" t="s">
        <v>155</v>
      </c>
      <c r="D2746" t="str">
        <f>T_Stocks[[#This Row],[Ticker]] &amp; "-" &amp; DATE(YEAR(T_Stocks[[#This Row],[Fecha]]),MONTH(T_Stocks[[#This Row],[Fecha]]),DAY(T_Stocks[[#This Row],[Fecha]]))</f>
        <v>BTCEUR-44750</v>
      </c>
    </row>
    <row r="2747" spans="1:4" ht="14.65" thickBot="1" x14ac:dyDescent="0.5">
      <c r="A2747" s="17">
        <v>44751.998611111114</v>
      </c>
      <c r="B2747" s="19">
        <v>21184.50837</v>
      </c>
      <c r="C2747" t="s">
        <v>155</v>
      </c>
      <c r="D2747" t="str">
        <f>T_Stocks[[#This Row],[Ticker]] &amp; "-" &amp; DATE(YEAR(T_Stocks[[#This Row],[Fecha]]),MONTH(T_Stocks[[#This Row],[Fecha]]),DAY(T_Stocks[[#This Row],[Fecha]]))</f>
        <v>BTCEUR-44751</v>
      </c>
    </row>
    <row r="2748" spans="1:4" ht="14.65" thickBot="1" x14ac:dyDescent="0.5">
      <c r="A2748" s="17">
        <v>44752.998611111114</v>
      </c>
      <c r="B2748" s="19">
        <v>20503.113939999999</v>
      </c>
      <c r="C2748" t="s">
        <v>155</v>
      </c>
      <c r="D2748" t="str">
        <f>T_Stocks[[#This Row],[Ticker]] &amp; "-" &amp; DATE(YEAR(T_Stocks[[#This Row],[Fecha]]),MONTH(T_Stocks[[#This Row],[Fecha]]),DAY(T_Stocks[[#This Row],[Fecha]]))</f>
        <v>BTCEUR-44752</v>
      </c>
    </row>
    <row r="2749" spans="1:4" ht="14.65" thickBot="1" x14ac:dyDescent="0.5">
      <c r="A2749" s="17">
        <v>44753.998611111114</v>
      </c>
      <c r="B2749" s="19">
        <v>19853.098559999999</v>
      </c>
      <c r="C2749" t="s">
        <v>155</v>
      </c>
      <c r="D2749" t="str">
        <f>T_Stocks[[#This Row],[Ticker]] &amp; "-" &amp; DATE(YEAR(T_Stocks[[#This Row],[Fecha]]),MONTH(T_Stocks[[#This Row],[Fecha]]),DAY(T_Stocks[[#This Row],[Fecha]]))</f>
        <v>BTCEUR-44753</v>
      </c>
    </row>
    <row r="2750" spans="1:4" ht="14.65" thickBot="1" x14ac:dyDescent="0.5">
      <c r="A2750" s="17">
        <v>44754.998611111114</v>
      </c>
      <c r="B2750" s="19">
        <v>19252.516339999998</v>
      </c>
      <c r="C2750" t="s">
        <v>155</v>
      </c>
      <c r="D2750" t="str">
        <f>T_Stocks[[#This Row],[Ticker]] &amp; "-" &amp; DATE(YEAR(T_Stocks[[#This Row],[Fecha]]),MONTH(T_Stocks[[#This Row],[Fecha]]),DAY(T_Stocks[[#This Row],[Fecha]]))</f>
        <v>BTCEUR-44754</v>
      </c>
    </row>
    <row r="2751" spans="1:4" ht="14.65" thickBot="1" x14ac:dyDescent="0.5">
      <c r="A2751" s="17">
        <v>44755.998611111114</v>
      </c>
      <c r="B2751" s="19">
        <v>20174.117269999999</v>
      </c>
      <c r="C2751" t="s">
        <v>155</v>
      </c>
      <c r="D2751" t="str">
        <f>T_Stocks[[#This Row],[Ticker]] &amp; "-" &amp; DATE(YEAR(T_Stocks[[#This Row],[Fecha]]),MONTH(T_Stocks[[#This Row],[Fecha]]),DAY(T_Stocks[[#This Row],[Fecha]]))</f>
        <v>BTCEUR-44755</v>
      </c>
    </row>
    <row r="2752" spans="1:4" ht="14.65" thickBot="1" x14ac:dyDescent="0.5">
      <c r="A2752" s="17">
        <v>44756.998611111114</v>
      </c>
      <c r="B2752" s="19">
        <v>20525.011109999999</v>
      </c>
      <c r="C2752" t="s">
        <v>155</v>
      </c>
      <c r="D2752" t="str">
        <f>T_Stocks[[#This Row],[Ticker]] &amp; "-" &amp; DATE(YEAR(T_Stocks[[#This Row],[Fecha]]),MONTH(T_Stocks[[#This Row],[Fecha]]),DAY(T_Stocks[[#This Row],[Fecha]]))</f>
        <v>BTCEUR-44756</v>
      </c>
    </row>
    <row r="2753" spans="1:4" ht="14.65" thickBot="1" x14ac:dyDescent="0.5">
      <c r="A2753" s="17">
        <v>44757.998611111114</v>
      </c>
      <c r="B2753" s="19">
        <v>20642.354640000001</v>
      </c>
      <c r="C2753" t="s">
        <v>155</v>
      </c>
      <c r="D2753" t="str">
        <f>T_Stocks[[#This Row],[Ticker]] &amp; "-" &amp; DATE(YEAR(T_Stocks[[#This Row],[Fecha]]),MONTH(T_Stocks[[#This Row],[Fecha]]),DAY(T_Stocks[[#This Row],[Fecha]]))</f>
        <v>BTCEUR-44757</v>
      </c>
    </row>
    <row r="2754" spans="1:4" ht="14.65" thickBot="1" x14ac:dyDescent="0.5">
      <c r="A2754" s="17">
        <v>44758.998611111114</v>
      </c>
      <c r="B2754" s="19">
        <v>21011.966939999998</v>
      </c>
      <c r="C2754" t="s">
        <v>155</v>
      </c>
      <c r="D2754" t="str">
        <f>T_Stocks[[#This Row],[Ticker]] &amp; "-" &amp; DATE(YEAR(T_Stocks[[#This Row],[Fecha]]),MONTH(T_Stocks[[#This Row],[Fecha]]),DAY(T_Stocks[[#This Row],[Fecha]]))</f>
        <v>BTCEUR-44758</v>
      </c>
    </row>
    <row r="2755" spans="1:4" ht="14.65" thickBot="1" x14ac:dyDescent="0.5">
      <c r="A2755" s="17">
        <v>44759.998611111114</v>
      </c>
      <c r="B2755" s="19">
        <v>20589.751810000002</v>
      </c>
      <c r="C2755" t="s">
        <v>155</v>
      </c>
      <c r="D2755" t="str">
        <f>T_Stocks[[#This Row],[Ticker]] &amp; "-" &amp; DATE(YEAR(T_Stocks[[#This Row],[Fecha]]),MONTH(T_Stocks[[#This Row],[Fecha]]),DAY(T_Stocks[[#This Row],[Fecha]]))</f>
        <v>BTCEUR-44759</v>
      </c>
    </row>
    <row r="2756" spans="1:4" ht="14.65" thickBot="1" x14ac:dyDescent="0.5">
      <c r="A2756" s="17">
        <v>44760.998611111114</v>
      </c>
      <c r="B2756" s="19">
        <v>22173.520390000001</v>
      </c>
      <c r="C2756" t="s">
        <v>155</v>
      </c>
      <c r="D2756" t="str">
        <f>T_Stocks[[#This Row],[Ticker]] &amp; "-" &amp; DATE(YEAR(T_Stocks[[#This Row],[Fecha]]),MONTH(T_Stocks[[#This Row],[Fecha]]),DAY(T_Stocks[[#This Row],[Fecha]]))</f>
        <v>BTCEUR-44760</v>
      </c>
    </row>
    <row r="2757" spans="1:4" ht="14.65" thickBot="1" x14ac:dyDescent="0.5">
      <c r="A2757" s="17">
        <v>44761.998611111114</v>
      </c>
      <c r="B2757" s="19">
        <v>22876.321189999999</v>
      </c>
      <c r="C2757" t="s">
        <v>155</v>
      </c>
      <c r="D2757" t="str">
        <f>T_Stocks[[#This Row],[Ticker]] &amp; "-" &amp; DATE(YEAR(T_Stocks[[#This Row],[Fecha]]),MONTH(T_Stocks[[#This Row],[Fecha]]),DAY(T_Stocks[[#This Row],[Fecha]]))</f>
        <v>BTCEUR-44761</v>
      </c>
    </row>
    <row r="2758" spans="1:4" ht="14.65" thickBot="1" x14ac:dyDescent="0.5">
      <c r="A2758" s="17">
        <v>44762.998611111114</v>
      </c>
      <c r="B2758" s="19">
        <v>22805.125810000001</v>
      </c>
      <c r="C2758" t="s">
        <v>155</v>
      </c>
      <c r="D2758" t="str">
        <f>T_Stocks[[#This Row],[Ticker]] &amp; "-" &amp; DATE(YEAR(T_Stocks[[#This Row],[Fecha]]),MONTH(T_Stocks[[#This Row],[Fecha]]),DAY(T_Stocks[[#This Row],[Fecha]]))</f>
        <v>BTCEUR-44762</v>
      </c>
    </row>
    <row r="2759" spans="1:4" ht="14.65" thickBot="1" x14ac:dyDescent="0.5">
      <c r="A2759" s="17">
        <v>44763.998611111114</v>
      </c>
      <c r="B2759" s="19">
        <v>22645.09764</v>
      </c>
      <c r="C2759" t="s">
        <v>155</v>
      </c>
      <c r="D2759" t="str">
        <f>T_Stocks[[#This Row],[Ticker]] &amp; "-" &amp; DATE(YEAR(T_Stocks[[#This Row],[Fecha]]),MONTH(T_Stocks[[#This Row],[Fecha]]),DAY(T_Stocks[[#This Row],[Fecha]]))</f>
        <v>BTCEUR-44763</v>
      </c>
    </row>
    <row r="2760" spans="1:4" ht="14.65" thickBot="1" x14ac:dyDescent="0.5">
      <c r="A2760" s="17">
        <v>44764.998611111114</v>
      </c>
      <c r="B2760" s="19">
        <v>22202.401529999999</v>
      </c>
      <c r="C2760" t="s">
        <v>155</v>
      </c>
      <c r="D2760" t="str">
        <f>T_Stocks[[#This Row],[Ticker]] &amp; "-" &amp; DATE(YEAR(T_Stocks[[#This Row],[Fecha]]),MONTH(T_Stocks[[#This Row],[Fecha]]),DAY(T_Stocks[[#This Row],[Fecha]]))</f>
        <v>BTCEUR-44764</v>
      </c>
    </row>
    <row r="2761" spans="1:4" ht="14.65" thickBot="1" x14ac:dyDescent="0.5">
      <c r="A2761" s="17">
        <v>44765.998611111114</v>
      </c>
      <c r="B2761" s="19">
        <v>21976.804230000002</v>
      </c>
      <c r="C2761" t="s">
        <v>155</v>
      </c>
      <c r="D2761" t="str">
        <f>T_Stocks[[#This Row],[Ticker]] &amp; "-" &amp; DATE(YEAR(T_Stocks[[#This Row],[Fecha]]),MONTH(T_Stocks[[#This Row],[Fecha]]),DAY(T_Stocks[[#This Row],[Fecha]]))</f>
        <v>BTCEUR-44765</v>
      </c>
    </row>
    <row r="2762" spans="1:4" ht="14.65" thickBot="1" x14ac:dyDescent="0.5">
      <c r="A2762" s="17">
        <v>44766.998611111114</v>
      </c>
      <c r="B2762" s="19">
        <v>22139.146700000001</v>
      </c>
      <c r="C2762" t="s">
        <v>155</v>
      </c>
      <c r="D2762" t="str">
        <f>T_Stocks[[#This Row],[Ticker]] &amp; "-" &amp; DATE(YEAR(T_Stocks[[#This Row],[Fecha]]),MONTH(T_Stocks[[#This Row],[Fecha]]),DAY(T_Stocks[[#This Row],[Fecha]]))</f>
        <v>BTCEUR-44766</v>
      </c>
    </row>
    <row r="2763" spans="1:4" ht="14.65" thickBot="1" x14ac:dyDescent="0.5">
      <c r="A2763" s="17">
        <v>44767.998611111114</v>
      </c>
      <c r="B2763" s="19">
        <v>20827.693380000001</v>
      </c>
      <c r="C2763" t="s">
        <v>155</v>
      </c>
      <c r="D2763" t="str">
        <f>T_Stocks[[#This Row],[Ticker]] &amp; "-" &amp; DATE(YEAR(T_Stocks[[#This Row],[Fecha]]),MONTH(T_Stocks[[#This Row],[Fecha]]),DAY(T_Stocks[[#This Row],[Fecha]]))</f>
        <v>BTCEUR-44767</v>
      </c>
    </row>
    <row r="2764" spans="1:4" ht="14.65" thickBot="1" x14ac:dyDescent="0.5">
      <c r="A2764" s="17">
        <v>44768.998611111114</v>
      </c>
      <c r="B2764" s="19">
        <v>20993.287189999999</v>
      </c>
      <c r="C2764" t="s">
        <v>155</v>
      </c>
      <c r="D2764" t="str">
        <f>T_Stocks[[#This Row],[Ticker]] &amp; "-" &amp; DATE(YEAR(T_Stocks[[#This Row],[Fecha]]),MONTH(T_Stocks[[#This Row],[Fecha]]),DAY(T_Stocks[[#This Row],[Fecha]]))</f>
        <v>BTCEUR-44768</v>
      </c>
    </row>
    <row r="2765" spans="1:4" ht="14.65" thickBot="1" x14ac:dyDescent="0.5">
      <c r="A2765" s="17">
        <v>44769.998611111114</v>
      </c>
      <c r="B2765" s="19">
        <v>22485.76441</v>
      </c>
      <c r="C2765" t="s">
        <v>155</v>
      </c>
      <c r="D2765" t="str">
        <f>T_Stocks[[#This Row],[Ticker]] &amp; "-" &amp; DATE(YEAR(T_Stocks[[#This Row],[Fecha]]),MONTH(T_Stocks[[#This Row],[Fecha]]),DAY(T_Stocks[[#This Row],[Fecha]]))</f>
        <v>BTCEUR-44769</v>
      </c>
    </row>
    <row r="2766" spans="1:4" ht="14.65" thickBot="1" x14ac:dyDescent="0.5">
      <c r="A2766" s="17">
        <v>44770.998611111114</v>
      </c>
      <c r="B2766" s="19">
        <v>23403.531620000002</v>
      </c>
      <c r="C2766" t="s">
        <v>155</v>
      </c>
      <c r="D2766" t="str">
        <f>T_Stocks[[#This Row],[Ticker]] &amp; "-" &amp; DATE(YEAR(T_Stocks[[#This Row],[Fecha]]),MONTH(T_Stocks[[#This Row],[Fecha]]),DAY(T_Stocks[[#This Row],[Fecha]]))</f>
        <v>BTCEUR-44770</v>
      </c>
    </row>
    <row r="2767" spans="1:4" ht="14.65" thickBot="1" x14ac:dyDescent="0.5">
      <c r="A2767" s="17">
        <v>44771.998611111114</v>
      </c>
      <c r="B2767" s="19">
        <v>23248.329239999999</v>
      </c>
      <c r="C2767" t="s">
        <v>155</v>
      </c>
      <c r="D2767" t="str">
        <f>T_Stocks[[#This Row],[Ticker]] &amp; "-" &amp; DATE(YEAR(T_Stocks[[#This Row],[Fecha]]),MONTH(T_Stocks[[#This Row],[Fecha]]),DAY(T_Stocks[[#This Row],[Fecha]]))</f>
        <v>BTCEUR-44771</v>
      </c>
    </row>
    <row r="2768" spans="1:4" ht="14.65" thickBot="1" x14ac:dyDescent="0.5">
      <c r="A2768" s="17">
        <v>44772.998611111114</v>
      </c>
      <c r="B2768" s="19">
        <v>23118.369849999999</v>
      </c>
      <c r="C2768" t="s">
        <v>155</v>
      </c>
      <c r="D2768" t="str">
        <f>T_Stocks[[#This Row],[Ticker]] &amp; "-" &amp; DATE(YEAR(T_Stocks[[#This Row],[Fecha]]),MONTH(T_Stocks[[#This Row],[Fecha]]),DAY(T_Stocks[[#This Row],[Fecha]]))</f>
        <v>BTCEUR-44772</v>
      </c>
    </row>
    <row r="2769" spans="1:4" ht="14.65" thickBot="1" x14ac:dyDescent="0.5">
      <c r="A2769" s="17">
        <v>44773.998611111114</v>
      </c>
      <c r="B2769" s="19">
        <v>22833.163329999999</v>
      </c>
      <c r="C2769" t="s">
        <v>155</v>
      </c>
      <c r="D2769" t="str">
        <f>T_Stocks[[#This Row],[Ticker]] &amp; "-" &amp; DATE(YEAR(T_Stocks[[#This Row],[Fecha]]),MONTH(T_Stocks[[#This Row],[Fecha]]),DAY(T_Stocks[[#This Row],[Fecha]]))</f>
        <v>BTCEUR-44773</v>
      </c>
    </row>
    <row r="2770" spans="1:4" ht="14.65" thickBot="1" x14ac:dyDescent="0.5">
      <c r="A2770" s="17">
        <v>44774.998611111114</v>
      </c>
      <c r="B2770" s="19">
        <v>22681.8544</v>
      </c>
      <c r="C2770" t="s">
        <v>155</v>
      </c>
      <c r="D2770" t="str">
        <f>T_Stocks[[#This Row],[Ticker]] &amp; "-" &amp; DATE(YEAR(T_Stocks[[#This Row],[Fecha]]),MONTH(T_Stocks[[#This Row],[Fecha]]),DAY(T_Stocks[[#This Row],[Fecha]]))</f>
        <v>BTCEUR-44774</v>
      </c>
    </row>
    <row r="2771" spans="1:4" ht="14.65" thickBot="1" x14ac:dyDescent="0.5">
      <c r="A2771" s="17">
        <v>44775.998611111114</v>
      </c>
      <c r="B2771" s="19">
        <v>22638.400259999999</v>
      </c>
      <c r="C2771" t="s">
        <v>155</v>
      </c>
      <c r="D2771" t="str">
        <f>T_Stocks[[#This Row],[Ticker]] &amp; "-" &amp; DATE(YEAR(T_Stocks[[#This Row],[Fecha]]),MONTH(T_Stocks[[#This Row],[Fecha]]),DAY(T_Stocks[[#This Row],[Fecha]]))</f>
        <v>BTCEUR-44775</v>
      </c>
    </row>
    <row r="2772" spans="1:4" ht="14.65" thickBot="1" x14ac:dyDescent="0.5">
      <c r="A2772" s="17">
        <v>44776.998611111114</v>
      </c>
      <c r="B2772" s="19">
        <v>22474.792359999999</v>
      </c>
      <c r="C2772" t="s">
        <v>155</v>
      </c>
      <c r="D2772" t="str">
        <f>T_Stocks[[#This Row],[Ticker]] &amp; "-" &amp; DATE(YEAR(T_Stocks[[#This Row],[Fecha]]),MONTH(T_Stocks[[#This Row],[Fecha]]),DAY(T_Stocks[[#This Row],[Fecha]]))</f>
        <v>BTCEUR-44776</v>
      </c>
    </row>
    <row r="2773" spans="1:4" ht="14.65" thickBot="1" x14ac:dyDescent="0.5">
      <c r="A2773" s="17">
        <v>44777.998611111114</v>
      </c>
      <c r="B2773" s="19">
        <v>22065.222320000001</v>
      </c>
      <c r="C2773" t="s">
        <v>155</v>
      </c>
      <c r="D2773" t="str">
        <f>T_Stocks[[#This Row],[Ticker]] &amp; "-" &amp; DATE(YEAR(T_Stocks[[#This Row],[Fecha]]),MONTH(T_Stocks[[#This Row],[Fecha]]),DAY(T_Stocks[[#This Row],[Fecha]]))</f>
        <v>BTCEUR-44777</v>
      </c>
    </row>
    <row r="2774" spans="1:4" ht="14.65" thickBot="1" x14ac:dyDescent="0.5">
      <c r="A2774" s="17">
        <v>44778.998611111114</v>
      </c>
      <c r="B2774" s="19">
        <v>22883.513449999999</v>
      </c>
      <c r="C2774" t="s">
        <v>155</v>
      </c>
      <c r="D2774" t="str">
        <f>T_Stocks[[#This Row],[Ticker]] &amp; "-" &amp; DATE(YEAR(T_Stocks[[#This Row],[Fecha]]),MONTH(T_Stocks[[#This Row],[Fecha]]),DAY(T_Stocks[[#This Row],[Fecha]]))</f>
        <v>BTCEUR-44778</v>
      </c>
    </row>
    <row r="2775" spans="1:4" ht="14.65" thickBot="1" x14ac:dyDescent="0.5">
      <c r="A2775" s="17">
        <v>44779.998611111114</v>
      </c>
      <c r="B2775" s="19">
        <v>22540.838100000001</v>
      </c>
      <c r="C2775" t="s">
        <v>155</v>
      </c>
      <c r="D2775" t="str">
        <f>T_Stocks[[#This Row],[Ticker]] &amp; "-" &amp; DATE(YEAR(T_Stocks[[#This Row],[Fecha]]),MONTH(T_Stocks[[#This Row],[Fecha]]),DAY(T_Stocks[[#This Row],[Fecha]]))</f>
        <v>BTCEUR-44779</v>
      </c>
    </row>
    <row r="2776" spans="1:4" ht="14.65" thickBot="1" x14ac:dyDescent="0.5">
      <c r="A2776" s="17">
        <v>44780.998611111114</v>
      </c>
      <c r="B2776" s="19">
        <v>22786.91849</v>
      </c>
      <c r="C2776" t="s">
        <v>155</v>
      </c>
      <c r="D2776" t="str">
        <f>T_Stocks[[#This Row],[Ticker]] &amp; "-" &amp; DATE(YEAR(T_Stocks[[#This Row],[Fecha]]),MONTH(T_Stocks[[#This Row],[Fecha]]),DAY(T_Stocks[[#This Row],[Fecha]]))</f>
        <v>BTCEUR-44780</v>
      </c>
    </row>
    <row r="2777" spans="1:4" ht="14.65" thickBot="1" x14ac:dyDescent="0.5">
      <c r="A2777" s="17">
        <v>44781.998611111114</v>
      </c>
      <c r="B2777" s="19">
        <v>23353.033820000001</v>
      </c>
      <c r="C2777" t="s">
        <v>155</v>
      </c>
      <c r="D2777" t="str">
        <f>T_Stocks[[#This Row],[Ticker]] &amp; "-" &amp; DATE(YEAR(T_Stocks[[#This Row],[Fecha]]),MONTH(T_Stocks[[#This Row],[Fecha]]),DAY(T_Stocks[[#This Row],[Fecha]]))</f>
        <v>BTCEUR-44781</v>
      </c>
    </row>
    <row r="2778" spans="1:4" ht="14.65" thickBot="1" x14ac:dyDescent="0.5">
      <c r="A2778" s="17">
        <v>44782.998611111114</v>
      </c>
      <c r="B2778" s="19">
        <v>22679.695609999999</v>
      </c>
      <c r="C2778" t="s">
        <v>155</v>
      </c>
      <c r="D2778" t="str">
        <f>T_Stocks[[#This Row],[Ticker]] &amp; "-" &amp; DATE(YEAR(T_Stocks[[#This Row],[Fecha]]),MONTH(T_Stocks[[#This Row],[Fecha]]),DAY(T_Stocks[[#This Row],[Fecha]]))</f>
        <v>BTCEUR-44782</v>
      </c>
    </row>
    <row r="2779" spans="1:4" ht="14.65" thickBot="1" x14ac:dyDescent="0.5">
      <c r="A2779" s="17">
        <v>44783.998611111114</v>
      </c>
      <c r="B2779" s="19">
        <v>23255.950860000001</v>
      </c>
      <c r="C2779" t="s">
        <v>155</v>
      </c>
      <c r="D2779" t="str">
        <f>T_Stocks[[#This Row],[Ticker]] &amp; "-" &amp; DATE(YEAR(T_Stocks[[#This Row],[Fecha]]),MONTH(T_Stocks[[#This Row],[Fecha]]),DAY(T_Stocks[[#This Row],[Fecha]]))</f>
        <v>BTCEUR-44783</v>
      </c>
    </row>
    <row r="2780" spans="1:4" ht="14.65" thickBot="1" x14ac:dyDescent="0.5">
      <c r="A2780" s="17">
        <v>44784.998611111114</v>
      </c>
      <c r="B2780" s="19">
        <v>23205.991910000001</v>
      </c>
      <c r="C2780" t="s">
        <v>155</v>
      </c>
      <c r="D2780" t="str">
        <f>T_Stocks[[#This Row],[Ticker]] &amp; "-" &amp; DATE(YEAR(T_Stocks[[#This Row],[Fecha]]),MONTH(T_Stocks[[#This Row],[Fecha]]),DAY(T_Stocks[[#This Row],[Fecha]]))</f>
        <v>BTCEUR-44784</v>
      </c>
    </row>
    <row r="2781" spans="1:4" ht="14.65" thickBot="1" x14ac:dyDescent="0.5">
      <c r="A2781" s="17">
        <v>44785.998611111114</v>
      </c>
      <c r="B2781" s="19">
        <v>23778.628909999999</v>
      </c>
      <c r="C2781" t="s">
        <v>155</v>
      </c>
      <c r="D2781" t="str">
        <f>T_Stocks[[#This Row],[Ticker]] &amp; "-" &amp; DATE(YEAR(T_Stocks[[#This Row],[Fecha]]),MONTH(T_Stocks[[#This Row],[Fecha]]),DAY(T_Stocks[[#This Row],[Fecha]]))</f>
        <v>BTCEUR-44785</v>
      </c>
    </row>
    <row r="2782" spans="1:4" ht="14.65" thickBot="1" x14ac:dyDescent="0.5">
      <c r="A2782" s="17">
        <v>44786.998611111114</v>
      </c>
      <c r="B2782" s="19">
        <v>23817.386159999998</v>
      </c>
      <c r="C2782" t="s">
        <v>155</v>
      </c>
      <c r="D2782" t="str">
        <f>T_Stocks[[#This Row],[Ticker]] &amp; "-" &amp; DATE(YEAR(T_Stocks[[#This Row],[Fecha]]),MONTH(T_Stocks[[#This Row],[Fecha]]),DAY(T_Stocks[[#This Row],[Fecha]]))</f>
        <v>BTCEUR-44786</v>
      </c>
    </row>
    <row r="2783" spans="1:4" ht="14.65" thickBot="1" x14ac:dyDescent="0.5">
      <c r="A2783" s="17">
        <v>44787.998611111114</v>
      </c>
      <c r="B2783" s="19">
        <v>23702.31825</v>
      </c>
      <c r="C2783" t="s">
        <v>155</v>
      </c>
      <c r="D2783" t="str">
        <f>T_Stocks[[#This Row],[Ticker]] &amp; "-" &amp; DATE(YEAR(T_Stocks[[#This Row],[Fecha]]),MONTH(T_Stocks[[#This Row],[Fecha]]),DAY(T_Stocks[[#This Row],[Fecha]]))</f>
        <v>BTCEUR-44787</v>
      </c>
    </row>
    <row r="2784" spans="1:4" ht="14.65" thickBot="1" x14ac:dyDescent="0.5">
      <c r="A2784" s="17">
        <v>44788.998611111114</v>
      </c>
      <c r="B2784" s="19">
        <v>23717.135109999999</v>
      </c>
      <c r="C2784" t="s">
        <v>155</v>
      </c>
      <c r="D2784" t="str">
        <f>T_Stocks[[#This Row],[Ticker]] &amp; "-" &amp; DATE(YEAR(T_Stocks[[#This Row],[Fecha]]),MONTH(T_Stocks[[#This Row],[Fecha]]),DAY(T_Stocks[[#This Row],[Fecha]]))</f>
        <v>BTCEUR-44788</v>
      </c>
    </row>
    <row r="2785" spans="1:4" ht="14.65" thickBot="1" x14ac:dyDescent="0.5">
      <c r="A2785" s="17">
        <v>44789.998611111114</v>
      </c>
      <c r="B2785" s="19">
        <v>23458.921279999999</v>
      </c>
      <c r="C2785" t="s">
        <v>155</v>
      </c>
      <c r="D2785" t="str">
        <f>T_Stocks[[#This Row],[Ticker]] &amp; "-" &amp; DATE(YEAR(T_Stocks[[#This Row],[Fecha]]),MONTH(T_Stocks[[#This Row],[Fecha]]),DAY(T_Stocks[[#This Row],[Fecha]]))</f>
        <v>BTCEUR-44789</v>
      </c>
    </row>
    <row r="2786" spans="1:4" ht="14.65" thickBot="1" x14ac:dyDescent="0.5">
      <c r="A2786" s="17">
        <v>44790.998611111114</v>
      </c>
      <c r="B2786" s="19">
        <v>22923.82704</v>
      </c>
      <c r="C2786" t="s">
        <v>155</v>
      </c>
      <c r="D2786" t="str">
        <f>T_Stocks[[#This Row],[Ticker]] &amp; "-" &amp; DATE(YEAR(T_Stocks[[#This Row],[Fecha]]),MONTH(T_Stocks[[#This Row],[Fecha]]),DAY(T_Stocks[[#This Row],[Fecha]]))</f>
        <v>BTCEUR-44790</v>
      </c>
    </row>
    <row r="2787" spans="1:4" ht="14.65" thickBot="1" x14ac:dyDescent="0.5">
      <c r="A2787" s="17">
        <v>44791.998611111114</v>
      </c>
      <c r="B2787" s="19">
        <v>22994.070960000001</v>
      </c>
      <c r="C2787" t="s">
        <v>155</v>
      </c>
      <c r="D2787" t="str">
        <f>T_Stocks[[#This Row],[Ticker]] &amp; "-" &amp; DATE(YEAR(T_Stocks[[#This Row],[Fecha]]),MONTH(T_Stocks[[#This Row],[Fecha]]),DAY(T_Stocks[[#This Row],[Fecha]]))</f>
        <v>BTCEUR-44791</v>
      </c>
    </row>
    <row r="2788" spans="1:4" ht="14.65" thickBot="1" x14ac:dyDescent="0.5">
      <c r="A2788" s="17">
        <v>44792.998611111114</v>
      </c>
      <c r="B2788" s="19">
        <v>20744.545429999998</v>
      </c>
      <c r="C2788" t="s">
        <v>155</v>
      </c>
      <c r="D2788" t="str">
        <f>T_Stocks[[#This Row],[Ticker]] &amp; "-" &amp; DATE(YEAR(T_Stocks[[#This Row],[Fecha]]),MONTH(T_Stocks[[#This Row],[Fecha]]),DAY(T_Stocks[[#This Row],[Fecha]]))</f>
        <v>BTCEUR-44792</v>
      </c>
    </row>
    <row r="2789" spans="1:4" ht="14.65" thickBot="1" x14ac:dyDescent="0.5">
      <c r="A2789" s="17">
        <v>44793.998611111114</v>
      </c>
      <c r="B2789" s="19">
        <v>21051.07258</v>
      </c>
      <c r="C2789" t="s">
        <v>155</v>
      </c>
      <c r="D2789" t="str">
        <f>T_Stocks[[#This Row],[Ticker]] &amp; "-" &amp; DATE(YEAR(T_Stocks[[#This Row],[Fecha]]),MONTH(T_Stocks[[#This Row],[Fecha]]),DAY(T_Stocks[[#This Row],[Fecha]]))</f>
        <v>BTCEUR-44793</v>
      </c>
    </row>
    <row r="2790" spans="1:4" ht="14.65" thickBot="1" x14ac:dyDescent="0.5">
      <c r="A2790" s="17">
        <v>44794.998611111114</v>
      </c>
      <c r="B2790" s="19">
        <v>21439.223259999999</v>
      </c>
      <c r="C2790" t="s">
        <v>155</v>
      </c>
      <c r="D2790" t="str">
        <f>T_Stocks[[#This Row],[Ticker]] &amp; "-" &amp; DATE(YEAR(T_Stocks[[#This Row],[Fecha]]),MONTH(T_Stocks[[#This Row],[Fecha]]),DAY(T_Stocks[[#This Row],[Fecha]]))</f>
        <v>BTCEUR-44794</v>
      </c>
    </row>
    <row r="2791" spans="1:4" ht="14.65" thickBot="1" x14ac:dyDescent="0.5">
      <c r="A2791" s="17">
        <v>44795.998611111114</v>
      </c>
      <c r="B2791" s="19">
        <v>21535.758880000001</v>
      </c>
      <c r="C2791" t="s">
        <v>155</v>
      </c>
      <c r="D2791" t="str">
        <f>T_Stocks[[#This Row],[Ticker]] &amp; "-" &amp; DATE(YEAR(T_Stocks[[#This Row],[Fecha]]),MONTH(T_Stocks[[#This Row],[Fecha]]),DAY(T_Stocks[[#This Row],[Fecha]]))</f>
        <v>BTCEUR-44795</v>
      </c>
    </row>
    <row r="2792" spans="1:4" ht="14.65" thickBot="1" x14ac:dyDescent="0.5">
      <c r="A2792" s="17">
        <v>44796.998611111114</v>
      </c>
      <c r="B2792" s="19">
        <v>21592.429649999998</v>
      </c>
      <c r="C2792" t="s">
        <v>155</v>
      </c>
      <c r="D2792" t="str">
        <f>T_Stocks[[#This Row],[Ticker]] &amp; "-" &amp; DATE(YEAR(T_Stocks[[#This Row],[Fecha]]),MONTH(T_Stocks[[#This Row],[Fecha]]),DAY(T_Stocks[[#This Row],[Fecha]]))</f>
        <v>BTCEUR-44796</v>
      </c>
    </row>
    <row r="2793" spans="1:4" ht="14.65" thickBot="1" x14ac:dyDescent="0.5">
      <c r="A2793" s="17">
        <v>44797.998611111114</v>
      </c>
      <c r="B2793" s="19">
        <v>21432.435219999999</v>
      </c>
      <c r="C2793" t="s">
        <v>155</v>
      </c>
      <c r="D2793" t="str">
        <f>T_Stocks[[#This Row],[Ticker]] &amp; "-" &amp; DATE(YEAR(T_Stocks[[#This Row],[Fecha]]),MONTH(T_Stocks[[#This Row],[Fecha]]),DAY(T_Stocks[[#This Row],[Fecha]]))</f>
        <v>BTCEUR-44797</v>
      </c>
    </row>
    <row r="2794" spans="1:4" ht="14.65" thickBot="1" x14ac:dyDescent="0.5">
      <c r="A2794" s="17">
        <v>44798.998611111114</v>
      </c>
      <c r="B2794" s="19">
        <v>21627.638719999999</v>
      </c>
      <c r="C2794" t="s">
        <v>155</v>
      </c>
      <c r="D2794" t="str">
        <f>T_Stocks[[#This Row],[Ticker]] &amp; "-" &amp; DATE(YEAR(T_Stocks[[#This Row],[Fecha]]),MONTH(T_Stocks[[#This Row],[Fecha]]),DAY(T_Stocks[[#This Row],[Fecha]]))</f>
        <v>BTCEUR-44798</v>
      </c>
    </row>
    <row r="2795" spans="1:4" ht="14.65" thickBot="1" x14ac:dyDescent="0.5">
      <c r="A2795" s="17">
        <v>44799.998611111114</v>
      </c>
      <c r="B2795" s="19">
        <v>20315.019059999999</v>
      </c>
      <c r="C2795" t="s">
        <v>155</v>
      </c>
      <c r="D2795" t="str">
        <f>T_Stocks[[#This Row],[Ticker]] &amp; "-" &amp; DATE(YEAR(T_Stocks[[#This Row],[Fecha]]),MONTH(T_Stocks[[#This Row],[Fecha]]),DAY(T_Stocks[[#This Row],[Fecha]]))</f>
        <v>BTCEUR-44799</v>
      </c>
    </row>
    <row r="2796" spans="1:4" ht="14.65" thickBot="1" x14ac:dyDescent="0.5">
      <c r="A2796" s="17">
        <v>44800.998611111114</v>
      </c>
      <c r="B2796" s="19">
        <v>20099.058730000001</v>
      </c>
      <c r="C2796" t="s">
        <v>155</v>
      </c>
      <c r="D2796" t="str">
        <f>T_Stocks[[#This Row],[Ticker]] &amp; "-" &amp; DATE(YEAR(T_Stocks[[#This Row],[Fecha]]),MONTH(T_Stocks[[#This Row],[Fecha]]),DAY(T_Stocks[[#This Row],[Fecha]]))</f>
        <v>BTCEUR-44800</v>
      </c>
    </row>
    <row r="2797" spans="1:4" ht="14.65" thickBot="1" x14ac:dyDescent="0.5">
      <c r="A2797" s="17">
        <v>44801.998611111114</v>
      </c>
      <c r="B2797" s="19">
        <v>19670.06004</v>
      </c>
      <c r="C2797" t="s">
        <v>155</v>
      </c>
      <c r="D2797" t="str">
        <f>T_Stocks[[#This Row],[Ticker]] &amp; "-" &amp; DATE(YEAR(T_Stocks[[#This Row],[Fecha]]),MONTH(T_Stocks[[#This Row],[Fecha]]),DAY(T_Stocks[[#This Row],[Fecha]]))</f>
        <v>BTCEUR-44801</v>
      </c>
    </row>
    <row r="2798" spans="1:4" ht="14.65" thickBot="1" x14ac:dyDescent="0.5">
      <c r="A2798" s="17">
        <v>44802.998611111114</v>
      </c>
      <c r="B2798" s="19">
        <v>20267.146209999999</v>
      </c>
      <c r="C2798" t="s">
        <v>155</v>
      </c>
      <c r="D2798" t="str">
        <f>T_Stocks[[#This Row],[Ticker]] &amp; "-" &amp; DATE(YEAR(T_Stocks[[#This Row],[Fecha]]),MONTH(T_Stocks[[#This Row],[Fecha]]),DAY(T_Stocks[[#This Row],[Fecha]]))</f>
        <v>BTCEUR-44802</v>
      </c>
    </row>
    <row r="2799" spans="1:4" ht="14.65" thickBot="1" x14ac:dyDescent="0.5">
      <c r="A2799" s="17">
        <v>44803.998611111114</v>
      </c>
      <c r="B2799" s="19">
        <v>19760.415150000001</v>
      </c>
      <c r="C2799" t="s">
        <v>155</v>
      </c>
      <c r="D2799" t="str">
        <f>T_Stocks[[#This Row],[Ticker]] &amp; "-" &amp; DATE(YEAR(T_Stocks[[#This Row],[Fecha]]),MONTH(T_Stocks[[#This Row],[Fecha]]),DAY(T_Stocks[[#This Row],[Fecha]]))</f>
        <v>BTCEUR-44803</v>
      </c>
    </row>
    <row r="2800" spans="1:4" ht="14.65" thickBot="1" x14ac:dyDescent="0.5">
      <c r="A2800" s="17">
        <v>44804.998611111114</v>
      </c>
      <c r="B2800" s="19">
        <v>19971.387910000001</v>
      </c>
      <c r="C2800" t="s">
        <v>155</v>
      </c>
      <c r="D2800" t="str">
        <f>T_Stocks[[#This Row],[Ticker]] &amp; "-" &amp; DATE(YEAR(T_Stocks[[#This Row],[Fecha]]),MONTH(T_Stocks[[#This Row],[Fecha]]),DAY(T_Stocks[[#This Row],[Fecha]]))</f>
        <v>BTCEUR-44804</v>
      </c>
    </row>
    <row r="2801" spans="1:4" ht="14.65" thickBot="1" x14ac:dyDescent="0.5">
      <c r="A2801" s="17">
        <v>44805.998611111114</v>
      </c>
      <c r="B2801" s="19">
        <v>20222.71502</v>
      </c>
      <c r="C2801" t="s">
        <v>155</v>
      </c>
      <c r="D2801" t="str">
        <f>T_Stocks[[#This Row],[Ticker]] &amp; "-" &amp; DATE(YEAR(T_Stocks[[#This Row],[Fecha]]),MONTH(T_Stocks[[#This Row],[Fecha]]),DAY(T_Stocks[[#This Row],[Fecha]]))</f>
        <v>BTCEUR-44805</v>
      </c>
    </row>
    <row r="2802" spans="1:4" ht="14.65" thickBot="1" x14ac:dyDescent="0.5">
      <c r="A2802" s="17">
        <v>44806.998611111114</v>
      </c>
      <c r="B2802" s="19">
        <v>20036.454020000001</v>
      </c>
      <c r="C2802" t="s">
        <v>155</v>
      </c>
      <c r="D2802" t="str">
        <f>T_Stocks[[#This Row],[Ticker]] &amp; "-" &amp; DATE(YEAR(T_Stocks[[#This Row],[Fecha]]),MONTH(T_Stocks[[#This Row],[Fecha]]),DAY(T_Stocks[[#This Row],[Fecha]]))</f>
        <v>BTCEUR-44806</v>
      </c>
    </row>
    <row r="2803" spans="1:4" ht="14.65" thickBot="1" x14ac:dyDescent="0.5">
      <c r="A2803" s="17">
        <v>44807.998611111114</v>
      </c>
      <c r="B2803" s="19">
        <v>19912.608329999999</v>
      </c>
      <c r="C2803" t="s">
        <v>155</v>
      </c>
      <c r="D2803" t="str">
        <f>T_Stocks[[#This Row],[Ticker]] &amp; "-" &amp; DATE(YEAR(T_Stocks[[#This Row],[Fecha]]),MONTH(T_Stocks[[#This Row],[Fecha]]),DAY(T_Stocks[[#This Row],[Fecha]]))</f>
        <v>BTCEUR-44807</v>
      </c>
    </row>
    <row r="2804" spans="1:4" ht="14.65" thickBot="1" x14ac:dyDescent="0.5">
      <c r="A2804" s="17">
        <v>44808.998611111114</v>
      </c>
      <c r="B2804" s="19">
        <v>20182.265149999999</v>
      </c>
      <c r="C2804" t="s">
        <v>155</v>
      </c>
      <c r="D2804" t="str">
        <f>T_Stocks[[#This Row],[Ticker]] &amp; "-" &amp; DATE(YEAR(T_Stocks[[#This Row],[Fecha]]),MONTH(T_Stocks[[#This Row],[Fecha]]),DAY(T_Stocks[[#This Row],[Fecha]]))</f>
        <v>BTCEUR-44808</v>
      </c>
    </row>
    <row r="2805" spans="1:4" ht="14.65" thickBot="1" x14ac:dyDescent="0.5">
      <c r="A2805" s="17">
        <v>44809.998611111114</v>
      </c>
      <c r="B2805" s="19">
        <v>19888.398270000002</v>
      </c>
      <c r="C2805" t="s">
        <v>155</v>
      </c>
      <c r="D2805" t="str">
        <f>T_Stocks[[#This Row],[Ticker]] &amp; "-" &amp; DATE(YEAR(T_Stocks[[#This Row],[Fecha]]),MONTH(T_Stocks[[#This Row],[Fecha]]),DAY(T_Stocks[[#This Row],[Fecha]]))</f>
        <v>BTCEUR-44809</v>
      </c>
    </row>
    <row r="2806" spans="1:4" ht="14.65" thickBot="1" x14ac:dyDescent="0.5">
      <c r="A2806" s="17">
        <v>44810.998611111114</v>
      </c>
      <c r="B2806" s="19">
        <v>18980.64345</v>
      </c>
      <c r="C2806" t="s">
        <v>155</v>
      </c>
      <c r="D2806" t="str">
        <f>T_Stocks[[#This Row],[Ticker]] &amp; "-" &amp; DATE(YEAR(T_Stocks[[#This Row],[Fecha]]),MONTH(T_Stocks[[#This Row],[Fecha]]),DAY(T_Stocks[[#This Row],[Fecha]]))</f>
        <v>BTCEUR-44810</v>
      </c>
    </row>
    <row r="2807" spans="1:4" ht="14.65" thickBot="1" x14ac:dyDescent="0.5">
      <c r="A2807" s="17">
        <v>44811.998611111114</v>
      </c>
      <c r="B2807" s="19">
        <v>19293.312549999999</v>
      </c>
      <c r="C2807" t="s">
        <v>155</v>
      </c>
      <c r="D2807" t="str">
        <f>T_Stocks[[#This Row],[Ticker]] &amp; "-" &amp; DATE(YEAR(T_Stocks[[#This Row],[Fecha]]),MONTH(T_Stocks[[#This Row],[Fecha]]),DAY(T_Stocks[[#This Row],[Fecha]]))</f>
        <v>BTCEUR-44811</v>
      </c>
    </row>
    <row r="2808" spans="1:4" ht="14.65" thickBot="1" x14ac:dyDescent="0.5">
      <c r="A2808" s="17">
        <v>44812.998611111114</v>
      </c>
      <c r="B2808" s="19">
        <v>19296.366539999999</v>
      </c>
      <c r="C2808" t="s">
        <v>155</v>
      </c>
      <c r="D2808" t="str">
        <f>T_Stocks[[#This Row],[Ticker]] &amp; "-" &amp; DATE(YEAR(T_Stocks[[#This Row],[Fecha]]),MONTH(T_Stocks[[#This Row],[Fecha]]),DAY(T_Stocks[[#This Row],[Fecha]]))</f>
        <v>BTCEUR-44812</v>
      </c>
    </row>
    <row r="2809" spans="1:4" ht="14.65" thickBot="1" x14ac:dyDescent="0.5">
      <c r="A2809" s="17">
        <v>44813.998611111114</v>
      </c>
      <c r="B2809" s="19">
        <v>21047.17511</v>
      </c>
      <c r="C2809" t="s">
        <v>155</v>
      </c>
      <c r="D2809" t="str">
        <f>T_Stocks[[#This Row],[Ticker]] &amp; "-" &amp; DATE(YEAR(T_Stocks[[#This Row],[Fecha]]),MONTH(T_Stocks[[#This Row],[Fecha]]),DAY(T_Stocks[[#This Row],[Fecha]]))</f>
        <v>BTCEUR-44813</v>
      </c>
    </row>
    <row r="2810" spans="1:4" ht="14.65" thickBot="1" x14ac:dyDescent="0.5">
      <c r="A2810" s="17">
        <v>44814.998611111114</v>
      </c>
      <c r="B2810" s="19">
        <v>21327.94225</v>
      </c>
      <c r="C2810" t="s">
        <v>155</v>
      </c>
      <c r="D2810" t="str">
        <f>T_Stocks[[#This Row],[Ticker]] &amp; "-" &amp; DATE(YEAR(T_Stocks[[#This Row],[Fecha]]),MONTH(T_Stocks[[#This Row],[Fecha]]),DAY(T_Stocks[[#This Row],[Fecha]]))</f>
        <v>BTCEUR-44814</v>
      </c>
    </row>
    <row r="2811" spans="1:4" ht="14.65" thickBot="1" x14ac:dyDescent="0.5">
      <c r="A2811" s="17">
        <v>44815.998611111114</v>
      </c>
      <c r="B2811" s="19">
        <v>21664.958610000001</v>
      </c>
      <c r="C2811" t="s">
        <v>155</v>
      </c>
      <c r="D2811" t="str">
        <f>T_Stocks[[#This Row],[Ticker]] &amp; "-" &amp; DATE(YEAR(T_Stocks[[#This Row],[Fecha]]),MONTH(T_Stocks[[#This Row],[Fecha]]),DAY(T_Stocks[[#This Row],[Fecha]]))</f>
        <v>BTCEUR-44815</v>
      </c>
    </row>
    <row r="2812" spans="1:4" ht="14.65" thickBot="1" x14ac:dyDescent="0.5">
      <c r="A2812" s="17">
        <v>44816.998611111114</v>
      </c>
      <c r="B2812" s="19">
        <v>22107.83741</v>
      </c>
      <c r="C2812" t="s">
        <v>155</v>
      </c>
      <c r="D2812" t="str">
        <f>T_Stocks[[#This Row],[Ticker]] &amp; "-" &amp; DATE(YEAR(T_Stocks[[#This Row],[Fecha]]),MONTH(T_Stocks[[#This Row],[Fecha]]),DAY(T_Stocks[[#This Row],[Fecha]]))</f>
        <v>BTCEUR-44816</v>
      </c>
    </row>
    <row r="2813" spans="1:4" ht="14.65" thickBot="1" x14ac:dyDescent="0.5">
      <c r="A2813" s="17">
        <v>44817.998611111114</v>
      </c>
      <c r="B2813" s="19">
        <v>20208.960770000002</v>
      </c>
      <c r="C2813" t="s">
        <v>155</v>
      </c>
      <c r="D2813" t="str">
        <f>T_Stocks[[#This Row],[Ticker]] &amp; "-" &amp; DATE(YEAR(T_Stocks[[#This Row],[Fecha]]),MONTH(T_Stocks[[#This Row],[Fecha]]),DAY(T_Stocks[[#This Row],[Fecha]]))</f>
        <v>BTCEUR-44817</v>
      </c>
    </row>
    <row r="2814" spans="1:4" ht="14.65" thickBot="1" x14ac:dyDescent="0.5">
      <c r="A2814" s="17">
        <v>44818.998611111114</v>
      </c>
      <c r="B2814" s="19">
        <v>20254.886040000001</v>
      </c>
      <c r="C2814" t="s">
        <v>155</v>
      </c>
      <c r="D2814" t="str">
        <f>T_Stocks[[#This Row],[Ticker]] &amp; "-" &amp; DATE(YEAR(T_Stocks[[#This Row],[Fecha]]),MONTH(T_Stocks[[#This Row],[Fecha]]),DAY(T_Stocks[[#This Row],[Fecha]]))</f>
        <v>BTCEUR-44818</v>
      </c>
    </row>
    <row r="2815" spans="1:4" ht="14.65" thickBot="1" x14ac:dyDescent="0.5">
      <c r="A2815" s="17">
        <v>44819.998611111114</v>
      </c>
      <c r="B2815" s="19">
        <v>19721.357019999999</v>
      </c>
      <c r="C2815" t="s">
        <v>155</v>
      </c>
      <c r="D2815" t="str">
        <f>T_Stocks[[#This Row],[Ticker]] &amp; "-" &amp; DATE(YEAR(T_Stocks[[#This Row],[Fecha]]),MONTH(T_Stocks[[#This Row],[Fecha]]),DAY(T_Stocks[[#This Row],[Fecha]]))</f>
        <v>BTCEUR-44819</v>
      </c>
    </row>
    <row r="2816" spans="1:4" ht="14.65" thickBot="1" x14ac:dyDescent="0.5">
      <c r="A2816" s="17">
        <v>44820.998611111114</v>
      </c>
      <c r="B2816" s="19">
        <v>19770.030559999999</v>
      </c>
      <c r="C2816" t="s">
        <v>155</v>
      </c>
      <c r="D2816" t="str">
        <f>T_Stocks[[#This Row],[Ticker]] &amp; "-" &amp; DATE(YEAR(T_Stocks[[#This Row],[Fecha]]),MONTH(T_Stocks[[#This Row],[Fecha]]),DAY(T_Stocks[[#This Row],[Fecha]]))</f>
        <v>BTCEUR-44820</v>
      </c>
    </row>
    <row r="2817" spans="1:4" ht="14.65" thickBot="1" x14ac:dyDescent="0.5">
      <c r="A2817" s="17">
        <v>44821.998611111114</v>
      </c>
      <c r="B2817" s="19">
        <v>20085.407800000001</v>
      </c>
      <c r="C2817" t="s">
        <v>155</v>
      </c>
      <c r="D2817" t="str">
        <f>T_Stocks[[#This Row],[Ticker]] &amp; "-" &amp; DATE(YEAR(T_Stocks[[#This Row],[Fecha]]),MONTH(T_Stocks[[#This Row],[Fecha]]),DAY(T_Stocks[[#This Row],[Fecha]]))</f>
        <v>BTCEUR-44821</v>
      </c>
    </row>
    <row r="2818" spans="1:4" ht="14.65" thickBot="1" x14ac:dyDescent="0.5">
      <c r="A2818" s="17">
        <v>44822.998611111114</v>
      </c>
      <c r="B2818" s="19">
        <v>19374.338660000001</v>
      </c>
      <c r="C2818" t="s">
        <v>155</v>
      </c>
      <c r="D2818" t="str">
        <f>T_Stocks[[#This Row],[Ticker]] &amp; "-" &amp; DATE(YEAR(T_Stocks[[#This Row],[Fecha]]),MONTH(T_Stocks[[#This Row],[Fecha]]),DAY(T_Stocks[[#This Row],[Fecha]]))</f>
        <v>BTCEUR-44822</v>
      </c>
    </row>
    <row r="2819" spans="1:4" ht="14.65" thickBot="1" x14ac:dyDescent="0.5">
      <c r="A2819" s="17">
        <v>44823.998611111114</v>
      </c>
      <c r="B2819" s="19">
        <v>19478.947080000002</v>
      </c>
      <c r="C2819" t="s">
        <v>155</v>
      </c>
      <c r="D2819" t="str">
        <f>T_Stocks[[#This Row],[Ticker]] &amp; "-" &amp; DATE(YEAR(T_Stocks[[#This Row],[Fecha]]),MONTH(T_Stocks[[#This Row],[Fecha]]),DAY(T_Stocks[[#This Row],[Fecha]]))</f>
        <v>BTCEUR-44823</v>
      </c>
    </row>
    <row r="2820" spans="1:4" ht="14.65" thickBot="1" x14ac:dyDescent="0.5">
      <c r="A2820" s="17">
        <v>44824.998611111114</v>
      </c>
      <c r="B2820" s="19">
        <v>18931.29665</v>
      </c>
      <c r="C2820" t="s">
        <v>155</v>
      </c>
      <c r="D2820" t="str">
        <f>T_Stocks[[#This Row],[Ticker]] &amp; "-" &amp; DATE(YEAR(T_Stocks[[#This Row],[Fecha]]),MONTH(T_Stocks[[#This Row],[Fecha]]),DAY(T_Stocks[[#This Row],[Fecha]]))</f>
        <v>BTCEUR-44824</v>
      </c>
    </row>
    <row r="2821" spans="1:4" ht="14.65" thickBot="1" x14ac:dyDescent="0.5">
      <c r="A2821" s="17">
        <v>44825.998611111114</v>
      </c>
      <c r="B2821" s="19">
        <v>18808.2147</v>
      </c>
      <c r="C2821" t="s">
        <v>155</v>
      </c>
      <c r="D2821" t="str">
        <f>T_Stocks[[#This Row],[Ticker]] &amp; "-" &amp; DATE(YEAR(T_Stocks[[#This Row],[Fecha]]),MONTH(T_Stocks[[#This Row],[Fecha]]),DAY(T_Stocks[[#This Row],[Fecha]]))</f>
        <v>BTCEUR-44825</v>
      </c>
    </row>
    <row r="2822" spans="1:4" ht="14.65" thickBot="1" x14ac:dyDescent="0.5">
      <c r="A2822" s="17">
        <v>44826.998611111114</v>
      </c>
      <c r="B2822" s="19">
        <v>19717.471300000001</v>
      </c>
      <c r="C2822" t="s">
        <v>155</v>
      </c>
      <c r="D2822" t="str">
        <f>T_Stocks[[#This Row],[Ticker]] &amp; "-" &amp; DATE(YEAR(T_Stocks[[#This Row],[Fecha]]),MONTH(T_Stocks[[#This Row],[Fecha]]),DAY(T_Stocks[[#This Row],[Fecha]]))</f>
        <v>BTCEUR-44826</v>
      </c>
    </row>
    <row r="2823" spans="1:4" ht="14.65" thickBot="1" x14ac:dyDescent="0.5">
      <c r="A2823" s="17">
        <v>44827.998611111114</v>
      </c>
      <c r="B2823" s="19">
        <v>19906.805970000001</v>
      </c>
      <c r="C2823" t="s">
        <v>155</v>
      </c>
      <c r="D2823" t="str">
        <f>T_Stocks[[#This Row],[Ticker]] &amp; "-" &amp; DATE(YEAR(T_Stocks[[#This Row],[Fecha]]),MONTH(T_Stocks[[#This Row],[Fecha]]),DAY(T_Stocks[[#This Row],[Fecha]]))</f>
        <v>BTCEUR-44827</v>
      </c>
    </row>
    <row r="2824" spans="1:4" ht="14.65" thickBot="1" x14ac:dyDescent="0.5">
      <c r="A2824" s="17">
        <v>44828.998611111114</v>
      </c>
      <c r="B2824" s="19">
        <v>19525.580839999999</v>
      </c>
      <c r="C2824" t="s">
        <v>155</v>
      </c>
      <c r="D2824" t="str">
        <f>T_Stocks[[#This Row],[Ticker]] &amp; "-" &amp; DATE(YEAR(T_Stocks[[#This Row],[Fecha]]),MONTH(T_Stocks[[#This Row],[Fecha]]),DAY(T_Stocks[[#This Row],[Fecha]]))</f>
        <v>BTCEUR-44828</v>
      </c>
    </row>
    <row r="2825" spans="1:4" ht="14.65" thickBot="1" x14ac:dyDescent="0.5">
      <c r="A2825" s="17">
        <v>44829.998611111114</v>
      </c>
      <c r="B2825" s="19">
        <v>19404.004560000001</v>
      </c>
      <c r="C2825" t="s">
        <v>155</v>
      </c>
      <c r="D2825" t="str">
        <f>T_Stocks[[#This Row],[Ticker]] &amp; "-" &amp; DATE(YEAR(T_Stocks[[#This Row],[Fecha]]),MONTH(T_Stocks[[#This Row],[Fecha]]),DAY(T_Stocks[[#This Row],[Fecha]]))</f>
        <v>BTCEUR-44829</v>
      </c>
    </row>
    <row r="2826" spans="1:4" ht="14.65" thickBot="1" x14ac:dyDescent="0.5">
      <c r="A2826" s="17">
        <v>44830.998611111114</v>
      </c>
      <c r="B2826" s="19">
        <v>19976.988440000001</v>
      </c>
      <c r="C2826" t="s">
        <v>155</v>
      </c>
      <c r="D2826" t="str">
        <f>T_Stocks[[#This Row],[Ticker]] &amp; "-" &amp; DATE(YEAR(T_Stocks[[#This Row],[Fecha]]),MONTH(T_Stocks[[#This Row],[Fecha]]),DAY(T_Stocks[[#This Row],[Fecha]]))</f>
        <v>BTCEUR-44830</v>
      </c>
    </row>
    <row r="2827" spans="1:4" ht="14.65" thickBot="1" x14ac:dyDescent="0.5">
      <c r="A2827" s="17">
        <v>44831.998611111114</v>
      </c>
      <c r="B2827" s="19">
        <v>19884.17857</v>
      </c>
      <c r="C2827" t="s">
        <v>155</v>
      </c>
      <c r="D2827" t="str">
        <f>T_Stocks[[#This Row],[Ticker]] &amp; "-" &amp; DATE(YEAR(T_Stocks[[#This Row],[Fecha]]),MONTH(T_Stocks[[#This Row],[Fecha]]),DAY(T_Stocks[[#This Row],[Fecha]]))</f>
        <v>BTCEUR-44831</v>
      </c>
    </row>
    <row r="2828" spans="1:4" ht="14.65" thickBot="1" x14ac:dyDescent="0.5">
      <c r="A2828" s="17">
        <v>44832.998611111114</v>
      </c>
      <c r="B2828" s="19">
        <v>19996.904999999999</v>
      </c>
      <c r="C2828" t="s">
        <v>155</v>
      </c>
      <c r="D2828" t="str">
        <f>T_Stocks[[#This Row],[Ticker]] &amp; "-" &amp; DATE(YEAR(T_Stocks[[#This Row],[Fecha]]),MONTH(T_Stocks[[#This Row],[Fecha]]),DAY(T_Stocks[[#This Row],[Fecha]]))</f>
        <v>BTCEUR-44832</v>
      </c>
    </row>
    <row r="2829" spans="1:4" ht="14.65" thickBot="1" x14ac:dyDescent="0.5">
      <c r="A2829" s="17">
        <v>44833.998611111114</v>
      </c>
      <c r="B2829" s="19">
        <v>19931.73545</v>
      </c>
      <c r="C2829" t="s">
        <v>155</v>
      </c>
      <c r="D2829" t="str">
        <f>T_Stocks[[#This Row],[Ticker]] &amp; "-" &amp; DATE(YEAR(T_Stocks[[#This Row],[Fecha]]),MONTH(T_Stocks[[#This Row],[Fecha]]),DAY(T_Stocks[[#This Row],[Fecha]]))</f>
        <v>BTCEUR-44833</v>
      </c>
    </row>
    <row r="2830" spans="1:4" ht="14.65" thickBot="1" x14ac:dyDescent="0.5">
      <c r="A2830" s="17">
        <v>44834.998611111114</v>
      </c>
      <c r="B2830" s="19">
        <v>19811.129140000001</v>
      </c>
      <c r="C2830" t="s">
        <v>155</v>
      </c>
      <c r="D2830" t="str">
        <f>T_Stocks[[#This Row],[Ticker]] &amp; "-" &amp; DATE(YEAR(T_Stocks[[#This Row],[Fecha]]),MONTH(T_Stocks[[#This Row],[Fecha]]),DAY(T_Stocks[[#This Row],[Fecha]]))</f>
        <v>BTCEUR-44834</v>
      </c>
    </row>
    <row r="2831" spans="1:4" ht="14.65" thickBot="1" x14ac:dyDescent="0.5">
      <c r="A2831" s="17">
        <v>44835.998611111114</v>
      </c>
      <c r="B2831" s="19">
        <v>19697.685659999999</v>
      </c>
      <c r="C2831" t="s">
        <v>155</v>
      </c>
      <c r="D2831" t="str">
        <f>T_Stocks[[#This Row],[Ticker]] &amp; "-" &amp; DATE(YEAR(T_Stocks[[#This Row],[Fecha]]),MONTH(T_Stocks[[#This Row],[Fecha]]),DAY(T_Stocks[[#This Row],[Fecha]]))</f>
        <v>BTCEUR-44835</v>
      </c>
    </row>
    <row r="2832" spans="1:4" ht="14.65" thickBot="1" x14ac:dyDescent="0.5">
      <c r="A2832" s="17">
        <v>44836.998611111114</v>
      </c>
      <c r="B2832" s="19">
        <v>19452.931089999998</v>
      </c>
      <c r="C2832" t="s">
        <v>155</v>
      </c>
      <c r="D2832" t="str">
        <f>T_Stocks[[#This Row],[Ticker]] &amp; "-" &amp; DATE(YEAR(T_Stocks[[#This Row],[Fecha]]),MONTH(T_Stocks[[#This Row],[Fecha]]),DAY(T_Stocks[[#This Row],[Fecha]]))</f>
        <v>BTCEUR-44836</v>
      </c>
    </row>
    <row r="2833" spans="1:4" ht="14.65" thickBot="1" x14ac:dyDescent="0.5">
      <c r="A2833" s="17">
        <v>44837.998611111114</v>
      </c>
      <c r="B2833" s="19">
        <v>19963.764950000001</v>
      </c>
      <c r="C2833" t="s">
        <v>155</v>
      </c>
      <c r="D2833" t="str">
        <f>T_Stocks[[#This Row],[Ticker]] &amp; "-" &amp; DATE(YEAR(T_Stocks[[#This Row],[Fecha]]),MONTH(T_Stocks[[#This Row],[Fecha]]),DAY(T_Stocks[[#This Row],[Fecha]]))</f>
        <v>BTCEUR-44837</v>
      </c>
    </row>
    <row r="2834" spans="1:4" ht="14.65" thickBot="1" x14ac:dyDescent="0.5">
      <c r="A2834" s="17">
        <v>44838.998611111114</v>
      </c>
      <c r="B2834" s="19">
        <v>20371.78356</v>
      </c>
      <c r="C2834" t="s">
        <v>155</v>
      </c>
      <c r="D2834" t="str">
        <f>T_Stocks[[#This Row],[Ticker]] &amp; "-" &amp; DATE(YEAR(T_Stocks[[#This Row],[Fecha]]),MONTH(T_Stocks[[#This Row],[Fecha]]),DAY(T_Stocks[[#This Row],[Fecha]]))</f>
        <v>BTCEUR-44838</v>
      </c>
    </row>
    <row r="2835" spans="1:4" ht="14.65" thickBot="1" x14ac:dyDescent="0.5">
      <c r="A2835" s="17">
        <v>44839.998611111114</v>
      </c>
      <c r="B2835" s="19">
        <v>20340.602930000001</v>
      </c>
      <c r="C2835" t="s">
        <v>155</v>
      </c>
      <c r="D2835" t="str">
        <f>T_Stocks[[#This Row],[Ticker]] &amp; "-" &amp; DATE(YEAR(T_Stocks[[#This Row],[Fecha]]),MONTH(T_Stocks[[#This Row],[Fecha]]),DAY(T_Stocks[[#This Row],[Fecha]]))</f>
        <v>BTCEUR-44839</v>
      </c>
    </row>
    <row r="2836" spans="1:4" ht="14.65" thickBot="1" x14ac:dyDescent="0.5">
      <c r="A2836" s="17">
        <v>44840.998611111114</v>
      </c>
      <c r="B2836" s="19">
        <v>20391.30256</v>
      </c>
      <c r="C2836" t="s">
        <v>155</v>
      </c>
      <c r="D2836" t="str">
        <f>T_Stocks[[#This Row],[Ticker]] &amp; "-" &amp; DATE(YEAR(T_Stocks[[#This Row],[Fecha]]),MONTH(T_Stocks[[#This Row],[Fecha]]),DAY(T_Stocks[[#This Row],[Fecha]]))</f>
        <v>BTCEUR-44840</v>
      </c>
    </row>
    <row r="2837" spans="1:4" ht="14.65" thickBot="1" x14ac:dyDescent="0.5">
      <c r="A2837" s="17">
        <v>44841.998611111114</v>
      </c>
      <c r="B2837" s="19">
        <v>20051.963390000001</v>
      </c>
      <c r="C2837" t="s">
        <v>155</v>
      </c>
      <c r="D2837" t="str">
        <f>T_Stocks[[#This Row],[Ticker]] &amp; "-" &amp; DATE(YEAR(T_Stocks[[#This Row],[Fecha]]),MONTH(T_Stocks[[#This Row],[Fecha]]),DAY(T_Stocks[[#This Row],[Fecha]]))</f>
        <v>BTCEUR-44841</v>
      </c>
    </row>
    <row r="2838" spans="1:4" ht="14.65" thickBot="1" x14ac:dyDescent="0.5">
      <c r="A2838" s="17">
        <v>44842.998611111114</v>
      </c>
      <c r="B2838" s="19">
        <v>19933.240419999998</v>
      </c>
      <c r="C2838" t="s">
        <v>155</v>
      </c>
      <c r="D2838" t="str">
        <f>T_Stocks[[#This Row],[Ticker]] &amp; "-" &amp; DATE(YEAR(T_Stocks[[#This Row],[Fecha]]),MONTH(T_Stocks[[#This Row],[Fecha]]),DAY(T_Stocks[[#This Row],[Fecha]]))</f>
        <v>BTCEUR-44842</v>
      </c>
    </row>
    <row r="2839" spans="1:4" ht="14.65" thickBot="1" x14ac:dyDescent="0.5">
      <c r="A2839" s="17">
        <v>44843.998611111114</v>
      </c>
      <c r="B2839" s="19">
        <v>19971.293409999998</v>
      </c>
      <c r="C2839" t="s">
        <v>155</v>
      </c>
      <c r="D2839" t="str">
        <f>T_Stocks[[#This Row],[Ticker]] &amp; "-" &amp; DATE(YEAR(T_Stocks[[#This Row],[Fecha]]),MONTH(T_Stocks[[#This Row],[Fecha]]),DAY(T_Stocks[[#This Row],[Fecha]]))</f>
        <v>BTCEUR-44843</v>
      </c>
    </row>
    <row r="2840" spans="1:4" ht="14.65" thickBot="1" x14ac:dyDescent="0.5">
      <c r="A2840" s="17">
        <v>44844.998611111114</v>
      </c>
      <c r="B2840" s="19">
        <v>19701.242389999999</v>
      </c>
      <c r="C2840" t="s">
        <v>155</v>
      </c>
      <c r="D2840" t="str">
        <f>T_Stocks[[#This Row],[Ticker]] &amp; "-" &amp; DATE(YEAR(T_Stocks[[#This Row],[Fecha]]),MONTH(T_Stocks[[#This Row],[Fecha]]),DAY(T_Stocks[[#This Row],[Fecha]]))</f>
        <v>BTCEUR-44844</v>
      </c>
    </row>
    <row r="2841" spans="1:4" ht="14.65" thickBot="1" x14ac:dyDescent="0.5">
      <c r="A2841" s="17">
        <v>44845.998611111114</v>
      </c>
      <c r="B2841" s="19">
        <v>19647.959050000001</v>
      </c>
      <c r="C2841" t="s">
        <v>155</v>
      </c>
      <c r="D2841" t="str">
        <f>T_Stocks[[#This Row],[Ticker]] &amp; "-" &amp; DATE(YEAR(T_Stocks[[#This Row],[Fecha]]),MONTH(T_Stocks[[#This Row],[Fecha]]),DAY(T_Stocks[[#This Row],[Fecha]]))</f>
        <v>BTCEUR-44845</v>
      </c>
    </row>
    <row r="2842" spans="1:4" ht="14.65" thickBot="1" x14ac:dyDescent="0.5">
      <c r="A2842" s="17">
        <v>44846.998611111114</v>
      </c>
      <c r="B2842" s="19">
        <v>19730.863069999999</v>
      </c>
      <c r="C2842" t="s">
        <v>155</v>
      </c>
      <c r="D2842" t="str">
        <f>T_Stocks[[#This Row],[Ticker]] &amp; "-" &amp; DATE(YEAR(T_Stocks[[#This Row],[Fecha]]),MONTH(T_Stocks[[#This Row],[Fecha]]),DAY(T_Stocks[[#This Row],[Fecha]]))</f>
        <v>BTCEUR-44846</v>
      </c>
    </row>
    <row r="2843" spans="1:4" ht="14.65" thickBot="1" x14ac:dyDescent="0.5">
      <c r="A2843" s="17">
        <v>44847.998611111114</v>
      </c>
      <c r="B2843" s="19">
        <v>19873.841329999999</v>
      </c>
      <c r="C2843" t="s">
        <v>155</v>
      </c>
      <c r="D2843" t="str">
        <f>T_Stocks[[#This Row],[Ticker]] &amp; "-" &amp; DATE(YEAR(T_Stocks[[#This Row],[Fecha]]),MONTH(T_Stocks[[#This Row],[Fecha]]),DAY(T_Stocks[[#This Row],[Fecha]]))</f>
        <v>BTCEUR-44847</v>
      </c>
    </row>
    <row r="2844" spans="1:4" ht="14.65" thickBot="1" x14ac:dyDescent="0.5">
      <c r="A2844" s="17">
        <v>44848.998611111114</v>
      </c>
      <c r="B2844" s="19">
        <v>19722.660319999999</v>
      </c>
      <c r="C2844" t="s">
        <v>155</v>
      </c>
      <c r="D2844" t="str">
        <f>T_Stocks[[#This Row],[Ticker]] &amp; "-" &amp; DATE(YEAR(T_Stocks[[#This Row],[Fecha]]),MONTH(T_Stocks[[#This Row],[Fecha]]),DAY(T_Stocks[[#This Row],[Fecha]]))</f>
        <v>BTCEUR-44848</v>
      </c>
    </row>
    <row r="2845" spans="1:4" ht="14.65" thickBot="1" x14ac:dyDescent="0.5">
      <c r="A2845" s="17">
        <v>44849.998611111114</v>
      </c>
      <c r="B2845" s="19">
        <v>19607.27477</v>
      </c>
      <c r="C2845" t="s">
        <v>155</v>
      </c>
      <c r="D2845" t="str">
        <f>T_Stocks[[#This Row],[Ticker]] &amp; "-" &amp; DATE(YEAR(T_Stocks[[#This Row],[Fecha]]),MONTH(T_Stocks[[#This Row],[Fecha]]),DAY(T_Stocks[[#This Row],[Fecha]]))</f>
        <v>BTCEUR-44849</v>
      </c>
    </row>
    <row r="2846" spans="1:4" ht="14.65" thickBot="1" x14ac:dyDescent="0.5">
      <c r="A2846" s="17">
        <v>44850.998611111114</v>
      </c>
      <c r="B2846" s="19">
        <v>19778.026099999999</v>
      </c>
      <c r="C2846" t="s">
        <v>155</v>
      </c>
      <c r="D2846" t="str">
        <f>T_Stocks[[#This Row],[Ticker]] &amp; "-" &amp; DATE(YEAR(T_Stocks[[#This Row],[Fecha]]),MONTH(T_Stocks[[#This Row],[Fecha]]),DAY(T_Stocks[[#This Row],[Fecha]]))</f>
        <v>BTCEUR-44850</v>
      </c>
    </row>
    <row r="2847" spans="1:4" ht="14.65" thickBot="1" x14ac:dyDescent="0.5">
      <c r="A2847" s="17">
        <v>44851.998611111114</v>
      </c>
      <c r="B2847" s="19">
        <v>19853.44644</v>
      </c>
      <c r="C2847" t="s">
        <v>155</v>
      </c>
      <c r="D2847" t="str">
        <f>T_Stocks[[#This Row],[Ticker]] &amp; "-" &amp; DATE(YEAR(T_Stocks[[#This Row],[Fecha]]),MONTH(T_Stocks[[#This Row],[Fecha]]),DAY(T_Stocks[[#This Row],[Fecha]]))</f>
        <v>BTCEUR-44851</v>
      </c>
    </row>
    <row r="2848" spans="1:4" ht="14.65" thickBot="1" x14ac:dyDescent="0.5">
      <c r="A2848" s="17">
        <v>44852.998611111114</v>
      </c>
      <c r="B2848" s="19">
        <v>19595.43606</v>
      </c>
      <c r="C2848" t="s">
        <v>155</v>
      </c>
      <c r="D2848" t="str">
        <f>T_Stocks[[#This Row],[Ticker]] &amp; "-" &amp; DATE(YEAR(T_Stocks[[#This Row],[Fecha]]),MONTH(T_Stocks[[#This Row],[Fecha]]),DAY(T_Stocks[[#This Row],[Fecha]]))</f>
        <v>BTCEUR-44852</v>
      </c>
    </row>
    <row r="2849" spans="1:4" ht="14.65" thickBot="1" x14ac:dyDescent="0.5">
      <c r="A2849" s="17">
        <v>44853.998611111114</v>
      </c>
      <c r="B2849" s="19">
        <v>19581.50057</v>
      </c>
      <c r="C2849" t="s">
        <v>155</v>
      </c>
      <c r="D2849" t="str">
        <f>T_Stocks[[#This Row],[Ticker]] &amp; "-" &amp; DATE(YEAR(T_Stocks[[#This Row],[Fecha]]),MONTH(T_Stocks[[#This Row],[Fecha]]),DAY(T_Stocks[[#This Row],[Fecha]]))</f>
        <v>BTCEUR-44853</v>
      </c>
    </row>
    <row r="2850" spans="1:4" ht="14.65" thickBot="1" x14ac:dyDescent="0.5">
      <c r="A2850" s="17">
        <v>44854.998611111114</v>
      </c>
      <c r="B2850" s="19">
        <v>19473.34748</v>
      </c>
      <c r="C2850" t="s">
        <v>155</v>
      </c>
      <c r="D2850" t="str">
        <f>T_Stocks[[#This Row],[Ticker]] &amp; "-" &amp; DATE(YEAR(T_Stocks[[#This Row],[Fecha]]),MONTH(T_Stocks[[#This Row],[Fecha]]),DAY(T_Stocks[[#This Row],[Fecha]]))</f>
        <v>BTCEUR-44854</v>
      </c>
    </row>
    <row r="2851" spans="1:4" ht="14.65" thickBot="1" x14ac:dyDescent="0.5">
      <c r="A2851" s="17">
        <v>44855.998611111114</v>
      </c>
      <c r="B2851" s="19">
        <v>19429.477220000001</v>
      </c>
      <c r="C2851" t="s">
        <v>155</v>
      </c>
      <c r="D2851" t="str">
        <f>T_Stocks[[#This Row],[Ticker]] &amp; "-" &amp; DATE(YEAR(T_Stocks[[#This Row],[Fecha]]),MONTH(T_Stocks[[#This Row],[Fecha]]),DAY(T_Stocks[[#This Row],[Fecha]]))</f>
        <v>BTCEUR-44855</v>
      </c>
    </row>
    <row r="2852" spans="1:4" ht="14.65" thickBot="1" x14ac:dyDescent="0.5">
      <c r="A2852" s="17">
        <v>44856.998611111114</v>
      </c>
      <c r="B2852" s="19">
        <v>19472.375329999999</v>
      </c>
      <c r="C2852" t="s">
        <v>155</v>
      </c>
      <c r="D2852" t="str">
        <f>T_Stocks[[#This Row],[Ticker]] &amp; "-" &amp; DATE(YEAR(T_Stocks[[#This Row],[Fecha]]),MONTH(T_Stocks[[#This Row],[Fecha]]),DAY(T_Stocks[[#This Row],[Fecha]]))</f>
        <v>BTCEUR-44856</v>
      </c>
    </row>
    <row r="2853" spans="1:4" ht="14.65" thickBot="1" x14ac:dyDescent="0.5">
      <c r="A2853" s="17">
        <v>44857.998611111114</v>
      </c>
      <c r="B2853" s="19">
        <v>19845.355520000001</v>
      </c>
      <c r="C2853" t="s">
        <v>155</v>
      </c>
      <c r="D2853" t="str">
        <f>T_Stocks[[#This Row],[Ticker]] &amp; "-" &amp; DATE(YEAR(T_Stocks[[#This Row],[Fecha]]),MONTH(T_Stocks[[#This Row],[Fecha]]),DAY(T_Stocks[[#This Row],[Fecha]]))</f>
        <v>BTCEUR-44857</v>
      </c>
    </row>
    <row r="2854" spans="1:4" ht="14.65" thickBot="1" x14ac:dyDescent="0.5">
      <c r="A2854" s="17">
        <v>44858.998611111114</v>
      </c>
      <c r="B2854" s="19">
        <v>19550.815999999999</v>
      </c>
      <c r="C2854" t="s">
        <v>155</v>
      </c>
      <c r="D2854" t="str">
        <f>T_Stocks[[#This Row],[Ticker]] &amp; "-" &amp; DATE(YEAR(T_Stocks[[#This Row],[Fecha]]),MONTH(T_Stocks[[#This Row],[Fecha]]),DAY(T_Stocks[[#This Row],[Fecha]]))</f>
        <v>BTCEUR-44858</v>
      </c>
    </row>
    <row r="2855" spans="1:4" ht="14.65" thickBot="1" x14ac:dyDescent="0.5">
      <c r="A2855" s="17">
        <v>44859.998611111114</v>
      </c>
      <c r="B2855" s="19">
        <v>20157.065610000001</v>
      </c>
      <c r="C2855" t="s">
        <v>155</v>
      </c>
      <c r="D2855" t="str">
        <f>T_Stocks[[#This Row],[Ticker]] &amp; "-" &amp; DATE(YEAR(T_Stocks[[#This Row],[Fecha]]),MONTH(T_Stocks[[#This Row],[Fecha]]),DAY(T_Stocks[[#This Row],[Fecha]]))</f>
        <v>BTCEUR-44859</v>
      </c>
    </row>
    <row r="2856" spans="1:4" ht="14.65" thickBot="1" x14ac:dyDescent="0.5">
      <c r="A2856" s="17">
        <v>44860.998611111114</v>
      </c>
      <c r="B2856" s="19">
        <v>20585.93792</v>
      </c>
      <c r="C2856" t="s">
        <v>155</v>
      </c>
      <c r="D2856" t="str">
        <f>T_Stocks[[#This Row],[Ticker]] &amp; "-" &amp; DATE(YEAR(T_Stocks[[#This Row],[Fecha]]),MONTH(T_Stocks[[#This Row],[Fecha]]),DAY(T_Stocks[[#This Row],[Fecha]]))</f>
        <v>BTCEUR-44860</v>
      </c>
    </row>
    <row r="2857" spans="1:4" ht="14.65" thickBot="1" x14ac:dyDescent="0.5">
      <c r="A2857" s="17">
        <v>44861.998611111114</v>
      </c>
      <c r="B2857" s="19">
        <v>20356.148669999999</v>
      </c>
      <c r="C2857" t="s">
        <v>155</v>
      </c>
      <c r="D2857" t="str">
        <f>T_Stocks[[#This Row],[Ticker]] &amp; "-" &amp; DATE(YEAR(T_Stocks[[#This Row],[Fecha]]),MONTH(T_Stocks[[#This Row],[Fecha]]),DAY(T_Stocks[[#This Row],[Fecha]]))</f>
        <v>BTCEUR-44861</v>
      </c>
    </row>
    <row r="2858" spans="1:4" ht="14.65" thickBot="1" x14ac:dyDescent="0.5">
      <c r="A2858" s="17">
        <v>44862.998611111114</v>
      </c>
      <c r="B2858" s="19">
        <v>20666.056499999999</v>
      </c>
      <c r="C2858" t="s">
        <v>155</v>
      </c>
      <c r="D2858" t="str">
        <f>T_Stocks[[#This Row],[Ticker]] &amp; "-" &amp; DATE(YEAR(T_Stocks[[#This Row],[Fecha]]),MONTH(T_Stocks[[#This Row],[Fecha]]),DAY(T_Stocks[[#This Row],[Fecha]]))</f>
        <v>BTCEUR-44862</v>
      </c>
    </row>
    <row r="2859" spans="1:4" ht="14.65" thickBot="1" x14ac:dyDescent="0.5">
      <c r="A2859" s="17">
        <v>44863.998611111114</v>
      </c>
      <c r="B2859" s="19">
        <v>20884.27593</v>
      </c>
      <c r="C2859" t="s">
        <v>155</v>
      </c>
      <c r="D2859" t="str">
        <f>T_Stocks[[#This Row],[Ticker]] &amp; "-" &amp; DATE(YEAR(T_Stocks[[#This Row],[Fecha]]),MONTH(T_Stocks[[#This Row],[Fecha]]),DAY(T_Stocks[[#This Row],[Fecha]]))</f>
        <v>BTCEUR-44863</v>
      </c>
    </row>
    <row r="2860" spans="1:4" ht="14.65" thickBot="1" x14ac:dyDescent="0.5">
      <c r="A2860" s="17">
        <v>44864.998611111114</v>
      </c>
      <c r="B2860" s="19">
        <v>20717.351060000001</v>
      </c>
      <c r="C2860" t="s">
        <v>155</v>
      </c>
      <c r="D2860" t="str">
        <f>T_Stocks[[#This Row],[Ticker]] &amp; "-" &amp; DATE(YEAR(T_Stocks[[#This Row],[Fecha]]),MONTH(T_Stocks[[#This Row],[Fecha]]),DAY(T_Stocks[[#This Row],[Fecha]]))</f>
        <v>BTCEUR-44864</v>
      </c>
    </row>
    <row r="2861" spans="1:4" ht="14.65" thickBot="1" x14ac:dyDescent="0.5">
      <c r="A2861" s="17">
        <v>44865.998611111114</v>
      </c>
      <c r="B2861" s="19">
        <v>20727.81984</v>
      </c>
      <c r="C2861" t="s">
        <v>155</v>
      </c>
      <c r="D2861" t="str">
        <f>T_Stocks[[#This Row],[Ticker]] &amp; "-" &amp; DATE(YEAR(T_Stocks[[#This Row],[Fecha]]),MONTH(T_Stocks[[#This Row],[Fecha]]),DAY(T_Stocks[[#This Row],[Fecha]]))</f>
        <v>BTCEUR-44865</v>
      </c>
    </row>
    <row r="2862" spans="1:4" ht="14.65" thickBot="1" x14ac:dyDescent="0.5">
      <c r="A2862" s="17">
        <v>44866.998611111114</v>
      </c>
      <c r="B2862" s="19">
        <v>20733.203659999999</v>
      </c>
      <c r="C2862" t="s">
        <v>155</v>
      </c>
      <c r="D2862" t="str">
        <f>T_Stocks[[#This Row],[Ticker]] &amp; "-" &amp; DATE(YEAR(T_Stocks[[#This Row],[Fecha]]),MONTH(T_Stocks[[#This Row],[Fecha]]),DAY(T_Stocks[[#This Row],[Fecha]]))</f>
        <v>BTCEUR-44866</v>
      </c>
    </row>
    <row r="2863" spans="1:4" ht="14.65" thickBot="1" x14ac:dyDescent="0.5">
      <c r="A2863" s="17">
        <v>44867.998611111114</v>
      </c>
      <c r="B2863" s="19">
        <v>20532.493539999999</v>
      </c>
      <c r="C2863" t="s">
        <v>155</v>
      </c>
      <c r="D2863" t="str">
        <f>T_Stocks[[#This Row],[Ticker]] &amp; "-" &amp; DATE(YEAR(T_Stocks[[#This Row],[Fecha]]),MONTH(T_Stocks[[#This Row],[Fecha]]),DAY(T_Stocks[[#This Row],[Fecha]]))</f>
        <v>BTCEUR-44867</v>
      </c>
    </row>
    <row r="2864" spans="1:4" ht="14.65" thickBot="1" x14ac:dyDescent="0.5">
      <c r="A2864" s="17">
        <v>44868.998611111114</v>
      </c>
      <c r="B2864" s="19">
        <v>20725.659339999998</v>
      </c>
      <c r="C2864" t="s">
        <v>155</v>
      </c>
      <c r="D2864" t="str">
        <f>T_Stocks[[#This Row],[Ticker]] &amp; "-" &amp; DATE(YEAR(T_Stocks[[#This Row],[Fecha]]),MONTH(T_Stocks[[#This Row],[Fecha]]),DAY(T_Stocks[[#This Row],[Fecha]]))</f>
        <v>BTCEUR-44868</v>
      </c>
    </row>
    <row r="2865" spans="1:4" ht="14.65" thickBot="1" x14ac:dyDescent="0.5">
      <c r="A2865" s="17">
        <v>44869.998611111114</v>
      </c>
      <c r="B2865" s="19">
        <v>21179.501670000001</v>
      </c>
      <c r="C2865" t="s">
        <v>155</v>
      </c>
      <c r="D2865" t="str">
        <f>T_Stocks[[#This Row],[Ticker]] &amp; "-" &amp; DATE(YEAR(T_Stocks[[#This Row],[Fecha]]),MONTH(T_Stocks[[#This Row],[Fecha]]),DAY(T_Stocks[[#This Row],[Fecha]]))</f>
        <v>BTCEUR-44869</v>
      </c>
    </row>
    <row r="2866" spans="1:4" ht="14.65" thickBot="1" x14ac:dyDescent="0.5">
      <c r="A2866" s="17">
        <v>44870.998611111114</v>
      </c>
      <c r="B2866" s="19">
        <v>21330.107240000001</v>
      </c>
      <c r="C2866" t="s">
        <v>155</v>
      </c>
      <c r="D2866" t="str">
        <f>T_Stocks[[#This Row],[Ticker]] &amp; "-" &amp; DATE(YEAR(T_Stocks[[#This Row],[Fecha]]),MONTH(T_Stocks[[#This Row],[Fecha]]),DAY(T_Stocks[[#This Row],[Fecha]]))</f>
        <v>BTCEUR-44870</v>
      </c>
    </row>
    <row r="2867" spans="1:4" ht="14.65" thickBot="1" x14ac:dyDescent="0.5">
      <c r="A2867" s="17">
        <v>44871.998611111114</v>
      </c>
      <c r="B2867" s="19">
        <v>21062.885770000001</v>
      </c>
      <c r="C2867" t="s">
        <v>155</v>
      </c>
      <c r="D2867" t="str">
        <f>T_Stocks[[#This Row],[Ticker]] &amp; "-" &amp; DATE(YEAR(T_Stocks[[#This Row],[Fecha]]),MONTH(T_Stocks[[#This Row],[Fecha]]),DAY(T_Stocks[[#This Row],[Fecha]]))</f>
        <v>BTCEUR-44871</v>
      </c>
    </row>
    <row r="2868" spans="1:4" ht="14.65" thickBot="1" x14ac:dyDescent="0.5">
      <c r="A2868" s="17">
        <v>44872.998611111114</v>
      </c>
      <c r="B2868" s="19">
        <v>20550.604640000001</v>
      </c>
      <c r="C2868" t="s">
        <v>155</v>
      </c>
      <c r="D2868" t="str">
        <f>T_Stocks[[#This Row],[Ticker]] &amp; "-" &amp; DATE(YEAR(T_Stocks[[#This Row],[Fecha]]),MONTH(T_Stocks[[#This Row],[Fecha]]),DAY(T_Stocks[[#This Row],[Fecha]]))</f>
        <v>BTCEUR-44872</v>
      </c>
    </row>
    <row r="2869" spans="1:4" ht="14.65" thickBot="1" x14ac:dyDescent="0.5">
      <c r="A2869" s="17">
        <v>44873.998611111114</v>
      </c>
      <c r="B2869" s="19">
        <v>18376.449329999999</v>
      </c>
      <c r="C2869" t="s">
        <v>155</v>
      </c>
      <c r="D2869" t="str">
        <f>T_Stocks[[#This Row],[Ticker]] &amp; "-" &amp; DATE(YEAR(T_Stocks[[#This Row],[Fecha]]),MONTH(T_Stocks[[#This Row],[Fecha]]),DAY(T_Stocks[[#This Row],[Fecha]]))</f>
        <v>BTCEUR-44873</v>
      </c>
    </row>
    <row r="2870" spans="1:4" ht="14.65" thickBot="1" x14ac:dyDescent="0.5">
      <c r="A2870" s="17">
        <v>44874.998611111114</v>
      </c>
      <c r="B2870" s="19">
        <v>15835.17108</v>
      </c>
      <c r="C2870" t="s">
        <v>155</v>
      </c>
      <c r="D2870" t="str">
        <f>T_Stocks[[#This Row],[Ticker]] &amp; "-" &amp; DATE(YEAR(T_Stocks[[#This Row],[Fecha]]),MONTH(T_Stocks[[#This Row],[Fecha]]),DAY(T_Stocks[[#This Row],[Fecha]]))</f>
        <v>BTCEUR-44874</v>
      </c>
    </row>
    <row r="2871" spans="1:4" ht="14.65" thickBot="1" x14ac:dyDescent="0.5">
      <c r="A2871" s="17">
        <v>44875.998611111114</v>
      </c>
      <c r="B2871" s="19">
        <v>17233.969379999999</v>
      </c>
      <c r="C2871" t="s">
        <v>155</v>
      </c>
      <c r="D2871" t="str">
        <f>T_Stocks[[#This Row],[Ticker]] &amp; "-" &amp; DATE(YEAR(T_Stocks[[#This Row],[Fecha]]),MONTH(T_Stocks[[#This Row],[Fecha]]),DAY(T_Stocks[[#This Row],[Fecha]]))</f>
        <v>BTCEUR-44875</v>
      </c>
    </row>
    <row r="2872" spans="1:4" ht="14.65" thickBot="1" x14ac:dyDescent="0.5">
      <c r="A2872" s="17">
        <v>44876.998611111114</v>
      </c>
      <c r="B2872" s="19">
        <v>16399.327000000001</v>
      </c>
      <c r="C2872" t="s">
        <v>155</v>
      </c>
      <c r="D2872" t="str">
        <f>T_Stocks[[#This Row],[Ticker]] &amp; "-" &amp; DATE(YEAR(T_Stocks[[#This Row],[Fecha]]),MONTH(T_Stocks[[#This Row],[Fecha]]),DAY(T_Stocks[[#This Row],[Fecha]]))</f>
        <v>BTCEUR-44876</v>
      </c>
    </row>
    <row r="2873" spans="1:4" ht="14.65" thickBot="1" x14ac:dyDescent="0.5">
      <c r="A2873" s="17">
        <v>44877.998611111114</v>
      </c>
      <c r="B2873" s="19">
        <v>16176.53608</v>
      </c>
      <c r="C2873" t="s">
        <v>155</v>
      </c>
      <c r="D2873" t="str">
        <f>T_Stocks[[#This Row],[Ticker]] &amp; "-" &amp; DATE(YEAR(T_Stocks[[#This Row],[Fecha]]),MONTH(T_Stocks[[#This Row],[Fecha]]),DAY(T_Stocks[[#This Row],[Fecha]]))</f>
        <v>BTCEUR-44877</v>
      </c>
    </row>
    <row r="2874" spans="1:4" ht="14.65" thickBot="1" x14ac:dyDescent="0.5">
      <c r="A2874" s="17">
        <v>44878.998611111114</v>
      </c>
      <c r="B2874" s="19">
        <v>15786.76395</v>
      </c>
      <c r="C2874" t="s">
        <v>155</v>
      </c>
      <c r="D2874" t="str">
        <f>T_Stocks[[#This Row],[Ticker]] &amp; "-" &amp; DATE(YEAR(T_Stocks[[#This Row],[Fecha]]),MONTH(T_Stocks[[#This Row],[Fecha]]),DAY(T_Stocks[[#This Row],[Fecha]]))</f>
        <v>BTCEUR-44878</v>
      </c>
    </row>
    <row r="2875" spans="1:4" ht="14.65" thickBot="1" x14ac:dyDescent="0.5">
      <c r="A2875" s="17">
        <v>44879.998611111114</v>
      </c>
      <c r="B2875" s="19">
        <v>16084.15747</v>
      </c>
      <c r="C2875" t="s">
        <v>155</v>
      </c>
      <c r="D2875" t="str">
        <f>T_Stocks[[#This Row],[Ticker]] &amp; "-" &amp; DATE(YEAR(T_Stocks[[#This Row],[Fecha]]),MONTH(T_Stocks[[#This Row],[Fecha]]),DAY(T_Stocks[[#This Row],[Fecha]]))</f>
        <v>BTCEUR-44879</v>
      </c>
    </row>
    <row r="2876" spans="1:4" ht="14.65" thickBot="1" x14ac:dyDescent="0.5">
      <c r="A2876" s="17">
        <v>44880.998611111114</v>
      </c>
      <c r="B2876" s="19">
        <v>16293.918949999999</v>
      </c>
      <c r="C2876" t="s">
        <v>155</v>
      </c>
      <c r="D2876" t="str">
        <f>T_Stocks[[#This Row],[Ticker]] &amp; "-" &amp; DATE(YEAR(T_Stocks[[#This Row],[Fecha]]),MONTH(T_Stocks[[#This Row],[Fecha]]),DAY(T_Stocks[[#This Row],[Fecha]]))</f>
        <v>BTCEUR-44880</v>
      </c>
    </row>
    <row r="2877" spans="1:4" ht="14.65" thickBot="1" x14ac:dyDescent="0.5">
      <c r="A2877" s="17">
        <v>44881.998611111114</v>
      </c>
      <c r="B2877" s="19">
        <v>16026.31394</v>
      </c>
      <c r="C2877" t="s">
        <v>155</v>
      </c>
      <c r="D2877" t="str">
        <f>T_Stocks[[#This Row],[Ticker]] &amp; "-" &amp; DATE(YEAR(T_Stocks[[#This Row],[Fecha]]),MONTH(T_Stocks[[#This Row],[Fecha]]),DAY(T_Stocks[[#This Row],[Fecha]]))</f>
        <v>BTCEUR-44881</v>
      </c>
    </row>
    <row r="2878" spans="1:4" ht="14.65" thickBot="1" x14ac:dyDescent="0.5">
      <c r="A2878" s="17">
        <v>44882.998611111114</v>
      </c>
      <c r="B2878" s="19">
        <v>16098.772440000001</v>
      </c>
      <c r="C2878" t="s">
        <v>155</v>
      </c>
      <c r="D2878" t="str">
        <f>T_Stocks[[#This Row],[Ticker]] &amp; "-" &amp; DATE(YEAR(T_Stocks[[#This Row],[Fecha]]),MONTH(T_Stocks[[#This Row],[Fecha]]),DAY(T_Stocks[[#This Row],[Fecha]]))</f>
        <v>BTCEUR-44882</v>
      </c>
    </row>
    <row r="2879" spans="1:4" ht="14.65" thickBot="1" x14ac:dyDescent="0.5">
      <c r="A2879" s="17">
        <v>44883.998611111114</v>
      </c>
      <c r="B2879" s="19">
        <v>16124.48677</v>
      </c>
      <c r="C2879" t="s">
        <v>155</v>
      </c>
      <c r="D2879" t="str">
        <f>T_Stocks[[#This Row],[Ticker]] &amp; "-" &amp; DATE(YEAR(T_Stocks[[#This Row],[Fecha]]),MONTH(T_Stocks[[#This Row],[Fecha]]),DAY(T_Stocks[[#This Row],[Fecha]]))</f>
        <v>BTCEUR-44883</v>
      </c>
    </row>
    <row r="2880" spans="1:4" ht="14.65" thickBot="1" x14ac:dyDescent="0.5">
      <c r="A2880" s="17">
        <v>44884.998611111114</v>
      </c>
      <c r="B2880" s="19">
        <v>16133.26259</v>
      </c>
      <c r="C2880" t="s">
        <v>155</v>
      </c>
      <c r="D2880" t="str">
        <f>T_Stocks[[#This Row],[Ticker]] &amp; "-" &amp; DATE(YEAR(T_Stocks[[#This Row],[Fecha]]),MONTH(T_Stocks[[#This Row],[Fecha]]),DAY(T_Stocks[[#This Row],[Fecha]]))</f>
        <v>BTCEUR-44884</v>
      </c>
    </row>
    <row r="2881" spans="1:4" ht="14.65" thickBot="1" x14ac:dyDescent="0.5">
      <c r="A2881" s="17">
        <v>44885.998611111114</v>
      </c>
      <c r="B2881" s="19">
        <v>15742.628489999999</v>
      </c>
      <c r="C2881" t="s">
        <v>155</v>
      </c>
      <c r="D2881" t="str">
        <f>T_Stocks[[#This Row],[Ticker]] &amp; "-" &amp; DATE(YEAR(T_Stocks[[#This Row],[Fecha]]),MONTH(T_Stocks[[#This Row],[Fecha]]),DAY(T_Stocks[[#This Row],[Fecha]]))</f>
        <v>BTCEUR-44885</v>
      </c>
    </row>
    <row r="2882" spans="1:4" ht="14.65" thickBot="1" x14ac:dyDescent="0.5">
      <c r="A2882" s="17">
        <v>44886.998611111114</v>
      </c>
      <c r="B2882" s="19">
        <v>15390.53729</v>
      </c>
      <c r="C2882" t="s">
        <v>155</v>
      </c>
      <c r="D2882" t="str">
        <f>T_Stocks[[#This Row],[Ticker]] &amp; "-" &amp; DATE(YEAR(T_Stocks[[#This Row],[Fecha]]),MONTH(T_Stocks[[#This Row],[Fecha]]),DAY(T_Stocks[[#This Row],[Fecha]]))</f>
        <v>BTCEUR-44886</v>
      </c>
    </row>
    <row r="2883" spans="1:4" ht="14.65" thickBot="1" x14ac:dyDescent="0.5">
      <c r="A2883" s="17">
        <v>44887.998611111114</v>
      </c>
      <c r="B2883" s="19">
        <v>15706.736290000001</v>
      </c>
      <c r="C2883" t="s">
        <v>155</v>
      </c>
      <c r="D2883" t="str">
        <f>T_Stocks[[#This Row],[Ticker]] &amp; "-" &amp; DATE(YEAR(T_Stocks[[#This Row],[Fecha]]),MONTH(T_Stocks[[#This Row],[Fecha]]),DAY(T_Stocks[[#This Row],[Fecha]]))</f>
        <v>BTCEUR-44887</v>
      </c>
    </row>
    <row r="2884" spans="1:4" ht="14.65" thickBot="1" x14ac:dyDescent="0.5">
      <c r="A2884" s="17">
        <v>44888.998611111114</v>
      </c>
      <c r="B2884" s="19">
        <v>15935.02233</v>
      </c>
      <c r="C2884" t="s">
        <v>155</v>
      </c>
      <c r="D2884" t="str">
        <f>T_Stocks[[#This Row],[Ticker]] &amp; "-" &amp; DATE(YEAR(T_Stocks[[#This Row],[Fecha]]),MONTH(T_Stocks[[#This Row],[Fecha]]),DAY(T_Stocks[[#This Row],[Fecha]]))</f>
        <v>BTCEUR-44888</v>
      </c>
    </row>
    <row r="2885" spans="1:4" ht="14.65" thickBot="1" x14ac:dyDescent="0.5">
      <c r="A2885" s="17">
        <v>44889.998611111114</v>
      </c>
      <c r="B2885" s="19">
        <v>15943.13788</v>
      </c>
      <c r="C2885" t="s">
        <v>155</v>
      </c>
      <c r="D2885" t="str">
        <f>T_Stocks[[#This Row],[Ticker]] &amp; "-" &amp; DATE(YEAR(T_Stocks[[#This Row],[Fecha]]),MONTH(T_Stocks[[#This Row],[Fecha]]),DAY(T_Stocks[[#This Row],[Fecha]]))</f>
        <v>BTCEUR-44889</v>
      </c>
    </row>
    <row r="2886" spans="1:4" ht="14.65" thickBot="1" x14ac:dyDescent="0.5">
      <c r="A2886" s="17">
        <v>44890.998611111114</v>
      </c>
      <c r="B2886" s="19">
        <v>15848.86995</v>
      </c>
      <c r="C2886" t="s">
        <v>155</v>
      </c>
      <c r="D2886" t="str">
        <f>T_Stocks[[#This Row],[Ticker]] &amp; "-" &amp; DATE(YEAR(T_Stocks[[#This Row],[Fecha]]),MONTH(T_Stocks[[#This Row],[Fecha]]),DAY(T_Stocks[[#This Row],[Fecha]]))</f>
        <v>BTCEUR-44890</v>
      </c>
    </row>
    <row r="2887" spans="1:4" ht="14.65" thickBot="1" x14ac:dyDescent="0.5">
      <c r="A2887" s="17">
        <v>44891.998611111114</v>
      </c>
      <c r="B2887" s="19">
        <v>15793.25135</v>
      </c>
      <c r="C2887" t="s">
        <v>155</v>
      </c>
      <c r="D2887" t="str">
        <f>T_Stocks[[#This Row],[Ticker]] &amp; "-" &amp; DATE(YEAR(T_Stocks[[#This Row],[Fecha]]),MONTH(T_Stocks[[#This Row],[Fecha]]),DAY(T_Stocks[[#This Row],[Fecha]]))</f>
        <v>BTCEUR-44891</v>
      </c>
    </row>
    <row r="2888" spans="1:4" ht="14.65" thickBot="1" x14ac:dyDescent="0.5">
      <c r="A2888" s="17">
        <v>44892.998611111114</v>
      </c>
      <c r="B2888" s="19">
        <v>15837.44801</v>
      </c>
      <c r="C2888" t="s">
        <v>155</v>
      </c>
      <c r="D2888" t="str">
        <f>T_Stocks[[#This Row],[Ticker]] &amp; "-" &amp; DATE(YEAR(T_Stocks[[#This Row],[Fecha]]),MONTH(T_Stocks[[#This Row],[Fecha]]),DAY(T_Stocks[[#This Row],[Fecha]]))</f>
        <v>BTCEUR-44892</v>
      </c>
    </row>
    <row r="2889" spans="1:4" ht="14.65" thickBot="1" x14ac:dyDescent="0.5">
      <c r="A2889" s="17">
        <v>44893.998611111114</v>
      </c>
      <c r="B2889" s="19">
        <v>15665.0869</v>
      </c>
      <c r="C2889" t="s">
        <v>155</v>
      </c>
      <c r="D2889" t="str">
        <f>T_Stocks[[#This Row],[Ticker]] &amp; "-" &amp; DATE(YEAR(T_Stocks[[#This Row],[Fecha]]),MONTH(T_Stocks[[#This Row],[Fecha]]),DAY(T_Stocks[[#This Row],[Fecha]]))</f>
        <v>BTCEUR-44893</v>
      </c>
    </row>
    <row r="2890" spans="1:4" ht="14.65" thickBot="1" x14ac:dyDescent="0.5">
      <c r="A2890" s="17">
        <v>44894.998611111114</v>
      </c>
      <c r="B2890" s="19">
        <v>15916.723889999999</v>
      </c>
      <c r="C2890" t="s">
        <v>155</v>
      </c>
      <c r="D2890" t="str">
        <f>T_Stocks[[#This Row],[Ticker]] &amp; "-" &amp; DATE(YEAR(T_Stocks[[#This Row],[Fecha]]),MONTH(T_Stocks[[#This Row],[Fecha]]),DAY(T_Stocks[[#This Row],[Fecha]]))</f>
        <v>BTCEUR-44894</v>
      </c>
    </row>
    <row r="2891" spans="1:4" ht="14.65" thickBot="1" x14ac:dyDescent="0.5">
      <c r="A2891" s="17">
        <v>44895.998611111114</v>
      </c>
      <c r="B2891" s="19">
        <v>16462.720819999999</v>
      </c>
      <c r="C2891" t="s">
        <v>155</v>
      </c>
      <c r="D2891" t="str">
        <f>T_Stocks[[#This Row],[Ticker]] &amp; "-" &amp; DATE(YEAR(T_Stocks[[#This Row],[Fecha]]),MONTH(T_Stocks[[#This Row],[Fecha]]),DAY(T_Stocks[[#This Row],[Fecha]]))</f>
        <v>BTCEUR-44895</v>
      </c>
    </row>
    <row r="2892" spans="1:4" ht="14.65" thickBot="1" x14ac:dyDescent="0.5">
      <c r="A2892" s="17">
        <v>44896.998611111114</v>
      </c>
      <c r="B2892" s="19">
        <v>16117.677309999999</v>
      </c>
      <c r="C2892" t="s">
        <v>155</v>
      </c>
      <c r="D2892" t="str">
        <f>T_Stocks[[#This Row],[Ticker]] &amp; "-" &amp; DATE(YEAR(T_Stocks[[#This Row],[Fecha]]),MONTH(T_Stocks[[#This Row],[Fecha]]),DAY(T_Stocks[[#This Row],[Fecha]]))</f>
        <v>BTCEUR-44896</v>
      </c>
    </row>
    <row r="2893" spans="1:4" ht="14.65" thickBot="1" x14ac:dyDescent="0.5">
      <c r="A2893" s="17">
        <v>44897.998611111114</v>
      </c>
      <c r="B2893" s="19">
        <v>16216.340410000001</v>
      </c>
      <c r="C2893" t="s">
        <v>155</v>
      </c>
      <c r="D2893" t="str">
        <f>T_Stocks[[#This Row],[Ticker]] &amp; "-" &amp; DATE(YEAR(T_Stocks[[#This Row],[Fecha]]),MONTH(T_Stocks[[#This Row],[Fecha]]),DAY(T_Stocks[[#This Row],[Fecha]]))</f>
        <v>BTCEUR-44897</v>
      </c>
    </row>
    <row r="2894" spans="1:4" ht="14.65" thickBot="1" x14ac:dyDescent="0.5">
      <c r="A2894" s="17">
        <v>44898.998611111114</v>
      </c>
      <c r="B2894" s="19">
        <v>16021.2276</v>
      </c>
      <c r="C2894" t="s">
        <v>155</v>
      </c>
      <c r="D2894" t="str">
        <f>T_Stocks[[#This Row],[Ticker]] &amp; "-" &amp; DATE(YEAR(T_Stocks[[#This Row],[Fecha]]),MONTH(T_Stocks[[#This Row],[Fecha]]),DAY(T_Stocks[[#This Row],[Fecha]]))</f>
        <v>BTCEUR-44898</v>
      </c>
    </row>
    <row r="2895" spans="1:4" ht="14.65" thickBot="1" x14ac:dyDescent="0.5">
      <c r="A2895" s="17">
        <v>44899.998611111114</v>
      </c>
      <c r="B2895" s="19">
        <v>16224.420690000001</v>
      </c>
      <c r="C2895" t="s">
        <v>155</v>
      </c>
      <c r="D2895" t="str">
        <f>T_Stocks[[#This Row],[Ticker]] &amp; "-" &amp; DATE(YEAR(T_Stocks[[#This Row],[Fecha]]),MONTH(T_Stocks[[#This Row],[Fecha]]),DAY(T_Stocks[[#This Row],[Fecha]]))</f>
        <v>BTCEUR-44899</v>
      </c>
    </row>
    <row r="2896" spans="1:4" ht="14.65" thickBot="1" x14ac:dyDescent="0.5">
      <c r="A2896" s="17">
        <v>44900.998611111114</v>
      </c>
      <c r="B2896" s="19">
        <v>16162.32465</v>
      </c>
      <c r="C2896" t="s">
        <v>155</v>
      </c>
      <c r="D2896" t="str">
        <f>T_Stocks[[#This Row],[Ticker]] &amp; "-" &amp; DATE(YEAR(T_Stocks[[#This Row],[Fecha]]),MONTH(T_Stocks[[#This Row],[Fecha]]),DAY(T_Stocks[[#This Row],[Fecha]]))</f>
        <v>BTCEUR-44900</v>
      </c>
    </row>
    <row r="2897" spans="1:4" ht="14.65" thickBot="1" x14ac:dyDescent="0.5">
      <c r="A2897" s="17">
        <v>44901.998611111114</v>
      </c>
      <c r="B2897" s="19">
        <v>16317.700699999999</v>
      </c>
      <c r="C2897" t="s">
        <v>155</v>
      </c>
      <c r="D2897" t="str">
        <f>T_Stocks[[#This Row],[Ticker]] &amp; "-" &amp; DATE(YEAR(T_Stocks[[#This Row],[Fecha]]),MONTH(T_Stocks[[#This Row],[Fecha]]),DAY(T_Stocks[[#This Row],[Fecha]]))</f>
        <v>BTCEUR-44901</v>
      </c>
    </row>
    <row r="2898" spans="1:4" ht="14.65" thickBot="1" x14ac:dyDescent="0.5">
      <c r="A2898" s="17">
        <v>44902.998611111114</v>
      </c>
      <c r="B2898" s="19">
        <v>16014.932049999999</v>
      </c>
      <c r="C2898" t="s">
        <v>155</v>
      </c>
      <c r="D2898" t="str">
        <f>T_Stocks[[#This Row],[Ticker]] &amp; "-" &amp; DATE(YEAR(T_Stocks[[#This Row],[Fecha]]),MONTH(T_Stocks[[#This Row],[Fecha]]),DAY(T_Stocks[[#This Row],[Fecha]]))</f>
        <v>BTCEUR-44902</v>
      </c>
    </row>
    <row r="2899" spans="1:4" ht="14.65" thickBot="1" x14ac:dyDescent="0.5">
      <c r="A2899" s="17">
        <v>44903.998611111114</v>
      </c>
      <c r="B2899" s="19">
        <v>16314.660309999999</v>
      </c>
      <c r="C2899" t="s">
        <v>155</v>
      </c>
      <c r="D2899" t="str">
        <f>T_Stocks[[#This Row],[Ticker]] &amp; "-" &amp; DATE(YEAR(T_Stocks[[#This Row],[Fecha]]),MONTH(T_Stocks[[#This Row],[Fecha]]),DAY(T_Stocks[[#This Row],[Fecha]]))</f>
        <v>BTCEUR-44903</v>
      </c>
    </row>
    <row r="2900" spans="1:4" ht="14.65" thickBot="1" x14ac:dyDescent="0.5">
      <c r="A2900" s="17">
        <v>44904.998611111114</v>
      </c>
      <c r="B2900" s="19">
        <v>16236.22536</v>
      </c>
      <c r="C2900" t="s">
        <v>155</v>
      </c>
      <c r="D2900" t="str">
        <f>T_Stocks[[#This Row],[Ticker]] &amp; "-" &amp; DATE(YEAR(T_Stocks[[#This Row],[Fecha]]),MONTH(T_Stocks[[#This Row],[Fecha]]),DAY(T_Stocks[[#This Row],[Fecha]]))</f>
        <v>BTCEUR-44904</v>
      </c>
    </row>
    <row r="2901" spans="1:4" ht="14.65" thickBot="1" x14ac:dyDescent="0.5">
      <c r="A2901" s="17">
        <v>44905.998611111114</v>
      </c>
      <c r="B2901" s="19">
        <v>16235.85564</v>
      </c>
      <c r="C2901" t="s">
        <v>155</v>
      </c>
      <c r="D2901" t="str">
        <f>T_Stocks[[#This Row],[Ticker]] &amp; "-" &amp; DATE(YEAR(T_Stocks[[#This Row],[Fecha]]),MONTH(T_Stocks[[#This Row],[Fecha]]),DAY(T_Stocks[[#This Row],[Fecha]]))</f>
        <v>BTCEUR-44905</v>
      </c>
    </row>
    <row r="2902" spans="1:4" ht="14.65" thickBot="1" x14ac:dyDescent="0.5">
      <c r="A2902" s="17">
        <v>44906.998611111114</v>
      </c>
      <c r="B2902" s="19">
        <v>16244.360780000001</v>
      </c>
      <c r="C2902" t="s">
        <v>155</v>
      </c>
      <c r="D2902" t="str">
        <f>T_Stocks[[#This Row],[Ticker]] &amp; "-" &amp; DATE(YEAR(T_Stocks[[#This Row],[Fecha]]),MONTH(T_Stocks[[#This Row],[Fecha]]),DAY(T_Stocks[[#This Row],[Fecha]]))</f>
        <v>BTCEUR-44906</v>
      </c>
    </row>
    <row r="2903" spans="1:4" ht="14.65" thickBot="1" x14ac:dyDescent="0.5">
      <c r="A2903" s="17">
        <v>44907.998611111114</v>
      </c>
      <c r="B2903" s="19">
        <v>16322.182070000001</v>
      </c>
      <c r="C2903" t="s">
        <v>155</v>
      </c>
      <c r="D2903" t="str">
        <f>T_Stocks[[#This Row],[Ticker]] &amp; "-" &amp; DATE(YEAR(T_Stocks[[#This Row],[Fecha]]),MONTH(T_Stocks[[#This Row],[Fecha]]),DAY(T_Stocks[[#This Row],[Fecha]]))</f>
        <v>BTCEUR-44907</v>
      </c>
    </row>
    <row r="2904" spans="1:4" ht="14.65" thickBot="1" x14ac:dyDescent="0.5">
      <c r="A2904" s="17">
        <v>44908.998611111114</v>
      </c>
      <c r="B2904" s="19">
        <v>16728.699720000001</v>
      </c>
      <c r="C2904" t="s">
        <v>155</v>
      </c>
      <c r="D2904" t="str">
        <f>T_Stocks[[#This Row],[Ticker]] &amp; "-" &amp; DATE(YEAR(T_Stocks[[#This Row],[Fecha]]),MONTH(T_Stocks[[#This Row],[Fecha]]),DAY(T_Stocks[[#This Row],[Fecha]]))</f>
        <v>BTCEUR-44908</v>
      </c>
    </row>
    <row r="2905" spans="1:4" ht="14.65" thickBot="1" x14ac:dyDescent="0.5">
      <c r="A2905" s="17">
        <v>44909.998611111114</v>
      </c>
      <c r="B2905" s="19">
        <v>16672.857049999999</v>
      </c>
      <c r="C2905" t="s">
        <v>155</v>
      </c>
      <c r="D2905" t="str">
        <f>T_Stocks[[#This Row],[Ticker]] &amp; "-" &amp; DATE(YEAR(T_Stocks[[#This Row],[Fecha]]),MONTH(T_Stocks[[#This Row],[Fecha]]),DAY(T_Stocks[[#This Row],[Fecha]]))</f>
        <v>BTCEUR-44909</v>
      </c>
    </row>
    <row r="2906" spans="1:4" ht="14.65" thickBot="1" x14ac:dyDescent="0.5">
      <c r="A2906" s="17">
        <v>44910.998611111114</v>
      </c>
      <c r="B2906" s="19">
        <v>16311.713879999999</v>
      </c>
      <c r="C2906" t="s">
        <v>155</v>
      </c>
      <c r="D2906" t="str">
        <f>T_Stocks[[#This Row],[Ticker]] &amp; "-" &amp; DATE(YEAR(T_Stocks[[#This Row],[Fecha]]),MONTH(T_Stocks[[#This Row],[Fecha]]),DAY(T_Stocks[[#This Row],[Fecha]]))</f>
        <v>BTCEUR-44910</v>
      </c>
    </row>
    <row r="2907" spans="1:4" ht="14.65" thickBot="1" x14ac:dyDescent="0.5">
      <c r="A2907" s="17">
        <v>44911.998611111114</v>
      </c>
      <c r="B2907" s="19">
        <v>15690.659739999999</v>
      </c>
      <c r="C2907" t="s">
        <v>155</v>
      </c>
      <c r="D2907" t="str">
        <f>T_Stocks[[#This Row],[Ticker]] &amp; "-" &amp; DATE(YEAR(T_Stocks[[#This Row],[Fecha]]),MONTH(T_Stocks[[#This Row],[Fecha]]),DAY(T_Stocks[[#This Row],[Fecha]]))</f>
        <v>BTCEUR-44911</v>
      </c>
    </row>
    <row r="2908" spans="1:4" ht="14.65" thickBot="1" x14ac:dyDescent="0.5">
      <c r="A2908" s="17">
        <v>44912.998611111114</v>
      </c>
      <c r="B2908" s="19">
        <v>15827.27224</v>
      </c>
      <c r="C2908" t="s">
        <v>155</v>
      </c>
      <c r="D2908" t="str">
        <f>T_Stocks[[#This Row],[Ticker]] &amp; "-" &amp; DATE(YEAR(T_Stocks[[#This Row],[Fecha]]),MONTH(T_Stocks[[#This Row],[Fecha]]),DAY(T_Stocks[[#This Row],[Fecha]]))</f>
        <v>BTCEUR-44912</v>
      </c>
    </row>
    <row r="2909" spans="1:4" ht="14.65" thickBot="1" x14ac:dyDescent="0.5">
      <c r="A2909" s="17">
        <v>44913.998611111114</v>
      </c>
      <c r="B2909" s="19">
        <v>15816.81136</v>
      </c>
      <c r="C2909" t="s">
        <v>155</v>
      </c>
      <c r="D2909" t="str">
        <f>T_Stocks[[#This Row],[Ticker]] &amp; "-" &amp; DATE(YEAR(T_Stocks[[#This Row],[Fecha]]),MONTH(T_Stocks[[#This Row],[Fecha]]),DAY(T_Stocks[[#This Row],[Fecha]]))</f>
        <v>BTCEUR-44913</v>
      </c>
    </row>
    <row r="2910" spans="1:4" ht="14.65" thickBot="1" x14ac:dyDescent="0.5">
      <c r="A2910" s="17">
        <v>44914.998611111114</v>
      </c>
      <c r="B2910" s="19">
        <v>15488.69868</v>
      </c>
      <c r="C2910" t="s">
        <v>155</v>
      </c>
      <c r="D2910" t="str">
        <f>T_Stocks[[#This Row],[Ticker]] &amp; "-" &amp; DATE(YEAR(T_Stocks[[#This Row],[Fecha]]),MONTH(T_Stocks[[#This Row],[Fecha]]),DAY(T_Stocks[[#This Row],[Fecha]]))</f>
        <v>BTCEUR-44914</v>
      </c>
    </row>
    <row r="2911" spans="1:4" ht="14.65" thickBot="1" x14ac:dyDescent="0.5">
      <c r="A2911" s="17">
        <v>44915.998611111114</v>
      </c>
      <c r="B2911" s="19">
        <v>15903.44578</v>
      </c>
      <c r="C2911" t="s">
        <v>155</v>
      </c>
      <c r="D2911" t="str">
        <f>T_Stocks[[#This Row],[Ticker]] &amp; "-" &amp; DATE(YEAR(T_Stocks[[#This Row],[Fecha]]),MONTH(T_Stocks[[#This Row],[Fecha]]),DAY(T_Stocks[[#This Row],[Fecha]]))</f>
        <v>BTCEUR-44915</v>
      </c>
    </row>
    <row r="2912" spans="1:4" ht="14.65" thickBot="1" x14ac:dyDescent="0.5">
      <c r="A2912" s="17">
        <v>44916.998611111114</v>
      </c>
      <c r="B2912" s="19">
        <v>15858.241099999999</v>
      </c>
      <c r="C2912" t="s">
        <v>155</v>
      </c>
      <c r="D2912" t="str">
        <f>T_Stocks[[#This Row],[Ticker]] &amp; "-" &amp; DATE(YEAR(T_Stocks[[#This Row],[Fecha]]),MONTH(T_Stocks[[#This Row],[Fecha]]),DAY(T_Stocks[[#This Row],[Fecha]]))</f>
        <v>BTCEUR-44916</v>
      </c>
    </row>
    <row r="2913" spans="1:4" ht="14.65" thickBot="1" x14ac:dyDescent="0.5">
      <c r="A2913" s="17">
        <v>44917.998611111114</v>
      </c>
      <c r="B2913" s="19">
        <v>15859.37708</v>
      </c>
      <c r="C2913" t="s">
        <v>155</v>
      </c>
      <c r="D2913" t="str">
        <f>T_Stocks[[#This Row],[Ticker]] &amp; "-" &amp; DATE(YEAR(T_Stocks[[#This Row],[Fecha]]),MONTH(T_Stocks[[#This Row],[Fecha]]),DAY(T_Stocks[[#This Row],[Fecha]]))</f>
        <v>BTCEUR-44917</v>
      </c>
    </row>
    <row r="2914" spans="1:4" ht="14.65" thickBot="1" x14ac:dyDescent="0.5">
      <c r="A2914" s="17">
        <v>44918.998611111114</v>
      </c>
      <c r="B2914" s="19">
        <v>15731.85937</v>
      </c>
      <c r="C2914" t="s">
        <v>155</v>
      </c>
      <c r="D2914" t="str">
        <f>T_Stocks[[#This Row],[Ticker]] &amp; "-" &amp; DATE(YEAR(T_Stocks[[#This Row],[Fecha]]),MONTH(T_Stocks[[#This Row],[Fecha]]),DAY(T_Stocks[[#This Row],[Fecha]]))</f>
        <v>BTCEUR-44918</v>
      </c>
    </row>
    <row r="2915" spans="1:4" ht="14.65" thickBot="1" x14ac:dyDescent="0.5">
      <c r="A2915" s="17">
        <v>44919.998611111114</v>
      </c>
      <c r="B2915" s="19">
        <v>15781.41959</v>
      </c>
      <c r="C2915" t="s">
        <v>155</v>
      </c>
      <c r="D2915" t="str">
        <f>T_Stocks[[#This Row],[Ticker]] &amp; "-" &amp; DATE(YEAR(T_Stocks[[#This Row],[Fecha]]),MONTH(T_Stocks[[#This Row],[Fecha]]),DAY(T_Stocks[[#This Row],[Fecha]]))</f>
        <v>BTCEUR-44919</v>
      </c>
    </row>
    <row r="2916" spans="1:4" ht="14.65" thickBot="1" x14ac:dyDescent="0.5">
      <c r="A2916" s="17">
        <v>44920.998611111114</v>
      </c>
      <c r="B2916" s="19">
        <v>15774.16411</v>
      </c>
      <c r="C2916" t="s">
        <v>155</v>
      </c>
      <c r="D2916" t="str">
        <f>T_Stocks[[#This Row],[Ticker]] &amp; "-" &amp; DATE(YEAR(T_Stocks[[#This Row],[Fecha]]),MONTH(T_Stocks[[#This Row],[Fecha]]),DAY(T_Stocks[[#This Row],[Fecha]]))</f>
        <v>BTCEUR-44920</v>
      </c>
    </row>
    <row r="2917" spans="1:4" ht="14.65" thickBot="1" x14ac:dyDescent="0.5">
      <c r="A2917" s="17">
        <v>44921.998611111114</v>
      </c>
      <c r="B2917" s="19">
        <v>15897.26204</v>
      </c>
      <c r="C2917" t="s">
        <v>155</v>
      </c>
      <c r="D2917" t="str">
        <f>T_Stocks[[#This Row],[Ticker]] &amp; "-" &amp; DATE(YEAR(T_Stocks[[#This Row],[Fecha]]),MONTH(T_Stocks[[#This Row],[Fecha]]),DAY(T_Stocks[[#This Row],[Fecha]]))</f>
        <v>BTCEUR-44921</v>
      </c>
    </row>
    <row r="2918" spans="1:4" ht="14.65" thickBot="1" x14ac:dyDescent="0.5">
      <c r="A2918" s="17">
        <v>44922.998611111114</v>
      </c>
      <c r="B2918" s="19">
        <v>15700.82632</v>
      </c>
      <c r="C2918" t="s">
        <v>155</v>
      </c>
      <c r="D2918" t="str">
        <f>T_Stocks[[#This Row],[Ticker]] &amp; "-" &amp; DATE(YEAR(T_Stocks[[#This Row],[Fecha]]),MONTH(T_Stocks[[#This Row],[Fecha]]),DAY(T_Stocks[[#This Row],[Fecha]]))</f>
        <v>BTCEUR-44922</v>
      </c>
    </row>
    <row r="2919" spans="1:4" ht="14.65" thickBot="1" x14ac:dyDescent="0.5">
      <c r="A2919" s="17">
        <v>44923.998611111114</v>
      </c>
      <c r="B2919" s="19">
        <v>15561.547</v>
      </c>
      <c r="C2919" t="s">
        <v>155</v>
      </c>
      <c r="D2919" t="str">
        <f>T_Stocks[[#This Row],[Ticker]] &amp; "-" &amp; DATE(YEAR(T_Stocks[[#This Row],[Fecha]]),MONTH(T_Stocks[[#This Row],[Fecha]]),DAY(T_Stocks[[#This Row],[Fecha]]))</f>
        <v>BTCEUR-44923</v>
      </c>
    </row>
    <row r="2920" spans="1:4" ht="14.65" thickBot="1" x14ac:dyDescent="0.5">
      <c r="A2920" s="17">
        <v>44924.998611111114</v>
      </c>
      <c r="B2920" s="19">
        <v>15601.79587</v>
      </c>
      <c r="C2920" t="s">
        <v>155</v>
      </c>
      <c r="D2920" t="str">
        <f>T_Stocks[[#This Row],[Ticker]] &amp; "-" &amp; DATE(YEAR(T_Stocks[[#This Row],[Fecha]]),MONTH(T_Stocks[[#This Row],[Fecha]]),DAY(T_Stocks[[#This Row],[Fecha]]))</f>
        <v>BTCEUR-44924</v>
      </c>
    </row>
    <row r="2921" spans="1:4" ht="14.65" thickBot="1" x14ac:dyDescent="0.5">
      <c r="A2921" s="17">
        <v>44925.998611111114</v>
      </c>
      <c r="B2921" s="19">
        <v>15474.146290000001</v>
      </c>
      <c r="C2921" t="s">
        <v>155</v>
      </c>
      <c r="D2921" t="str">
        <f>T_Stocks[[#This Row],[Ticker]] &amp; "-" &amp; DATE(YEAR(T_Stocks[[#This Row],[Fecha]]),MONTH(T_Stocks[[#This Row],[Fecha]]),DAY(T_Stocks[[#This Row],[Fecha]]))</f>
        <v>BTCEUR-44925</v>
      </c>
    </row>
    <row r="2922" spans="1:4" ht="14.65" thickBot="1" x14ac:dyDescent="0.5">
      <c r="A2922" s="17">
        <v>44926.998611111114</v>
      </c>
      <c r="B2922" s="19">
        <v>15406.867319999999</v>
      </c>
      <c r="C2922" t="s">
        <v>155</v>
      </c>
      <c r="D2922" t="str">
        <f>T_Stocks[[#This Row],[Ticker]] &amp; "-" &amp; DATE(YEAR(T_Stocks[[#This Row],[Fecha]]),MONTH(T_Stocks[[#This Row],[Fecha]]),DAY(T_Stocks[[#This Row],[Fecha]]))</f>
        <v>BTCEUR-44926</v>
      </c>
    </row>
    <row r="2923" spans="1:4" ht="14.65" thickBot="1" x14ac:dyDescent="0.5">
      <c r="A2923" s="17">
        <v>44927.998611111114</v>
      </c>
      <c r="B2923" s="19">
        <v>15512.429980000001</v>
      </c>
      <c r="C2923" t="s">
        <v>155</v>
      </c>
      <c r="D2923" t="str">
        <f>T_Stocks[[#This Row],[Ticker]] &amp; "-" &amp; DATE(YEAR(T_Stocks[[#This Row],[Fecha]]),MONTH(T_Stocks[[#This Row],[Fecha]]),DAY(T_Stocks[[#This Row],[Fecha]]))</f>
        <v>BTCEUR-44927</v>
      </c>
    </row>
    <row r="2924" spans="1:4" ht="14.65" thickBot="1" x14ac:dyDescent="0.5">
      <c r="A2924" s="17">
        <v>44928.998611111114</v>
      </c>
      <c r="B2924" s="19">
        <v>15612.245419999999</v>
      </c>
      <c r="C2924" t="s">
        <v>155</v>
      </c>
      <c r="D2924" t="str">
        <f>T_Stocks[[#This Row],[Ticker]] &amp; "-" &amp; DATE(YEAR(T_Stocks[[#This Row],[Fecha]]),MONTH(T_Stocks[[#This Row],[Fecha]]),DAY(T_Stocks[[#This Row],[Fecha]]))</f>
        <v>BTCEUR-44928</v>
      </c>
    </row>
    <row r="2925" spans="1:4" ht="14.65" thickBot="1" x14ac:dyDescent="0.5">
      <c r="A2925" s="17">
        <v>44929.998611111114</v>
      </c>
      <c r="B2925" s="19">
        <v>15805.99235</v>
      </c>
      <c r="C2925" t="s">
        <v>155</v>
      </c>
      <c r="D2925" t="str">
        <f>T_Stocks[[#This Row],[Ticker]] &amp; "-" &amp; DATE(YEAR(T_Stocks[[#This Row],[Fecha]]),MONTH(T_Stocks[[#This Row],[Fecha]]),DAY(T_Stocks[[#This Row],[Fecha]]))</f>
        <v>BTCEUR-44929</v>
      </c>
    </row>
    <row r="2926" spans="1:4" ht="14.65" thickBot="1" x14ac:dyDescent="0.5">
      <c r="A2926" s="17">
        <v>44930.998611111114</v>
      </c>
      <c r="B2926" s="19">
        <v>15884.413269999999</v>
      </c>
      <c r="C2926" t="s">
        <v>155</v>
      </c>
      <c r="D2926" t="str">
        <f>T_Stocks[[#This Row],[Ticker]] &amp; "-" &amp; DATE(YEAR(T_Stocks[[#This Row],[Fecha]]),MONTH(T_Stocks[[#This Row],[Fecha]]),DAY(T_Stocks[[#This Row],[Fecha]]))</f>
        <v>BTCEUR-44930</v>
      </c>
    </row>
    <row r="2927" spans="1:4" ht="14.65" thickBot="1" x14ac:dyDescent="0.5">
      <c r="A2927" s="17">
        <v>44931.998611111114</v>
      </c>
      <c r="B2927" s="19">
        <v>15990.8971</v>
      </c>
      <c r="C2927" t="s">
        <v>155</v>
      </c>
      <c r="D2927" t="str">
        <f>T_Stocks[[#This Row],[Ticker]] &amp; "-" &amp; DATE(YEAR(T_Stocks[[#This Row],[Fecha]]),MONTH(T_Stocks[[#This Row],[Fecha]]),DAY(T_Stocks[[#This Row],[Fecha]]))</f>
        <v>BTCEUR-44931</v>
      </c>
    </row>
    <row r="2928" spans="1:4" ht="14.65" thickBot="1" x14ac:dyDescent="0.5">
      <c r="A2928" s="17">
        <v>44932.998611111114</v>
      </c>
      <c r="B2928" s="19">
        <v>15892.291869999999</v>
      </c>
      <c r="C2928" t="s">
        <v>155</v>
      </c>
      <c r="D2928" t="str">
        <f>T_Stocks[[#This Row],[Ticker]] &amp; "-" &amp; DATE(YEAR(T_Stocks[[#This Row],[Fecha]]),MONTH(T_Stocks[[#This Row],[Fecha]]),DAY(T_Stocks[[#This Row],[Fecha]]))</f>
        <v>BTCEUR-44932</v>
      </c>
    </row>
    <row r="2929" spans="1:4" ht="14.65" thickBot="1" x14ac:dyDescent="0.5">
      <c r="A2929" s="17">
        <v>44933.998611111114</v>
      </c>
      <c r="B2929" s="19">
        <v>15885.109850000001</v>
      </c>
      <c r="C2929" t="s">
        <v>155</v>
      </c>
      <c r="D2929" t="str">
        <f>T_Stocks[[#This Row],[Ticker]] &amp; "-" &amp; DATE(YEAR(T_Stocks[[#This Row],[Fecha]]),MONTH(T_Stocks[[#This Row],[Fecha]]),DAY(T_Stocks[[#This Row],[Fecha]]))</f>
        <v>BTCEUR-44933</v>
      </c>
    </row>
    <row r="2930" spans="1:4" ht="14.65" thickBot="1" x14ac:dyDescent="0.5">
      <c r="A2930" s="17">
        <v>44934.998611111114</v>
      </c>
      <c r="B2930" s="19">
        <v>16061.35635</v>
      </c>
      <c r="C2930" t="s">
        <v>155</v>
      </c>
      <c r="D2930" t="str">
        <f>T_Stocks[[#This Row],[Ticker]] &amp; "-" &amp; DATE(YEAR(T_Stocks[[#This Row],[Fecha]]),MONTH(T_Stocks[[#This Row],[Fecha]]),DAY(T_Stocks[[#This Row],[Fecha]]))</f>
        <v>BTCEUR-44934</v>
      </c>
    </row>
    <row r="2931" spans="1:4" ht="14.65" thickBot="1" x14ac:dyDescent="0.5">
      <c r="A2931" s="17">
        <v>44935.998611111114</v>
      </c>
      <c r="B2931" s="19">
        <v>16010.831770000001</v>
      </c>
      <c r="C2931" t="s">
        <v>155</v>
      </c>
      <c r="D2931" t="str">
        <f>T_Stocks[[#This Row],[Ticker]] &amp; "-" &amp; DATE(YEAR(T_Stocks[[#This Row],[Fecha]]),MONTH(T_Stocks[[#This Row],[Fecha]]),DAY(T_Stocks[[#This Row],[Fecha]]))</f>
        <v>BTCEUR-44935</v>
      </c>
    </row>
    <row r="2932" spans="1:4" ht="14.65" thickBot="1" x14ac:dyDescent="0.5">
      <c r="A2932" s="17">
        <v>44936.998611111114</v>
      </c>
      <c r="B2932" s="19">
        <v>16241.66698</v>
      </c>
      <c r="C2932" t="s">
        <v>155</v>
      </c>
      <c r="D2932" t="str">
        <f>T_Stocks[[#This Row],[Ticker]] &amp; "-" &amp; DATE(YEAR(T_Stocks[[#This Row],[Fecha]]),MONTH(T_Stocks[[#This Row],[Fecha]]),DAY(T_Stocks[[#This Row],[Fecha]]))</f>
        <v>BTCEUR-44936</v>
      </c>
    </row>
    <row r="2933" spans="1:4" ht="14.65" thickBot="1" x14ac:dyDescent="0.5">
      <c r="A2933" s="17">
        <v>44937.998611111114</v>
      </c>
      <c r="B2933" s="19">
        <v>16657.76368</v>
      </c>
      <c r="C2933" t="s">
        <v>155</v>
      </c>
      <c r="D2933" t="str">
        <f>T_Stocks[[#This Row],[Ticker]] &amp; "-" &amp; DATE(YEAR(T_Stocks[[#This Row],[Fecha]]),MONTH(T_Stocks[[#This Row],[Fecha]]),DAY(T_Stocks[[#This Row],[Fecha]]))</f>
        <v>BTCEUR-44937</v>
      </c>
    </row>
    <row r="2934" spans="1:4" ht="14.65" thickBot="1" x14ac:dyDescent="0.5">
      <c r="A2934" s="17">
        <v>44938.998611111114</v>
      </c>
      <c r="B2934" s="19">
        <v>17356.19169</v>
      </c>
      <c r="C2934" t="s">
        <v>155</v>
      </c>
      <c r="D2934" t="str">
        <f>T_Stocks[[#This Row],[Ticker]] &amp; "-" &amp; DATE(YEAR(T_Stocks[[#This Row],[Fecha]]),MONTH(T_Stocks[[#This Row],[Fecha]]),DAY(T_Stocks[[#This Row],[Fecha]]))</f>
        <v>BTCEUR-44938</v>
      </c>
    </row>
    <row r="2935" spans="1:4" ht="14.65" thickBot="1" x14ac:dyDescent="0.5">
      <c r="A2935" s="17">
        <v>44939.998611111114</v>
      </c>
      <c r="B2935" s="19">
        <v>18371.352050000001</v>
      </c>
      <c r="C2935" t="s">
        <v>155</v>
      </c>
      <c r="D2935" t="str">
        <f>T_Stocks[[#This Row],[Ticker]] &amp; "-" &amp; DATE(YEAR(T_Stocks[[#This Row],[Fecha]]),MONTH(T_Stocks[[#This Row],[Fecha]]),DAY(T_Stocks[[#This Row],[Fecha]]))</f>
        <v>BTCEUR-44939</v>
      </c>
    </row>
    <row r="2936" spans="1:4" ht="14.65" thickBot="1" x14ac:dyDescent="0.5">
      <c r="A2936" s="17">
        <v>44940.998611111114</v>
      </c>
      <c r="B2936" s="19">
        <v>19318.094639999999</v>
      </c>
      <c r="C2936" t="s">
        <v>155</v>
      </c>
      <c r="D2936" t="str">
        <f>T_Stocks[[#This Row],[Ticker]] &amp; "-" &amp; DATE(YEAR(T_Stocks[[#This Row],[Fecha]]),MONTH(T_Stocks[[#This Row],[Fecha]]),DAY(T_Stocks[[#This Row],[Fecha]]))</f>
        <v>BTCEUR-44940</v>
      </c>
    </row>
    <row r="2937" spans="1:4" ht="14.65" thickBot="1" x14ac:dyDescent="0.5">
      <c r="A2937" s="17">
        <v>44941.998611111114</v>
      </c>
      <c r="B2937" s="19">
        <v>19284.345249999998</v>
      </c>
      <c r="C2937" t="s">
        <v>155</v>
      </c>
      <c r="D2937" t="str">
        <f>T_Stocks[[#This Row],[Ticker]] &amp; "-" &amp; DATE(YEAR(T_Stocks[[#This Row],[Fecha]]),MONTH(T_Stocks[[#This Row],[Fecha]]),DAY(T_Stocks[[#This Row],[Fecha]]))</f>
        <v>BTCEUR-44941</v>
      </c>
    </row>
    <row r="2938" spans="1:4" ht="14.65" thickBot="1" x14ac:dyDescent="0.5">
      <c r="A2938" s="17">
        <v>44942.998611111114</v>
      </c>
      <c r="B2938" s="19">
        <v>19562.028460000001</v>
      </c>
      <c r="C2938" t="s">
        <v>155</v>
      </c>
      <c r="D2938" t="str">
        <f>T_Stocks[[#This Row],[Ticker]] &amp; "-" &amp; DATE(YEAR(T_Stocks[[#This Row],[Fecha]]),MONTH(T_Stocks[[#This Row],[Fecha]]),DAY(T_Stocks[[#This Row],[Fecha]]))</f>
        <v>BTCEUR-44942</v>
      </c>
    </row>
    <row r="2939" spans="1:4" ht="14.65" thickBot="1" x14ac:dyDescent="0.5">
      <c r="A2939" s="17">
        <v>44943.998611111114</v>
      </c>
      <c r="B2939" s="19">
        <v>19578.62196</v>
      </c>
      <c r="C2939" t="s">
        <v>155</v>
      </c>
      <c r="D2939" t="str">
        <f>T_Stocks[[#This Row],[Ticker]] &amp; "-" &amp; DATE(YEAR(T_Stocks[[#This Row],[Fecha]]),MONTH(T_Stocks[[#This Row],[Fecha]]),DAY(T_Stocks[[#This Row],[Fecha]]))</f>
        <v>BTCEUR-44943</v>
      </c>
    </row>
    <row r="2940" spans="1:4" ht="14.65" thickBot="1" x14ac:dyDescent="0.5">
      <c r="A2940" s="17">
        <v>44944.998611111114</v>
      </c>
      <c r="B2940" s="19">
        <v>19148.583750000002</v>
      </c>
      <c r="C2940" t="s">
        <v>155</v>
      </c>
      <c r="D2940" t="str">
        <f>T_Stocks[[#This Row],[Ticker]] &amp; "-" &amp; DATE(YEAR(T_Stocks[[#This Row],[Fecha]]),MONTH(T_Stocks[[#This Row],[Fecha]]),DAY(T_Stocks[[#This Row],[Fecha]]))</f>
        <v>BTCEUR-44944</v>
      </c>
    </row>
    <row r="2941" spans="1:4" ht="14.65" thickBot="1" x14ac:dyDescent="0.5">
      <c r="A2941" s="17">
        <v>44945.998611111114</v>
      </c>
      <c r="B2941" s="19">
        <v>19459.3923</v>
      </c>
      <c r="C2941" t="s">
        <v>155</v>
      </c>
      <c r="D2941" t="str">
        <f>T_Stocks[[#This Row],[Ticker]] &amp; "-" &amp; DATE(YEAR(T_Stocks[[#This Row],[Fecha]]),MONTH(T_Stocks[[#This Row],[Fecha]]),DAY(T_Stocks[[#This Row],[Fecha]]))</f>
        <v>BTCEUR-44945</v>
      </c>
    </row>
    <row r="2942" spans="1:4" ht="14.65" thickBot="1" x14ac:dyDescent="0.5">
      <c r="A2942" s="17">
        <v>44946.998611111114</v>
      </c>
      <c r="B2942" s="19">
        <v>20859.79033</v>
      </c>
      <c r="C2942" t="s">
        <v>155</v>
      </c>
      <c r="D2942" t="str">
        <f>T_Stocks[[#This Row],[Ticker]] &amp; "-" &amp; DATE(YEAR(T_Stocks[[#This Row],[Fecha]]),MONTH(T_Stocks[[#This Row],[Fecha]]),DAY(T_Stocks[[#This Row],[Fecha]]))</f>
        <v>BTCEUR-44946</v>
      </c>
    </row>
    <row r="2943" spans="1:4" ht="14.65" thickBot="1" x14ac:dyDescent="0.5">
      <c r="A2943" s="17">
        <v>44947.998611111114</v>
      </c>
      <c r="B2943" s="19">
        <v>20936.0393</v>
      </c>
      <c r="C2943" t="s">
        <v>155</v>
      </c>
      <c r="D2943" t="str">
        <f>T_Stocks[[#This Row],[Ticker]] &amp; "-" &amp; DATE(YEAR(T_Stocks[[#This Row],[Fecha]]),MONTH(T_Stocks[[#This Row],[Fecha]]),DAY(T_Stocks[[#This Row],[Fecha]]))</f>
        <v>BTCEUR-44947</v>
      </c>
    </row>
    <row r="2944" spans="1:4" ht="14.65" thickBot="1" x14ac:dyDescent="0.5">
      <c r="A2944" s="17">
        <v>44948.998611111114</v>
      </c>
      <c r="B2944" s="19">
        <v>20908.87991</v>
      </c>
      <c r="C2944" t="s">
        <v>155</v>
      </c>
      <c r="D2944" t="str">
        <f>T_Stocks[[#This Row],[Ticker]] &amp; "-" &amp; DATE(YEAR(T_Stocks[[#This Row],[Fecha]]),MONTH(T_Stocks[[#This Row],[Fecha]]),DAY(T_Stocks[[#This Row],[Fecha]]))</f>
        <v>BTCEUR-44948</v>
      </c>
    </row>
    <row r="2945" spans="1:4" ht="14.65" thickBot="1" x14ac:dyDescent="0.5">
      <c r="A2945" s="17">
        <v>44949.998611111114</v>
      </c>
      <c r="B2945" s="19">
        <v>21073.029419999999</v>
      </c>
      <c r="C2945" t="s">
        <v>155</v>
      </c>
      <c r="D2945" t="str">
        <f>T_Stocks[[#This Row],[Ticker]] &amp; "-" &amp; DATE(YEAR(T_Stocks[[#This Row],[Fecha]]),MONTH(T_Stocks[[#This Row],[Fecha]]),DAY(T_Stocks[[#This Row],[Fecha]]))</f>
        <v>BTCEUR-44949</v>
      </c>
    </row>
    <row r="2946" spans="1:4" ht="14.65" thickBot="1" x14ac:dyDescent="0.5">
      <c r="A2946" s="17">
        <v>44950.998611111114</v>
      </c>
      <c r="B2946" s="19">
        <v>20785.935310000001</v>
      </c>
      <c r="C2946" t="s">
        <v>155</v>
      </c>
      <c r="D2946" t="str">
        <f>T_Stocks[[#This Row],[Ticker]] &amp; "-" &amp; DATE(YEAR(T_Stocks[[#This Row],[Fecha]]),MONTH(T_Stocks[[#This Row],[Fecha]]),DAY(T_Stocks[[#This Row],[Fecha]]))</f>
        <v>BTCEUR-44950</v>
      </c>
    </row>
    <row r="2947" spans="1:4" ht="14.65" thickBot="1" x14ac:dyDescent="0.5">
      <c r="A2947" s="17">
        <v>44951.998611111114</v>
      </c>
      <c r="B2947" s="19">
        <v>21096.85845</v>
      </c>
      <c r="C2947" t="s">
        <v>155</v>
      </c>
      <c r="D2947" t="str">
        <f>T_Stocks[[#This Row],[Ticker]] &amp; "-" &amp; DATE(YEAR(T_Stocks[[#This Row],[Fecha]]),MONTH(T_Stocks[[#This Row],[Fecha]]),DAY(T_Stocks[[#This Row],[Fecha]]))</f>
        <v>BTCEUR-44951</v>
      </c>
    </row>
    <row r="2948" spans="1:4" ht="14.65" thickBot="1" x14ac:dyDescent="0.5">
      <c r="A2948" s="17">
        <v>44952.998611111114</v>
      </c>
      <c r="B2948" s="19">
        <v>21122.017189999999</v>
      </c>
      <c r="C2948" t="s">
        <v>155</v>
      </c>
      <c r="D2948" t="str">
        <f>T_Stocks[[#This Row],[Ticker]] &amp; "-" &amp; DATE(YEAR(T_Stocks[[#This Row],[Fecha]]),MONTH(T_Stocks[[#This Row],[Fecha]]),DAY(T_Stocks[[#This Row],[Fecha]]))</f>
        <v>BTCEUR-44952</v>
      </c>
    </row>
    <row r="2949" spans="1:4" ht="14.65" thickBot="1" x14ac:dyDescent="0.5">
      <c r="A2949" s="17">
        <v>44953.998611111114</v>
      </c>
      <c r="B2949" s="19">
        <v>21221.48965</v>
      </c>
      <c r="C2949" t="s">
        <v>155</v>
      </c>
      <c r="D2949" t="str">
        <f>T_Stocks[[#This Row],[Ticker]] &amp; "-" &amp; DATE(YEAR(T_Stocks[[#This Row],[Fecha]]),MONTH(T_Stocks[[#This Row],[Fecha]]),DAY(T_Stocks[[#This Row],[Fecha]]))</f>
        <v>BTCEUR-44953</v>
      </c>
    </row>
    <row r="2950" spans="1:4" ht="14.65" thickBot="1" x14ac:dyDescent="0.5">
      <c r="A2950" s="17">
        <v>44954.998611111114</v>
      </c>
      <c r="B2950" s="19">
        <v>21175.803919999998</v>
      </c>
      <c r="C2950" t="s">
        <v>155</v>
      </c>
      <c r="D2950" t="str">
        <f>T_Stocks[[#This Row],[Ticker]] &amp; "-" &amp; DATE(YEAR(T_Stocks[[#This Row],[Fecha]]),MONTH(T_Stocks[[#This Row],[Fecha]]),DAY(T_Stocks[[#This Row],[Fecha]]))</f>
        <v>BTCEUR-44954</v>
      </c>
    </row>
    <row r="2951" spans="1:4" ht="14.65" thickBot="1" x14ac:dyDescent="0.5">
      <c r="A2951" s="17">
        <v>44955.998611111114</v>
      </c>
      <c r="B2951" s="19">
        <v>21843.41288</v>
      </c>
      <c r="C2951" t="s">
        <v>155</v>
      </c>
      <c r="D2951" t="str">
        <f>T_Stocks[[#This Row],[Ticker]] &amp; "-" &amp; DATE(YEAR(T_Stocks[[#This Row],[Fecha]]),MONTH(T_Stocks[[#This Row],[Fecha]]),DAY(T_Stocks[[#This Row],[Fecha]]))</f>
        <v>BTCEUR-44955</v>
      </c>
    </row>
    <row r="2952" spans="1:4" ht="14.65" thickBot="1" x14ac:dyDescent="0.5">
      <c r="A2952" s="17">
        <v>44956.998611111114</v>
      </c>
      <c r="B2952" s="19">
        <v>21042.671610000001</v>
      </c>
      <c r="C2952" t="s">
        <v>155</v>
      </c>
      <c r="D2952" t="str">
        <f>T_Stocks[[#This Row],[Ticker]] &amp; "-" &amp; DATE(YEAR(T_Stocks[[#This Row],[Fecha]]),MONTH(T_Stocks[[#This Row],[Fecha]]),DAY(T_Stocks[[#This Row],[Fecha]]))</f>
        <v>BTCEUR-44956</v>
      </c>
    </row>
    <row r="2953" spans="1:4" ht="14.65" thickBot="1" x14ac:dyDescent="0.5">
      <c r="A2953" s="17">
        <v>44957.998611111114</v>
      </c>
      <c r="B2953" s="19">
        <v>21295.62862</v>
      </c>
      <c r="C2953" t="s">
        <v>155</v>
      </c>
      <c r="D2953" t="str">
        <f>T_Stocks[[#This Row],[Ticker]] &amp; "-" &amp; DATE(YEAR(T_Stocks[[#This Row],[Fecha]]),MONTH(T_Stocks[[#This Row],[Fecha]]),DAY(T_Stocks[[#This Row],[Fecha]]))</f>
        <v>BTCEUR-44957</v>
      </c>
    </row>
    <row r="2954" spans="1:4" ht="14.65" thickBot="1" x14ac:dyDescent="0.5">
      <c r="A2954" s="17">
        <v>44958.998611111114</v>
      </c>
      <c r="B2954" s="19">
        <v>21544.364710000002</v>
      </c>
      <c r="C2954" t="s">
        <v>155</v>
      </c>
      <c r="D2954" t="str">
        <f>T_Stocks[[#This Row],[Ticker]] &amp; "-" &amp; DATE(YEAR(T_Stocks[[#This Row],[Fecha]]),MONTH(T_Stocks[[#This Row],[Fecha]]),DAY(T_Stocks[[#This Row],[Fecha]]))</f>
        <v>BTCEUR-44958</v>
      </c>
    </row>
    <row r="2955" spans="1:4" ht="14.65" thickBot="1" x14ac:dyDescent="0.5">
      <c r="A2955" s="17">
        <v>44959.998611111114</v>
      </c>
      <c r="B2955" s="19">
        <v>21518.881369999999</v>
      </c>
      <c r="C2955" t="s">
        <v>155</v>
      </c>
      <c r="D2955" t="str">
        <f>T_Stocks[[#This Row],[Ticker]] &amp; "-" &amp; DATE(YEAR(T_Stocks[[#This Row],[Fecha]]),MONTH(T_Stocks[[#This Row],[Fecha]]),DAY(T_Stocks[[#This Row],[Fecha]]))</f>
        <v>BTCEUR-44959</v>
      </c>
    </row>
    <row r="2956" spans="1:4" ht="14.65" thickBot="1" x14ac:dyDescent="0.5">
      <c r="A2956" s="17">
        <v>44960.998611111114</v>
      </c>
      <c r="B2956" s="19">
        <v>21638.789379999998</v>
      </c>
      <c r="C2956" t="s">
        <v>155</v>
      </c>
      <c r="D2956" t="str">
        <f>T_Stocks[[#This Row],[Ticker]] &amp; "-" &amp; DATE(YEAR(T_Stocks[[#This Row],[Fecha]]),MONTH(T_Stocks[[#This Row],[Fecha]]),DAY(T_Stocks[[#This Row],[Fecha]]))</f>
        <v>BTCEUR-44960</v>
      </c>
    </row>
    <row r="2957" spans="1:4" ht="14.65" thickBot="1" x14ac:dyDescent="0.5">
      <c r="A2957" s="17">
        <v>44961.998611111114</v>
      </c>
      <c r="B2957" s="19">
        <v>21539.588520000001</v>
      </c>
      <c r="C2957" t="s">
        <v>155</v>
      </c>
      <c r="D2957" t="str">
        <f>T_Stocks[[#This Row],[Ticker]] &amp; "-" &amp; DATE(YEAR(T_Stocks[[#This Row],[Fecha]]),MONTH(T_Stocks[[#This Row],[Fecha]]),DAY(T_Stocks[[#This Row],[Fecha]]))</f>
        <v>BTCEUR-44961</v>
      </c>
    </row>
    <row r="2958" spans="1:4" ht="14.65" thickBot="1" x14ac:dyDescent="0.5">
      <c r="A2958" s="17">
        <v>44962.998611111114</v>
      </c>
      <c r="B2958" s="19">
        <v>21254.427459999999</v>
      </c>
      <c r="C2958" t="s">
        <v>155</v>
      </c>
      <c r="D2958" t="str">
        <f>T_Stocks[[#This Row],[Ticker]] &amp; "-" &amp; DATE(YEAR(T_Stocks[[#This Row],[Fecha]]),MONTH(T_Stocks[[#This Row],[Fecha]]),DAY(T_Stocks[[#This Row],[Fecha]]))</f>
        <v>BTCEUR-44962</v>
      </c>
    </row>
    <row r="2959" spans="1:4" ht="14.65" thickBot="1" x14ac:dyDescent="0.5">
      <c r="A2959" s="17">
        <v>44963.998611111114</v>
      </c>
      <c r="B2959" s="19">
        <v>21209.727149999999</v>
      </c>
      <c r="C2959" t="s">
        <v>155</v>
      </c>
      <c r="D2959" t="str">
        <f>T_Stocks[[#This Row],[Ticker]] &amp; "-" &amp; DATE(YEAR(T_Stocks[[#This Row],[Fecha]]),MONTH(T_Stocks[[#This Row],[Fecha]]),DAY(T_Stocks[[#This Row],[Fecha]]))</f>
        <v>BTCEUR-44963</v>
      </c>
    </row>
    <row r="2960" spans="1:4" ht="14.65" thickBot="1" x14ac:dyDescent="0.5">
      <c r="A2960" s="17">
        <v>44964.998611111114</v>
      </c>
      <c r="B2960" s="19">
        <v>21668.478579999999</v>
      </c>
      <c r="C2960" t="s">
        <v>155</v>
      </c>
      <c r="D2960" t="str">
        <f>T_Stocks[[#This Row],[Ticker]] &amp; "-" &amp; DATE(YEAR(T_Stocks[[#This Row],[Fecha]]),MONTH(T_Stocks[[#This Row],[Fecha]]),DAY(T_Stocks[[#This Row],[Fecha]]))</f>
        <v>BTCEUR-44964</v>
      </c>
    </row>
    <row r="2961" spans="1:4" ht="14.65" thickBot="1" x14ac:dyDescent="0.5">
      <c r="A2961" s="17">
        <v>44965.998611111114</v>
      </c>
      <c r="B2961" s="19">
        <v>21428.903620000001</v>
      </c>
      <c r="C2961" t="s">
        <v>155</v>
      </c>
      <c r="D2961" t="str">
        <f>T_Stocks[[#This Row],[Ticker]] &amp; "-" &amp; DATE(YEAR(T_Stocks[[#This Row],[Fecha]]),MONTH(T_Stocks[[#This Row],[Fecha]]),DAY(T_Stocks[[#This Row],[Fecha]]))</f>
        <v>BTCEUR-44965</v>
      </c>
    </row>
    <row r="2962" spans="1:4" ht="14.65" thickBot="1" x14ac:dyDescent="0.5">
      <c r="A2962" s="17">
        <v>44966.998611111114</v>
      </c>
      <c r="B2962" s="19">
        <v>20290.278060000001</v>
      </c>
      <c r="C2962" t="s">
        <v>155</v>
      </c>
      <c r="D2962" t="str">
        <f>T_Stocks[[#This Row],[Ticker]] &amp; "-" &amp; DATE(YEAR(T_Stocks[[#This Row],[Fecha]]),MONTH(T_Stocks[[#This Row],[Fecha]]),DAY(T_Stocks[[#This Row],[Fecha]]))</f>
        <v>BTCEUR-44966</v>
      </c>
    </row>
    <row r="2963" spans="1:4" ht="14.65" thickBot="1" x14ac:dyDescent="0.5">
      <c r="A2963" s="17">
        <v>44967.998611111114</v>
      </c>
      <c r="B2963" s="19">
        <v>20216.804789999998</v>
      </c>
      <c r="C2963" t="s">
        <v>155</v>
      </c>
      <c r="D2963" t="str">
        <f>T_Stocks[[#This Row],[Ticker]] &amp; "-" &amp; DATE(YEAR(T_Stocks[[#This Row],[Fecha]]),MONTH(T_Stocks[[#This Row],[Fecha]]),DAY(T_Stocks[[#This Row],[Fecha]]))</f>
        <v>BTCEUR-44967</v>
      </c>
    </row>
    <row r="2964" spans="1:4" ht="14.65" thickBot="1" x14ac:dyDescent="0.5">
      <c r="A2964" s="17">
        <v>44968.998611111114</v>
      </c>
      <c r="B2964" s="19">
        <v>20426.143090000001</v>
      </c>
      <c r="C2964" t="s">
        <v>155</v>
      </c>
      <c r="D2964" t="str">
        <f>T_Stocks[[#This Row],[Ticker]] &amp; "-" &amp; DATE(YEAR(T_Stocks[[#This Row],[Fecha]]),MONTH(T_Stocks[[#This Row],[Fecha]]),DAY(T_Stocks[[#This Row],[Fecha]]))</f>
        <v>BTCEUR-44968</v>
      </c>
    </row>
    <row r="2965" spans="1:4" ht="14.65" thickBot="1" x14ac:dyDescent="0.5">
      <c r="A2965" s="17">
        <v>44969.998611111114</v>
      </c>
      <c r="B2965" s="19">
        <v>20406.070899999999</v>
      </c>
      <c r="C2965" t="s">
        <v>155</v>
      </c>
      <c r="D2965" t="str">
        <f>T_Stocks[[#This Row],[Ticker]] &amp; "-" &amp; DATE(YEAR(T_Stocks[[#This Row],[Fecha]]),MONTH(T_Stocks[[#This Row],[Fecha]]),DAY(T_Stocks[[#This Row],[Fecha]]))</f>
        <v>BTCEUR-44969</v>
      </c>
    </row>
    <row r="2966" spans="1:4" ht="14.65" thickBot="1" x14ac:dyDescent="0.5">
      <c r="A2966" s="17">
        <v>44970.998611111114</v>
      </c>
      <c r="B2966" s="19">
        <v>20303.176080000001</v>
      </c>
      <c r="C2966" t="s">
        <v>155</v>
      </c>
      <c r="D2966" t="str">
        <f>T_Stocks[[#This Row],[Ticker]] &amp; "-" &amp; DATE(YEAR(T_Stocks[[#This Row],[Fecha]]),MONTH(T_Stocks[[#This Row],[Fecha]]),DAY(T_Stocks[[#This Row],[Fecha]]))</f>
        <v>BTCEUR-44970</v>
      </c>
    </row>
    <row r="2967" spans="1:4" ht="14.65" thickBot="1" x14ac:dyDescent="0.5">
      <c r="A2967" s="17">
        <v>44971.998611111114</v>
      </c>
      <c r="B2967" s="19">
        <v>20684.921419999999</v>
      </c>
      <c r="C2967" t="s">
        <v>155</v>
      </c>
      <c r="D2967" t="str">
        <f>T_Stocks[[#This Row],[Ticker]] &amp; "-" &amp; DATE(YEAR(T_Stocks[[#This Row],[Fecha]]),MONTH(T_Stocks[[#This Row],[Fecha]]),DAY(T_Stocks[[#This Row],[Fecha]]))</f>
        <v>BTCEUR-44971</v>
      </c>
    </row>
    <row r="2968" spans="1:4" ht="14.65" thickBot="1" x14ac:dyDescent="0.5">
      <c r="A2968" s="17">
        <v>44972.998611111114</v>
      </c>
      <c r="B2968" s="19">
        <v>22757.233240000001</v>
      </c>
      <c r="C2968" t="s">
        <v>155</v>
      </c>
      <c r="D2968" t="str">
        <f>T_Stocks[[#This Row],[Ticker]] &amp; "-" &amp; DATE(YEAR(T_Stocks[[#This Row],[Fecha]]),MONTH(T_Stocks[[#This Row],[Fecha]]),DAY(T_Stocks[[#This Row],[Fecha]]))</f>
        <v>BTCEUR-44972</v>
      </c>
    </row>
    <row r="2969" spans="1:4" ht="14.65" thickBot="1" x14ac:dyDescent="0.5">
      <c r="A2969" s="17">
        <v>44973.998611111114</v>
      </c>
      <c r="B2969" s="19">
        <v>22083.24365</v>
      </c>
      <c r="C2969" t="s">
        <v>155</v>
      </c>
      <c r="D2969" t="str">
        <f>T_Stocks[[#This Row],[Ticker]] &amp; "-" &amp; DATE(YEAR(T_Stocks[[#This Row],[Fecha]]),MONTH(T_Stocks[[#This Row],[Fecha]]),DAY(T_Stocks[[#This Row],[Fecha]]))</f>
        <v>BTCEUR-44973</v>
      </c>
    </row>
    <row r="2970" spans="1:4" ht="14.65" thickBot="1" x14ac:dyDescent="0.5">
      <c r="A2970" s="17">
        <v>44974.998611111114</v>
      </c>
      <c r="B2970" s="19">
        <v>22920.580180000001</v>
      </c>
      <c r="C2970" t="s">
        <v>155</v>
      </c>
      <c r="D2970" t="str">
        <f>T_Stocks[[#This Row],[Ticker]] &amp; "-" &amp; DATE(YEAR(T_Stocks[[#This Row],[Fecha]]),MONTH(T_Stocks[[#This Row],[Fecha]]),DAY(T_Stocks[[#This Row],[Fecha]]))</f>
        <v>BTCEUR-44974</v>
      </c>
    </row>
    <row r="2971" spans="1:4" ht="14.65" thickBot="1" x14ac:dyDescent="0.5">
      <c r="A2971" s="17">
        <v>44975.998611111114</v>
      </c>
      <c r="B2971" s="19">
        <v>22976.77536</v>
      </c>
      <c r="C2971" t="s">
        <v>155</v>
      </c>
      <c r="D2971" t="str">
        <f>T_Stocks[[#This Row],[Ticker]] &amp; "-" &amp; DATE(YEAR(T_Stocks[[#This Row],[Fecha]]),MONTH(T_Stocks[[#This Row],[Fecha]]),DAY(T_Stocks[[#This Row],[Fecha]]))</f>
        <v>BTCEUR-44975</v>
      </c>
    </row>
    <row r="2972" spans="1:4" ht="14.65" thickBot="1" x14ac:dyDescent="0.5">
      <c r="A2972" s="17">
        <v>44976.998611111114</v>
      </c>
      <c r="B2972" s="19">
        <v>22734.02939</v>
      </c>
      <c r="C2972" t="s">
        <v>155</v>
      </c>
      <c r="D2972" t="str">
        <f>T_Stocks[[#This Row],[Ticker]] &amp; "-" &amp; DATE(YEAR(T_Stocks[[#This Row],[Fecha]]),MONTH(T_Stocks[[#This Row],[Fecha]]),DAY(T_Stocks[[#This Row],[Fecha]]))</f>
        <v>BTCEUR-44976</v>
      </c>
    </row>
    <row r="2973" spans="1:4" ht="14.65" thickBot="1" x14ac:dyDescent="0.5">
      <c r="A2973" s="17">
        <v>44977.998611111114</v>
      </c>
      <c r="B2973" s="19">
        <v>23254.13751</v>
      </c>
      <c r="C2973" t="s">
        <v>155</v>
      </c>
      <c r="D2973" t="str">
        <f>T_Stocks[[#This Row],[Ticker]] &amp; "-" &amp; DATE(YEAR(T_Stocks[[#This Row],[Fecha]]),MONTH(T_Stocks[[#This Row],[Fecha]]),DAY(T_Stocks[[#This Row],[Fecha]]))</f>
        <v>BTCEUR-44977</v>
      </c>
    </row>
    <row r="2974" spans="1:4" ht="14.65" thickBot="1" x14ac:dyDescent="0.5">
      <c r="A2974" s="17">
        <v>44978.998611111114</v>
      </c>
      <c r="B2974" s="19">
        <v>22951.021580000001</v>
      </c>
      <c r="C2974" t="s">
        <v>155</v>
      </c>
      <c r="D2974" t="str">
        <f>T_Stocks[[#This Row],[Ticker]] &amp; "-" &amp; DATE(YEAR(T_Stocks[[#This Row],[Fecha]]),MONTH(T_Stocks[[#This Row],[Fecha]]),DAY(T_Stocks[[#This Row],[Fecha]]))</f>
        <v>BTCEUR-44978</v>
      </c>
    </row>
    <row r="2975" spans="1:4" ht="14.65" thickBot="1" x14ac:dyDescent="0.5">
      <c r="A2975" s="17">
        <v>44979.998611111114</v>
      </c>
      <c r="B2975" s="19">
        <v>22803.034210000002</v>
      </c>
      <c r="C2975" t="s">
        <v>155</v>
      </c>
      <c r="D2975" t="str">
        <f>T_Stocks[[#This Row],[Ticker]] &amp; "-" &amp; DATE(YEAR(T_Stocks[[#This Row],[Fecha]]),MONTH(T_Stocks[[#This Row],[Fecha]]),DAY(T_Stocks[[#This Row],[Fecha]]))</f>
        <v>BTCEUR-44979</v>
      </c>
    </row>
    <row r="2976" spans="1:4" ht="14.65" thickBot="1" x14ac:dyDescent="0.5">
      <c r="A2976" s="17">
        <v>44980.998611111114</v>
      </c>
      <c r="B2976" s="19">
        <v>22586.71631</v>
      </c>
      <c r="C2976" t="s">
        <v>155</v>
      </c>
      <c r="D2976" t="str">
        <f>T_Stocks[[#This Row],[Ticker]] &amp; "-" &amp; DATE(YEAR(T_Stocks[[#This Row],[Fecha]]),MONTH(T_Stocks[[#This Row],[Fecha]]),DAY(T_Stocks[[#This Row],[Fecha]]))</f>
        <v>BTCEUR-44980</v>
      </c>
    </row>
    <row r="2977" spans="1:4" ht="14.65" thickBot="1" x14ac:dyDescent="0.5">
      <c r="A2977" s="17">
        <v>44981.998611111114</v>
      </c>
      <c r="B2977" s="19">
        <v>21907.89054</v>
      </c>
      <c r="C2977" t="s">
        <v>155</v>
      </c>
      <c r="D2977" t="str">
        <f>T_Stocks[[#This Row],[Ticker]] &amp; "-" &amp; DATE(YEAR(T_Stocks[[#This Row],[Fecha]]),MONTH(T_Stocks[[#This Row],[Fecha]]),DAY(T_Stocks[[#This Row],[Fecha]]))</f>
        <v>BTCEUR-44981</v>
      </c>
    </row>
    <row r="2978" spans="1:4" ht="14.65" thickBot="1" x14ac:dyDescent="0.5">
      <c r="A2978" s="17">
        <v>44982.998611111114</v>
      </c>
      <c r="B2978" s="19">
        <v>21880.771069999999</v>
      </c>
      <c r="C2978" t="s">
        <v>155</v>
      </c>
      <c r="D2978" t="str">
        <f>T_Stocks[[#This Row],[Ticker]] &amp; "-" &amp; DATE(YEAR(T_Stocks[[#This Row],[Fecha]]),MONTH(T_Stocks[[#This Row],[Fecha]]),DAY(T_Stocks[[#This Row],[Fecha]]))</f>
        <v>BTCEUR-44982</v>
      </c>
    </row>
    <row r="2979" spans="1:4" ht="14.65" thickBot="1" x14ac:dyDescent="0.5">
      <c r="A2979" s="17">
        <v>44983.998611111114</v>
      </c>
      <c r="B2979" s="19">
        <v>22320.037850000001</v>
      </c>
      <c r="C2979" t="s">
        <v>155</v>
      </c>
      <c r="D2979" t="str">
        <f>T_Stocks[[#This Row],[Ticker]] &amp; "-" &amp; DATE(YEAR(T_Stocks[[#This Row],[Fecha]]),MONTH(T_Stocks[[#This Row],[Fecha]]),DAY(T_Stocks[[#This Row],[Fecha]]))</f>
        <v>BTCEUR-44983</v>
      </c>
    </row>
    <row r="2980" spans="1:4" ht="14.65" thickBot="1" x14ac:dyDescent="0.5">
      <c r="A2980" s="17">
        <v>44984.998611111114</v>
      </c>
      <c r="B2980" s="19">
        <v>22138.163420000001</v>
      </c>
      <c r="C2980" t="s">
        <v>155</v>
      </c>
      <c r="D2980" t="str">
        <f>T_Stocks[[#This Row],[Ticker]] &amp; "-" &amp; DATE(YEAR(T_Stocks[[#This Row],[Fecha]]),MONTH(T_Stocks[[#This Row],[Fecha]]),DAY(T_Stocks[[#This Row],[Fecha]]))</f>
        <v>BTCEUR-44984</v>
      </c>
    </row>
    <row r="2981" spans="1:4" ht="14.65" thickBot="1" x14ac:dyDescent="0.5">
      <c r="A2981" s="17">
        <v>44985.998611111114</v>
      </c>
      <c r="B2981" s="19">
        <v>21869.313620000001</v>
      </c>
      <c r="C2981" t="s">
        <v>155</v>
      </c>
      <c r="D2981" t="str">
        <f>T_Stocks[[#This Row],[Ticker]] &amp; "-" &amp; DATE(YEAR(T_Stocks[[#This Row],[Fecha]]),MONTH(T_Stocks[[#This Row],[Fecha]]),DAY(T_Stocks[[#This Row],[Fecha]]))</f>
        <v>BTCEUR-44985</v>
      </c>
    </row>
    <row r="2982" spans="1:4" ht="14.65" thickBot="1" x14ac:dyDescent="0.5">
      <c r="A2982" s="17">
        <v>44986.998611111114</v>
      </c>
      <c r="B2982" s="19">
        <v>22154.828870000001</v>
      </c>
      <c r="C2982" t="s">
        <v>155</v>
      </c>
      <c r="D2982" t="str">
        <f>T_Stocks[[#This Row],[Ticker]] &amp; "-" &amp; DATE(YEAR(T_Stocks[[#This Row],[Fecha]]),MONTH(T_Stocks[[#This Row],[Fecha]]),DAY(T_Stocks[[#This Row],[Fecha]]))</f>
        <v>BTCEUR-44986</v>
      </c>
    </row>
    <row r="2983" spans="1:4" ht="14.65" thickBot="1" x14ac:dyDescent="0.5">
      <c r="A2983" s="17">
        <v>44987.998611111114</v>
      </c>
      <c r="B2983" s="19">
        <v>22136.850279999999</v>
      </c>
      <c r="C2983" t="s">
        <v>155</v>
      </c>
      <c r="D2983" t="str">
        <f>T_Stocks[[#This Row],[Ticker]] &amp; "-" &amp; DATE(YEAR(T_Stocks[[#This Row],[Fecha]]),MONTH(T_Stocks[[#This Row],[Fecha]]),DAY(T_Stocks[[#This Row],[Fecha]]))</f>
        <v>BTCEUR-44987</v>
      </c>
    </row>
    <row r="2984" spans="1:4" ht="14.65" thickBot="1" x14ac:dyDescent="0.5">
      <c r="A2984" s="17">
        <v>44988.998611111114</v>
      </c>
      <c r="B2984" s="19">
        <v>20985.654340000001</v>
      </c>
      <c r="C2984" t="s">
        <v>155</v>
      </c>
      <c r="D2984" t="str">
        <f>T_Stocks[[#This Row],[Ticker]] &amp; "-" &amp; DATE(YEAR(T_Stocks[[#This Row],[Fecha]]),MONTH(T_Stocks[[#This Row],[Fecha]]),DAY(T_Stocks[[#This Row],[Fecha]]))</f>
        <v>BTCEUR-44988</v>
      </c>
    </row>
    <row r="2985" spans="1:4" ht="14.65" thickBot="1" x14ac:dyDescent="0.5">
      <c r="A2985" s="17">
        <v>44989.998611111114</v>
      </c>
      <c r="B2985" s="19">
        <v>20980.828119999998</v>
      </c>
      <c r="C2985" t="s">
        <v>155</v>
      </c>
      <c r="D2985" t="str">
        <f>T_Stocks[[#This Row],[Ticker]] &amp; "-" &amp; DATE(YEAR(T_Stocks[[#This Row],[Fecha]]),MONTH(T_Stocks[[#This Row],[Fecha]]),DAY(T_Stocks[[#This Row],[Fecha]]))</f>
        <v>BTCEUR-44989</v>
      </c>
    </row>
    <row r="2986" spans="1:4" ht="14.65" thickBot="1" x14ac:dyDescent="0.5">
      <c r="A2986" s="17">
        <v>44990.998611111114</v>
      </c>
      <c r="B2986" s="19">
        <v>21108.275379999999</v>
      </c>
      <c r="C2986" t="s">
        <v>155</v>
      </c>
      <c r="D2986" t="str">
        <f>T_Stocks[[#This Row],[Ticker]] &amp; "-" &amp; DATE(YEAR(T_Stocks[[#This Row],[Fecha]]),MONTH(T_Stocks[[#This Row],[Fecha]]),DAY(T_Stocks[[#This Row],[Fecha]]))</f>
        <v>BTCEUR-44990</v>
      </c>
    </row>
    <row r="2987" spans="1:4" ht="14.65" thickBot="1" x14ac:dyDescent="0.5">
      <c r="A2987" s="17">
        <v>44991.998611111114</v>
      </c>
      <c r="B2987" s="19">
        <v>20965.991379999999</v>
      </c>
      <c r="C2987" t="s">
        <v>155</v>
      </c>
      <c r="D2987" t="str">
        <f>T_Stocks[[#This Row],[Ticker]] &amp; "-" &amp; DATE(YEAR(T_Stocks[[#This Row],[Fecha]]),MONTH(T_Stocks[[#This Row],[Fecha]]),DAY(T_Stocks[[#This Row],[Fecha]]))</f>
        <v>BTCEUR-44991</v>
      </c>
    </row>
    <row r="2988" spans="1:4" ht="14.65" thickBot="1" x14ac:dyDescent="0.5">
      <c r="A2988" s="17">
        <v>44992.998611111114</v>
      </c>
      <c r="B2988" s="19">
        <v>21040.468099999998</v>
      </c>
      <c r="C2988" t="s">
        <v>155</v>
      </c>
      <c r="D2988" t="str">
        <f>T_Stocks[[#This Row],[Ticker]] &amp; "-" &amp; DATE(YEAR(T_Stocks[[#This Row],[Fecha]]),MONTH(T_Stocks[[#This Row],[Fecha]]),DAY(T_Stocks[[#This Row],[Fecha]]))</f>
        <v>BTCEUR-44992</v>
      </c>
    </row>
    <row r="2989" spans="1:4" ht="14.65" thickBot="1" x14ac:dyDescent="0.5">
      <c r="A2989" s="17">
        <v>44993.998611111114</v>
      </c>
      <c r="B2989" s="19">
        <v>20572.016769999998</v>
      </c>
      <c r="C2989" t="s">
        <v>155</v>
      </c>
      <c r="D2989" t="str">
        <f>T_Stocks[[#This Row],[Ticker]] &amp; "-" &amp; DATE(YEAR(T_Stocks[[#This Row],[Fecha]]),MONTH(T_Stocks[[#This Row],[Fecha]]),DAY(T_Stocks[[#This Row],[Fecha]]))</f>
        <v>BTCEUR-44993</v>
      </c>
    </row>
    <row r="2990" spans="1:4" ht="14.65" thickBot="1" x14ac:dyDescent="0.5">
      <c r="A2990" s="17">
        <v>44994.998611111114</v>
      </c>
      <c r="B2990" s="19">
        <v>19239.79176</v>
      </c>
      <c r="C2990" t="s">
        <v>155</v>
      </c>
      <c r="D2990" t="str">
        <f>T_Stocks[[#This Row],[Ticker]] &amp; "-" &amp; DATE(YEAR(T_Stocks[[#This Row],[Fecha]]),MONTH(T_Stocks[[#This Row],[Fecha]]),DAY(T_Stocks[[#This Row],[Fecha]]))</f>
        <v>BTCEUR-44994</v>
      </c>
    </row>
    <row r="2991" spans="1:4" ht="14.65" thickBot="1" x14ac:dyDescent="0.5">
      <c r="A2991" s="17">
        <v>44995.998611111114</v>
      </c>
      <c r="B2991" s="19">
        <v>18959.436440000001</v>
      </c>
      <c r="C2991" t="s">
        <v>155</v>
      </c>
      <c r="D2991" t="str">
        <f>T_Stocks[[#This Row],[Ticker]] &amp; "-" &amp; DATE(YEAR(T_Stocks[[#This Row],[Fecha]]),MONTH(T_Stocks[[#This Row],[Fecha]]),DAY(T_Stocks[[#This Row],[Fecha]]))</f>
        <v>BTCEUR-44995</v>
      </c>
    </row>
    <row r="2992" spans="1:4" ht="14.65" thickBot="1" x14ac:dyDescent="0.5">
      <c r="A2992" s="17">
        <v>44996.998611111114</v>
      </c>
      <c r="B2992" s="19">
        <v>19304.337520000001</v>
      </c>
      <c r="C2992" t="s">
        <v>155</v>
      </c>
      <c r="D2992" t="str">
        <f>T_Stocks[[#This Row],[Ticker]] &amp; "-" &amp; DATE(YEAR(T_Stocks[[#This Row],[Fecha]]),MONTH(T_Stocks[[#This Row],[Fecha]]),DAY(T_Stocks[[#This Row],[Fecha]]))</f>
        <v>BTCEUR-44996</v>
      </c>
    </row>
    <row r="2993" spans="1:4" ht="14.65" thickBot="1" x14ac:dyDescent="0.5">
      <c r="A2993" s="17">
        <v>44997.998611111114</v>
      </c>
      <c r="B2993" s="19">
        <v>20698.503929999999</v>
      </c>
      <c r="C2993" t="s">
        <v>155</v>
      </c>
      <c r="D2993" t="str">
        <f>T_Stocks[[#This Row],[Ticker]] &amp; "-" &amp; DATE(YEAR(T_Stocks[[#This Row],[Fecha]]),MONTH(T_Stocks[[#This Row],[Fecha]]),DAY(T_Stocks[[#This Row],[Fecha]]))</f>
        <v>BTCEUR-44997</v>
      </c>
    </row>
    <row r="2994" spans="1:4" ht="14.65" thickBot="1" x14ac:dyDescent="0.5">
      <c r="A2994" s="17">
        <v>44998.998611111114</v>
      </c>
      <c r="B2994" s="19">
        <v>22558.942470000002</v>
      </c>
      <c r="C2994" t="s">
        <v>155</v>
      </c>
      <c r="D2994" t="str">
        <f>T_Stocks[[#This Row],[Ticker]] &amp; "-" &amp; DATE(YEAR(T_Stocks[[#This Row],[Fecha]]),MONTH(T_Stocks[[#This Row],[Fecha]]),DAY(T_Stocks[[#This Row],[Fecha]]))</f>
        <v>BTCEUR-44998</v>
      </c>
    </row>
    <row r="2995" spans="1:4" ht="14.65" thickBot="1" x14ac:dyDescent="0.5">
      <c r="A2995" s="17">
        <v>44999.998611111114</v>
      </c>
      <c r="B2995" s="19">
        <v>23080.594450000001</v>
      </c>
      <c r="C2995" t="s">
        <v>155</v>
      </c>
      <c r="D2995" t="str">
        <f>T_Stocks[[#This Row],[Ticker]] &amp; "-" &amp; DATE(YEAR(T_Stocks[[#This Row],[Fecha]]),MONTH(T_Stocks[[#This Row],[Fecha]]),DAY(T_Stocks[[#This Row],[Fecha]]))</f>
        <v>BTCEUR-44999</v>
      </c>
    </row>
    <row r="2996" spans="1:4" ht="14.65" thickBot="1" x14ac:dyDescent="0.5">
      <c r="A2996" s="17">
        <v>45000.998611111114</v>
      </c>
      <c r="B2996" s="19">
        <v>23010.785469999999</v>
      </c>
      <c r="C2996" t="s">
        <v>155</v>
      </c>
      <c r="D2996" t="str">
        <f>T_Stocks[[#This Row],[Ticker]] &amp; "-" &amp; DATE(YEAR(T_Stocks[[#This Row],[Fecha]]),MONTH(T_Stocks[[#This Row],[Fecha]]),DAY(T_Stocks[[#This Row],[Fecha]]))</f>
        <v>BTCEUR-45000</v>
      </c>
    </row>
    <row r="2997" spans="1:4" ht="14.65" thickBot="1" x14ac:dyDescent="0.5">
      <c r="A2997" s="17">
        <v>45001.998611111114</v>
      </c>
      <c r="B2997" s="19">
        <v>23599.09015</v>
      </c>
      <c r="C2997" t="s">
        <v>155</v>
      </c>
      <c r="D2997" t="str">
        <f>T_Stocks[[#This Row],[Ticker]] &amp; "-" &amp; DATE(YEAR(T_Stocks[[#This Row],[Fecha]]),MONTH(T_Stocks[[#This Row],[Fecha]]),DAY(T_Stocks[[#This Row],[Fecha]]))</f>
        <v>BTCEUR-45001</v>
      </c>
    </row>
    <row r="2998" spans="1:4" ht="14.65" thickBot="1" x14ac:dyDescent="0.5">
      <c r="A2998" s="17">
        <v>45002.998611111114</v>
      </c>
      <c r="B2998" s="19">
        <v>25489.321510000002</v>
      </c>
      <c r="C2998" t="s">
        <v>155</v>
      </c>
      <c r="D2998" t="str">
        <f>T_Stocks[[#This Row],[Ticker]] &amp; "-" &amp; DATE(YEAR(T_Stocks[[#This Row],[Fecha]]),MONTH(T_Stocks[[#This Row],[Fecha]]),DAY(T_Stocks[[#This Row],[Fecha]]))</f>
        <v>BTCEUR-45002</v>
      </c>
    </row>
    <row r="2999" spans="1:4" ht="14.65" thickBot="1" x14ac:dyDescent="0.5">
      <c r="A2999" s="17">
        <v>45003.998611111114</v>
      </c>
      <c r="B2999" s="19">
        <v>25074.939480000001</v>
      </c>
      <c r="C2999" t="s">
        <v>155</v>
      </c>
      <c r="D2999" t="str">
        <f>T_Stocks[[#This Row],[Ticker]] &amp; "-" &amp; DATE(YEAR(T_Stocks[[#This Row],[Fecha]]),MONTH(T_Stocks[[#This Row],[Fecha]]),DAY(T_Stocks[[#This Row],[Fecha]]))</f>
        <v>BTCEUR-45003</v>
      </c>
    </row>
    <row r="3000" spans="1:4" ht="14.65" thickBot="1" x14ac:dyDescent="0.5">
      <c r="A3000" s="17">
        <v>45004.998611111114</v>
      </c>
      <c r="B3000" s="19">
        <v>26246.4005</v>
      </c>
      <c r="C3000" t="s">
        <v>155</v>
      </c>
      <c r="D3000" t="str">
        <f>T_Stocks[[#This Row],[Ticker]] &amp; "-" &amp; DATE(YEAR(T_Stocks[[#This Row],[Fecha]]),MONTH(T_Stocks[[#This Row],[Fecha]]),DAY(T_Stocks[[#This Row],[Fecha]]))</f>
        <v>BTCEUR-45004</v>
      </c>
    </row>
    <row r="3001" spans="1:4" ht="14.65" thickBot="1" x14ac:dyDescent="0.5">
      <c r="A3001" s="17">
        <v>45005.998611111114</v>
      </c>
      <c r="B3001" s="19">
        <v>25923.647099999998</v>
      </c>
      <c r="C3001" t="s">
        <v>155</v>
      </c>
      <c r="D3001" t="str">
        <f>T_Stocks[[#This Row],[Ticker]] &amp; "-" &amp; DATE(YEAR(T_Stocks[[#This Row],[Fecha]]),MONTH(T_Stocks[[#This Row],[Fecha]]),DAY(T_Stocks[[#This Row],[Fecha]]))</f>
        <v>BTCEUR-45005</v>
      </c>
    </row>
    <row r="3002" spans="1:4" ht="14.65" thickBot="1" x14ac:dyDescent="0.5">
      <c r="A3002" s="17">
        <v>45006.998611111114</v>
      </c>
      <c r="B3002" s="19">
        <v>26156.59088</v>
      </c>
      <c r="C3002" t="s">
        <v>155</v>
      </c>
      <c r="D3002" t="str">
        <f>T_Stocks[[#This Row],[Ticker]] &amp; "-" &amp; DATE(YEAR(T_Stocks[[#This Row],[Fecha]]),MONTH(T_Stocks[[#This Row],[Fecha]]),DAY(T_Stocks[[#This Row],[Fecha]]))</f>
        <v>BTCEUR-45006</v>
      </c>
    </row>
    <row r="3003" spans="1:4" ht="14.65" thickBot="1" x14ac:dyDescent="0.5">
      <c r="A3003" s="17">
        <v>45007.998611111114</v>
      </c>
      <c r="B3003" s="19">
        <v>25124.796979999999</v>
      </c>
      <c r="C3003" t="s">
        <v>155</v>
      </c>
      <c r="D3003" t="str">
        <f>T_Stocks[[#This Row],[Ticker]] &amp; "-" &amp; DATE(YEAR(T_Stocks[[#This Row],[Fecha]]),MONTH(T_Stocks[[#This Row],[Fecha]]),DAY(T_Stocks[[#This Row],[Fecha]]))</f>
        <v>BTCEUR-45007</v>
      </c>
    </row>
    <row r="3004" spans="1:4" ht="14.65" thickBot="1" x14ac:dyDescent="0.5">
      <c r="A3004" s="17">
        <v>45008.998611111114</v>
      </c>
      <c r="B3004" s="19">
        <v>26149.984820000001</v>
      </c>
      <c r="C3004" t="s">
        <v>155</v>
      </c>
      <c r="D3004" t="str">
        <f>T_Stocks[[#This Row],[Ticker]] &amp; "-" &amp; DATE(YEAR(T_Stocks[[#This Row],[Fecha]]),MONTH(T_Stocks[[#This Row],[Fecha]]),DAY(T_Stocks[[#This Row],[Fecha]]))</f>
        <v>BTCEUR-45008</v>
      </c>
    </row>
    <row r="3005" spans="1:4" ht="14.65" thickBot="1" x14ac:dyDescent="0.5">
      <c r="A3005" s="17">
        <v>45009.998611111114</v>
      </c>
      <c r="B3005" s="19">
        <v>25484.96387</v>
      </c>
      <c r="C3005" t="s">
        <v>155</v>
      </c>
      <c r="D3005" t="str">
        <f>T_Stocks[[#This Row],[Ticker]] &amp; "-" &amp; DATE(YEAR(T_Stocks[[#This Row],[Fecha]]),MONTH(T_Stocks[[#This Row],[Fecha]]),DAY(T_Stocks[[#This Row],[Fecha]]))</f>
        <v>BTCEUR-45009</v>
      </c>
    </row>
    <row r="3006" spans="1:4" ht="14.65" thickBot="1" x14ac:dyDescent="0.5">
      <c r="A3006" s="17">
        <v>45010.998611111114</v>
      </c>
      <c r="B3006" s="19">
        <v>25491.480889999999</v>
      </c>
      <c r="C3006" t="s">
        <v>155</v>
      </c>
      <c r="D3006" t="str">
        <f>T_Stocks[[#This Row],[Ticker]] &amp; "-" &amp; DATE(YEAR(T_Stocks[[#This Row],[Fecha]]),MONTH(T_Stocks[[#This Row],[Fecha]]),DAY(T_Stocks[[#This Row],[Fecha]]))</f>
        <v>BTCEUR-45010</v>
      </c>
    </row>
    <row r="3007" spans="1:4" ht="14.65" thickBot="1" x14ac:dyDescent="0.5">
      <c r="A3007" s="17">
        <v>45011.998611111114</v>
      </c>
      <c r="B3007" s="19">
        <v>25972.304349999999</v>
      </c>
      <c r="C3007" t="s">
        <v>155</v>
      </c>
      <c r="D3007" t="str">
        <f>T_Stocks[[#This Row],[Ticker]] &amp; "-" &amp; DATE(YEAR(T_Stocks[[#This Row],[Fecha]]),MONTH(T_Stocks[[#This Row],[Fecha]]),DAY(T_Stocks[[#This Row],[Fecha]]))</f>
        <v>BTCEUR-45011</v>
      </c>
    </row>
    <row r="3008" spans="1:4" ht="14.65" thickBot="1" x14ac:dyDescent="0.5">
      <c r="A3008" s="17">
        <v>45012.998611111114</v>
      </c>
      <c r="B3008" s="19">
        <v>25108.77102</v>
      </c>
      <c r="C3008" t="s">
        <v>155</v>
      </c>
      <c r="D3008" t="str">
        <f>T_Stocks[[#This Row],[Ticker]] &amp; "-" &amp; DATE(YEAR(T_Stocks[[#This Row],[Fecha]]),MONTH(T_Stocks[[#This Row],[Fecha]]),DAY(T_Stocks[[#This Row],[Fecha]]))</f>
        <v>BTCEUR-45012</v>
      </c>
    </row>
    <row r="3009" spans="1:4" ht="14.65" thickBot="1" x14ac:dyDescent="0.5">
      <c r="A3009" s="17">
        <v>45013.998611111114</v>
      </c>
      <c r="B3009" s="19">
        <v>25158.455119999999</v>
      </c>
      <c r="C3009" t="s">
        <v>155</v>
      </c>
      <c r="D3009" t="str">
        <f>T_Stocks[[#This Row],[Ticker]] &amp; "-" &amp; DATE(YEAR(T_Stocks[[#This Row],[Fecha]]),MONTH(T_Stocks[[#This Row],[Fecha]]),DAY(T_Stocks[[#This Row],[Fecha]]))</f>
        <v>BTCEUR-45013</v>
      </c>
    </row>
    <row r="3010" spans="1:4" ht="14.65" thickBot="1" x14ac:dyDescent="0.5">
      <c r="A3010" s="17">
        <v>45014.998611111114</v>
      </c>
      <c r="B3010" s="19">
        <v>26147.090489999999</v>
      </c>
      <c r="C3010" t="s">
        <v>155</v>
      </c>
      <c r="D3010" t="str">
        <f>T_Stocks[[#This Row],[Ticker]] &amp; "-" &amp; DATE(YEAR(T_Stocks[[#This Row],[Fecha]]),MONTH(T_Stocks[[#This Row],[Fecha]]),DAY(T_Stocks[[#This Row],[Fecha]]))</f>
        <v>BTCEUR-45014</v>
      </c>
    </row>
    <row r="3011" spans="1:4" ht="14.65" thickBot="1" x14ac:dyDescent="0.5">
      <c r="A3011" s="17">
        <v>45015.998611111114</v>
      </c>
      <c r="B3011" s="19">
        <v>25710.757020000001</v>
      </c>
      <c r="C3011" t="s">
        <v>155</v>
      </c>
      <c r="D3011" t="str">
        <f>T_Stocks[[#This Row],[Ticker]] &amp; "-" &amp; DATE(YEAR(T_Stocks[[#This Row],[Fecha]]),MONTH(T_Stocks[[#This Row],[Fecha]]),DAY(T_Stocks[[#This Row],[Fecha]]))</f>
        <v>BTCEUR-45015</v>
      </c>
    </row>
    <row r="3012" spans="1:4" ht="14.65" thickBot="1" x14ac:dyDescent="0.5">
      <c r="A3012" s="17">
        <v>45016.998611111114</v>
      </c>
      <c r="B3012" s="19">
        <v>26190.624339999998</v>
      </c>
      <c r="C3012" t="s">
        <v>155</v>
      </c>
      <c r="D3012" t="str">
        <f>T_Stocks[[#This Row],[Ticker]] &amp; "-" &amp; DATE(YEAR(T_Stocks[[#This Row],[Fecha]]),MONTH(T_Stocks[[#This Row],[Fecha]]),DAY(T_Stocks[[#This Row],[Fecha]]))</f>
        <v>BTCEUR-45016</v>
      </c>
    </row>
    <row r="3013" spans="1:4" ht="14.65" thickBot="1" x14ac:dyDescent="0.5">
      <c r="A3013" s="17">
        <v>45017.998611111114</v>
      </c>
      <c r="B3013" s="19">
        <v>26180.67211</v>
      </c>
      <c r="C3013" t="s">
        <v>155</v>
      </c>
      <c r="D3013" t="str">
        <f>T_Stocks[[#This Row],[Ticker]] &amp; "-" &amp; DATE(YEAR(T_Stocks[[#This Row],[Fecha]]),MONTH(T_Stocks[[#This Row],[Fecha]]),DAY(T_Stocks[[#This Row],[Fecha]]))</f>
        <v>BTCEUR-45017</v>
      </c>
    </row>
    <row r="3014" spans="1:4" ht="14.65" thickBot="1" x14ac:dyDescent="0.5">
      <c r="A3014" s="17">
        <v>45018.998611111114</v>
      </c>
      <c r="B3014" s="19">
        <v>26092.218010000001</v>
      </c>
      <c r="C3014" t="s">
        <v>155</v>
      </c>
      <c r="D3014" t="str">
        <f>T_Stocks[[#This Row],[Ticker]] &amp; "-" &amp; DATE(YEAR(T_Stocks[[#This Row],[Fecha]]),MONTH(T_Stocks[[#This Row],[Fecha]]),DAY(T_Stocks[[#This Row],[Fecha]]))</f>
        <v>BTCEUR-45018</v>
      </c>
    </row>
    <row r="3015" spans="1:4" ht="14.65" thickBot="1" x14ac:dyDescent="0.5">
      <c r="A3015" s="17">
        <v>45019.998611111114</v>
      </c>
      <c r="B3015" s="19">
        <v>25481.15264</v>
      </c>
      <c r="C3015" t="s">
        <v>155</v>
      </c>
      <c r="D3015" t="str">
        <f>T_Stocks[[#This Row],[Ticker]] &amp; "-" &amp; DATE(YEAR(T_Stocks[[#This Row],[Fecha]]),MONTH(T_Stocks[[#This Row],[Fecha]]),DAY(T_Stocks[[#This Row],[Fecha]]))</f>
        <v>BTCEUR-45019</v>
      </c>
    </row>
    <row r="3016" spans="1:4" ht="14.65" thickBot="1" x14ac:dyDescent="0.5">
      <c r="A3016" s="17">
        <v>45020.998611111114</v>
      </c>
      <c r="B3016" s="19">
        <v>25701.42297</v>
      </c>
      <c r="C3016" t="s">
        <v>155</v>
      </c>
      <c r="D3016" t="str">
        <f>T_Stocks[[#This Row],[Ticker]] &amp; "-" &amp; DATE(YEAR(T_Stocks[[#This Row],[Fecha]]),MONTH(T_Stocks[[#This Row],[Fecha]]),DAY(T_Stocks[[#This Row],[Fecha]]))</f>
        <v>BTCEUR-45020</v>
      </c>
    </row>
    <row r="3017" spans="1:4" ht="14.65" thickBot="1" x14ac:dyDescent="0.5">
      <c r="A3017" s="17">
        <v>45021.998611111114</v>
      </c>
      <c r="B3017" s="19">
        <v>25842.425490000001</v>
      </c>
      <c r="C3017" t="s">
        <v>155</v>
      </c>
      <c r="D3017" t="str">
        <f>T_Stocks[[#This Row],[Ticker]] &amp; "-" &amp; DATE(YEAR(T_Stocks[[#This Row],[Fecha]]),MONTH(T_Stocks[[#This Row],[Fecha]]),DAY(T_Stocks[[#This Row],[Fecha]]))</f>
        <v>BTCEUR-45021</v>
      </c>
    </row>
    <row r="3018" spans="1:4" ht="14.65" thickBot="1" x14ac:dyDescent="0.5">
      <c r="A3018" s="17">
        <v>45022.998611111114</v>
      </c>
      <c r="B3018" s="19">
        <v>25681.14992</v>
      </c>
      <c r="C3018" t="s">
        <v>155</v>
      </c>
      <c r="D3018" t="str">
        <f>T_Stocks[[#This Row],[Ticker]] &amp; "-" &amp; DATE(YEAR(T_Stocks[[#This Row],[Fecha]]),MONTH(T_Stocks[[#This Row],[Fecha]]),DAY(T_Stocks[[#This Row],[Fecha]]))</f>
        <v>BTCEUR-45022</v>
      </c>
    </row>
    <row r="3019" spans="1:4" ht="14.65" thickBot="1" x14ac:dyDescent="0.5">
      <c r="A3019" s="17">
        <v>45023.998611111114</v>
      </c>
      <c r="B3019" s="19">
        <v>25388.519830000001</v>
      </c>
      <c r="C3019" t="s">
        <v>155</v>
      </c>
      <c r="D3019" t="str">
        <f>T_Stocks[[#This Row],[Ticker]] &amp; "-" &amp; DATE(YEAR(T_Stocks[[#This Row],[Fecha]]),MONTH(T_Stocks[[#This Row],[Fecha]]),DAY(T_Stocks[[#This Row],[Fecha]]))</f>
        <v>BTCEUR-45023</v>
      </c>
    </row>
    <row r="3020" spans="1:4" ht="14.65" thickBot="1" x14ac:dyDescent="0.5">
      <c r="A3020" s="17">
        <v>45024.998611111114</v>
      </c>
      <c r="B3020" s="19">
        <v>25416.926360000001</v>
      </c>
      <c r="C3020" t="s">
        <v>155</v>
      </c>
      <c r="D3020" t="str">
        <f>T_Stocks[[#This Row],[Ticker]] &amp; "-" &amp; DATE(YEAR(T_Stocks[[#This Row],[Fecha]]),MONTH(T_Stocks[[#This Row],[Fecha]]),DAY(T_Stocks[[#This Row],[Fecha]]))</f>
        <v>BTCEUR-45024</v>
      </c>
    </row>
    <row r="3021" spans="1:4" ht="14.65" thickBot="1" x14ac:dyDescent="0.5">
      <c r="A3021" s="17">
        <v>45025.998611111114</v>
      </c>
      <c r="B3021" s="19">
        <v>25963.443660000001</v>
      </c>
      <c r="C3021" t="s">
        <v>155</v>
      </c>
      <c r="D3021" t="str">
        <f>T_Stocks[[#This Row],[Ticker]] &amp; "-" &amp; DATE(YEAR(T_Stocks[[#This Row],[Fecha]]),MONTH(T_Stocks[[#This Row],[Fecha]]),DAY(T_Stocks[[#This Row],[Fecha]]))</f>
        <v>BTCEUR-45025</v>
      </c>
    </row>
    <row r="3022" spans="1:4" ht="14.65" thickBot="1" x14ac:dyDescent="0.5">
      <c r="A3022" s="17">
        <v>45026.998611111114</v>
      </c>
      <c r="B3022" s="19">
        <v>27280.129430000001</v>
      </c>
      <c r="C3022" t="s">
        <v>155</v>
      </c>
      <c r="D3022" t="str">
        <f>T_Stocks[[#This Row],[Ticker]] &amp; "-" &amp; DATE(YEAR(T_Stocks[[#This Row],[Fecha]]),MONTH(T_Stocks[[#This Row],[Fecha]]),DAY(T_Stocks[[#This Row],[Fecha]]))</f>
        <v>BTCEUR-45026</v>
      </c>
    </row>
    <row r="3023" spans="1:4" ht="14.65" thickBot="1" x14ac:dyDescent="0.5">
      <c r="A3023" s="17">
        <v>45027.998611111114</v>
      </c>
      <c r="B3023" s="19">
        <v>27682.729329999998</v>
      </c>
      <c r="C3023" t="s">
        <v>155</v>
      </c>
      <c r="D3023" t="str">
        <f>T_Stocks[[#This Row],[Ticker]] &amp; "-" &amp; DATE(YEAR(T_Stocks[[#This Row],[Fecha]]),MONTH(T_Stocks[[#This Row],[Fecha]]),DAY(T_Stocks[[#This Row],[Fecha]]))</f>
        <v>BTCEUR-45027</v>
      </c>
    </row>
    <row r="3024" spans="1:4" ht="14.65" thickBot="1" x14ac:dyDescent="0.5">
      <c r="A3024" s="17">
        <v>45028.998611111114</v>
      </c>
      <c r="B3024" s="19">
        <v>27179.11724</v>
      </c>
      <c r="C3024" t="s">
        <v>155</v>
      </c>
      <c r="D3024" t="str">
        <f>T_Stocks[[#This Row],[Ticker]] &amp; "-" &amp; DATE(YEAR(T_Stocks[[#This Row],[Fecha]]),MONTH(T_Stocks[[#This Row],[Fecha]]),DAY(T_Stocks[[#This Row],[Fecha]]))</f>
        <v>BTCEUR-45028</v>
      </c>
    </row>
    <row r="3025" spans="1:4" ht="14.65" thickBot="1" x14ac:dyDescent="0.5">
      <c r="A3025" s="17">
        <v>45029.998611111114</v>
      </c>
      <c r="B3025" s="19">
        <v>27495.108939999998</v>
      </c>
      <c r="C3025" t="s">
        <v>155</v>
      </c>
      <c r="D3025" t="str">
        <f>T_Stocks[[#This Row],[Ticker]] &amp; "-" &amp; DATE(YEAR(T_Stocks[[#This Row],[Fecha]]),MONTH(T_Stocks[[#This Row],[Fecha]]),DAY(T_Stocks[[#This Row],[Fecha]]))</f>
        <v>BTCEUR-45029</v>
      </c>
    </row>
    <row r="3026" spans="1:4" ht="14.65" thickBot="1" x14ac:dyDescent="0.5">
      <c r="A3026" s="17">
        <v>45030.998611111114</v>
      </c>
      <c r="B3026" s="19">
        <v>27446.92482</v>
      </c>
      <c r="C3026" t="s">
        <v>155</v>
      </c>
      <c r="D3026" t="str">
        <f>T_Stocks[[#This Row],[Ticker]] &amp; "-" &amp; DATE(YEAR(T_Stocks[[#This Row],[Fecha]]),MONTH(T_Stocks[[#This Row],[Fecha]]),DAY(T_Stocks[[#This Row],[Fecha]]))</f>
        <v>BTCEUR-45030</v>
      </c>
    </row>
    <row r="3027" spans="1:4" ht="14.65" thickBot="1" x14ac:dyDescent="0.5">
      <c r="A3027" s="17">
        <v>45031.998611111114</v>
      </c>
      <c r="B3027" s="19">
        <v>27296.784459999999</v>
      </c>
      <c r="C3027" t="s">
        <v>155</v>
      </c>
      <c r="D3027" t="str">
        <f>T_Stocks[[#This Row],[Ticker]] &amp; "-" &amp; DATE(YEAR(T_Stocks[[#This Row],[Fecha]]),MONTH(T_Stocks[[#This Row],[Fecha]]),DAY(T_Stocks[[#This Row],[Fecha]]))</f>
        <v>BTCEUR-45031</v>
      </c>
    </row>
    <row r="3028" spans="1:4" ht="14.65" thickBot="1" x14ac:dyDescent="0.5">
      <c r="A3028" s="17">
        <v>45032.998611111114</v>
      </c>
      <c r="B3028" s="19">
        <v>27591.220270000002</v>
      </c>
      <c r="C3028" t="s">
        <v>155</v>
      </c>
      <c r="D3028" t="str">
        <f>T_Stocks[[#This Row],[Ticker]] &amp; "-" &amp; DATE(YEAR(T_Stocks[[#This Row],[Fecha]]),MONTH(T_Stocks[[#This Row],[Fecha]]),DAY(T_Stocks[[#This Row],[Fecha]]))</f>
        <v>BTCEUR-45032</v>
      </c>
    </row>
    <row r="3029" spans="1:4" ht="14.65" thickBot="1" x14ac:dyDescent="0.5">
      <c r="A3029" s="17">
        <v>45033.998611111114</v>
      </c>
      <c r="B3029" s="19">
        <v>26949.525710000002</v>
      </c>
      <c r="C3029" t="s">
        <v>155</v>
      </c>
      <c r="D3029" t="str">
        <f>T_Stocks[[#This Row],[Ticker]] &amp; "-" &amp; DATE(YEAR(T_Stocks[[#This Row],[Fecha]]),MONTH(T_Stocks[[#This Row],[Fecha]]),DAY(T_Stocks[[#This Row],[Fecha]]))</f>
        <v>BTCEUR-45033</v>
      </c>
    </row>
    <row r="3030" spans="1:4" ht="14.65" thickBot="1" x14ac:dyDescent="0.5">
      <c r="A3030" s="17">
        <v>45034.998611111114</v>
      </c>
      <c r="B3030" s="19">
        <v>27688.51179</v>
      </c>
      <c r="C3030" t="s">
        <v>155</v>
      </c>
      <c r="D3030" t="str">
        <f>T_Stocks[[#This Row],[Ticker]] &amp; "-" &amp; DATE(YEAR(T_Stocks[[#This Row],[Fecha]]),MONTH(T_Stocks[[#This Row],[Fecha]]),DAY(T_Stocks[[#This Row],[Fecha]]))</f>
        <v>BTCEUR-45034</v>
      </c>
    </row>
    <row r="3031" spans="1:4" ht="14.65" thickBot="1" x14ac:dyDescent="0.5">
      <c r="A3031" s="17">
        <v>45035.998611111114</v>
      </c>
      <c r="B3031" s="19">
        <v>26311.412619999999</v>
      </c>
      <c r="C3031" t="s">
        <v>155</v>
      </c>
      <c r="D3031" t="str">
        <f>T_Stocks[[#This Row],[Ticker]] &amp; "-" &amp; DATE(YEAR(T_Stocks[[#This Row],[Fecha]]),MONTH(T_Stocks[[#This Row],[Fecha]]),DAY(T_Stocks[[#This Row],[Fecha]]))</f>
        <v>BTCEUR-45035</v>
      </c>
    </row>
    <row r="3032" spans="1:4" ht="14.65" thickBot="1" x14ac:dyDescent="0.5">
      <c r="A3032" s="17">
        <v>45036.998611111114</v>
      </c>
      <c r="B3032" s="19">
        <v>25739.575049999999</v>
      </c>
      <c r="C3032" t="s">
        <v>155</v>
      </c>
      <c r="D3032" t="str">
        <f>T_Stocks[[#This Row],[Ticker]] &amp; "-" &amp; DATE(YEAR(T_Stocks[[#This Row],[Fecha]]),MONTH(T_Stocks[[#This Row],[Fecha]]),DAY(T_Stocks[[#This Row],[Fecha]]))</f>
        <v>BTCEUR-45036</v>
      </c>
    </row>
    <row r="3033" spans="1:4" ht="14.65" thickBot="1" x14ac:dyDescent="0.5">
      <c r="A3033" s="17">
        <v>45037.998611111114</v>
      </c>
      <c r="B3033" s="19">
        <v>24561.39515</v>
      </c>
      <c r="C3033" t="s">
        <v>155</v>
      </c>
      <c r="D3033" t="str">
        <f>T_Stocks[[#This Row],[Ticker]] &amp; "-" &amp; DATE(YEAR(T_Stocks[[#This Row],[Fecha]]),MONTH(T_Stocks[[#This Row],[Fecha]]),DAY(T_Stocks[[#This Row],[Fecha]]))</f>
        <v>BTCEUR-45037</v>
      </c>
    </row>
    <row r="3034" spans="1:4" ht="14.65" thickBot="1" x14ac:dyDescent="0.5">
      <c r="A3034" s="17">
        <v>45038.998611111114</v>
      </c>
      <c r="B3034" s="19">
        <v>25062.666499999999</v>
      </c>
      <c r="C3034" t="s">
        <v>155</v>
      </c>
      <c r="D3034" t="str">
        <f>T_Stocks[[#This Row],[Ticker]] &amp; "-" &amp; DATE(YEAR(T_Stocks[[#This Row],[Fecha]]),MONTH(T_Stocks[[#This Row],[Fecha]]),DAY(T_Stocks[[#This Row],[Fecha]]))</f>
        <v>BTCEUR-45038</v>
      </c>
    </row>
    <row r="3035" spans="1:4" ht="14.65" thickBot="1" x14ac:dyDescent="0.5">
      <c r="A3035" s="17">
        <v>45039.998611111114</v>
      </c>
      <c r="B3035" s="19">
        <v>25101.261060000001</v>
      </c>
      <c r="C3035" t="s">
        <v>155</v>
      </c>
      <c r="D3035" t="str">
        <f>T_Stocks[[#This Row],[Ticker]] &amp; "-" &amp; DATE(YEAR(T_Stocks[[#This Row],[Fecha]]),MONTH(T_Stocks[[#This Row],[Fecha]]),DAY(T_Stocks[[#This Row],[Fecha]]))</f>
        <v>BTCEUR-45039</v>
      </c>
    </row>
    <row r="3036" spans="1:4" ht="14.65" thickBot="1" x14ac:dyDescent="0.5">
      <c r="A3036" s="17">
        <v>45040.998611111114</v>
      </c>
      <c r="B3036" s="19">
        <v>24878.375800000002</v>
      </c>
      <c r="C3036" t="s">
        <v>155</v>
      </c>
      <c r="D3036" t="str">
        <f>T_Stocks[[#This Row],[Ticker]] &amp; "-" &amp; DATE(YEAR(T_Stocks[[#This Row],[Fecha]]),MONTH(T_Stocks[[#This Row],[Fecha]]),DAY(T_Stocks[[#This Row],[Fecha]]))</f>
        <v>BTCEUR-45040</v>
      </c>
    </row>
    <row r="3037" spans="1:4" ht="14.65" thickBot="1" x14ac:dyDescent="0.5">
      <c r="A3037" s="17">
        <v>45041.998611111114</v>
      </c>
      <c r="B3037" s="19">
        <v>25778.660029999999</v>
      </c>
      <c r="C3037" t="s">
        <v>155</v>
      </c>
      <c r="D3037" t="str">
        <f>T_Stocks[[#This Row],[Ticker]] &amp; "-" &amp; DATE(YEAR(T_Stocks[[#This Row],[Fecha]]),MONTH(T_Stocks[[#This Row],[Fecha]]),DAY(T_Stocks[[#This Row],[Fecha]]))</f>
        <v>BTCEUR-45041</v>
      </c>
    </row>
    <row r="3038" spans="1:4" ht="14.65" thickBot="1" x14ac:dyDescent="0.5">
      <c r="A3038" s="17">
        <v>45042.998611111114</v>
      </c>
      <c r="B3038" s="19">
        <v>25729.34143</v>
      </c>
      <c r="C3038" t="s">
        <v>155</v>
      </c>
      <c r="D3038" t="str">
        <f>T_Stocks[[#This Row],[Ticker]] &amp; "-" &amp; DATE(YEAR(T_Stocks[[#This Row],[Fecha]]),MONTH(T_Stocks[[#This Row],[Fecha]]),DAY(T_Stocks[[#This Row],[Fecha]]))</f>
        <v>BTCEUR-45042</v>
      </c>
    </row>
    <row r="3039" spans="1:4" ht="14.65" thickBot="1" x14ac:dyDescent="0.5">
      <c r="A3039" s="17">
        <v>45043.998611111114</v>
      </c>
      <c r="B3039" s="19">
        <v>26719.100320000001</v>
      </c>
      <c r="C3039" t="s">
        <v>155</v>
      </c>
      <c r="D3039" t="str">
        <f>T_Stocks[[#This Row],[Ticker]] &amp; "-" &amp; DATE(YEAR(T_Stocks[[#This Row],[Fecha]]),MONTH(T_Stocks[[#This Row],[Fecha]]),DAY(T_Stocks[[#This Row],[Fecha]]))</f>
        <v>BTCEUR-45043</v>
      </c>
    </row>
    <row r="3040" spans="1:4" ht="14.65" thickBot="1" x14ac:dyDescent="0.5">
      <c r="A3040" s="17">
        <v>45044.998611111114</v>
      </c>
      <c r="B3040" s="19">
        <v>26354.626039999999</v>
      </c>
      <c r="C3040" t="s">
        <v>155</v>
      </c>
      <c r="D3040" t="str">
        <f>T_Stocks[[#This Row],[Ticker]] &amp; "-" &amp; DATE(YEAR(T_Stocks[[#This Row],[Fecha]]),MONTH(T_Stocks[[#This Row],[Fecha]]),DAY(T_Stocks[[#This Row],[Fecha]]))</f>
        <v>BTCEUR-45044</v>
      </c>
    </row>
    <row r="3041" spans="1:4" ht="14.65" thickBot="1" x14ac:dyDescent="0.5">
      <c r="A3041" s="17">
        <v>45045.998611111114</v>
      </c>
      <c r="B3041" s="19">
        <v>26274.776440000001</v>
      </c>
      <c r="C3041" t="s">
        <v>155</v>
      </c>
      <c r="D3041" t="str">
        <f>T_Stocks[[#This Row],[Ticker]] &amp; "-" &amp; DATE(YEAR(T_Stocks[[#This Row],[Fecha]]),MONTH(T_Stocks[[#This Row],[Fecha]]),DAY(T_Stocks[[#This Row],[Fecha]]))</f>
        <v>BTCEUR-45045</v>
      </c>
    </row>
    <row r="3042" spans="1:4" ht="14.65" thickBot="1" x14ac:dyDescent="0.5">
      <c r="A3042" s="17">
        <v>45046.998611111114</v>
      </c>
      <c r="B3042" s="19">
        <v>26567.409210000002</v>
      </c>
      <c r="C3042" t="s">
        <v>155</v>
      </c>
      <c r="D3042" t="str">
        <f>T_Stocks[[#This Row],[Ticker]] &amp; "-" &amp; DATE(YEAR(T_Stocks[[#This Row],[Fecha]]),MONTH(T_Stocks[[#This Row],[Fecha]]),DAY(T_Stocks[[#This Row],[Fecha]]))</f>
        <v>BTCEUR-45046</v>
      </c>
    </row>
    <row r="3043" spans="1:4" ht="14.65" thickBot="1" x14ac:dyDescent="0.5">
      <c r="A3043" s="17">
        <v>45047.998611111114</v>
      </c>
      <c r="B3043" s="19">
        <v>25601.44025</v>
      </c>
      <c r="C3043" t="s">
        <v>155</v>
      </c>
      <c r="D3043" t="str">
        <f>T_Stocks[[#This Row],[Ticker]] &amp; "-" &amp; DATE(YEAR(T_Stocks[[#This Row],[Fecha]]),MONTH(T_Stocks[[#This Row],[Fecha]]),DAY(T_Stocks[[#This Row],[Fecha]]))</f>
        <v>BTCEUR-45047</v>
      </c>
    </row>
    <row r="3044" spans="1:4" ht="14.65" thickBot="1" x14ac:dyDescent="0.5">
      <c r="A3044" s="17">
        <v>45048.998611111114</v>
      </c>
      <c r="B3044" s="19">
        <v>26042.348249999999</v>
      </c>
      <c r="C3044" t="s">
        <v>155</v>
      </c>
      <c r="D3044" t="str">
        <f>T_Stocks[[#This Row],[Ticker]] &amp; "-" &amp; DATE(YEAR(T_Stocks[[#This Row],[Fecha]]),MONTH(T_Stocks[[#This Row],[Fecha]]),DAY(T_Stocks[[#This Row],[Fecha]]))</f>
        <v>BTCEUR-45048</v>
      </c>
    </row>
    <row r="3045" spans="1:4" ht="14.65" thickBot="1" x14ac:dyDescent="0.5">
      <c r="A3045" s="17">
        <v>45049.998611111114</v>
      </c>
      <c r="B3045" s="19">
        <v>26227.70218</v>
      </c>
      <c r="C3045" t="s">
        <v>155</v>
      </c>
      <c r="D3045" t="str">
        <f>T_Stocks[[#This Row],[Ticker]] &amp; "-" &amp; DATE(YEAR(T_Stocks[[#This Row],[Fecha]]),MONTH(T_Stocks[[#This Row],[Fecha]]),DAY(T_Stocks[[#This Row],[Fecha]]))</f>
        <v>BTCEUR-45049</v>
      </c>
    </row>
    <row r="3046" spans="1:4" ht="14.65" thickBot="1" x14ac:dyDescent="0.5">
      <c r="A3046" s="17">
        <v>45050.998611111114</v>
      </c>
      <c r="B3046" s="19">
        <v>26171.259399999999</v>
      </c>
      <c r="C3046" t="s">
        <v>155</v>
      </c>
      <c r="D3046" t="str">
        <f>T_Stocks[[#This Row],[Ticker]] &amp; "-" &amp; DATE(YEAR(T_Stocks[[#This Row],[Fecha]]),MONTH(T_Stocks[[#This Row],[Fecha]]),DAY(T_Stocks[[#This Row],[Fecha]]))</f>
        <v>BTCEUR-45050</v>
      </c>
    </row>
    <row r="3047" spans="1:4" ht="14.65" thickBot="1" x14ac:dyDescent="0.5">
      <c r="A3047" s="17">
        <v>45051.998611111114</v>
      </c>
      <c r="B3047" s="19">
        <v>26338.279699999999</v>
      </c>
      <c r="C3047" t="s">
        <v>155</v>
      </c>
      <c r="D3047" t="str">
        <f>T_Stocks[[#This Row],[Ticker]] &amp; "-" &amp; DATE(YEAR(T_Stocks[[#This Row],[Fecha]]),MONTH(T_Stocks[[#This Row],[Fecha]]),DAY(T_Stocks[[#This Row],[Fecha]]))</f>
        <v>BTCEUR-45051</v>
      </c>
    </row>
    <row r="3048" spans="1:4" ht="14.65" thickBot="1" x14ac:dyDescent="0.5">
      <c r="A3048" s="17">
        <v>45052.998611111114</v>
      </c>
      <c r="B3048" s="19">
        <v>25777.845420000001</v>
      </c>
      <c r="C3048" t="s">
        <v>155</v>
      </c>
      <c r="D3048" t="str">
        <f>T_Stocks[[#This Row],[Ticker]] &amp; "-" &amp; DATE(YEAR(T_Stocks[[#This Row],[Fecha]]),MONTH(T_Stocks[[#This Row],[Fecha]]),DAY(T_Stocks[[#This Row],[Fecha]]))</f>
        <v>BTCEUR-45052</v>
      </c>
    </row>
    <row r="3049" spans="1:4" ht="14.65" thickBot="1" x14ac:dyDescent="0.5">
      <c r="A3049" s="17">
        <v>45053.998611111114</v>
      </c>
      <c r="B3049" s="19">
        <v>25820.632440000001</v>
      </c>
      <c r="C3049" t="s">
        <v>155</v>
      </c>
      <c r="D3049" t="str">
        <f>T_Stocks[[#This Row],[Ticker]] &amp; "-" &amp; DATE(YEAR(T_Stocks[[#This Row],[Fecha]]),MONTH(T_Stocks[[#This Row],[Fecha]]),DAY(T_Stocks[[#This Row],[Fecha]]))</f>
        <v>BTCEUR-45053</v>
      </c>
    </row>
    <row r="3050" spans="1:4" ht="14.65" thickBot="1" x14ac:dyDescent="0.5">
      <c r="A3050" s="17">
        <v>45054.998611111114</v>
      </c>
      <c r="B3050" s="19">
        <v>25177.32504</v>
      </c>
      <c r="C3050" t="s">
        <v>155</v>
      </c>
      <c r="D3050" t="str">
        <f>T_Stocks[[#This Row],[Ticker]] &amp; "-" &amp; DATE(YEAR(T_Stocks[[#This Row],[Fecha]]),MONTH(T_Stocks[[#This Row],[Fecha]]),DAY(T_Stocks[[#This Row],[Fecha]]))</f>
        <v>BTCEUR-45054</v>
      </c>
    </row>
    <row r="3051" spans="1:4" ht="14.65" thickBot="1" x14ac:dyDescent="0.5">
      <c r="A3051" s="17">
        <v>45055.998611111114</v>
      </c>
      <c r="B3051" s="19">
        <v>25208.488160000001</v>
      </c>
      <c r="C3051" t="s">
        <v>155</v>
      </c>
      <c r="D3051" t="str">
        <f>T_Stocks[[#This Row],[Ticker]] &amp; "-" &amp; DATE(YEAR(T_Stocks[[#This Row],[Fecha]]),MONTH(T_Stocks[[#This Row],[Fecha]]),DAY(T_Stocks[[#This Row],[Fecha]]))</f>
        <v>BTCEUR-45055</v>
      </c>
    </row>
    <row r="3052" spans="1:4" ht="14.65" thickBot="1" x14ac:dyDescent="0.5">
      <c r="A3052" s="17">
        <v>45056.998611111114</v>
      </c>
      <c r="B3052" s="19">
        <v>25143.921869999998</v>
      </c>
      <c r="C3052" t="s">
        <v>155</v>
      </c>
      <c r="D3052" t="str">
        <f>T_Stocks[[#This Row],[Ticker]] &amp; "-" &amp; DATE(YEAR(T_Stocks[[#This Row],[Fecha]]),MONTH(T_Stocks[[#This Row],[Fecha]]),DAY(T_Stocks[[#This Row],[Fecha]]))</f>
        <v>BTCEUR-45056</v>
      </c>
    </row>
    <row r="3053" spans="1:4" ht="14.65" thickBot="1" x14ac:dyDescent="0.5">
      <c r="A3053" s="17">
        <v>45057.998611111114</v>
      </c>
      <c r="B3053" s="19">
        <v>24730.588489999998</v>
      </c>
      <c r="C3053" t="s">
        <v>155</v>
      </c>
      <c r="D3053" t="str">
        <f>T_Stocks[[#This Row],[Ticker]] &amp; "-" &amp; DATE(YEAR(T_Stocks[[#This Row],[Fecha]]),MONTH(T_Stocks[[#This Row],[Fecha]]),DAY(T_Stocks[[#This Row],[Fecha]]))</f>
        <v>BTCEUR-45057</v>
      </c>
    </row>
    <row r="3054" spans="1:4" ht="14.65" thickBot="1" x14ac:dyDescent="0.5">
      <c r="A3054" s="17">
        <v>45058.998611111114</v>
      </c>
      <c r="B3054" s="19">
        <v>24495.766680000001</v>
      </c>
      <c r="C3054" t="s">
        <v>155</v>
      </c>
      <c r="D3054" t="str">
        <f>T_Stocks[[#This Row],[Ticker]] &amp; "-" &amp; DATE(YEAR(T_Stocks[[#This Row],[Fecha]]),MONTH(T_Stocks[[#This Row],[Fecha]]),DAY(T_Stocks[[#This Row],[Fecha]]))</f>
        <v>BTCEUR-45058</v>
      </c>
    </row>
    <row r="3055" spans="1:4" ht="14.65" thickBot="1" x14ac:dyDescent="0.5">
      <c r="A3055" s="17">
        <v>45059.998611111114</v>
      </c>
      <c r="B3055" s="19">
        <v>24477.715179999999</v>
      </c>
      <c r="C3055" t="s">
        <v>155</v>
      </c>
      <c r="D3055" t="str">
        <f>T_Stocks[[#This Row],[Ticker]] &amp; "-" &amp; DATE(YEAR(T_Stocks[[#This Row],[Fecha]]),MONTH(T_Stocks[[#This Row],[Fecha]]),DAY(T_Stocks[[#This Row],[Fecha]]))</f>
        <v>BTCEUR-45059</v>
      </c>
    </row>
    <row r="3056" spans="1:4" ht="14.65" thickBot="1" x14ac:dyDescent="0.5">
      <c r="A3056" s="17">
        <v>45060.998611111114</v>
      </c>
      <c r="B3056" s="19">
        <v>24806.996459999998</v>
      </c>
      <c r="C3056" t="s">
        <v>155</v>
      </c>
      <c r="D3056" t="str">
        <f>T_Stocks[[#This Row],[Ticker]] &amp; "-" &amp; DATE(YEAR(T_Stocks[[#This Row],[Fecha]]),MONTH(T_Stocks[[#This Row],[Fecha]]),DAY(T_Stocks[[#This Row],[Fecha]]))</f>
        <v>BTCEUR-45060</v>
      </c>
    </row>
    <row r="3057" spans="1:4" ht="14.65" thickBot="1" x14ac:dyDescent="0.5">
      <c r="A3057" s="17">
        <v>45061.998611111114</v>
      </c>
      <c r="B3057" s="19">
        <v>24993.282060000001</v>
      </c>
      <c r="C3057" t="s">
        <v>155</v>
      </c>
      <c r="D3057" t="str">
        <f>T_Stocks[[#This Row],[Ticker]] &amp; "-" &amp; DATE(YEAR(T_Stocks[[#This Row],[Fecha]]),MONTH(T_Stocks[[#This Row],[Fecha]]),DAY(T_Stocks[[#This Row],[Fecha]]))</f>
        <v>BTCEUR-45061</v>
      </c>
    </row>
    <row r="3058" spans="1:4" ht="14.65" thickBot="1" x14ac:dyDescent="0.5">
      <c r="A3058" s="17">
        <v>45062.998611111114</v>
      </c>
      <c r="B3058" s="19">
        <v>24881.92223</v>
      </c>
      <c r="C3058" t="s">
        <v>155</v>
      </c>
      <c r="D3058" t="str">
        <f>T_Stocks[[#This Row],[Ticker]] &amp; "-" &amp; DATE(YEAR(T_Stocks[[#This Row],[Fecha]]),MONTH(T_Stocks[[#This Row],[Fecha]]),DAY(T_Stocks[[#This Row],[Fecha]]))</f>
        <v>BTCEUR-45062</v>
      </c>
    </row>
    <row r="3059" spans="1:4" ht="14.65" thickBot="1" x14ac:dyDescent="0.5">
      <c r="A3059" s="17">
        <v>45063.998611111114</v>
      </c>
      <c r="B3059" s="19">
        <v>25282.132369999999</v>
      </c>
      <c r="C3059" t="s">
        <v>155</v>
      </c>
      <c r="D3059" t="str">
        <f>T_Stocks[[#This Row],[Ticker]] &amp; "-" &amp; DATE(YEAR(T_Stocks[[#This Row],[Fecha]]),MONTH(T_Stocks[[#This Row],[Fecha]]),DAY(T_Stocks[[#This Row],[Fecha]]))</f>
        <v>BTCEUR-45063</v>
      </c>
    </row>
    <row r="3060" spans="1:4" ht="14.65" thickBot="1" x14ac:dyDescent="0.5">
      <c r="A3060" s="17">
        <v>45064.998611111114</v>
      </c>
      <c r="B3060" s="19">
        <v>24897.614880000001</v>
      </c>
      <c r="C3060" t="s">
        <v>155</v>
      </c>
      <c r="D3060" t="str">
        <f>T_Stocks[[#This Row],[Ticker]] &amp; "-" &amp; DATE(YEAR(T_Stocks[[#This Row],[Fecha]]),MONTH(T_Stocks[[#This Row],[Fecha]]),DAY(T_Stocks[[#This Row],[Fecha]]))</f>
        <v>BTCEUR-45064</v>
      </c>
    </row>
    <row r="3061" spans="1:4" ht="14.65" thickBot="1" x14ac:dyDescent="0.5">
      <c r="A3061" s="17">
        <v>45065.998611111114</v>
      </c>
      <c r="B3061" s="19">
        <v>24838.413830000001</v>
      </c>
      <c r="C3061" t="s">
        <v>155</v>
      </c>
      <c r="D3061" t="str">
        <f>T_Stocks[[#This Row],[Ticker]] &amp; "-" &amp; DATE(YEAR(T_Stocks[[#This Row],[Fecha]]),MONTH(T_Stocks[[#This Row],[Fecha]]),DAY(T_Stocks[[#This Row],[Fecha]]))</f>
        <v>BTCEUR-45065</v>
      </c>
    </row>
    <row r="3062" spans="1:4" ht="14.65" thickBot="1" x14ac:dyDescent="0.5">
      <c r="A3062" s="17">
        <v>45066.998611111114</v>
      </c>
      <c r="B3062" s="19">
        <v>25051.959439999999</v>
      </c>
      <c r="C3062" t="s">
        <v>155</v>
      </c>
      <c r="D3062" t="str">
        <f>T_Stocks[[#This Row],[Ticker]] &amp; "-" &amp; DATE(YEAR(T_Stocks[[#This Row],[Fecha]]),MONTH(T_Stocks[[#This Row],[Fecha]]),DAY(T_Stocks[[#This Row],[Fecha]]))</f>
        <v>BTCEUR-45066</v>
      </c>
    </row>
    <row r="3063" spans="1:4" ht="14.65" thickBot="1" x14ac:dyDescent="0.5">
      <c r="A3063" s="17">
        <v>45067.998611111114</v>
      </c>
      <c r="B3063" s="19">
        <v>24717.361260000001</v>
      </c>
      <c r="C3063" t="s">
        <v>155</v>
      </c>
      <c r="D3063" t="str">
        <f>T_Stocks[[#This Row],[Ticker]] &amp; "-" &amp; DATE(YEAR(T_Stocks[[#This Row],[Fecha]]),MONTH(T_Stocks[[#This Row],[Fecha]]),DAY(T_Stocks[[#This Row],[Fecha]]))</f>
        <v>BTCEUR-45067</v>
      </c>
    </row>
    <row r="3064" spans="1:4" ht="14.65" thickBot="1" x14ac:dyDescent="0.5">
      <c r="A3064" s="17">
        <v>45068.998611111114</v>
      </c>
      <c r="B3064" s="19">
        <v>24837.701700000001</v>
      </c>
      <c r="C3064" t="s">
        <v>155</v>
      </c>
      <c r="D3064" t="str">
        <f>T_Stocks[[#This Row],[Ticker]] &amp; "-" &amp; DATE(YEAR(T_Stocks[[#This Row],[Fecha]]),MONTH(T_Stocks[[#This Row],[Fecha]]),DAY(T_Stocks[[#This Row],[Fecha]]))</f>
        <v>BTCEUR-45068</v>
      </c>
    </row>
    <row r="3065" spans="1:4" ht="14.65" thickBot="1" x14ac:dyDescent="0.5">
      <c r="A3065" s="17">
        <v>45069.998611111114</v>
      </c>
      <c r="B3065" s="19">
        <v>25275.218000000001</v>
      </c>
      <c r="C3065" t="s">
        <v>155</v>
      </c>
      <c r="D3065" t="str">
        <f>T_Stocks[[#This Row],[Ticker]] &amp; "-" &amp; DATE(YEAR(T_Stocks[[#This Row],[Fecha]]),MONTH(T_Stocks[[#This Row],[Fecha]]),DAY(T_Stocks[[#This Row],[Fecha]]))</f>
        <v>BTCEUR-45069</v>
      </c>
    </row>
    <row r="3066" spans="1:4" ht="14.65" thickBot="1" x14ac:dyDescent="0.5">
      <c r="A3066" s="17">
        <v>45070.998611111114</v>
      </c>
      <c r="B3066" s="19">
        <v>24472.361420000001</v>
      </c>
      <c r="C3066" t="s">
        <v>155</v>
      </c>
      <c r="D3066" t="str">
        <f>T_Stocks[[#This Row],[Ticker]] &amp; "-" &amp; DATE(YEAR(T_Stocks[[#This Row],[Fecha]]),MONTH(T_Stocks[[#This Row],[Fecha]]),DAY(T_Stocks[[#This Row],[Fecha]]))</f>
        <v>BTCEUR-45070</v>
      </c>
    </row>
    <row r="3067" spans="1:4" ht="14.65" thickBot="1" x14ac:dyDescent="0.5">
      <c r="A3067" s="17">
        <v>45071.998611111114</v>
      </c>
      <c r="B3067" s="19">
        <v>24688.851630000001</v>
      </c>
      <c r="C3067" t="s">
        <v>155</v>
      </c>
      <c r="D3067" t="str">
        <f>T_Stocks[[#This Row],[Ticker]] &amp; "-" &amp; DATE(YEAR(T_Stocks[[#This Row],[Fecha]]),MONTH(T_Stocks[[#This Row],[Fecha]]),DAY(T_Stocks[[#This Row],[Fecha]]))</f>
        <v>BTCEUR-45071</v>
      </c>
    </row>
    <row r="3068" spans="1:4" ht="14.65" thickBot="1" x14ac:dyDescent="0.5">
      <c r="A3068" s="17">
        <v>45072.998611111114</v>
      </c>
      <c r="B3068" s="19">
        <v>24888.97726</v>
      </c>
      <c r="C3068" t="s">
        <v>155</v>
      </c>
      <c r="D3068" t="str">
        <f>T_Stocks[[#This Row],[Ticker]] &amp; "-" &amp; DATE(YEAR(T_Stocks[[#This Row],[Fecha]]),MONTH(T_Stocks[[#This Row],[Fecha]]),DAY(T_Stocks[[#This Row],[Fecha]]))</f>
        <v>BTCEUR-45072</v>
      </c>
    </row>
    <row r="3069" spans="1:4" ht="14.65" thickBot="1" x14ac:dyDescent="0.5">
      <c r="A3069" s="17">
        <v>45073.998611111114</v>
      </c>
      <c r="B3069" s="19">
        <v>25030.567709999999</v>
      </c>
      <c r="C3069" t="s">
        <v>155</v>
      </c>
      <c r="D3069" t="str">
        <f>T_Stocks[[#This Row],[Ticker]] &amp; "-" &amp; DATE(YEAR(T_Stocks[[#This Row],[Fecha]]),MONTH(T_Stocks[[#This Row],[Fecha]]),DAY(T_Stocks[[#This Row],[Fecha]]))</f>
        <v>BTCEUR-45073</v>
      </c>
    </row>
    <row r="3070" spans="1:4" ht="14.65" thickBot="1" x14ac:dyDescent="0.5">
      <c r="A3070" s="17">
        <v>45074.998611111114</v>
      </c>
      <c r="B3070" s="19">
        <v>26185.707630000001</v>
      </c>
      <c r="C3070" t="s">
        <v>155</v>
      </c>
      <c r="D3070" t="str">
        <f>T_Stocks[[#This Row],[Ticker]] &amp; "-" &amp; DATE(YEAR(T_Stocks[[#This Row],[Fecha]]),MONTH(T_Stocks[[#This Row],[Fecha]]),DAY(T_Stocks[[#This Row],[Fecha]]))</f>
        <v>BTCEUR-45074</v>
      </c>
    </row>
    <row r="3071" spans="1:4" ht="14.65" thickBot="1" x14ac:dyDescent="0.5">
      <c r="A3071" s="17">
        <v>45075.998611111114</v>
      </c>
      <c r="B3071" s="19">
        <v>25909.46513</v>
      </c>
      <c r="C3071" t="s">
        <v>155</v>
      </c>
      <c r="D3071" t="str">
        <f>T_Stocks[[#This Row],[Ticker]] &amp; "-" &amp; DATE(YEAR(T_Stocks[[#This Row],[Fecha]]),MONTH(T_Stocks[[#This Row],[Fecha]]),DAY(T_Stocks[[#This Row],[Fecha]]))</f>
        <v>BTCEUR-45075</v>
      </c>
    </row>
    <row r="3072" spans="1:4" ht="14.65" thickBot="1" x14ac:dyDescent="0.5">
      <c r="A3072" s="17">
        <v>45076.998611111114</v>
      </c>
      <c r="B3072" s="19">
        <v>25807.083760000001</v>
      </c>
      <c r="C3072" t="s">
        <v>155</v>
      </c>
      <c r="D3072" t="str">
        <f>T_Stocks[[#This Row],[Ticker]] &amp; "-" &amp; DATE(YEAR(T_Stocks[[#This Row],[Fecha]]),MONTH(T_Stocks[[#This Row],[Fecha]]),DAY(T_Stocks[[#This Row],[Fecha]]))</f>
        <v>BTCEUR-45076</v>
      </c>
    </row>
    <row r="3073" spans="1:4" ht="14.65" thickBot="1" x14ac:dyDescent="0.5">
      <c r="A3073" s="17">
        <v>45077.998611111114</v>
      </c>
      <c r="B3073" s="19">
        <v>25449.02635</v>
      </c>
      <c r="C3073" t="s">
        <v>155</v>
      </c>
      <c r="D3073" t="str">
        <f>T_Stocks[[#This Row],[Ticker]] &amp; "-" &amp; DATE(YEAR(T_Stocks[[#This Row],[Fecha]]),MONTH(T_Stocks[[#This Row],[Fecha]]),DAY(T_Stocks[[#This Row],[Fecha]]))</f>
        <v>BTCEUR-45077</v>
      </c>
    </row>
    <row r="3074" spans="1:4" ht="14.65" thickBot="1" x14ac:dyDescent="0.5">
      <c r="A3074" s="17">
        <v>45078.998611111114</v>
      </c>
      <c r="B3074" s="19">
        <v>24923.630840000002</v>
      </c>
      <c r="C3074" t="s">
        <v>155</v>
      </c>
      <c r="D3074" t="str">
        <f>T_Stocks[[#This Row],[Ticker]] &amp; "-" &amp; DATE(YEAR(T_Stocks[[#This Row],[Fecha]]),MONTH(T_Stocks[[#This Row],[Fecha]]),DAY(T_Stocks[[#This Row],[Fecha]]))</f>
        <v>BTCEUR-45078</v>
      </c>
    </row>
    <row r="3075" spans="1:4" ht="14.65" thickBot="1" x14ac:dyDescent="0.5">
      <c r="A3075" s="17">
        <v>45079.998611111114</v>
      </c>
      <c r="B3075" s="19">
        <v>25402.319490000002</v>
      </c>
      <c r="C3075" t="s">
        <v>155</v>
      </c>
      <c r="D3075" t="str">
        <f>T_Stocks[[#This Row],[Ticker]] &amp; "-" &amp; DATE(YEAR(T_Stocks[[#This Row],[Fecha]]),MONTH(T_Stocks[[#This Row],[Fecha]]),DAY(T_Stocks[[#This Row],[Fecha]]))</f>
        <v>BTCEUR-45079</v>
      </c>
    </row>
    <row r="3076" spans="1:4" ht="14.65" thickBot="1" x14ac:dyDescent="0.5">
      <c r="A3076" s="17">
        <v>45080.998611111114</v>
      </c>
      <c r="B3076" s="19">
        <v>25236.602289999999</v>
      </c>
      <c r="C3076" t="s">
        <v>155</v>
      </c>
      <c r="D3076" t="str">
        <f>T_Stocks[[#This Row],[Ticker]] &amp; "-" &amp; DATE(YEAR(T_Stocks[[#This Row],[Fecha]]),MONTH(T_Stocks[[#This Row],[Fecha]]),DAY(T_Stocks[[#This Row],[Fecha]]))</f>
        <v>BTCEUR-45080</v>
      </c>
    </row>
    <row r="3077" spans="1:4" ht="14.65" thickBot="1" x14ac:dyDescent="0.5">
      <c r="A3077" s="17">
        <v>45081.998611111114</v>
      </c>
      <c r="B3077" s="19">
        <v>25355.485379999998</v>
      </c>
      <c r="C3077" t="s">
        <v>155</v>
      </c>
      <c r="D3077" t="str">
        <f>T_Stocks[[#This Row],[Ticker]] &amp; "-" &amp; DATE(YEAR(T_Stocks[[#This Row],[Fecha]]),MONTH(T_Stocks[[#This Row],[Fecha]]),DAY(T_Stocks[[#This Row],[Fecha]]))</f>
        <v>BTCEUR-45081</v>
      </c>
    </row>
    <row r="3078" spans="1:4" ht="14.65" thickBot="1" x14ac:dyDescent="0.5">
      <c r="A3078" s="17">
        <v>45082.998611111114</v>
      </c>
      <c r="B3078" s="19">
        <v>24025.91748</v>
      </c>
      <c r="C3078" t="s">
        <v>155</v>
      </c>
      <c r="D3078" t="str">
        <f>T_Stocks[[#This Row],[Ticker]] &amp; "-" &amp; DATE(YEAR(T_Stocks[[#This Row],[Fecha]]),MONTH(T_Stocks[[#This Row],[Fecha]]),DAY(T_Stocks[[#This Row],[Fecha]]))</f>
        <v>BTCEUR-45082</v>
      </c>
    </row>
    <row r="3079" spans="1:4" ht="14.65" thickBot="1" x14ac:dyDescent="0.5">
      <c r="A3079" s="17">
        <v>45083.998611111114</v>
      </c>
      <c r="B3079" s="19">
        <v>25455.635460000001</v>
      </c>
      <c r="C3079" t="s">
        <v>155</v>
      </c>
      <c r="D3079" t="str">
        <f>T_Stocks[[#This Row],[Ticker]] &amp; "-" &amp; DATE(YEAR(T_Stocks[[#This Row],[Fecha]]),MONTH(T_Stocks[[#This Row],[Fecha]]),DAY(T_Stocks[[#This Row],[Fecha]]))</f>
        <v>BTCEUR-45083</v>
      </c>
    </row>
    <row r="3080" spans="1:4" ht="14.65" thickBot="1" x14ac:dyDescent="0.5">
      <c r="A3080" s="17">
        <v>45084.998611111114</v>
      </c>
      <c r="B3080" s="19">
        <v>24608.672579999999</v>
      </c>
      <c r="C3080" t="s">
        <v>155</v>
      </c>
      <c r="D3080" t="str">
        <f>T_Stocks[[#This Row],[Ticker]] &amp; "-" &amp; DATE(YEAR(T_Stocks[[#This Row],[Fecha]]),MONTH(T_Stocks[[#This Row],[Fecha]]),DAY(T_Stocks[[#This Row],[Fecha]]))</f>
        <v>BTCEUR-45084</v>
      </c>
    </row>
    <row r="3081" spans="1:4" ht="14.65" thickBot="1" x14ac:dyDescent="0.5">
      <c r="A3081" s="17">
        <v>45085.998611111114</v>
      </c>
      <c r="B3081" s="19">
        <v>24582.699209999999</v>
      </c>
      <c r="C3081" t="s">
        <v>155</v>
      </c>
      <c r="D3081" t="str">
        <f>T_Stocks[[#This Row],[Ticker]] &amp; "-" &amp; DATE(YEAR(T_Stocks[[#This Row],[Fecha]]),MONTH(T_Stocks[[#This Row],[Fecha]]),DAY(T_Stocks[[#This Row],[Fecha]]))</f>
        <v>BTCEUR-45085</v>
      </c>
    </row>
    <row r="3082" spans="1:4" ht="14.65" thickBot="1" x14ac:dyDescent="0.5">
      <c r="A3082" s="17">
        <v>45086.998611111114</v>
      </c>
      <c r="B3082" s="19">
        <v>24598.153439999998</v>
      </c>
      <c r="C3082" t="s">
        <v>155</v>
      </c>
      <c r="D3082" t="str">
        <f>T_Stocks[[#This Row],[Ticker]] &amp; "-" &amp; DATE(YEAR(T_Stocks[[#This Row],[Fecha]]),MONTH(T_Stocks[[#This Row],[Fecha]]),DAY(T_Stocks[[#This Row],[Fecha]]))</f>
        <v>BTCEUR-45086</v>
      </c>
    </row>
    <row r="3083" spans="1:4" ht="14.65" thickBot="1" x14ac:dyDescent="0.5">
      <c r="A3083" s="17">
        <v>45087.998611111114</v>
      </c>
      <c r="B3083" s="19">
        <v>24013.07445</v>
      </c>
      <c r="C3083" t="s">
        <v>155</v>
      </c>
      <c r="D3083" t="str">
        <f>T_Stocks[[#This Row],[Ticker]] &amp; "-" &amp; DATE(YEAR(T_Stocks[[#This Row],[Fecha]]),MONTH(T_Stocks[[#This Row],[Fecha]]),DAY(T_Stocks[[#This Row],[Fecha]]))</f>
        <v>BTCEUR-45087</v>
      </c>
    </row>
    <row r="3084" spans="1:4" ht="14.65" thickBot="1" x14ac:dyDescent="0.5">
      <c r="A3084" s="17">
        <v>45088.998611111114</v>
      </c>
      <c r="B3084" s="19">
        <v>24122.379870000001</v>
      </c>
      <c r="C3084" t="s">
        <v>155</v>
      </c>
      <c r="D3084" t="str">
        <f>T_Stocks[[#This Row],[Ticker]] &amp; "-" &amp; DATE(YEAR(T_Stocks[[#This Row],[Fecha]]),MONTH(T_Stocks[[#This Row],[Fecha]]),DAY(T_Stocks[[#This Row],[Fecha]]))</f>
        <v>BTCEUR-45088</v>
      </c>
    </row>
    <row r="3085" spans="1:4" ht="14.65" thickBot="1" x14ac:dyDescent="0.5">
      <c r="A3085" s="17">
        <v>45089.998611111114</v>
      </c>
      <c r="B3085" s="19">
        <v>24069.477200000001</v>
      </c>
      <c r="C3085" t="s">
        <v>155</v>
      </c>
      <c r="D3085" t="str">
        <f>T_Stocks[[#This Row],[Ticker]] &amp; "-" &amp; DATE(YEAR(T_Stocks[[#This Row],[Fecha]]),MONTH(T_Stocks[[#This Row],[Fecha]]),DAY(T_Stocks[[#This Row],[Fecha]]))</f>
        <v>BTCEUR-45089</v>
      </c>
    </row>
    <row r="3086" spans="1:4" ht="14.65" thickBot="1" x14ac:dyDescent="0.5">
      <c r="A3086" s="17">
        <v>45090.998611111114</v>
      </c>
      <c r="B3086" s="19">
        <v>24029.012859999999</v>
      </c>
      <c r="C3086" t="s">
        <v>155</v>
      </c>
      <c r="D3086" t="str">
        <f>T_Stocks[[#This Row],[Ticker]] &amp; "-" &amp; DATE(YEAR(T_Stocks[[#This Row],[Fecha]]),MONTH(T_Stocks[[#This Row],[Fecha]]),DAY(T_Stocks[[#This Row],[Fecha]]))</f>
        <v>BTCEUR-45090</v>
      </c>
    </row>
    <row r="3087" spans="1:4" ht="14.65" thickBot="1" x14ac:dyDescent="0.5">
      <c r="A3087" s="17">
        <v>45091.998611111114</v>
      </c>
      <c r="B3087" s="19">
        <v>23172.730169999999</v>
      </c>
      <c r="C3087" t="s">
        <v>155</v>
      </c>
      <c r="D3087" t="str">
        <f>T_Stocks[[#This Row],[Ticker]] &amp; "-" &amp; DATE(YEAR(T_Stocks[[#This Row],[Fecha]]),MONTH(T_Stocks[[#This Row],[Fecha]]),DAY(T_Stocks[[#This Row],[Fecha]]))</f>
        <v>BTCEUR-45091</v>
      </c>
    </row>
    <row r="3088" spans="1:4" ht="14.65" thickBot="1" x14ac:dyDescent="0.5">
      <c r="A3088" s="17">
        <v>45092.998611111114</v>
      </c>
      <c r="B3088" s="19">
        <v>23368.873930000002</v>
      </c>
      <c r="C3088" t="s">
        <v>155</v>
      </c>
      <c r="D3088" t="str">
        <f>T_Stocks[[#This Row],[Ticker]] &amp; "-" &amp; DATE(YEAR(T_Stocks[[#This Row],[Fecha]]),MONTH(T_Stocks[[#This Row],[Fecha]]),DAY(T_Stocks[[#This Row],[Fecha]]))</f>
        <v>BTCEUR-45092</v>
      </c>
    </row>
    <row r="3089" spans="1:4" ht="14.65" thickBot="1" x14ac:dyDescent="0.5">
      <c r="A3089" s="17">
        <v>45093.998611111114</v>
      </c>
      <c r="B3089" s="19">
        <v>24025.997940000001</v>
      </c>
      <c r="C3089" t="s">
        <v>155</v>
      </c>
      <c r="D3089" t="str">
        <f>T_Stocks[[#This Row],[Ticker]] &amp; "-" &amp; DATE(YEAR(T_Stocks[[#This Row],[Fecha]]),MONTH(T_Stocks[[#This Row],[Fecha]]),DAY(T_Stocks[[#This Row],[Fecha]]))</f>
        <v>BTCEUR-45093</v>
      </c>
    </row>
    <row r="3090" spans="1:4" ht="14.65" thickBot="1" x14ac:dyDescent="0.5">
      <c r="A3090" s="17">
        <v>45094.998611111114</v>
      </c>
      <c r="B3090" s="19">
        <v>24192.09132</v>
      </c>
      <c r="C3090" t="s">
        <v>155</v>
      </c>
      <c r="D3090" t="str">
        <f>T_Stocks[[#This Row],[Ticker]] &amp; "-" &amp; DATE(YEAR(T_Stocks[[#This Row],[Fecha]]),MONTH(T_Stocks[[#This Row],[Fecha]]),DAY(T_Stocks[[#This Row],[Fecha]]))</f>
        <v>BTCEUR-45094</v>
      </c>
    </row>
    <row r="3091" spans="1:4" ht="14.65" thickBot="1" x14ac:dyDescent="0.5">
      <c r="A3091" s="17">
        <v>45095.998611111114</v>
      </c>
      <c r="B3091" s="19">
        <v>24076.083180000001</v>
      </c>
      <c r="C3091" t="s">
        <v>155</v>
      </c>
      <c r="D3091" t="str">
        <f>T_Stocks[[#This Row],[Ticker]] &amp; "-" &amp; DATE(YEAR(T_Stocks[[#This Row],[Fecha]]),MONTH(T_Stocks[[#This Row],[Fecha]]),DAY(T_Stocks[[#This Row],[Fecha]]))</f>
        <v>BTCEUR-45095</v>
      </c>
    </row>
    <row r="3092" spans="1:4" ht="14.65" thickBot="1" x14ac:dyDescent="0.5">
      <c r="A3092" s="17">
        <v>45096.998611111114</v>
      </c>
      <c r="B3092" s="19">
        <v>24567.429049999999</v>
      </c>
      <c r="C3092" t="s">
        <v>155</v>
      </c>
      <c r="D3092" t="str">
        <f>T_Stocks[[#This Row],[Ticker]] &amp; "-" &amp; DATE(YEAR(T_Stocks[[#This Row],[Fecha]]),MONTH(T_Stocks[[#This Row],[Fecha]]),DAY(T_Stocks[[#This Row],[Fecha]]))</f>
        <v>BTCEUR-45096</v>
      </c>
    </row>
    <row r="3093" spans="1:4" ht="14.65" thickBot="1" x14ac:dyDescent="0.5">
      <c r="A3093" s="17">
        <v>45097.998611111114</v>
      </c>
      <c r="B3093" s="19">
        <v>25925.672330000001</v>
      </c>
      <c r="C3093" t="s">
        <v>155</v>
      </c>
      <c r="D3093" t="str">
        <f>T_Stocks[[#This Row],[Ticker]] &amp; "-" &amp; DATE(YEAR(T_Stocks[[#This Row],[Fecha]]),MONTH(T_Stocks[[#This Row],[Fecha]]),DAY(T_Stocks[[#This Row],[Fecha]]))</f>
        <v>BTCEUR-45097</v>
      </c>
    </row>
    <row r="3094" spans="1:4" ht="14.65" thickBot="1" x14ac:dyDescent="0.5">
      <c r="A3094" s="17">
        <v>45098.998611111114</v>
      </c>
      <c r="B3094" s="19">
        <v>27292.40093</v>
      </c>
      <c r="C3094" t="s">
        <v>155</v>
      </c>
      <c r="D3094" t="str">
        <f>T_Stocks[[#This Row],[Ticker]] &amp; "-" &amp; DATE(YEAR(T_Stocks[[#This Row],[Fecha]]),MONTH(T_Stocks[[#This Row],[Fecha]]),DAY(T_Stocks[[#This Row],[Fecha]]))</f>
        <v>BTCEUR-45098</v>
      </c>
    </row>
    <row r="3095" spans="1:4" ht="14.65" thickBot="1" x14ac:dyDescent="0.5">
      <c r="A3095" s="17">
        <v>45099.998611111114</v>
      </c>
      <c r="B3095" s="19">
        <v>27284.571250000001</v>
      </c>
      <c r="C3095" t="s">
        <v>155</v>
      </c>
      <c r="D3095" t="str">
        <f>T_Stocks[[#This Row],[Ticker]] &amp; "-" &amp; DATE(YEAR(T_Stocks[[#This Row],[Fecha]]),MONTH(T_Stocks[[#This Row],[Fecha]]),DAY(T_Stocks[[#This Row],[Fecha]]))</f>
        <v>BTCEUR-45099</v>
      </c>
    </row>
    <row r="3096" spans="1:4" ht="14.65" thickBot="1" x14ac:dyDescent="0.5">
      <c r="A3096" s="17">
        <v>45100.998611111114</v>
      </c>
      <c r="B3096" s="19">
        <v>28080.213820000001</v>
      </c>
      <c r="C3096" t="s">
        <v>155</v>
      </c>
      <c r="D3096" t="str">
        <f>T_Stocks[[#This Row],[Ticker]] &amp; "-" &amp; DATE(YEAR(T_Stocks[[#This Row],[Fecha]]),MONTH(T_Stocks[[#This Row],[Fecha]]),DAY(T_Stocks[[#This Row],[Fecha]]))</f>
        <v>BTCEUR-45100</v>
      </c>
    </row>
    <row r="3097" spans="1:4" ht="14.65" thickBot="1" x14ac:dyDescent="0.5">
      <c r="A3097" s="17">
        <v>45101.998611111114</v>
      </c>
      <c r="B3097" s="19">
        <v>27941.18548</v>
      </c>
      <c r="C3097" t="s">
        <v>155</v>
      </c>
      <c r="D3097" t="str">
        <f>T_Stocks[[#This Row],[Ticker]] &amp; "-" &amp; DATE(YEAR(T_Stocks[[#This Row],[Fecha]]),MONTH(T_Stocks[[#This Row],[Fecha]]),DAY(T_Stocks[[#This Row],[Fecha]]))</f>
        <v>BTCEUR-45101</v>
      </c>
    </row>
    <row r="3098" spans="1:4" ht="14.65" thickBot="1" x14ac:dyDescent="0.5">
      <c r="A3098" s="17">
        <v>45102.998611111114</v>
      </c>
      <c r="B3098" s="19">
        <v>27944.8498</v>
      </c>
      <c r="C3098" t="s">
        <v>155</v>
      </c>
      <c r="D3098" t="str">
        <f>T_Stocks[[#This Row],[Ticker]] &amp; "-" &amp; DATE(YEAR(T_Stocks[[#This Row],[Fecha]]),MONTH(T_Stocks[[#This Row],[Fecha]]),DAY(T_Stocks[[#This Row],[Fecha]]))</f>
        <v>BTCEUR-45102</v>
      </c>
    </row>
    <row r="3099" spans="1:4" ht="14.65" thickBot="1" x14ac:dyDescent="0.5">
      <c r="A3099" s="17">
        <v>45103.998611111114</v>
      </c>
      <c r="B3099" s="19">
        <v>27747.653030000001</v>
      </c>
      <c r="C3099" t="s">
        <v>155</v>
      </c>
      <c r="D3099" t="str">
        <f>T_Stocks[[#This Row],[Ticker]] &amp; "-" &amp; DATE(YEAR(T_Stocks[[#This Row],[Fecha]]),MONTH(T_Stocks[[#This Row],[Fecha]]),DAY(T_Stocks[[#This Row],[Fecha]]))</f>
        <v>BTCEUR-45103</v>
      </c>
    </row>
    <row r="3100" spans="1:4" ht="14.65" thickBot="1" x14ac:dyDescent="0.5">
      <c r="A3100" s="17">
        <v>45104.998611111114</v>
      </c>
      <c r="B3100" s="19">
        <v>28019.544720000002</v>
      </c>
      <c r="C3100" t="s">
        <v>155</v>
      </c>
      <c r="D3100" t="str">
        <f>T_Stocks[[#This Row],[Ticker]] &amp; "-" &amp; DATE(YEAR(T_Stocks[[#This Row],[Fecha]]),MONTH(T_Stocks[[#This Row],[Fecha]]),DAY(T_Stocks[[#This Row],[Fecha]]))</f>
        <v>BTCEUR-45104</v>
      </c>
    </row>
    <row r="3101" spans="1:4" ht="14.65" thickBot="1" x14ac:dyDescent="0.5">
      <c r="A3101" s="17">
        <v>45105.998611111114</v>
      </c>
      <c r="B3101" s="19">
        <v>27556.517019999999</v>
      </c>
      <c r="C3101" t="s">
        <v>155</v>
      </c>
      <c r="D3101" t="str">
        <f>T_Stocks[[#This Row],[Ticker]] &amp; "-" &amp; DATE(YEAR(T_Stocks[[#This Row],[Fecha]]),MONTH(T_Stocks[[#This Row],[Fecha]]),DAY(T_Stocks[[#This Row],[Fecha]]))</f>
        <v>BTCEUR-45105</v>
      </c>
    </row>
    <row r="3102" spans="1:4" ht="14.65" thickBot="1" x14ac:dyDescent="0.5">
      <c r="A3102" s="17">
        <v>45106.998611111114</v>
      </c>
      <c r="B3102" s="19">
        <v>28018.344949999999</v>
      </c>
      <c r="C3102" t="s">
        <v>155</v>
      </c>
      <c r="D3102" t="str">
        <f>T_Stocks[[#This Row],[Ticker]] &amp; "-" &amp; DATE(YEAR(T_Stocks[[#This Row],[Fecha]]),MONTH(T_Stocks[[#This Row],[Fecha]]),DAY(T_Stocks[[#This Row],[Fecha]]))</f>
        <v>BTCEUR-45106</v>
      </c>
    </row>
    <row r="3103" spans="1:4" ht="14.65" thickBot="1" x14ac:dyDescent="0.5">
      <c r="A3103" s="17">
        <v>45107.998611111114</v>
      </c>
      <c r="B3103" s="19">
        <v>27910.055830000001</v>
      </c>
      <c r="C3103" t="s">
        <v>155</v>
      </c>
      <c r="D3103" t="str">
        <f>T_Stocks[[#This Row],[Ticker]] &amp; "-" &amp; DATE(YEAR(T_Stocks[[#This Row],[Fecha]]),MONTH(T_Stocks[[#This Row],[Fecha]]),DAY(T_Stocks[[#This Row],[Fecha]]))</f>
        <v>BTCEUR-45107</v>
      </c>
    </row>
    <row r="3104" spans="1:4" ht="14.65" thickBot="1" x14ac:dyDescent="0.5">
      <c r="A3104" s="17">
        <v>45108.998611111114</v>
      </c>
      <c r="B3104" s="19">
        <v>28026.704860000002</v>
      </c>
      <c r="C3104" t="s">
        <v>155</v>
      </c>
      <c r="D3104" t="str">
        <f>T_Stocks[[#This Row],[Ticker]] &amp; "-" &amp; DATE(YEAR(T_Stocks[[#This Row],[Fecha]]),MONTH(T_Stocks[[#This Row],[Fecha]]),DAY(T_Stocks[[#This Row],[Fecha]]))</f>
        <v>BTCEUR-45108</v>
      </c>
    </row>
    <row r="3105" spans="1:4" ht="14.65" thickBot="1" x14ac:dyDescent="0.5">
      <c r="A3105" s="17">
        <v>45109.998611111114</v>
      </c>
      <c r="B3105" s="19">
        <v>28072.10428</v>
      </c>
      <c r="C3105" t="s">
        <v>155</v>
      </c>
      <c r="D3105" t="str">
        <f>T_Stocks[[#This Row],[Ticker]] &amp; "-" &amp; DATE(YEAR(T_Stocks[[#This Row],[Fecha]]),MONTH(T_Stocks[[#This Row],[Fecha]]),DAY(T_Stocks[[#This Row],[Fecha]]))</f>
        <v>BTCEUR-45109</v>
      </c>
    </row>
    <row r="3106" spans="1:4" ht="14.65" thickBot="1" x14ac:dyDescent="0.5">
      <c r="A3106" s="17">
        <v>45110.998611111114</v>
      </c>
      <c r="B3106" s="19">
        <v>28548.499390000001</v>
      </c>
      <c r="C3106" t="s">
        <v>155</v>
      </c>
      <c r="D3106" t="str">
        <f>T_Stocks[[#This Row],[Ticker]] &amp; "-" &amp; DATE(YEAR(T_Stocks[[#This Row],[Fecha]]),MONTH(T_Stocks[[#This Row],[Fecha]]),DAY(T_Stocks[[#This Row],[Fecha]]))</f>
        <v>BTCEUR-45110</v>
      </c>
    </row>
    <row r="3107" spans="1:4" ht="14.65" thickBot="1" x14ac:dyDescent="0.5">
      <c r="A3107" s="17">
        <v>45111.998611111114</v>
      </c>
      <c r="B3107" s="19">
        <v>28281.04031</v>
      </c>
      <c r="C3107" t="s">
        <v>155</v>
      </c>
      <c r="D3107" t="str">
        <f>T_Stocks[[#This Row],[Ticker]] &amp; "-" &amp; DATE(YEAR(T_Stocks[[#This Row],[Fecha]]),MONTH(T_Stocks[[#This Row],[Fecha]]),DAY(T_Stocks[[#This Row],[Fecha]]))</f>
        <v>BTCEUR-45111</v>
      </c>
    </row>
    <row r="3108" spans="1:4" ht="14.65" thickBot="1" x14ac:dyDescent="0.5">
      <c r="A3108" s="17">
        <v>45112.998611111114</v>
      </c>
      <c r="B3108" s="19">
        <v>28104.842680000002</v>
      </c>
      <c r="C3108" t="s">
        <v>155</v>
      </c>
      <c r="D3108" t="str">
        <f>T_Stocks[[#This Row],[Ticker]] &amp; "-" &amp; DATE(YEAR(T_Stocks[[#This Row],[Fecha]]),MONTH(T_Stocks[[#This Row],[Fecha]]),DAY(T_Stocks[[#This Row],[Fecha]]))</f>
        <v>BTCEUR-45112</v>
      </c>
    </row>
    <row r="3109" spans="1:4" ht="14.65" thickBot="1" x14ac:dyDescent="0.5">
      <c r="A3109" s="17">
        <v>45113.998611111114</v>
      </c>
      <c r="B3109" s="19">
        <v>27470.79175</v>
      </c>
      <c r="C3109" t="s">
        <v>155</v>
      </c>
      <c r="D3109" t="str">
        <f>T_Stocks[[#This Row],[Ticker]] &amp; "-" &amp; DATE(YEAR(T_Stocks[[#This Row],[Fecha]]),MONTH(T_Stocks[[#This Row],[Fecha]]),DAY(T_Stocks[[#This Row],[Fecha]]))</f>
        <v>BTCEUR-45113</v>
      </c>
    </row>
    <row r="3110" spans="1:4" ht="14.65" thickBot="1" x14ac:dyDescent="0.5">
      <c r="A3110" s="17">
        <v>45114.998611111114</v>
      </c>
      <c r="B3110" s="19">
        <v>27661.041550000002</v>
      </c>
      <c r="C3110" t="s">
        <v>155</v>
      </c>
      <c r="D3110" t="str">
        <f>T_Stocks[[#This Row],[Ticker]] &amp; "-" &amp; DATE(YEAR(T_Stocks[[#This Row],[Fecha]]),MONTH(T_Stocks[[#This Row],[Fecha]]),DAY(T_Stocks[[#This Row],[Fecha]]))</f>
        <v>BTCEUR-45114</v>
      </c>
    </row>
    <row r="3111" spans="1:4" ht="14.65" thickBot="1" x14ac:dyDescent="0.5">
      <c r="A3111" s="17">
        <v>45115.998611111114</v>
      </c>
      <c r="B3111" s="19">
        <v>27613.263470000002</v>
      </c>
      <c r="C3111" t="s">
        <v>155</v>
      </c>
      <c r="D3111" t="str">
        <f>T_Stocks[[#This Row],[Ticker]] &amp; "-" &amp; DATE(YEAR(T_Stocks[[#This Row],[Fecha]]),MONTH(T_Stocks[[#This Row],[Fecha]]),DAY(T_Stocks[[#This Row],[Fecha]]))</f>
        <v>BTCEUR-45115</v>
      </c>
    </row>
    <row r="3112" spans="1:4" ht="14.65" thickBot="1" x14ac:dyDescent="0.5">
      <c r="A3112" s="17">
        <v>45116.998611111114</v>
      </c>
      <c r="B3112" s="19">
        <v>27514.148209999999</v>
      </c>
      <c r="C3112" t="s">
        <v>155</v>
      </c>
      <c r="D3112" t="str">
        <f>T_Stocks[[#This Row],[Ticker]] &amp; "-" &amp; DATE(YEAR(T_Stocks[[#This Row],[Fecha]]),MONTH(T_Stocks[[#This Row],[Fecha]]),DAY(T_Stocks[[#This Row],[Fecha]]))</f>
        <v>BTCEUR-45116</v>
      </c>
    </row>
    <row r="3113" spans="1:4" ht="14.65" thickBot="1" x14ac:dyDescent="0.5">
      <c r="A3113" s="17">
        <v>45117.998611111114</v>
      </c>
      <c r="B3113" s="19">
        <v>27641.62</v>
      </c>
      <c r="C3113" t="s">
        <v>155</v>
      </c>
      <c r="D3113" t="str">
        <f>T_Stocks[[#This Row],[Ticker]] &amp; "-" &amp; DATE(YEAR(T_Stocks[[#This Row],[Fecha]]),MONTH(T_Stocks[[#This Row],[Fecha]]),DAY(T_Stocks[[#This Row],[Fecha]]))</f>
        <v>BTCEUR-45117</v>
      </c>
    </row>
    <row r="3114" spans="1:4" ht="14.65" thickBot="1" x14ac:dyDescent="0.5">
      <c r="A3114" s="17">
        <v>45118.998611111114</v>
      </c>
      <c r="B3114" s="19">
        <v>27816.11522</v>
      </c>
      <c r="C3114" t="s">
        <v>155</v>
      </c>
      <c r="D3114" t="str">
        <f>T_Stocks[[#This Row],[Ticker]] &amp; "-" &amp; DATE(YEAR(T_Stocks[[#This Row],[Fecha]]),MONTH(T_Stocks[[#This Row],[Fecha]]),DAY(T_Stocks[[#This Row],[Fecha]]))</f>
        <v>BTCEUR-45118</v>
      </c>
    </row>
    <row r="3115" spans="1:4" ht="14.65" thickBot="1" x14ac:dyDescent="0.5">
      <c r="A3115" s="17">
        <v>45119.998611111114</v>
      </c>
      <c r="B3115" s="19">
        <v>27275.739560000002</v>
      </c>
      <c r="C3115" t="s">
        <v>155</v>
      </c>
      <c r="D3115" t="str">
        <f>T_Stocks[[#This Row],[Ticker]] &amp; "-" &amp; DATE(YEAR(T_Stocks[[#This Row],[Fecha]]),MONTH(T_Stocks[[#This Row],[Fecha]]),DAY(T_Stocks[[#This Row],[Fecha]]))</f>
        <v>BTCEUR-45119</v>
      </c>
    </row>
    <row r="3116" spans="1:4" ht="14.65" thickBot="1" x14ac:dyDescent="0.5">
      <c r="A3116" s="17">
        <v>45120.998611111114</v>
      </c>
      <c r="B3116" s="19">
        <v>28039.927520000001</v>
      </c>
      <c r="C3116" t="s">
        <v>155</v>
      </c>
      <c r="D3116" t="str">
        <f>T_Stocks[[#This Row],[Ticker]] &amp; "-" &amp; DATE(YEAR(T_Stocks[[#This Row],[Fecha]]),MONTH(T_Stocks[[#This Row],[Fecha]]),DAY(T_Stocks[[#This Row],[Fecha]]))</f>
        <v>BTCEUR-45120</v>
      </c>
    </row>
    <row r="3117" spans="1:4" ht="14.65" thickBot="1" x14ac:dyDescent="0.5">
      <c r="A3117" s="17">
        <v>45121.998611111114</v>
      </c>
      <c r="B3117" s="19">
        <v>26976.971699999998</v>
      </c>
      <c r="C3117" t="s">
        <v>155</v>
      </c>
      <c r="D3117" t="str">
        <f>T_Stocks[[#This Row],[Ticker]] &amp; "-" &amp; DATE(YEAR(T_Stocks[[#This Row],[Fecha]]),MONTH(T_Stocks[[#This Row],[Fecha]]),DAY(T_Stocks[[#This Row],[Fecha]]))</f>
        <v>BTCEUR-45121</v>
      </c>
    </row>
    <row r="3118" spans="1:4" ht="14.65" thickBot="1" x14ac:dyDescent="0.5">
      <c r="A3118" s="17">
        <v>45122.998611111114</v>
      </c>
      <c r="B3118" s="19">
        <v>26964.14343</v>
      </c>
      <c r="C3118" t="s">
        <v>155</v>
      </c>
      <c r="D3118" t="str">
        <f>T_Stocks[[#This Row],[Ticker]] &amp; "-" &amp; DATE(YEAR(T_Stocks[[#This Row],[Fecha]]),MONTH(T_Stocks[[#This Row],[Fecha]]),DAY(T_Stocks[[#This Row],[Fecha]]))</f>
        <v>BTCEUR-45122</v>
      </c>
    </row>
    <row r="3119" spans="1:4" ht="14.65" thickBot="1" x14ac:dyDescent="0.5">
      <c r="A3119" s="17">
        <v>45123.998611111114</v>
      </c>
      <c r="B3119" s="19">
        <v>26953.16202</v>
      </c>
      <c r="C3119" t="s">
        <v>155</v>
      </c>
      <c r="D3119" t="str">
        <f>T_Stocks[[#This Row],[Ticker]] &amp; "-" &amp; DATE(YEAR(T_Stocks[[#This Row],[Fecha]]),MONTH(T_Stocks[[#This Row],[Fecha]]),DAY(T_Stocks[[#This Row],[Fecha]]))</f>
        <v>BTCEUR-45123</v>
      </c>
    </row>
    <row r="3120" spans="1:4" ht="14.65" thickBot="1" x14ac:dyDescent="0.5">
      <c r="A3120" s="17">
        <v>45124.998611111114</v>
      </c>
      <c r="B3120" s="19">
        <v>26836.334610000002</v>
      </c>
      <c r="C3120" t="s">
        <v>155</v>
      </c>
      <c r="D3120" t="str">
        <f>T_Stocks[[#This Row],[Ticker]] &amp; "-" &amp; DATE(YEAR(T_Stocks[[#This Row],[Fecha]]),MONTH(T_Stocks[[#This Row],[Fecha]]),DAY(T_Stocks[[#This Row],[Fecha]]))</f>
        <v>BTCEUR-45124</v>
      </c>
    </row>
    <row r="3121" spans="1:4" ht="14.65" thickBot="1" x14ac:dyDescent="0.5">
      <c r="A3121" s="17">
        <v>45125.998611111114</v>
      </c>
      <c r="B3121" s="19">
        <v>26609.00661</v>
      </c>
      <c r="C3121" t="s">
        <v>155</v>
      </c>
      <c r="D3121" t="str">
        <f>T_Stocks[[#This Row],[Ticker]] &amp; "-" &amp; DATE(YEAR(T_Stocks[[#This Row],[Fecha]]),MONTH(T_Stocks[[#This Row],[Fecha]]),DAY(T_Stocks[[#This Row],[Fecha]]))</f>
        <v>BTCEUR-45125</v>
      </c>
    </row>
    <row r="3122" spans="1:4" ht="14.65" thickBot="1" x14ac:dyDescent="0.5">
      <c r="A3122" s="17">
        <v>45126.998611111114</v>
      </c>
      <c r="B3122" s="19">
        <v>26707.364699999998</v>
      </c>
      <c r="C3122" t="s">
        <v>155</v>
      </c>
      <c r="D3122" t="str">
        <f>T_Stocks[[#This Row],[Ticker]] &amp; "-" &amp; DATE(YEAR(T_Stocks[[#This Row],[Fecha]]),MONTH(T_Stocks[[#This Row],[Fecha]]),DAY(T_Stocks[[#This Row],[Fecha]]))</f>
        <v>BTCEUR-45126</v>
      </c>
    </row>
    <row r="3123" spans="1:4" ht="14.65" thickBot="1" x14ac:dyDescent="0.5">
      <c r="A3123" s="17">
        <v>45127.998611111114</v>
      </c>
      <c r="B3123" s="19">
        <v>26768.419269999999</v>
      </c>
      <c r="C3123" t="s">
        <v>155</v>
      </c>
      <c r="D3123" t="str">
        <f>T_Stocks[[#This Row],[Ticker]] &amp; "-" &amp; DATE(YEAR(T_Stocks[[#This Row],[Fecha]]),MONTH(T_Stocks[[#This Row],[Fecha]]),DAY(T_Stocks[[#This Row],[Fecha]]))</f>
        <v>BTCEUR-45127</v>
      </c>
    </row>
    <row r="3124" spans="1:4" ht="14.65" thickBot="1" x14ac:dyDescent="0.5">
      <c r="A3124" s="17">
        <v>45128.998611111114</v>
      </c>
      <c r="B3124" s="19">
        <v>26877.6273</v>
      </c>
      <c r="C3124" t="s">
        <v>155</v>
      </c>
      <c r="D3124" t="str">
        <f>T_Stocks[[#This Row],[Ticker]] &amp; "-" &amp; DATE(YEAR(T_Stocks[[#This Row],[Fecha]]),MONTH(T_Stocks[[#This Row],[Fecha]]),DAY(T_Stocks[[#This Row],[Fecha]]))</f>
        <v>BTCEUR-45128</v>
      </c>
    </row>
    <row r="3125" spans="1:4" ht="14.65" thickBot="1" x14ac:dyDescent="0.5">
      <c r="A3125" s="17">
        <v>45129.998611111114</v>
      </c>
      <c r="B3125" s="19">
        <v>26768.54407</v>
      </c>
      <c r="C3125" t="s">
        <v>155</v>
      </c>
      <c r="D3125" t="str">
        <f>T_Stocks[[#This Row],[Ticker]] &amp; "-" &amp; DATE(YEAR(T_Stocks[[#This Row],[Fecha]]),MONTH(T_Stocks[[#This Row],[Fecha]]),DAY(T_Stocks[[#This Row],[Fecha]]))</f>
        <v>BTCEUR-45129</v>
      </c>
    </row>
    <row r="3126" spans="1:4" ht="14.65" thickBot="1" x14ac:dyDescent="0.5">
      <c r="A3126" s="17">
        <v>45130.998611111114</v>
      </c>
      <c r="B3126" s="19">
        <v>27055.393980000001</v>
      </c>
      <c r="C3126" t="s">
        <v>155</v>
      </c>
      <c r="D3126" t="str">
        <f>T_Stocks[[#This Row],[Ticker]] &amp; "-" &amp; DATE(YEAR(T_Stocks[[#This Row],[Fecha]]),MONTH(T_Stocks[[#This Row],[Fecha]]),DAY(T_Stocks[[#This Row],[Fecha]]))</f>
        <v>BTCEUR-45130</v>
      </c>
    </row>
    <row r="3127" spans="1:4" ht="14.65" thickBot="1" x14ac:dyDescent="0.5">
      <c r="A3127" s="17">
        <v>45131.998611111114</v>
      </c>
      <c r="B3127" s="19">
        <v>26384.262500000001</v>
      </c>
      <c r="C3127" t="s">
        <v>155</v>
      </c>
      <c r="D3127" t="str">
        <f>T_Stocks[[#This Row],[Ticker]] &amp; "-" &amp; DATE(YEAR(T_Stocks[[#This Row],[Fecha]]),MONTH(T_Stocks[[#This Row],[Fecha]]),DAY(T_Stocks[[#This Row],[Fecha]]))</f>
        <v>BTCEUR-45131</v>
      </c>
    </row>
    <row r="3128" spans="1:4" ht="14.65" thickBot="1" x14ac:dyDescent="0.5">
      <c r="A3128" s="17">
        <v>45132.998611111114</v>
      </c>
      <c r="B3128" s="19">
        <v>26459.567800000001</v>
      </c>
      <c r="C3128" t="s">
        <v>155</v>
      </c>
      <c r="D3128" t="str">
        <f>T_Stocks[[#This Row],[Ticker]] &amp; "-" &amp; DATE(YEAR(T_Stocks[[#This Row],[Fecha]]),MONTH(T_Stocks[[#This Row],[Fecha]]),DAY(T_Stocks[[#This Row],[Fecha]]))</f>
        <v>BTCEUR-45132</v>
      </c>
    </row>
    <row r="3129" spans="1:4" ht="14.65" thickBot="1" x14ac:dyDescent="0.5">
      <c r="A3129" s="17">
        <v>45133.998611111114</v>
      </c>
      <c r="B3129" s="19">
        <v>26508.100279999999</v>
      </c>
      <c r="C3129" t="s">
        <v>155</v>
      </c>
      <c r="D3129" t="str">
        <f>T_Stocks[[#This Row],[Ticker]] &amp; "-" &amp; DATE(YEAR(T_Stocks[[#This Row],[Fecha]]),MONTH(T_Stocks[[#This Row],[Fecha]]),DAY(T_Stocks[[#This Row],[Fecha]]))</f>
        <v>BTCEUR-45133</v>
      </c>
    </row>
    <row r="3130" spans="1:4" ht="14.65" thickBot="1" x14ac:dyDescent="0.5">
      <c r="A3130" s="17">
        <v>45134.998611111114</v>
      </c>
      <c r="B3130" s="19">
        <v>26621.28543</v>
      </c>
      <c r="C3130" t="s">
        <v>155</v>
      </c>
      <c r="D3130" t="str">
        <f>T_Stocks[[#This Row],[Ticker]] &amp; "-" &amp; DATE(YEAR(T_Stocks[[#This Row],[Fecha]]),MONTH(T_Stocks[[#This Row],[Fecha]]),DAY(T_Stocks[[#This Row],[Fecha]]))</f>
        <v>BTCEUR-45134</v>
      </c>
    </row>
    <row r="3131" spans="1:4" ht="14.65" thickBot="1" x14ac:dyDescent="0.5">
      <c r="A3131" s="17">
        <v>45135.998611111114</v>
      </c>
      <c r="B3131" s="19">
        <v>26579.445810000001</v>
      </c>
      <c r="C3131" t="s">
        <v>155</v>
      </c>
      <c r="D3131" t="str">
        <f>T_Stocks[[#This Row],[Ticker]] &amp; "-" &amp; DATE(YEAR(T_Stocks[[#This Row],[Fecha]]),MONTH(T_Stocks[[#This Row],[Fecha]]),DAY(T_Stocks[[#This Row],[Fecha]]))</f>
        <v>BTCEUR-45135</v>
      </c>
    </row>
    <row r="3132" spans="1:4" ht="14.65" thickBot="1" x14ac:dyDescent="0.5">
      <c r="A3132" s="17">
        <v>45136.998611111114</v>
      </c>
      <c r="B3132" s="19">
        <v>26640.074909999999</v>
      </c>
      <c r="C3132" t="s">
        <v>155</v>
      </c>
      <c r="D3132" t="str">
        <f>T_Stocks[[#This Row],[Ticker]] &amp; "-" &amp; DATE(YEAR(T_Stocks[[#This Row],[Fecha]]),MONTH(T_Stocks[[#This Row],[Fecha]]),DAY(T_Stocks[[#This Row],[Fecha]]))</f>
        <v>BTCEUR-45136</v>
      </c>
    </row>
    <row r="3133" spans="1:4" ht="14.65" thickBot="1" x14ac:dyDescent="0.5">
      <c r="A3133" s="17">
        <v>45137.998611111114</v>
      </c>
      <c r="B3133" s="19">
        <v>26573.201550000002</v>
      </c>
      <c r="C3133" t="s">
        <v>155</v>
      </c>
      <c r="D3133" t="str">
        <f>T_Stocks[[#This Row],[Ticker]] &amp; "-" &amp; DATE(YEAR(T_Stocks[[#This Row],[Fecha]]),MONTH(T_Stocks[[#This Row],[Fecha]]),DAY(T_Stocks[[#This Row],[Fecha]]))</f>
        <v>BTCEUR-45137</v>
      </c>
    </row>
    <row r="3134" spans="1:4" ht="14.65" thickBot="1" x14ac:dyDescent="0.5">
      <c r="A3134" s="17">
        <v>45138.998611111114</v>
      </c>
      <c r="B3134" s="19">
        <v>26591.35859</v>
      </c>
      <c r="C3134" t="s">
        <v>155</v>
      </c>
      <c r="D3134" t="str">
        <f>T_Stocks[[#This Row],[Ticker]] &amp; "-" &amp; DATE(YEAR(T_Stocks[[#This Row],[Fecha]]),MONTH(T_Stocks[[#This Row],[Fecha]]),DAY(T_Stocks[[#This Row],[Fecha]]))</f>
        <v>BTCEUR-45138</v>
      </c>
    </row>
    <row r="3135" spans="1:4" ht="14.65" thickBot="1" x14ac:dyDescent="0.5">
      <c r="A3135" s="17">
        <v>45139.998611111114</v>
      </c>
      <c r="B3135" s="19">
        <v>26984.674220000001</v>
      </c>
      <c r="C3135" t="s">
        <v>155</v>
      </c>
      <c r="D3135" t="str">
        <f>T_Stocks[[#This Row],[Ticker]] &amp; "-" &amp; DATE(YEAR(T_Stocks[[#This Row],[Fecha]]),MONTH(T_Stocks[[#This Row],[Fecha]]),DAY(T_Stocks[[#This Row],[Fecha]]))</f>
        <v>BTCEUR-45139</v>
      </c>
    </row>
    <row r="3136" spans="1:4" ht="14.65" thickBot="1" x14ac:dyDescent="0.5">
      <c r="A3136" s="17">
        <v>45140.998611111114</v>
      </c>
      <c r="B3136" s="19">
        <v>26651.78628</v>
      </c>
      <c r="C3136" t="s">
        <v>155</v>
      </c>
      <c r="D3136" t="str">
        <f>T_Stocks[[#This Row],[Ticker]] &amp; "-" &amp; DATE(YEAR(T_Stocks[[#This Row],[Fecha]]),MONTH(T_Stocks[[#This Row],[Fecha]]),DAY(T_Stocks[[#This Row],[Fecha]]))</f>
        <v>BTCEUR-45140</v>
      </c>
    </row>
    <row r="3137" spans="1:4" ht="14.65" thickBot="1" x14ac:dyDescent="0.5">
      <c r="A3137" s="17">
        <v>45141.998611111114</v>
      </c>
      <c r="B3137" s="19">
        <v>26651.7451</v>
      </c>
      <c r="C3137" t="s">
        <v>155</v>
      </c>
      <c r="D3137" t="str">
        <f>T_Stocks[[#This Row],[Ticker]] &amp; "-" &amp; DATE(YEAR(T_Stocks[[#This Row],[Fecha]]),MONTH(T_Stocks[[#This Row],[Fecha]]),DAY(T_Stocks[[#This Row],[Fecha]]))</f>
        <v>BTCEUR-45141</v>
      </c>
    </row>
    <row r="3138" spans="1:4" ht="14.65" thickBot="1" x14ac:dyDescent="0.5">
      <c r="A3138" s="17">
        <v>45142.998611111114</v>
      </c>
      <c r="B3138" s="19">
        <v>26397.718710000001</v>
      </c>
      <c r="C3138" t="s">
        <v>155</v>
      </c>
      <c r="D3138" t="str">
        <f>T_Stocks[[#This Row],[Ticker]] &amp; "-" &amp; DATE(YEAR(T_Stocks[[#This Row],[Fecha]]),MONTH(T_Stocks[[#This Row],[Fecha]]),DAY(T_Stocks[[#This Row],[Fecha]]))</f>
        <v>BTCEUR-45142</v>
      </c>
    </row>
    <row r="3139" spans="1:4" ht="14.65" thickBot="1" x14ac:dyDescent="0.5">
      <c r="A3139" s="17">
        <v>45143.998611111114</v>
      </c>
      <c r="B3139" s="19">
        <v>26369.976640000001</v>
      </c>
      <c r="C3139" t="s">
        <v>155</v>
      </c>
      <c r="D3139" t="str">
        <f>T_Stocks[[#This Row],[Ticker]] &amp; "-" &amp; DATE(YEAR(T_Stocks[[#This Row],[Fecha]]),MONTH(T_Stocks[[#This Row],[Fecha]]),DAY(T_Stocks[[#This Row],[Fecha]]))</f>
        <v>BTCEUR-45143</v>
      </c>
    </row>
    <row r="3140" spans="1:4" ht="14.65" thickBot="1" x14ac:dyDescent="0.5">
      <c r="A3140" s="17">
        <v>45144.998611111114</v>
      </c>
      <c r="B3140" s="19">
        <v>26422.595929999999</v>
      </c>
      <c r="C3140" t="s">
        <v>155</v>
      </c>
      <c r="D3140" t="str">
        <f>T_Stocks[[#This Row],[Ticker]] &amp; "-" &amp; DATE(YEAR(T_Stocks[[#This Row],[Fecha]]),MONTH(T_Stocks[[#This Row],[Fecha]]),DAY(T_Stocks[[#This Row],[Fecha]]))</f>
        <v>BTCEUR-45144</v>
      </c>
    </row>
    <row r="3141" spans="1:4" ht="14.65" thickBot="1" x14ac:dyDescent="0.5">
      <c r="A3141" s="17">
        <v>45145.998611111114</v>
      </c>
      <c r="B3141" s="19">
        <v>26528.58411</v>
      </c>
      <c r="C3141" t="s">
        <v>155</v>
      </c>
      <c r="D3141" t="str">
        <f>T_Stocks[[#This Row],[Ticker]] &amp; "-" &amp; DATE(YEAR(T_Stocks[[#This Row],[Fecha]]),MONTH(T_Stocks[[#This Row],[Fecha]]),DAY(T_Stocks[[#This Row],[Fecha]]))</f>
        <v>BTCEUR-45145</v>
      </c>
    </row>
    <row r="3142" spans="1:4" ht="14.65" thickBot="1" x14ac:dyDescent="0.5">
      <c r="A3142" s="17">
        <v>45146.998611111114</v>
      </c>
      <c r="B3142" s="19">
        <v>27166.074000000001</v>
      </c>
      <c r="C3142" t="s">
        <v>155</v>
      </c>
      <c r="D3142" t="str">
        <f>T_Stocks[[#This Row],[Ticker]] &amp; "-" &amp; DATE(YEAR(T_Stocks[[#This Row],[Fecha]]),MONTH(T_Stocks[[#This Row],[Fecha]]),DAY(T_Stocks[[#This Row],[Fecha]]))</f>
        <v>BTCEUR-45146</v>
      </c>
    </row>
    <row r="3143" spans="1:4" ht="14.65" thickBot="1" x14ac:dyDescent="0.5">
      <c r="A3143" s="17">
        <v>45147.998611111114</v>
      </c>
      <c r="B3143" s="19">
        <v>26935.876359999998</v>
      </c>
      <c r="C3143" t="s">
        <v>155</v>
      </c>
      <c r="D3143" t="str">
        <f>T_Stocks[[#This Row],[Ticker]] &amp; "-" &amp; DATE(YEAR(T_Stocks[[#This Row],[Fecha]]),MONTH(T_Stocks[[#This Row],[Fecha]]),DAY(T_Stocks[[#This Row],[Fecha]]))</f>
        <v>BTCEUR-45147</v>
      </c>
    </row>
    <row r="3144" spans="1:4" ht="14.65" thickBot="1" x14ac:dyDescent="0.5">
      <c r="A3144" s="17">
        <v>45148.998611111114</v>
      </c>
      <c r="B3144" s="19">
        <v>26808.085210000001</v>
      </c>
      <c r="C3144" t="s">
        <v>155</v>
      </c>
      <c r="D3144" t="str">
        <f>T_Stocks[[#This Row],[Ticker]] &amp; "-" &amp; DATE(YEAR(T_Stocks[[#This Row],[Fecha]]),MONTH(T_Stocks[[#This Row],[Fecha]]),DAY(T_Stocks[[#This Row],[Fecha]]))</f>
        <v>BTCEUR-45148</v>
      </c>
    </row>
    <row r="3145" spans="1:4" ht="14.65" thickBot="1" x14ac:dyDescent="0.5">
      <c r="A3145" s="17">
        <v>45149.998611111114</v>
      </c>
      <c r="B3145" s="19">
        <v>26828.094239999999</v>
      </c>
      <c r="C3145" t="s">
        <v>155</v>
      </c>
      <c r="D3145" t="str">
        <f>T_Stocks[[#This Row],[Ticker]] &amp; "-" &amp; DATE(YEAR(T_Stocks[[#This Row],[Fecha]]),MONTH(T_Stocks[[#This Row],[Fecha]]),DAY(T_Stocks[[#This Row],[Fecha]]))</f>
        <v>BTCEUR-45149</v>
      </c>
    </row>
    <row r="3146" spans="1:4" ht="14.65" thickBot="1" x14ac:dyDescent="0.5">
      <c r="A3146" s="17">
        <v>45150.998611111114</v>
      </c>
      <c r="B3146" s="19">
        <v>26854.049760000002</v>
      </c>
      <c r="C3146" t="s">
        <v>155</v>
      </c>
      <c r="D3146" t="str">
        <f>T_Stocks[[#This Row],[Ticker]] &amp; "-" &amp; DATE(YEAR(T_Stocks[[#This Row],[Fecha]]),MONTH(T_Stocks[[#This Row],[Fecha]]),DAY(T_Stocks[[#This Row],[Fecha]]))</f>
        <v>BTCEUR-45150</v>
      </c>
    </row>
    <row r="3147" spans="1:4" ht="14.65" thickBot="1" x14ac:dyDescent="0.5">
      <c r="A3147" s="17">
        <v>45151.998611111114</v>
      </c>
      <c r="B3147" s="19">
        <v>26773.03701</v>
      </c>
      <c r="C3147" t="s">
        <v>155</v>
      </c>
      <c r="D3147" t="str">
        <f>T_Stocks[[#This Row],[Ticker]] &amp; "-" &amp; DATE(YEAR(T_Stocks[[#This Row],[Fecha]]),MONTH(T_Stocks[[#This Row],[Fecha]]),DAY(T_Stocks[[#This Row],[Fecha]]))</f>
        <v>BTCEUR-45151</v>
      </c>
    </row>
    <row r="3148" spans="1:4" ht="14.65" thickBot="1" x14ac:dyDescent="0.5">
      <c r="A3148" s="17">
        <v>45152.998611111114</v>
      </c>
      <c r="B3148" s="19">
        <v>26961.15654</v>
      </c>
      <c r="C3148" t="s">
        <v>155</v>
      </c>
      <c r="D3148" t="str">
        <f>T_Stocks[[#This Row],[Ticker]] &amp; "-" &amp; DATE(YEAR(T_Stocks[[#This Row],[Fecha]]),MONTH(T_Stocks[[#This Row],[Fecha]]),DAY(T_Stocks[[#This Row],[Fecha]]))</f>
        <v>BTCEUR-45152</v>
      </c>
    </row>
    <row r="3149" spans="1:4" ht="14.65" thickBot="1" x14ac:dyDescent="0.5">
      <c r="A3149" s="17">
        <v>45153.998611111114</v>
      </c>
      <c r="B3149" s="19">
        <v>26757.716520000002</v>
      </c>
      <c r="C3149" t="s">
        <v>155</v>
      </c>
      <c r="D3149" t="str">
        <f>T_Stocks[[#This Row],[Ticker]] &amp; "-" &amp; DATE(YEAR(T_Stocks[[#This Row],[Fecha]]),MONTH(T_Stocks[[#This Row],[Fecha]]),DAY(T_Stocks[[#This Row],[Fecha]]))</f>
        <v>BTCEUR-45153</v>
      </c>
    </row>
    <row r="3150" spans="1:4" ht="14.65" thickBot="1" x14ac:dyDescent="0.5">
      <c r="A3150" s="17">
        <v>45154.998611111114</v>
      </c>
      <c r="B3150" s="19">
        <v>26409.12657</v>
      </c>
      <c r="C3150" t="s">
        <v>155</v>
      </c>
      <c r="D3150" t="str">
        <f>T_Stocks[[#This Row],[Ticker]] &amp; "-" &amp; DATE(YEAR(T_Stocks[[#This Row],[Fecha]]),MONTH(T_Stocks[[#This Row],[Fecha]]),DAY(T_Stocks[[#This Row],[Fecha]]))</f>
        <v>BTCEUR-45154</v>
      </c>
    </row>
    <row r="3151" spans="1:4" ht="14.65" thickBot="1" x14ac:dyDescent="0.5">
      <c r="A3151" s="17">
        <v>45155.998611111114</v>
      </c>
      <c r="B3151" s="19">
        <v>24501.013879999999</v>
      </c>
      <c r="C3151" t="s">
        <v>155</v>
      </c>
      <c r="D3151" t="str">
        <f>T_Stocks[[#This Row],[Ticker]] &amp; "-" &amp; DATE(YEAR(T_Stocks[[#This Row],[Fecha]]),MONTH(T_Stocks[[#This Row],[Fecha]]),DAY(T_Stocks[[#This Row],[Fecha]]))</f>
        <v>BTCEUR-45155</v>
      </c>
    </row>
    <row r="3152" spans="1:4" ht="14.65" thickBot="1" x14ac:dyDescent="0.5">
      <c r="A3152" s="17">
        <v>45156.998611111114</v>
      </c>
      <c r="B3152" s="19">
        <v>23934.50691</v>
      </c>
      <c r="C3152" t="s">
        <v>155</v>
      </c>
      <c r="D3152" t="str">
        <f>T_Stocks[[#This Row],[Ticker]] &amp; "-" &amp; DATE(YEAR(T_Stocks[[#This Row],[Fecha]]),MONTH(T_Stocks[[#This Row],[Fecha]]),DAY(T_Stocks[[#This Row],[Fecha]]))</f>
        <v>BTCEUR-45156</v>
      </c>
    </row>
    <row r="3153" spans="1:4" ht="14.65" thickBot="1" x14ac:dyDescent="0.5">
      <c r="A3153" s="17">
        <v>45157.998611111114</v>
      </c>
      <c r="B3153" s="19">
        <v>23983.736980000001</v>
      </c>
      <c r="C3153" t="s">
        <v>155</v>
      </c>
      <c r="D3153" t="str">
        <f>T_Stocks[[#This Row],[Ticker]] &amp; "-" &amp; DATE(YEAR(T_Stocks[[#This Row],[Fecha]]),MONTH(T_Stocks[[#This Row],[Fecha]]),DAY(T_Stocks[[#This Row],[Fecha]]))</f>
        <v>BTCEUR-45157</v>
      </c>
    </row>
    <row r="3154" spans="1:4" ht="14.65" thickBot="1" x14ac:dyDescent="0.5">
      <c r="A3154" s="17">
        <v>45158.998611111114</v>
      </c>
      <c r="B3154" s="19">
        <v>24093.516</v>
      </c>
      <c r="C3154" t="s">
        <v>155</v>
      </c>
      <c r="D3154" t="str">
        <f>T_Stocks[[#This Row],[Ticker]] &amp; "-" &amp; DATE(YEAR(T_Stocks[[#This Row],[Fecha]]),MONTH(T_Stocks[[#This Row],[Fecha]]),DAY(T_Stocks[[#This Row],[Fecha]]))</f>
        <v>BTCEUR-45158</v>
      </c>
    </row>
    <row r="3155" spans="1:4" ht="14.65" thickBot="1" x14ac:dyDescent="0.5">
      <c r="A3155" s="17">
        <v>45159.998611111114</v>
      </c>
      <c r="B3155" s="19">
        <v>23976.819800000001</v>
      </c>
      <c r="C3155" t="s">
        <v>155</v>
      </c>
      <c r="D3155" t="str">
        <f>T_Stocks[[#This Row],[Ticker]] &amp; "-" &amp; DATE(YEAR(T_Stocks[[#This Row],[Fecha]]),MONTH(T_Stocks[[#This Row],[Fecha]]),DAY(T_Stocks[[#This Row],[Fecha]]))</f>
        <v>BTCEUR-45159</v>
      </c>
    </row>
    <row r="3156" spans="1:4" ht="14.65" thickBot="1" x14ac:dyDescent="0.5">
      <c r="A3156" s="17">
        <v>45160.998611111114</v>
      </c>
      <c r="B3156" s="19">
        <v>24010.811750000001</v>
      </c>
      <c r="C3156" t="s">
        <v>155</v>
      </c>
      <c r="D3156" t="str">
        <f>T_Stocks[[#This Row],[Ticker]] &amp; "-" &amp; DATE(YEAR(T_Stocks[[#This Row],[Fecha]]),MONTH(T_Stocks[[#This Row],[Fecha]]),DAY(T_Stocks[[#This Row],[Fecha]]))</f>
        <v>BTCEUR-45160</v>
      </c>
    </row>
    <row r="3157" spans="1:4" ht="14.65" thickBot="1" x14ac:dyDescent="0.5">
      <c r="A3157" s="17">
        <v>45161.998611111114</v>
      </c>
      <c r="B3157" s="19">
        <v>24328.81565</v>
      </c>
      <c r="C3157" t="s">
        <v>155</v>
      </c>
      <c r="D3157" t="str">
        <f>T_Stocks[[#This Row],[Ticker]] &amp; "-" &amp; DATE(YEAR(T_Stocks[[#This Row],[Fecha]]),MONTH(T_Stocks[[#This Row],[Fecha]]),DAY(T_Stocks[[#This Row],[Fecha]]))</f>
        <v>BTCEUR-45161</v>
      </c>
    </row>
    <row r="3158" spans="1:4" ht="14.65" thickBot="1" x14ac:dyDescent="0.5">
      <c r="A3158" s="17">
        <v>45162.998611111114</v>
      </c>
      <c r="B3158" s="19">
        <v>24236.549879999999</v>
      </c>
      <c r="C3158" t="s">
        <v>155</v>
      </c>
      <c r="D3158" t="str">
        <f>T_Stocks[[#This Row],[Ticker]] &amp; "-" &amp; DATE(YEAR(T_Stocks[[#This Row],[Fecha]]),MONTH(T_Stocks[[#This Row],[Fecha]]),DAY(T_Stocks[[#This Row],[Fecha]]))</f>
        <v>BTCEUR-45162</v>
      </c>
    </row>
    <row r="3159" spans="1:4" ht="14.65" thickBot="1" x14ac:dyDescent="0.5">
      <c r="A3159" s="17">
        <v>45163.998611111114</v>
      </c>
      <c r="B3159" s="19">
        <v>24133.996190000002</v>
      </c>
      <c r="C3159" t="s">
        <v>155</v>
      </c>
      <c r="D3159" t="str">
        <f>T_Stocks[[#This Row],[Ticker]] &amp; "-" &amp; DATE(YEAR(T_Stocks[[#This Row],[Fecha]]),MONTH(T_Stocks[[#This Row],[Fecha]]),DAY(T_Stocks[[#This Row],[Fecha]]))</f>
        <v>BTCEUR-45163</v>
      </c>
    </row>
    <row r="3160" spans="1:4" ht="14.65" thickBot="1" x14ac:dyDescent="0.5">
      <c r="A3160" s="17">
        <v>45164.998611111114</v>
      </c>
      <c r="B3160" s="19">
        <v>24102.53904</v>
      </c>
      <c r="C3160" t="s">
        <v>155</v>
      </c>
      <c r="D3160" t="str">
        <f>T_Stocks[[#This Row],[Ticker]] &amp; "-" &amp; DATE(YEAR(T_Stocks[[#This Row],[Fecha]]),MONTH(T_Stocks[[#This Row],[Fecha]]),DAY(T_Stocks[[#This Row],[Fecha]]))</f>
        <v>BTCEUR-45164</v>
      </c>
    </row>
    <row r="3161" spans="1:4" ht="14.65" thickBot="1" x14ac:dyDescent="0.5">
      <c r="A3161" s="17">
        <v>45165.998611111114</v>
      </c>
      <c r="B3161" s="19">
        <v>24172.36681</v>
      </c>
      <c r="C3161" t="s">
        <v>155</v>
      </c>
      <c r="D3161" t="str">
        <f>T_Stocks[[#This Row],[Ticker]] &amp; "-" &amp; DATE(YEAR(T_Stocks[[#This Row],[Fecha]]),MONTH(T_Stocks[[#This Row],[Fecha]]),DAY(T_Stocks[[#This Row],[Fecha]]))</f>
        <v>BTCEUR-45165</v>
      </c>
    </row>
    <row r="3162" spans="1:4" ht="14.65" thickBot="1" x14ac:dyDescent="0.5">
      <c r="A3162" s="17">
        <v>45166.998611111114</v>
      </c>
      <c r="B3162" s="19">
        <v>24117.11476</v>
      </c>
      <c r="C3162" t="s">
        <v>155</v>
      </c>
      <c r="D3162" t="str">
        <f>T_Stocks[[#This Row],[Ticker]] &amp; "-" &amp; DATE(YEAR(T_Stocks[[#This Row],[Fecha]]),MONTH(T_Stocks[[#This Row],[Fecha]]),DAY(T_Stocks[[#This Row],[Fecha]]))</f>
        <v>BTCEUR-45166</v>
      </c>
    </row>
    <row r="3163" spans="1:4" ht="14.65" thickBot="1" x14ac:dyDescent="0.5">
      <c r="A3163" s="17">
        <v>45167.998611111114</v>
      </c>
      <c r="B3163" s="19">
        <v>25510.831040000001</v>
      </c>
      <c r="C3163" t="s">
        <v>155</v>
      </c>
      <c r="D3163" t="str">
        <f>T_Stocks[[#This Row],[Ticker]] &amp; "-" &amp; DATE(YEAR(T_Stocks[[#This Row],[Fecha]]),MONTH(T_Stocks[[#This Row],[Fecha]]),DAY(T_Stocks[[#This Row],[Fecha]]))</f>
        <v>BTCEUR-45167</v>
      </c>
    </row>
    <row r="3164" spans="1:4" ht="14.65" thickBot="1" x14ac:dyDescent="0.5">
      <c r="A3164" s="17">
        <v>45168.998611111114</v>
      </c>
      <c r="B3164" s="19">
        <v>24975.188320000001</v>
      </c>
      <c r="C3164" t="s">
        <v>155</v>
      </c>
      <c r="D3164" t="str">
        <f>T_Stocks[[#This Row],[Ticker]] &amp; "-" &amp; DATE(YEAR(T_Stocks[[#This Row],[Fecha]]),MONTH(T_Stocks[[#This Row],[Fecha]]),DAY(T_Stocks[[#This Row],[Fecha]]))</f>
        <v>BTCEUR-45168</v>
      </c>
    </row>
    <row r="3165" spans="1:4" ht="14.65" thickBot="1" x14ac:dyDescent="0.5">
      <c r="A3165" s="17">
        <v>45169.998611111114</v>
      </c>
      <c r="B3165" s="19">
        <v>23917.215530000001</v>
      </c>
      <c r="C3165" t="s">
        <v>155</v>
      </c>
      <c r="D3165" t="str">
        <f>T_Stocks[[#This Row],[Ticker]] &amp; "-" &amp; DATE(YEAR(T_Stocks[[#This Row],[Fecha]]),MONTH(T_Stocks[[#This Row],[Fecha]]),DAY(T_Stocks[[#This Row],[Fecha]]))</f>
        <v>BTCEUR-45169</v>
      </c>
    </row>
    <row r="3166" spans="1:4" ht="14.65" thickBot="1" x14ac:dyDescent="0.5">
      <c r="A3166" s="17">
        <v>45170.998611111114</v>
      </c>
      <c r="B3166" s="19">
        <v>23894.441030000002</v>
      </c>
      <c r="C3166" t="s">
        <v>155</v>
      </c>
      <c r="D3166" t="str">
        <f>T_Stocks[[#This Row],[Ticker]] &amp; "-" &amp; DATE(YEAR(T_Stocks[[#This Row],[Fecha]]),MONTH(T_Stocks[[#This Row],[Fecha]]),DAY(T_Stocks[[#This Row],[Fecha]]))</f>
        <v>BTCEUR-45170</v>
      </c>
    </row>
    <row r="3167" spans="1:4" ht="14.65" thickBot="1" x14ac:dyDescent="0.5">
      <c r="A3167" s="17">
        <v>45171.998611111114</v>
      </c>
      <c r="B3167" s="19">
        <v>23967.36075</v>
      </c>
      <c r="C3167" t="s">
        <v>155</v>
      </c>
      <c r="D3167" t="str">
        <f>T_Stocks[[#This Row],[Ticker]] &amp; "-" &amp; DATE(YEAR(T_Stocks[[#This Row],[Fecha]]),MONTH(T_Stocks[[#This Row],[Fecha]]),DAY(T_Stocks[[#This Row],[Fecha]]))</f>
        <v>BTCEUR-45171</v>
      </c>
    </row>
    <row r="3168" spans="1:4" ht="14.65" thickBot="1" x14ac:dyDescent="0.5">
      <c r="A3168" s="17">
        <v>45172.998611111114</v>
      </c>
      <c r="B3168" s="19">
        <v>24104.73504</v>
      </c>
      <c r="C3168" t="s">
        <v>155</v>
      </c>
      <c r="D3168" t="str">
        <f>T_Stocks[[#This Row],[Ticker]] &amp; "-" &amp; DATE(YEAR(T_Stocks[[#This Row],[Fecha]]),MONTH(T_Stocks[[#This Row],[Fecha]]),DAY(T_Stocks[[#This Row],[Fecha]]))</f>
        <v>BTCEUR-45172</v>
      </c>
    </row>
    <row r="3169" spans="1:4" ht="14.65" thickBot="1" x14ac:dyDescent="0.5">
      <c r="A3169" s="17">
        <v>45173.998611111114</v>
      </c>
      <c r="B3169" s="19">
        <v>23921.565640000001</v>
      </c>
      <c r="C3169" t="s">
        <v>155</v>
      </c>
      <c r="D3169" t="str">
        <f>T_Stocks[[#This Row],[Ticker]] &amp; "-" &amp; DATE(YEAR(T_Stocks[[#This Row],[Fecha]]),MONTH(T_Stocks[[#This Row],[Fecha]]),DAY(T_Stocks[[#This Row],[Fecha]]))</f>
        <v>BTCEUR-45173</v>
      </c>
    </row>
    <row r="3170" spans="1:4" ht="14.65" thickBot="1" x14ac:dyDescent="0.5">
      <c r="A3170" s="17">
        <v>45174.998611111114</v>
      </c>
      <c r="B3170" s="19">
        <v>24040.138630000001</v>
      </c>
      <c r="C3170" t="s">
        <v>155</v>
      </c>
      <c r="D3170" t="str">
        <f>T_Stocks[[#This Row],[Ticker]] &amp; "-" &amp; DATE(YEAR(T_Stocks[[#This Row],[Fecha]]),MONTH(T_Stocks[[#This Row],[Fecha]]),DAY(T_Stocks[[#This Row],[Fecha]]))</f>
        <v>BTCEUR-45174</v>
      </c>
    </row>
    <row r="3171" spans="1:4" ht="14.65" thickBot="1" x14ac:dyDescent="0.5">
      <c r="A3171" s="17">
        <v>45175.998611111114</v>
      </c>
      <c r="B3171" s="19">
        <v>24016.277699999999</v>
      </c>
      <c r="C3171" t="s">
        <v>155</v>
      </c>
      <c r="D3171" t="str">
        <f>T_Stocks[[#This Row],[Ticker]] &amp; "-" &amp; DATE(YEAR(T_Stocks[[#This Row],[Fecha]]),MONTH(T_Stocks[[#This Row],[Fecha]]),DAY(T_Stocks[[#This Row],[Fecha]]))</f>
        <v>BTCEUR-45175</v>
      </c>
    </row>
    <row r="3172" spans="1:4" ht="14.65" thickBot="1" x14ac:dyDescent="0.5">
      <c r="A3172" s="17">
        <v>45176.998611111114</v>
      </c>
      <c r="B3172" s="19">
        <v>24546.34042</v>
      </c>
      <c r="C3172" t="s">
        <v>155</v>
      </c>
      <c r="D3172" t="str">
        <f>T_Stocks[[#This Row],[Ticker]] &amp; "-" &amp; DATE(YEAR(T_Stocks[[#This Row],[Fecha]]),MONTH(T_Stocks[[#This Row],[Fecha]]),DAY(T_Stocks[[#This Row],[Fecha]]))</f>
        <v>BTCEUR-45176</v>
      </c>
    </row>
    <row r="3173" spans="1:4" ht="14.65" thickBot="1" x14ac:dyDescent="0.5">
      <c r="A3173" s="17">
        <v>45177.998611111114</v>
      </c>
      <c r="B3173" s="19">
        <v>24183.843290000001</v>
      </c>
      <c r="C3173" t="s">
        <v>155</v>
      </c>
      <c r="D3173" t="str">
        <f>T_Stocks[[#This Row],[Ticker]] &amp; "-" &amp; DATE(YEAR(T_Stocks[[#This Row],[Fecha]]),MONTH(T_Stocks[[#This Row],[Fecha]]),DAY(T_Stocks[[#This Row],[Fecha]]))</f>
        <v>BTCEUR-45177</v>
      </c>
    </row>
    <row r="3174" spans="1:4" ht="14.65" thickBot="1" x14ac:dyDescent="0.5">
      <c r="A3174" s="17">
        <v>45178.998611111114</v>
      </c>
      <c r="B3174" s="19">
        <v>24180.203030000001</v>
      </c>
      <c r="C3174" t="s">
        <v>155</v>
      </c>
      <c r="D3174" t="str">
        <f>T_Stocks[[#This Row],[Ticker]] &amp; "-" &amp; DATE(YEAR(T_Stocks[[#This Row],[Fecha]]),MONTH(T_Stocks[[#This Row],[Fecha]]),DAY(T_Stocks[[#This Row],[Fecha]]))</f>
        <v>BTCEUR-45178</v>
      </c>
    </row>
    <row r="3175" spans="1:4" ht="14.65" thickBot="1" x14ac:dyDescent="0.5">
      <c r="A3175" s="17">
        <v>45179.998611111114</v>
      </c>
      <c r="B3175" s="19">
        <v>24107.152559999999</v>
      </c>
      <c r="C3175" t="s">
        <v>155</v>
      </c>
      <c r="D3175" t="str">
        <f>T_Stocks[[#This Row],[Ticker]] &amp; "-" &amp; DATE(YEAR(T_Stocks[[#This Row],[Fecha]]),MONTH(T_Stocks[[#This Row],[Fecha]]),DAY(T_Stocks[[#This Row],[Fecha]]))</f>
        <v>BTCEUR-45179</v>
      </c>
    </row>
    <row r="3176" spans="1:4" ht="14.65" thickBot="1" x14ac:dyDescent="0.5">
      <c r="A3176" s="17">
        <v>45180.998611111114</v>
      </c>
      <c r="B3176" s="19">
        <v>23407.283039999998</v>
      </c>
      <c r="C3176" t="s">
        <v>155</v>
      </c>
      <c r="D3176" t="str">
        <f>T_Stocks[[#This Row],[Ticker]] &amp; "-" &amp; DATE(YEAR(T_Stocks[[#This Row],[Fecha]]),MONTH(T_Stocks[[#This Row],[Fecha]]),DAY(T_Stocks[[#This Row],[Fecha]]))</f>
        <v>BTCEUR-45180</v>
      </c>
    </row>
    <row r="3177" spans="1:4" ht="14.65" thickBot="1" x14ac:dyDescent="0.5">
      <c r="A3177" s="17">
        <v>45181.998611111114</v>
      </c>
      <c r="B3177" s="19">
        <v>24033.209320000002</v>
      </c>
      <c r="C3177" t="s">
        <v>155</v>
      </c>
      <c r="D3177" t="str">
        <f>T_Stocks[[#This Row],[Ticker]] &amp; "-" &amp; DATE(YEAR(T_Stocks[[#This Row],[Fecha]]),MONTH(T_Stocks[[#This Row],[Fecha]]),DAY(T_Stocks[[#This Row],[Fecha]]))</f>
        <v>BTCEUR-45181</v>
      </c>
    </row>
    <row r="3178" spans="1:4" ht="14.65" thickBot="1" x14ac:dyDescent="0.5">
      <c r="A3178" s="17">
        <v>45182.998611111114</v>
      </c>
      <c r="B3178" s="19">
        <v>24433.557629999999</v>
      </c>
      <c r="C3178" t="s">
        <v>155</v>
      </c>
      <c r="D3178" t="str">
        <f>T_Stocks[[#This Row],[Ticker]] &amp; "-" &amp; DATE(YEAR(T_Stocks[[#This Row],[Fecha]]),MONTH(T_Stocks[[#This Row],[Fecha]]),DAY(T_Stocks[[#This Row],[Fecha]]))</f>
        <v>BTCEUR-45182</v>
      </c>
    </row>
    <row r="3179" spans="1:4" ht="14.65" thickBot="1" x14ac:dyDescent="0.5">
      <c r="A3179" s="17">
        <v>45183.998611111114</v>
      </c>
      <c r="B3179" s="19">
        <v>24944.6698</v>
      </c>
      <c r="C3179" t="s">
        <v>155</v>
      </c>
      <c r="D3179" t="str">
        <f>T_Stocks[[#This Row],[Ticker]] &amp; "-" &amp; DATE(YEAR(T_Stocks[[#This Row],[Fecha]]),MONTH(T_Stocks[[#This Row],[Fecha]]),DAY(T_Stocks[[#This Row],[Fecha]]))</f>
        <v>BTCEUR-45183</v>
      </c>
    </row>
    <row r="3180" spans="1:4" ht="14.65" thickBot="1" x14ac:dyDescent="0.5">
      <c r="A3180" s="17">
        <v>45184.998611111114</v>
      </c>
      <c r="B3180" s="19">
        <v>24925.737369999999</v>
      </c>
      <c r="C3180" t="s">
        <v>155</v>
      </c>
      <c r="D3180" t="str">
        <f>T_Stocks[[#This Row],[Ticker]] &amp; "-" &amp; DATE(YEAR(T_Stocks[[#This Row],[Fecha]]),MONTH(T_Stocks[[#This Row],[Fecha]]),DAY(T_Stocks[[#This Row],[Fecha]]))</f>
        <v>BTCEUR-45184</v>
      </c>
    </row>
    <row r="3181" spans="1:4" ht="14.65" thickBot="1" x14ac:dyDescent="0.5">
      <c r="A3181" s="17">
        <v>45185.998611111114</v>
      </c>
      <c r="B3181" s="19">
        <v>24890.429380000001</v>
      </c>
      <c r="C3181" t="s">
        <v>155</v>
      </c>
      <c r="D3181" t="str">
        <f>T_Stocks[[#This Row],[Ticker]] &amp; "-" &amp; DATE(YEAR(T_Stocks[[#This Row],[Fecha]]),MONTH(T_Stocks[[#This Row],[Fecha]]),DAY(T_Stocks[[#This Row],[Fecha]]))</f>
        <v>BTCEUR-45185</v>
      </c>
    </row>
    <row r="3182" spans="1:4" ht="14.65" thickBot="1" x14ac:dyDescent="0.5">
      <c r="A3182" s="17">
        <v>45186.998611111114</v>
      </c>
      <c r="B3182" s="19">
        <v>24868.385760000001</v>
      </c>
      <c r="C3182" t="s">
        <v>155</v>
      </c>
      <c r="D3182" t="str">
        <f>T_Stocks[[#This Row],[Ticker]] &amp; "-" &amp; DATE(YEAR(T_Stocks[[#This Row],[Fecha]]),MONTH(T_Stocks[[#This Row],[Fecha]]),DAY(T_Stocks[[#This Row],[Fecha]]))</f>
        <v>BTCEUR-45186</v>
      </c>
    </row>
    <row r="3183" spans="1:4" ht="14.65" thickBot="1" x14ac:dyDescent="0.5">
      <c r="A3183" s="17">
        <v>45187.998611111114</v>
      </c>
      <c r="B3183" s="19">
        <v>25030.415120000001</v>
      </c>
      <c r="C3183" t="s">
        <v>155</v>
      </c>
      <c r="D3183" t="str">
        <f>T_Stocks[[#This Row],[Ticker]] &amp; "-" &amp; DATE(YEAR(T_Stocks[[#This Row],[Fecha]]),MONTH(T_Stocks[[#This Row],[Fecha]]),DAY(T_Stocks[[#This Row],[Fecha]]))</f>
        <v>BTCEUR-45187</v>
      </c>
    </row>
    <row r="3184" spans="1:4" ht="14.65" thickBot="1" x14ac:dyDescent="0.5">
      <c r="A3184" s="17">
        <v>45188.998611111114</v>
      </c>
      <c r="B3184" s="19">
        <v>25480.018359999998</v>
      </c>
      <c r="C3184" t="s">
        <v>155</v>
      </c>
      <c r="D3184" t="str">
        <f>T_Stocks[[#This Row],[Ticker]] &amp; "-" &amp; DATE(YEAR(T_Stocks[[#This Row],[Fecha]]),MONTH(T_Stocks[[#This Row],[Fecha]]),DAY(T_Stocks[[#This Row],[Fecha]]))</f>
        <v>BTCEUR-45188</v>
      </c>
    </row>
    <row r="3185" spans="1:4" ht="14.65" thickBot="1" x14ac:dyDescent="0.5">
      <c r="A3185" s="17">
        <v>45189.998611111114</v>
      </c>
      <c r="B3185" s="19">
        <v>25464.462210000002</v>
      </c>
      <c r="C3185" t="s">
        <v>155</v>
      </c>
      <c r="D3185" t="str">
        <f>T_Stocks[[#This Row],[Ticker]] &amp; "-" &amp; DATE(YEAR(T_Stocks[[#This Row],[Fecha]]),MONTH(T_Stocks[[#This Row],[Fecha]]),DAY(T_Stocks[[#This Row],[Fecha]]))</f>
        <v>BTCEUR-45189</v>
      </c>
    </row>
    <row r="3186" spans="1:4" ht="14.65" thickBot="1" x14ac:dyDescent="0.5">
      <c r="A3186" s="17">
        <v>45190.998611111114</v>
      </c>
      <c r="B3186" s="19">
        <v>24919.427459999999</v>
      </c>
      <c r="C3186" t="s">
        <v>155</v>
      </c>
      <c r="D3186" t="str">
        <f>T_Stocks[[#This Row],[Ticker]] &amp; "-" &amp; DATE(YEAR(T_Stocks[[#This Row],[Fecha]]),MONTH(T_Stocks[[#This Row],[Fecha]]),DAY(T_Stocks[[#This Row],[Fecha]]))</f>
        <v>BTCEUR-45190</v>
      </c>
    </row>
    <row r="3187" spans="1:4" ht="14.65" thickBot="1" x14ac:dyDescent="0.5">
      <c r="A3187" s="17">
        <v>45191.998611111114</v>
      </c>
      <c r="B3187" s="19">
        <v>24911.009239999999</v>
      </c>
      <c r="C3187" t="s">
        <v>155</v>
      </c>
      <c r="D3187" t="str">
        <f>T_Stocks[[#This Row],[Ticker]] &amp; "-" &amp; DATE(YEAR(T_Stocks[[#This Row],[Fecha]]),MONTH(T_Stocks[[#This Row],[Fecha]]),DAY(T_Stocks[[#This Row],[Fecha]]))</f>
        <v>BTCEUR-45191</v>
      </c>
    </row>
    <row r="3188" spans="1:4" ht="14.65" thickBot="1" x14ac:dyDescent="0.5">
      <c r="A3188" s="17">
        <v>45192.998611111114</v>
      </c>
      <c r="B3188" s="19">
        <v>24913.72625</v>
      </c>
      <c r="C3188" t="s">
        <v>155</v>
      </c>
      <c r="D3188" t="str">
        <f>T_Stocks[[#This Row],[Ticker]] &amp; "-" &amp; DATE(YEAR(T_Stocks[[#This Row],[Fecha]]),MONTH(T_Stocks[[#This Row],[Fecha]]),DAY(T_Stocks[[#This Row],[Fecha]]))</f>
        <v>BTCEUR-45192</v>
      </c>
    </row>
    <row r="3189" spans="1:4" ht="14.65" thickBot="1" x14ac:dyDescent="0.5">
      <c r="A3189" s="17">
        <v>45193.998611111114</v>
      </c>
      <c r="B3189" s="19">
        <v>24664.127970000001</v>
      </c>
      <c r="C3189" t="s">
        <v>155</v>
      </c>
      <c r="D3189" t="str">
        <f>T_Stocks[[#This Row],[Ticker]] &amp; "-" &amp; DATE(YEAR(T_Stocks[[#This Row],[Fecha]]),MONTH(T_Stocks[[#This Row],[Fecha]]),DAY(T_Stocks[[#This Row],[Fecha]]))</f>
        <v>BTCEUR-45193</v>
      </c>
    </row>
    <row r="3190" spans="1:4" ht="14.65" thickBot="1" x14ac:dyDescent="0.5">
      <c r="A3190" s="17">
        <v>45194.998611111114</v>
      </c>
      <c r="B3190" s="19">
        <v>24827.889070000001</v>
      </c>
      <c r="C3190" t="s">
        <v>155</v>
      </c>
      <c r="D3190" t="str">
        <f>T_Stocks[[#This Row],[Ticker]] &amp; "-" &amp; DATE(YEAR(T_Stocks[[#This Row],[Fecha]]),MONTH(T_Stocks[[#This Row],[Fecha]]),DAY(T_Stocks[[#This Row],[Fecha]]))</f>
        <v>BTCEUR-45194</v>
      </c>
    </row>
    <row r="3191" spans="1:4" ht="14.65" thickBot="1" x14ac:dyDescent="0.5">
      <c r="A3191" s="17">
        <v>45195.998611111114</v>
      </c>
      <c r="B3191" s="19">
        <v>24799.328450000001</v>
      </c>
      <c r="C3191" t="s">
        <v>155</v>
      </c>
      <c r="D3191" t="str">
        <f>T_Stocks[[#This Row],[Ticker]] &amp; "-" &amp; DATE(YEAR(T_Stocks[[#This Row],[Fecha]]),MONTH(T_Stocks[[#This Row],[Fecha]]),DAY(T_Stocks[[#This Row],[Fecha]]))</f>
        <v>BTCEUR-45195</v>
      </c>
    </row>
    <row r="3192" spans="1:4" ht="14.65" thickBot="1" x14ac:dyDescent="0.5">
      <c r="A3192" s="17">
        <v>45196.998611111114</v>
      </c>
      <c r="B3192" s="19">
        <v>25091.38911</v>
      </c>
      <c r="C3192" t="s">
        <v>155</v>
      </c>
      <c r="D3192" t="str">
        <f>T_Stocks[[#This Row],[Ticker]] &amp; "-" &amp; DATE(YEAR(T_Stocks[[#This Row],[Fecha]]),MONTH(T_Stocks[[#This Row],[Fecha]]),DAY(T_Stocks[[#This Row],[Fecha]]))</f>
        <v>BTCEUR-45196</v>
      </c>
    </row>
    <row r="3193" spans="1:4" ht="14.65" thickBot="1" x14ac:dyDescent="0.5">
      <c r="A3193" s="17">
        <v>45197.998611111114</v>
      </c>
      <c r="B3193" s="19">
        <v>25587.698639999999</v>
      </c>
      <c r="C3193" t="s">
        <v>155</v>
      </c>
      <c r="D3193" t="str">
        <f>T_Stocks[[#This Row],[Ticker]] &amp; "-" &amp; DATE(YEAR(T_Stocks[[#This Row],[Fecha]]),MONTH(T_Stocks[[#This Row],[Fecha]]),DAY(T_Stocks[[#This Row],[Fecha]]))</f>
        <v>BTCEUR-45197</v>
      </c>
    </row>
    <row r="3194" spans="1:4" ht="14.65" thickBot="1" x14ac:dyDescent="0.5">
      <c r="A3194" s="17">
        <v>45198.998611111114</v>
      </c>
      <c r="B3194" s="19">
        <v>25418.469000000001</v>
      </c>
      <c r="C3194" t="s">
        <v>155</v>
      </c>
      <c r="D3194" t="str">
        <f>T_Stocks[[#This Row],[Ticker]] &amp; "-" &amp; DATE(YEAR(T_Stocks[[#This Row],[Fecha]]),MONTH(T_Stocks[[#This Row],[Fecha]]),DAY(T_Stocks[[#This Row],[Fecha]]))</f>
        <v>BTCEUR-45198</v>
      </c>
    </row>
    <row r="3195" spans="1:4" ht="14.65" thickBot="1" x14ac:dyDescent="0.5">
      <c r="A3195" s="17">
        <v>45199.998611111114</v>
      </c>
      <c r="B3195" s="19">
        <v>25472.182720000001</v>
      </c>
      <c r="C3195" t="s">
        <v>155</v>
      </c>
      <c r="D3195" t="str">
        <f>T_Stocks[[#This Row],[Ticker]] &amp; "-" &amp; DATE(YEAR(T_Stocks[[#This Row],[Fecha]]),MONTH(T_Stocks[[#This Row],[Fecha]]),DAY(T_Stocks[[#This Row],[Fecha]]))</f>
        <v>BTCEUR-45199</v>
      </c>
    </row>
    <row r="3196" spans="1:4" ht="14.65" thickBot="1" x14ac:dyDescent="0.5">
      <c r="A3196" s="17">
        <v>45200.998611111114</v>
      </c>
      <c r="B3196" s="19">
        <v>26477.674950000001</v>
      </c>
      <c r="C3196" t="s">
        <v>155</v>
      </c>
      <c r="D3196" t="str">
        <f>T_Stocks[[#This Row],[Ticker]] &amp; "-" &amp; DATE(YEAR(T_Stocks[[#This Row],[Fecha]]),MONTH(T_Stocks[[#This Row],[Fecha]]),DAY(T_Stocks[[#This Row],[Fecha]]))</f>
        <v>BTCEUR-45200</v>
      </c>
    </row>
    <row r="3197" spans="1:4" ht="14.65" thickBot="1" x14ac:dyDescent="0.5">
      <c r="A3197" s="17">
        <v>45201.998611111114</v>
      </c>
      <c r="B3197" s="19">
        <v>26243.441060000001</v>
      </c>
      <c r="C3197" t="s">
        <v>155</v>
      </c>
      <c r="D3197" t="str">
        <f>T_Stocks[[#This Row],[Ticker]] &amp; "-" &amp; DATE(YEAR(T_Stocks[[#This Row],[Fecha]]),MONTH(T_Stocks[[#This Row],[Fecha]]),DAY(T_Stocks[[#This Row],[Fecha]]))</f>
        <v>BTCEUR-45201</v>
      </c>
    </row>
    <row r="3198" spans="1:4" ht="14.65" thickBot="1" x14ac:dyDescent="0.5">
      <c r="A3198" s="17">
        <v>45202.998611111114</v>
      </c>
      <c r="B3198" s="19">
        <v>26189.603040000002</v>
      </c>
      <c r="C3198" t="s">
        <v>155</v>
      </c>
      <c r="D3198" t="str">
        <f>T_Stocks[[#This Row],[Ticker]] &amp; "-" &amp; DATE(YEAR(T_Stocks[[#This Row],[Fecha]]),MONTH(T_Stocks[[#This Row],[Fecha]]),DAY(T_Stocks[[#This Row],[Fecha]]))</f>
        <v>BTCEUR-45202</v>
      </c>
    </row>
    <row r="3199" spans="1:4" ht="14.65" thickBot="1" x14ac:dyDescent="0.5">
      <c r="A3199" s="17">
        <v>45203.998611111114</v>
      </c>
      <c r="B3199" s="19">
        <v>26453.251629999999</v>
      </c>
      <c r="C3199" t="s">
        <v>155</v>
      </c>
      <c r="D3199" t="str">
        <f>T_Stocks[[#This Row],[Ticker]] &amp; "-" &amp; DATE(YEAR(T_Stocks[[#This Row],[Fecha]]),MONTH(T_Stocks[[#This Row],[Fecha]]),DAY(T_Stocks[[#This Row],[Fecha]]))</f>
        <v>BTCEUR-45203</v>
      </c>
    </row>
    <row r="3200" spans="1:4" ht="14.65" thickBot="1" x14ac:dyDescent="0.5">
      <c r="A3200" s="17">
        <v>45204.998611111114</v>
      </c>
      <c r="B3200" s="19">
        <v>25992.468659999999</v>
      </c>
      <c r="C3200" t="s">
        <v>155</v>
      </c>
      <c r="D3200" t="str">
        <f>T_Stocks[[#This Row],[Ticker]] &amp; "-" &amp; DATE(YEAR(T_Stocks[[#This Row],[Fecha]]),MONTH(T_Stocks[[#This Row],[Fecha]]),DAY(T_Stocks[[#This Row],[Fecha]]))</f>
        <v>BTCEUR-45204</v>
      </c>
    </row>
    <row r="3201" spans="1:4" ht="14.65" thickBot="1" x14ac:dyDescent="0.5">
      <c r="A3201" s="17">
        <v>45205.998611111114</v>
      </c>
      <c r="B3201" s="19">
        <v>26359.534940000001</v>
      </c>
      <c r="C3201" t="s">
        <v>155</v>
      </c>
      <c r="D3201" t="str">
        <f>T_Stocks[[#This Row],[Ticker]] &amp; "-" &amp; DATE(YEAR(T_Stocks[[#This Row],[Fecha]]),MONTH(T_Stocks[[#This Row],[Fecha]]),DAY(T_Stocks[[#This Row],[Fecha]]))</f>
        <v>BTCEUR-45205</v>
      </c>
    </row>
    <row r="3202" spans="1:4" ht="14.65" thickBot="1" x14ac:dyDescent="0.5">
      <c r="A3202" s="17">
        <v>45206.998611111114</v>
      </c>
      <c r="B3202" s="19">
        <v>26384.586329999998</v>
      </c>
      <c r="C3202" t="s">
        <v>155</v>
      </c>
      <c r="D3202" t="str">
        <f>T_Stocks[[#This Row],[Ticker]] &amp; "-" &amp; DATE(YEAR(T_Stocks[[#This Row],[Fecha]]),MONTH(T_Stocks[[#This Row],[Fecha]]),DAY(T_Stocks[[#This Row],[Fecha]]))</f>
        <v>BTCEUR-45206</v>
      </c>
    </row>
    <row r="3203" spans="1:4" ht="14.65" thickBot="1" x14ac:dyDescent="0.5">
      <c r="A3203" s="17">
        <v>45207.998611111114</v>
      </c>
      <c r="B3203" s="19">
        <v>26432.742389999999</v>
      </c>
      <c r="C3203" t="s">
        <v>155</v>
      </c>
      <c r="D3203" t="str">
        <f>T_Stocks[[#This Row],[Ticker]] &amp; "-" &amp; DATE(YEAR(T_Stocks[[#This Row],[Fecha]]),MONTH(T_Stocks[[#This Row],[Fecha]]),DAY(T_Stocks[[#This Row],[Fecha]]))</f>
        <v>BTCEUR-45207</v>
      </c>
    </row>
    <row r="3204" spans="1:4" ht="14.65" thickBot="1" x14ac:dyDescent="0.5">
      <c r="A3204" s="17">
        <v>45208.998611111114</v>
      </c>
      <c r="B3204" s="19">
        <v>26080.74784</v>
      </c>
      <c r="C3204" t="s">
        <v>155</v>
      </c>
      <c r="D3204" t="str">
        <f>T_Stocks[[#This Row],[Ticker]] &amp; "-" &amp; DATE(YEAR(T_Stocks[[#This Row],[Fecha]]),MONTH(T_Stocks[[#This Row],[Fecha]]),DAY(T_Stocks[[#This Row],[Fecha]]))</f>
        <v>BTCEUR-45208</v>
      </c>
    </row>
    <row r="3205" spans="1:4" ht="14.65" thickBot="1" x14ac:dyDescent="0.5">
      <c r="A3205" s="17">
        <v>45209.998611111114</v>
      </c>
      <c r="B3205" s="19">
        <v>25833.219499999999</v>
      </c>
      <c r="C3205" t="s">
        <v>155</v>
      </c>
      <c r="D3205" t="str">
        <f>T_Stocks[[#This Row],[Ticker]] &amp; "-" &amp; DATE(YEAR(T_Stocks[[#This Row],[Fecha]]),MONTH(T_Stocks[[#This Row],[Fecha]]),DAY(T_Stocks[[#This Row],[Fecha]]))</f>
        <v>BTCEUR-45209</v>
      </c>
    </row>
    <row r="3206" spans="1:4" ht="14.65" thickBot="1" x14ac:dyDescent="0.5">
      <c r="A3206" s="17">
        <v>45210.998611111114</v>
      </c>
      <c r="B3206" s="19">
        <v>25292.568299999999</v>
      </c>
      <c r="C3206" t="s">
        <v>155</v>
      </c>
      <c r="D3206" t="str">
        <f>T_Stocks[[#This Row],[Ticker]] &amp; "-" &amp; DATE(YEAR(T_Stocks[[#This Row],[Fecha]]),MONTH(T_Stocks[[#This Row],[Fecha]]),DAY(T_Stocks[[#This Row],[Fecha]]))</f>
        <v>BTCEUR-45210</v>
      </c>
    </row>
    <row r="3207" spans="1:4" ht="14.65" thickBot="1" x14ac:dyDescent="0.5">
      <c r="A3207" s="17">
        <v>45211.998611111114</v>
      </c>
      <c r="B3207" s="19">
        <v>25393.02088</v>
      </c>
      <c r="C3207" t="s">
        <v>155</v>
      </c>
      <c r="D3207" t="str">
        <f>T_Stocks[[#This Row],[Ticker]] &amp; "-" &amp; DATE(YEAR(T_Stocks[[#This Row],[Fecha]]),MONTH(T_Stocks[[#This Row],[Fecha]]),DAY(T_Stocks[[#This Row],[Fecha]]))</f>
        <v>BTCEUR-45211</v>
      </c>
    </row>
    <row r="3208" spans="1:4" ht="14.65" thickBot="1" x14ac:dyDescent="0.5">
      <c r="A3208" s="17">
        <v>45212.998611111114</v>
      </c>
      <c r="B3208" s="19">
        <v>25546.004570000001</v>
      </c>
      <c r="C3208" t="s">
        <v>155</v>
      </c>
      <c r="D3208" t="str">
        <f>T_Stocks[[#This Row],[Ticker]] &amp; "-" &amp; DATE(YEAR(T_Stocks[[#This Row],[Fecha]]),MONTH(T_Stocks[[#This Row],[Fecha]]),DAY(T_Stocks[[#This Row],[Fecha]]))</f>
        <v>BTCEUR-45212</v>
      </c>
    </row>
    <row r="3209" spans="1:4" ht="14.65" thickBot="1" x14ac:dyDescent="0.5">
      <c r="A3209" s="17">
        <v>45213.998611111114</v>
      </c>
      <c r="B3209" s="19">
        <v>25536.885439999998</v>
      </c>
      <c r="C3209" t="s">
        <v>155</v>
      </c>
      <c r="D3209" t="str">
        <f>T_Stocks[[#This Row],[Ticker]] &amp; "-" &amp; DATE(YEAR(T_Stocks[[#This Row],[Fecha]]),MONTH(T_Stocks[[#This Row],[Fecha]]),DAY(T_Stocks[[#This Row],[Fecha]]))</f>
        <v>BTCEUR-45213</v>
      </c>
    </row>
    <row r="3210" spans="1:4" ht="14.65" thickBot="1" x14ac:dyDescent="0.5">
      <c r="A3210" s="17">
        <v>45214.998611111114</v>
      </c>
      <c r="B3210" s="19">
        <v>25827.155890000002</v>
      </c>
      <c r="C3210" t="s">
        <v>155</v>
      </c>
      <c r="D3210" t="str">
        <f>T_Stocks[[#This Row],[Ticker]] &amp; "-" &amp; DATE(YEAR(T_Stocks[[#This Row],[Fecha]]),MONTH(T_Stocks[[#This Row],[Fecha]]),DAY(T_Stocks[[#This Row],[Fecha]]))</f>
        <v>BTCEUR-45214</v>
      </c>
    </row>
    <row r="3211" spans="1:4" ht="14.65" thickBot="1" x14ac:dyDescent="0.5">
      <c r="A3211" s="17">
        <v>45215.998611111114</v>
      </c>
      <c r="B3211" s="19">
        <v>27018.311249999999</v>
      </c>
      <c r="C3211" t="s">
        <v>155</v>
      </c>
      <c r="D3211" t="str">
        <f>T_Stocks[[#This Row],[Ticker]] &amp; "-" &amp; DATE(YEAR(T_Stocks[[#This Row],[Fecha]]),MONTH(T_Stocks[[#This Row],[Fecha]]),DAY(T_Stocks[[#This Row],[Fecha]]))</f>
        <v>BTCEUR-45215</v>
      </c>
    </row>
    <row r="3212" spans="1:4" ht="14.65" thickBot="1" x14ac:dyDescent="0.5">
      <c r="A3212" s="17">
        <v>45216.998611111114</v>
      </c>
      <c r="B3212" s="19">
        <v>26867.529760000001</v>
      </c>
      <c r="C3212" t="s">
        <v>155</v>
      </c>
      <c r="D3212" t="str">
        <f>T_Stocks[[#This Row],[Ticker]] &amp; "-" &amp; DATE(YEAR(T_Stocks[[#This Row],[Fecha]]),MONTH(T_Stocks[[#This Row],[Fecha]]),DAY(T_Stocks[[#This Row],[Fecha]]))</f>
        <v>BTCEUR-45216</v>
      </c>
    </row>
    <row r="3213" spans="1:4" ht="14.65" thickBot="1" x14ac:dyDescent="0.5">
      <c r="A3213" s="17">
        <v>45217.998611111114</v>
      </c>
      <c r="B3213" s="19">
        <v>26879.414379999998</v>
      </c>
      <c r="C3213" t="s">
        <v>155</v>
      </c>
      <c r="D3213" t="str">
        <f>T_Stocks[[#This Row],[Ticker]] &amp; "-" &amp; DATE(YEAR(T_Stocks[[#This Row],[Fecha]]),MONTH(T_Stocks[[#This Row],[Fecha]]),DAY(T_Stocks[[#This Row],[Fecha]]))</f>
        <v>BTCEUR-45217</v>
      </c>
    </row>
    <row r="3214" spans="1:4" ht="14.65" thickBot="1" x14ac:dyDescent="0.5">
      <c r="A3214" s="17">
        <v>45218.998611111114</v>
      </c>
      <c r="B3214" s="19">
        <v>27137.77234</v>
      </c>
      <c r="C3214" t="s">
        <v>155</v>
      </c>
      <c r="D3214" t="str">
        <f>T_Stocks[[#This Row],[Ticker]] &amp; "-" &amp; DATE(YEAR(T_Stocks[[#This Row],[Fecha]]),MONTH(T_Stocks[[#This Row],[Fecha]]),DAY(T_Stocks[[#This Row],[Fecha]]))</f>
        <v>BTCEUR-45218</v>
      </c>
    </row>
    <row r="3215" spans="1:4" ht="14.65" thickBot="1" x14ac:dyDescent="0.5">
      <c r="A3215" s="17">
        <v>45219.998611111114</v>
      </c>
      <c r="B3215" s="19">
        <v>27992.481179999999</v>
      </c>
      <c r="C3215" t="s">
        <v>155</v>
      </c>
      <c r="D3215" t="str">
        <f>T_Stocks[[#This Row],[Ticker]] &amp; "-" &amp; DATE(YEAR(T_Stocks[[#This Row],[Fecha]]),MONTH(T_Stocks[[#This Row],[Fecha]]),DAY(T_Stocks[[#This Row],[Fecha]]))</f>
        <v>BTCEUR-45219</v>
      </c>
    </row>
    <row r="3216" spans="1:4" ht="14.65" thickBot="1" x14ac:dyDescent="0.5">
      <c r="A3216" s="17">
        <v>45220.998611111114</v>
      </c>
      <c r="B3216" s="19">
        <v>28219.702259999998</v>
      </c>
      <c r="C3216" t="s">
        <v>155</v>
      </c>
      <c r="D3216" t="str">
        <f>T_Stocks[[#This Row],[Ticker]] &amp; "-" &amp; DATE(YEAR(T_Stocks[[#This Row],[Fecha]]),MONTH(T_Stocks[[#This Row],[Fecha]]),DAY(T_Stocks[[#This Row],[Fecha]]))</f>
        <v>BTCEUR-45220</v>
      </c>
    </row>
    <row r="3217" spans="1:4" ht="14.65" thickBot="1" x14ac:dyDescent="0.5">
      <c r="A3217" s="17">
        <v>45221.998611111114</v>
      </c>
      <c r="B3217" s="19">
        <v>28326.40537</v>
      </c>
      <c r="C3217" t="s">
        <v>155</v>
      </c>
      <c r="D3217" t="str">
        <f>T_Stocks[[#This Row],[Ticker]] &amp; "-" &amp; DATE(YEAR(T_Stocks[[#This Row],[Fecha]]),MONTH(T_Stocks[[#This Row],[Fecha]]),DAY(T_Stocks[[#This Row],[Fecha]]))</f>
        <v>BTCEUR-45221</v>
      </c>
    </row>
    <row r="3218" spans="1:4" ht="14.65" thickBot="1" x14ac:dyDescent="0.5">
      <c r="A3218" s="17">
        <v>45222.998611111114</v>
      </c>
      <c r="B3218" s="19">
        <v>30993.509249999999</v>
      </c>
      <c r="C3218" t="s">
        <v>155</v>
      </c>
      <c r="D3218" t="str">
        <f>T_Stocks[[#This Row],[Ticker]] &amp; "-" &amp; DATE(YEAR(T_Stocks[[#This Row],[Fecha]]),MONTH(T_Stocks[[#This Row],[Fecha]]),DAY(T_Stocks[[#This Row],[Fecha]]))</f>
        <v>BTCEUR-45222</v>
      </c>
    </row>
    <row r="3219" spans="1:4" ht="14.65" thickBot="1" x14ac:dyDescent="0.5">
      <c r="A3219" s="17">
        <v>45223.998611111114</v>
      </c>
      <c r="B3219" s="19">
        <v>32013.242389999999</v>
      </c>
      <c r="C3219" t="s">
        <v>155</v>
      </c>
      <c r="D3219" t="str">
        <f>T_Stocks[[#This Row],[Ticker]] &amp; "-" &amp; DATE(YEAR(T_Stocks[[#This Row],[Fecha]]),MONTH(T_Stocks[[#This Row],[Fecha]]),DAY(T_Stocks[[#This Row],[Fecha]]))</f>
        <v>BTCEUR-45223</v>
      </c>
    </row>
    <row r="3220" spans="1:4" ht="14.65" thickBot="1" x14ac:dyDescent="0.5">
      <c r="A3220" s="17">
        <v>45224.998611111114</v>
      </c>
      <c r="B3220" s="19">
        <v>32648.532080000001</v>
      </c>
      <c r="C3220" t="s">
        <v>155</v>
      </c>
      <c r="D3220" t="str">
        <f>T_Stocks[[#This Row],[Ticker]] &amp; "-" &amp; DATE(YEAR(T_Stocks[[#This Row],[Fecha]]),MONTH(T_Stocks[[#This Row],[Fecha]]),DAY(T_Stocks[[#This Row],[Fecha]]))</f>
        <v>BTCEUR-45224</v>
      </c>
    </row>
    <row r="3221" spans="1:4" ht="14.65" thickBot="1" x14ac:dyDescent="0.5">
      <c r="A3221" s="17">
        <v>45225.998611111114</v>
      </c>
      <c r="B3221" s="19">
        <v>32330.940790000001</v>
      </c>
      <c r="C3221" t="s">
        <v>155</v>
      </c>
      <c r="D3221" t="str">
        <f>T_Stocks[[#This Row],[Ticker]] &amp; "-" &amp; DATE(YEAR(T_Stocks[[#This Row],[Fecha]]),MONTH(T_Stocks[[#This Row],[Fecha]]),DAY(T_Stocks[[#This Row],[Fecha]]))</f>
        <v>BTCEUR-45225</v>
      </c>
    </row>
    <row r="3222" spans="1:4" ht="14.65" thickBot="1" x14ac:dyDescent="0.5">
      <c r="A3222" s="17">
        <v>45226.998611111114</v>
      </c>
      <c r="B3222" s="19">
        <v>32048.669549999999</v>
      </c>
      <c r="C3222" t="s">
        <v>155</v>
      </c>
      <c r="D3222" t="str">
        <f>T_Stocks[[#This Row],[Ticker]] &amp; "-" &amp; DATE(YEAR(T_Stocks[[#This Row],[Fecha]]),MONTH(T_Stocks[[#This Row],[Fecha]]),DAY(T_Stocks[[#This Row],[Fecha]]))</f>
        <v>BTCEUR-45226</v>
      </c>
    </row>
    <row r="3223" spans="1:4" ht="14.65" thickBot="1" x14ac:dyDescent="0.5">
      <c r="A3223" s="17">
        <v>45227.998611111114</v>
      </c>
      <c r="B3223" s="19">
        <v>32226.622350000001</v>
      </c>
      <c r="C3223" t="s">
        <v>155</v>
      </c>
      <c r="D3223" t="str">
        <f>T_Stocks[[#This Row],[Ticker]] &amp; "-" &amp; DATE(YEAR(T_Stocks[[#This Row],[Fecha]]),MONTH(T_Stocks[[#This Row],[Fecha]]),DAY(T_Stocks[[#This Row],[Fecha]]))</f>
        <v>BTCEUR-45227</v>
      </c>
    </row>
    <row r="3224" spans="1:4" ht="14.65" thickBot="1" x14ac:dyDescent="0.5">
      <c r="A3224" s="17">
        <v>45228.998611111114</v>
      </c>
      <c r="B3224" s="19">
        <v>32698.14143</v>
      </c>
      <c r="C3224" t="s">
        <v>155</v>
      </c>
      <c r="D3224" t="str">
        <f>T_Stocks[[#This Row],[Ticker]] &amp; "-" &amp; DATE(YEAR(T_Stocks[[#This Row],[Fecha]]),MONTH(T_Stocks[[#This Row],[Fecha]]),DAY(T_Stocks[[#This Row],[Fecha]]))</f>
        <v>BTCEUR-45228</v>
      </c>
    </row>
    <row r="3225" spans="1:4" ht="14.65" thickBot="1" x14ac:dyDescent="0.5">
      <c r="A3225" s="17">
        <v>45229.998611111114</v>
      </c>
      <c r="B3225" s="19">
        <v>32495.75678</v>
      </c>
      <c r="C3225" t="s">
        <v>155</v>
      </c>
      <c r="D3225" t="str">
        <f>T_Stocks[[#This Row],[Ticker]] &amp; "-" &amp; DATE(YEAR(T_Stocks[[#This Row],[Fecha]]),MONTH(T_Stocks[[#This Row],[Fecha]]),DAY(T_Stocks[[#This Row],[Fecha]]))</f>
        <v>BTCEUR-45229</v>
      </c>
    </row>
    <row r="3226" spans="1:4" ht="14.65" thickBot="1" x14ac:dyDescent="0.5">
      <c r="A3226" s="17">
        <v>45230.998611111114</v>
      </c>
      <c r="B3226" s="19">
        <v>32764.129489999999</v>
      </c>
      <c r="C3226" t="s">
        <v>155</v>
      </c>
      <c r="D3226" t="str">
        <f>T_Stocks[[#This Row],[Ticker]] &amp; "-" &amp; DATE(YEAR(T_Stocks[[#This Row],[Fecha]]),MONTH(T_Stocks[[#This Row],[Fecha]]),DAY(T_Stocks[[#This Row],[Fecha]]))</f>
        <v>BTCEUR-45230</v>
      </c>
    </row>
    <row r="3227" spans="1:4" ht="14.65" thickBot="1" x14ac:dyDescent="0.5">
      <c r="A3227" s="17">
        <v>45231.998611111114</v>
      </c>
      <c r="B3227" s="19">
        <v>33471.073799999998</v>
      </c>
      <c r="C3227" t="s">
        <v>155</v>
      </c>
      <c r="D3227" t="str">
        <f>T_Stocks[[#This Row],[Ticker]] &amp; "-" &amp; DATE(YEAR(T_Stocks[[#This Row],[Fecha]]),MONTH(T_Stocks[[#This Row],[Fecha]]),DAY(T_Stocks[[#This Row],[Fecha]]))</f>
        <v>BTCEUR-45231</v>
      </c>
    </row>
    <row r="3228" spans="1:4" ht="14.65" thickBot="1" x14ac:dyDescent="0.5">
      <c r="A3228" s="17">
        <v>45232.998611111114</v>
      </c>
      <c r="B3228" s="19">
        <v>32907.885419999999</v>
      </c>
      <c r="C3228" t="s">
        <v>155</v>
      </c>
      <c r="D3228" t="str">
        <f>T_Stocks[[#This Row],[Ticker]] &amp; "-" &amp; DATE(YEAR(T_Stocks[[#This Row],[Fecha]]),MONTH(T_Stocks[[#This Row],[Fecha]]),DAY(T_Stocks[[#This Row],[Fecha]]))</f>
        <v>BTCEUR-45232</v>
      </c>
    </row>
    <row r="3229" spans="1:4" ht="14.65" thickBot="1" x14ac:dyDescent="0.5">
      <c r="A3229" s="17">
        <v>45233.998611111114</v>
      </c>
      <c r="B3229" s="19">
        <v>32351.145120000001</v>
      </c>
      <c r="C3229" t="s">
        <v>155</v>
      </c>
      <c r="D3229" t="str">
        <f>T_Stocks[[#This Row],[Ticker]] &amp; "-" &amp; DATE(YEAR(T_Stocks[[#This Row],[Fecha]]),MONTH(T_Stocks[[#This Row],[Fecha]]),DAY(T_Stocks[[#This Row],[Fecha]]))</f>
        <v>BTCEUR-45233</v>
      </c>
    </row>
    <row r="3230" spans="1:4" ht="14.65" thickBot="1" x14ac:dyDescent="0.5">
      <c r="A3230" s="17">
        <v>45234.998611111114</v>
      </c>
      <c r="B3230" s="19">
        <v>32687.950840000001</v>
      </c>
      <c r="C3230" t="s">
        <v>155</v>
      </c>
      <c r="D3230" t="str">
        <f>T_Stocks[[#This Row],[Ticker]] &amp; "-" &amp; DATE(YEAR(T_Stocks[[#This Row],[Fecha]]),MONTH(T_Stocks[[#This Row],[Fecha]]),DAY(T_Stocks[[#This Row],[Fecha]]))</f>
        <v>BTCEUR-45234</v>
      </c>
    </row>
    <row r="3231" spans="1:4" ht="14.65" thickBot="1" x14ac:dyDescent="0.5">
      <c r="A3231" s="17">
        <v>45235.998611111114</v>
      </c>
      <c r="B3231" s="19">
        <v>32661.097310000001</v>
      </c>
      <c r="C3231" t="s">
        <v>155</v>
      </c>
      <c r="D3231" t="str">
        <f>T_Stocks[[#This Row],[Ticker]] &amp; "-" &amp; DATE(YEAR(T_Stocks[[#This Row],[Fecha]]),MONTH(T_Stocks[[#This Row],[Fecha]]),DAY(T_Stocks[[#This Row],[Fecha]]))</f>
        <v>BTCEUR-45235</v>
      </c>
    </row>
    <row r="3232" spans="1:4" ht="14.65" thickBot="1" x14ac:dyDescent="0.5">
      <c r="A3232" s="17">
        <v>45236.998611111114</v>
      </c>
      <c r="B3232" s="19">
        <v>32695.86378</v>
      </c>
      <c r="C3232" t="s">
        <v>155</v>
      </c>
      <c r="D3232" t="str">
        <f>T_Stocks[[#This Row],[Ticker]] &amp; "-" &amp; DATE(YEAR(T_Stocks[[#This Row],[Fecha]]),MONTH(T_Stocks[[#This Row],[Fecha]]),DAY(T_Stocks[[#This Row],[Fecha]]))</f>
        <v>BTCEUR-45236</v>
      </c>
    </row>
    <row r="3233" spans="1:4" ht="14.65" thickBot="1" x14ac:dyDescent="0.5">
      <c r="A3233" s="17">
        <v>45237.998611111114</v>
      </c>
      <c r="B3233" s="19">
        <v>33124.739150000001</v>
      </c>
      <c r="C3233" t="s">
        <v>155</v>
      </c>
      <c r="D3233" t="str">
        <f>T_Stocks[[#This Row],[Ticker]] &amp; "-" &amp; DATE(YEAR(T_Stocks[[#This Row],[Fecha]]),MONTH(T_Stocks[[#This Row],[Fecha]]),DAY(T_Stocks[[#This Row],[Fecha]]))</f>
        <v>BTCEUR-45237</v>
      </c>
    </row>
    <row r="3234" spans="1:4" ht="14.65" thickBot="1" x14ac:dyDescent="0.5">
      <c r="A3234" s="17">
        <v>45238.998611111114</v>
      </c>
      <c r="B3234" s="19">
        <v>33275.289210000003</v>
      </c>
      <c r="C3234" t="s">
        <v>155</v>
      </c>
      <c r="D3234" t="str">
        <f>T_Stocks[[#This Row],[Ticker]] &amp; "-" &amp; DATE(YEAR(T_Stocks[[#This Row],[Fecha]]),MONTH(T_Stocks[[#This Row],[Fecha]]),DAY(T_Stocks[[#This Row],[Fecha]]))</f>
        <v>BTCEUR-45238</v>
      </c>
    </row>
    <row r="3235" spans="1:4" ht="14.65" thickBot="1" x14ac:dyDescent="0.5">
      <c r="A3235" s="17">
        <v>45239.998611111114</v>
      </c>
      <c r="B3235" s="19">
        <v>34404.888859999999</v>
      </c>
      <c r="C3235" t="s">
        <v>155</v>
      </c>
      <c r="D3235" t="str">
        <f>T_Stocks[[#This Row],[Ticker]] &amp; "-" &amp; DATE(YEAR(T_Stocks[[#This Row],[Fecha]]),MONTH(T_Stocks[[#This Row],[Fecha]]),DAY(T_Stocks[[#This Row],[Fecha]]))</f>
        <v>BTCEUR-45239</v>
      </c>
    </row>
    <row r="3236" spans="1:4" ht="14.65" thickBot="1" x14ac:dyDescent="0.5">
      <c r="A3236" s="17">
        <v>45240.998611111114</v>
      </c>
      <c r="B3236" s="19">
        <v>34834.526919999997</v>
      </c>
      <c r="C3236" t="s">
        <v>155</v>
      </c>
      <c r="D3236" t="str">
        <f>T_Stocks[[#This Row],[Ticker]] &amp; "-" &amp; DATE(YEAR(T_Stocks[[#This Row],[Fecha]]),MONTH(T_Stocks[[#This Row],[Fecha]]),DAY(T_Stocks[[#This Row],[Fecha]]))</f>
        <v>BTCEUR-45240</v>
      </c>
    </row>
    <row r="3237" spans="1:4" ht="14.65" thickBot="1" x14ac:dyDescent="0.5">
      <c r="A3237" s="17">
        <v>45241.998611111114</v>
      </c>
      <c r="B3237" s="19">
        <v>34667.84807</v>
      </c>
      <c r="C3237" t="s">
        <v>155</v>
      </c>
      <c r="D3237" t="str">
        <f>T_Stocks[[#This Row],[Ticker]] &amp; "-" &amp; DATE(YEAR(T_Stocks[[#This Row],[Fecha]]),MONTH(T_Stocks[[#This Row],[Fecha]]),DAY(T_Stocks[[#This Row],[Fecha]]))</f>
        <v>BTCEUR-45241</v>
      </c>
    </row>
    <row r="3238" spans="1:4" ht="14.65" thickBot="1" x14ac:dyDescent="0.5">
      <c r="A3238" s="17">
        <v>45242.998611111114</v>
      </c>
      <c r="B3238" s="19">
        <v>34690.539830000002</v>
      </c>
      <c r="C3238" t="s">
        <v>155</v>
      </c>
      <c r="D3238" t="str">
        <f>T_Stocks[[#This Row],[Ticker]] &amp; "-" &amp; DATE(YEAR(T_Stocks[[#This Row],[Fecha]]),MONTH(T_Stocks[[#This Row],[Fecha]]),DAY(T_Stocks[[#This Row],[Fecha]]))</f>
        <v>BTCEUR-45242</v>
      </c>
    </row>
    <row r="3239" spans="1:4" ht="14.65" thickBot="1" x14ac:dyDescent="0.5">
      <c r="A3239" s="17">
        <v>45243.998611111114</v>
      </c>
      <c r="B3239" s="19">
        <v>34091.799760000002</v>
      </c>
      <c r="C3239" t="s">
        <v>155</v>
      </c>
      <c r="D3239" t="str">
        <f>T_Stocks[[#This Row],[Ticker]] &amp; "-" &amp; DATE(YEAR(T_Stocks[[#This Row],[Fecha]]),MONTH(T_Stocks[[#This Row],[Fecha]]),DAY(T_Stocks[[#This Row],[Fecha]]))</f>
        <v>BTCEUR-45243</v>
      </c>
    </row>
    <row r="3240" spans="1:4" ht="14.65" thickBot="1" x14ac:dyDescent="0.5">
      <c r="A3240" s="17">
        <v>45244.998611111114</v>
      </c>
      <c r="B3240" s="19">
        <v>32685.557870000001</v>
      </c>
      <c r="C3240" t="s">
        <v>155</v>
      </c>
      <c r="D3240" t="str">
        <f>T_Stocks[[#This Row],[Ticker]] &amp; "-" &amp; DATE(YEAR(T_Stocks[[#This Row],[Fecha]]),MONTH(T_Stocks[[#This Row],[Fecha]]),DAY(T_Stocks[[#This Row],[Fecha]]))</f>
        <v>BTCEUR-45244</v>
      </c>
    </row>
    <row r="3241" spans="1:4" ht="14.65" thickBot="1" x14ac:dyDescent="0.5">
      <c r="A3241" s="17">
        <v>45245.998611111114</v>
      </c>
      <c r="B3241" s="19">
        <v>34901.834880000002</v>
      </c>
      <c r="C3241" t="s">
        <v>155</v>
      </c>
      <c r="D3241" t="str">
        <f>T_Stocks[[#This Row],[Ticker]] &amp; "-" &amp; DATE(YEAR(T_Stocks[[#This Row],[Fecha]]),MONTH(T_Stocks[[#This Row],[Fecha]]),DAY(T_Stocks[[#This Row],[Fecha]]))</f>
        <v>BTCEUR-45245</v>
      </c>
    </row>
    <row r="3242" spans="1:4" ht="14.65" thickBot="1" x14ac:dyDescent="0.5">
      <c r="A3242" s="17">
        <v>45246.998611111114</v>
      </c>
      <c r="B3242" s="19">
        <v>33325.881269999998</v>
      </c>
      <c r="C3242" t="s">
        <v>155</v>
      </c>
      <c r="D3242" t="str">
        <f>T_Stocks[[#This Row],[Ticker]] &amp; "-" &amp; DATE(YEAR(T_Stocks[[#This Row],[Fecha]]),MONTH(T_Stocks[[#This Row],[Fecha]]),DAY(T_Stocks[[#This Row],[Fecha]]))</f>
        <v>BTCEUR-45246</v>
      </c>
    </row>
    <row r="3243" spans="1:4" ht="14.65" thickBot="1" x14ac:dyDescent="0.5">
      <c r="A3243" s="17">
        <v>45247.998611111114</v>
      </c>
      <c r="B3243" s="19">
        <v>33546.403680000003</v>
      </c>
      <c r="C3243" t="s">
        <v>155</v>
      </c>
      <c r="D3243" t="str">
        <f>T_Stocks[[#This Row],[Ticker]] &amp; "-" &amp; DATE(YEAR(T_Stocks[[#This Row],[Fecha]]),MONTH(T_Stocks[[#This Row],[Fecha]]),DAY(T_Stocks[[#This Row],[Fecha]]))</f>
        <v>BTCEUR-45247</v>
      </c>
    </row>
    <row r="3244" spans="1:4" ht="14.65" thickBot="1" x14ac:dyDescent="0.5">
      <c r="A3244" s="17">
        <v>45248.998611111114</v>
      </c>
      <c r="B3244" s="19">
        <v>33510.674429999999</v>
      </c>
      <c r="C3244" t="s">
        <v>155</v>
      </c>
      <c r="D3244" t="str">
        <f>T_Stocks[[#This Row],[Ticker]] &amp; "-" &amp; DATE(YEAR(T_Stocks[[#This Row],[Fecha]]),MONTH(T_Stocks[[#This Row],[Fecha]]),DAY(T_Stocks[[#This Row],[Fecha]]))</f>
        <v>BTCEUR-45248</v>
      </c>
    </row>
    <row r="3245" spans="1:4" ht="14.65" thickBot="1" x14ac:dyDescent="0.5">
      <c r="A3245" s="17">
        <v>45249.998611111114</v>
      </c>
      <c r="B3245" s="19">
        <v>34289.770149999997</v>
      </c>
      <c r="C3245" t="s">
        <v>155</v>
      </c>
      <c r="D3245" t="str">
        <f>T_Stocks[[#This Row],[Ticker]] &amp; "-" &amp; DATE(YEAR(T_Stocks[[#This Row],[Fecha]]),MONTH(T_Stocks[[#This Row],[Fecha]]),DAY(T_Stocks[[#This Row],[Fecha]]))</f>
        <v>BTCEUR-45249</v>
      </c>
    </row>
    <row r="3246" spans="1:4" ht="14.65" thickBot="1" x14ac:dyDescent="0.5">
      <c r="A3246" s="17">
        <v>45250.998611111114</v>
      </c>
      <c r="B3246" s="19">
        <v>34236.867290000002</v>
      </c>
      <c r="C3246" t="s">
        <v>155</v>
      </c>
      <c r="D3246" t="str">
        <f>T_Stocks[[#This Row],[Ticker]] &amp; "-" &amp; DATE(YEAR(T_Stocks[[#This Row],[Fecha]]),MONTH(T_Stocks[[#This Row],[Fecha]]),DAY(T_Stocks[[#This Row],[Fecha]]))</f>
        <v>BTCEUR-45250</v>
      </c>
    </row>
    <row r="3247" spans="1:4" ht="14.65" thickBot="1" x14ac:dyDescent="0.5">
      <c r="A3247" s="17">
        <v>45251.998611111114</v>
      </c>
      <c r="B3247" s="19">
        <v>32780.363239999999</v>
      </c>
      <c r="C3247" t="s">
        <v>155</v>
      </c>
      <c r="D3247" t="str">
        <f>T_Stocks[[#This Row],[Ticker]] &amp; "-" &amp; DATE(YEAR(T_Stocks[[#This Row],[Fecha]]),MONTH(T_Stocks[[#This Row],[Fecha]]),DAY(T_Stocks[[#This Row],[Fecha]]))</f>
        <v>BTCEUR-45251</v>
      </c>
    </row>
    <row r="3248" spans="1:4" ht="14.65" thickBot="1" x14ac:dyDescent="0.5">
      <c r="A3248" s="17">
        <v>45252.998611111114</v>
      </c>
      <c r="B3248" s="19">
        <v>34360.926310000003</v>
      </c>
      <c r="C3248" t="s">
        <v>155</v>
      </c>
      <c r="D3248" t="str">
        <f>T_Stocks[[#This Row],[Ticker]] &amp; "-" &amp; DATE(YEAR(T_Stocks[[#This Row],[Fecha]]),MONTH(T_Stocks[[#This Row],[Fecha]]),DAY(T_Stocks[[#This Row],[Fecha]]))</f>
        <v>BTCEUR-45252</v>
      </c>
    </row>
    <row r="3249" spans="1:4" ht="14.65" thickBot="1" x14ac:dyDescent="0.5">
      <c r="A3249" s="17">
        <v>45253.998611111114</v>
      </c>
      <c r="B3249" s="19">
        <v>34204.193469999998</v>
      </c>
      <c r="C3249" t="s">
        <v>155</v>
      </c>
      <c r="D3249" t="str">
        <f>T_Stocks[[#This Row],[Ticker]] &amp; "-" &amp; DATE(YEAR(T_Stocks[[#This Row],[Fecha]]),MONTH(T_Stocks[[#This Row],[Fecha]]),DAY(T_Stocks[[#This Row],[Fecha]]))</f>
        <v>BTCEUR-45253</v>
      </c>
    </row>
    <row r="3250" spans="1:4" ht="14.65" thickBot="1" x14ac:dyDescent="0.5">
      <c r="A3250" s="17">
        <v>45254.998611111114</v>
      </c>
      <c r="B3250" s="19">
        <v>34460.734360000002</v>
      </c>
      <c r="C3250" t="s">
        <v>155</v>
      </c>
      <c r="D3250" t="str">
        <f>T_Stocks[[#This Row],[Ticker]] &amp; "-" &amp; DATE(YEAR(T_Stocks[[#This Row],[Fecha]]),MONTH(T_Stocks[[#This Row],[Fecha]]),DAY(T_Stocks[[#This Row],[Fecha]]))</f>
        <v>BTCEUR-45254</v>
      </c>
    </row>
    <row r="3251" spans="1:4" ht="14.65" thickBot="1" x14ac:dyDescent="0.5">
      <c r="A3251" s="17">
        <v>45255.998611111114</v>
      </c>
      <c r="B3251" s="19">
        <v>34526.174279999999</v>
      </c>
      <c r="C3251" t="s">
        <v>155</v>
      </c>
      <c r="D3251" t="str">
        <f>T_Stocks[[#This Row],[Ticker]] &amp; "-" &amp; DATE(YEAR(T_Stocks[[#This Row],[Fecha]]),MONTH(T_Stocks[[#This Row],[Fecha]]),DAY(T_Stocks[[#This Row],[Fecha]]))</f>
        <v>BTCEUR-45255</v>
      </c>
    </row>
    <row r="3252" spans="1:4" ht="14.65" thickBot="1" x14ac:dyDescent="0.5">
      <c r="A3252" s="17">
        <v>45256.998611111114</v>
      </c>
      <c r="B3252" s="19">
        <v>34242.561690000002</v>
      </c>
      <c r="C3252" t="s">
        <v>155</v>
      </c>
      <c r="D3252" t="str">
        <f>T_Stocks[[#This Row],[Ticker]] &amp; "-" &amp; DATE(YEAR(T_Stocks[[#This Row],[Fecha]]),MONTH(T_Stocks[[#This Row],[Fecha]]),DAY(T_Stocks[[#This Row],[Fecha]]))</f>
        <v>BTCEUR-45256</v>
      </c>
    </row>
    <row r="3253" spans="1:4" ht="14.65" thickBot="1" x14ac:dyDescent="0.5">
      <c r="A3253" s="17">
        <v>45257.998611111114</v>
      </c>
      <c r="B3253" s="19">
        <v>33989.824520000002</v>
      </c>
      <c r="C3253" t="s">
        <v>155</v>
      </c>
      <c r="D3253" t="str">
        <f>T_Stocks[[#This Row],[Ticker]] &amp; "-" &amp; DATE(YEAR(T_Stocks[[#This Row],[Fecha]]),MONTH(T_Stocks[[#This Row],[Fecha]]),DAY(T_Stocks[[#This Row],[Fecha]]))</f>
        <v>BTCEUR-45257</v>
      </c>
    </row>
    <row r="3254" spans="1:4" ht="14.65" thickBot="1" x14ac:dyDescent="0.5">
      <c r="A3254" s="17">
        <v>45258.998611111114</v>
      </c>
      <c r="B3254" s="19">
        <v>34374.455029999997</v>
      </c>
      <c r="C3254" t="s">
        <v>155</v>
      </c>
      <c r="D3254" t="str">
        <f>T_Stocks[[#This Row],[Ticker]] &amp; "-" &amp; DATE(YEAR(T_Stocks[[#This Row],[Fecha]]),MONTH(T_Stocks[[#This Row],[Fecha]]),DAY(T_Stocks[[#This Row],[Fecha]]))</f>
        <v>BTCEUR-45258</v>
      </c>
    </row>
    <row r="3255" spans="1:4" ht="14.65" thickBot="1" x14ac:dyDescent="0.5">
      <c r="A3255" s="17">
        <v>45259.998611111114</v>
      </c>
      <c r="B3255" s="19">
        <v>34502.486510000002</v>
      </c>
      <c r="C3255" t="s">
        <v>155</v>
      </c>
      <c r="D3255" t="str">
        <f>T_Stocks[[#This Row],[Ticker]] &amp; "-" &amp; DATE(YEAR(T_Stocks[[#This Row],[Fecha]]),MONTH(T_Stocks[[#This Row],[Fecha]]),DAY(T_Stocks[[#This Row],[Fecha]]))</f>
        <v>BTCEUR-45259</v>
      </c>
    </row>
    <row r="3256" spans="1:4" ht="14.65" thickBot="1" x14ac:dyDescent="0.5">
      <c r="A3256" s="17">
        <v>45260.998611111114</v>
      </c>
      <c r="B3256" s="19">
        <v>34634.211589999999</v>
      </c>
      <c r="C3256" t="s">
        <v>155</v>
      </c>
      <c r="D3256" t="str">
        <f>T_Stocks[[#This Row],[Ticker]] &amp; "-" &amp; DATE(YEAR(T_Stocks[[#This Row],[Fecha]]),MONTH(T_Stocks[[#This Row],[Fecha]]),DAY(T_Stocks[[#This Row],[Fecha]]))</f>
        <v>BTCEUR-45260</v>
      </c>
    </row>
    <row r="3257" spans="1:4" ht="14.65" thickBot="1" x14ac:dyDescent="0.5">
      <c r="A3257" s="17">
        <v>45261.998611111114</v>
      </c>
      <c r="B3257" s="19">
        <v>35526.447489999999</v>
      </c>
      <c r="C3257" t="s">
        <v>155</v>
      </c>
      <c r="D3257" t="str">
        <f>T_Stocks[[#This Row],[Ticker]] &amp; "-" &amp; DATE(YEAR(T_Stocks[[#This Row],[Fecha]]),MONTH(T_Stocks[[#This Row],[Fecha]]),DAY(T_Stocks[[#This Row],[Fecha]]))</f>
        <v>BTCEUR-45261</v>
      </c>
    </row>
    <row r="3258" spans="1:4" ht="14.65" thickBot="1" x14ac:dyDescent="0.5">
      <c r="A3258" s="17">
        <v>45262.998611111114</v>
      </c>
      <c r="B3258" s="19">
        <v>36243.168189999997</v>
      </c>
      <c r="C3258" t="s">
        <v>155</v>
      </c>
      <c r="D3258" t="str">
        <f>T_Stocks[[#This Row],[Ticker]] &amp; "-" &amp; DATE(YEAR(T_Stocks[[#This Row],[Fecha]]),MONTH(T_Stocks[[#This Row],[Fecha]]),DAY(T_Stocks[[#This Row],[Fecha]]))</f>
        <v>BTCEUR-45262</v>
      </c>
    </row>
    <row r="3259" spans="1:4" ht="14.65" thickBot="1" x14ac:dyDescent="0.5">
      <c r="A3259" s="17">
        <v>45263.998611111114</v>
      </c>
      <c r="B3259" s="19">
        <v>36715.809759999996</v>
      </c>
      <c r="C3259" t="s">
        <v>155</v>
      </c>
      <c r="D3259" t="str">
        <f>T_Stocks[[#This Row],[Ticker]] &amp; "-" &amp; DATE(YEAR(T_Stocks[[#This Row],[Fecha]]),MONTH(T_Stocks[[#This Row],[Fecha]]),DAY(T_Stocks[[#This Row],[Fecha]]))</f>
        <v>BTCEUR-45263</v>
      </c>
    </row>
    <row r="3260" spans="1:4" ht="14.65" thickBot="1" x14ac:dyDescent="0.5">
      <c r="A3260" s="17">
        <v>45264.998611111114</v>
      </c>
      <c r="B3260" s="19">
        <v>38736.99439</v>
      </c>
      <c r="C3260" t="s">
        <v>155</v>
      </c>
      <c r="D3260" t="str">
        <f>T_Stocks[[#This Row],[Ticker]] &amp; "-" &amp; DATE(YEAR(T_Stocks[[#This Row],[Fecha]]),MONTH(T_Stocks[[#This Row],[Fecha]]),DAY(T_Stocks[[#This Row],[Fecha]]))</f>
        <v>BTCEUR-45264</v>
      </c>
    </row>
    <row r="3261" spans="1:4" ht="14.65" thickBot="1" x14ac:dyDescent="0.5">
      <c r="A3261" s="17">
        <v>45265.998611111114</v>
      </c>
      <c r="B3261" s="19">
        <v>40841.224950000003</v>
      </c>
      <c r="C3261" t="s">
        <v>155</v>
      </c>
      <c r="D3261" t="str">
        <f>T_Stocks[[#This Row],[Ticker]] &amp; "-" &amp; DATE(YEAR(T_Stocks[[#This Row],[Fecha]]),MONTH(T_Stocks[[#This Row],[Fecha]]),DAY(T_Stocks[[#This Row],[Fecha]]))</f>
        <v>BTCEUR-45265</v>
      </c>
    </row>
    <row r="3262" spans="1:4" ht="14.65" thickBot="1" x14ac:dyDescent="0.5">
      <c r="A3262" s="17">
        <v>45266.998611111114</v>
      </c>
      <c r="B3262" s="19">
        <v>40657.355000000003</v>
      </c>
      <c r="C3262" t="s">
        <v>155</v>
      </c>
      <c r="D3262" t="str">
        <f>T_Stocks[[#This Row],[Ticker]] &amp; "-" &amp; DATE(YEAR(T_Stocks[[#This Row],[Fecha]]),MONTH(T_Stocks[[#This Row],[Fecha]]),DAY(T_Stocks[[#This Row],[Fecha]]))</f>
        <v>BTCEUR-45266</v>
      </c>
    </row>
    <row r="3263" spans="1:4" ht="14.65" thickBot="1" x14ac:dyDescent="0.5">
      <c r="A3263" s="17">
        <v>45267.998611111114</v>
      </c>
      <c r="B3263" s="19">
        <v>40118.166259999998</v>
      </c>
      <c r="C3263" t="s">
        <v>155</v>
      </c>
      <c r="D3263" t="str">
        <f>T_Stocks[[#This Row],[Ticker]] &amp; "-" &amp; DATE(YEAR(T_Stocks[[#This Row],[Fecha]]),MONTH(T_Stocks[[#This Row],[Fecha]]),DAY(T_Stocks[[#This Row],[Fecha]]))</f>
        <v>BTCEUR-45267</v>
      </c>
    </row>
    <row r="3264" spans="1:4" ht="14.65" thickBot="1" x14ac:dyDescent="0.5">
      <c r="A3264" s="17">
        <v>45268.998611111114</v>
      </c>
      <c r="B3264" s="19">
        <v>41016.358590000003</v>
      </c>
      <c r="C3264" t="s">
        <v>155</v>
      </c>
      <c r="D3264" t="str">
        <f>T_Stocks[[#This Row],[Ticker]] &amp; "-" &amp; DATE(YEAR(T_Stocks[[#This Row],[Fecha]]),MONTH(T_Stocks[[#This Row],[Fecha]]),DAY(T_Stocks[[#This Row],[Fecha]]))</f>
        <v>BTCEUR-45268</v>
      </c>
    </row>
    <row r="3265" spans="1:4" ht="14.65" thickBot="1" x14ac:dyDescent="0.5">
      <c r="A3265" s="17">
        <v>45269.998611111114</v>
      </c>
      <c r="B3265" s="19">
        <v>40592.124080000001</v>
      </c>
      <c r="C3265" t="s">
        <v>155</v>
      </c>
      <c r="D3265" t="str">
        <f>T_Stocks[[#This Row],[Ticker]] &amp; "-" &amp; DATE(YEAR(T_Stocks[[#This Row],[Fecha]]),MONTH(T_Stocks[[#This Row],[Fecha]]),DAY(T_Stocks[[#This Row],[Fecha]]))</f>
        <v>BTCEUR-45269</v>
      </c>
    </row>
    <row r="3266" spans="1:4" ht="14.65" thickBot="1" x14ac:dyDescent="0.5">
      <c r="A3266" s="17">
        <v>45270.998611111114</v>
      </c>
      <c r="B3266" s="19">
        <v>40675.4588</v>
      </c>
      <c r="C3266" t="s">
        <v>155</v>
      </c>
      <c r="D3266" t="str">
        <f>T_Stocks[[#This Row],[Ticker]] &amp; "-" &amp; DATE(YEAR(T_Stocks[[#This Row],[Fecha]]),MONTH(T_Stocks[[#This Row],[Fecha]]),DAY(T_Stocks[[#This Row],[Fecha]]))</f>
        <v>BTCEUR-45270</v>
      </c>
    </row>
    <row r="3267" spans="1:4" ht="14.65" thickBot="1" x14ac:dyDescent="0.5">
      <c r="A3267" s="17">
        <v>45271.998611111114</v>
      </c>
      <c r="B3267" s="19">
        <v>38301.324979999998</v>
      </c>
      <c r="C3267" t="s">
        <v>155</v>
      </c>
      <c r="D3267" t="str">
        <f>T_Stocks[[#This Row],[Ticker]] &amp; "-" &amp; DATE(YEAR(T_Stocks[[#This Row],[Fecha]]),MONTH(T_Stocks[[#This Row],[Fecha]]),DAY(T_Stocks[[#This Row],[Fecha]]))</f>
        <v>BTCEUR-45271</v>
      </c>
    </row>
    <row r="3268" spans="1:4" ht="14.65" thickBot="1" x14ac:dyDescent="0.5">
      <c r="A3268" s="17">
        <v>45272.998611111114</v>
      </c>
      <c r="B3268" s="19">
        <v>38405.916210000003</v>
      </c>
      <c r="C3268" t="s">
        <v>155</v>
      </c>
      <c r="D3268" t="str">
        <f>T_Stocks[[#This Row],[Ticker]] &amp; "-" &amp; DATE(YEAR(T_Stocks[[#This Row],[Fecha]]),MONTH(T_Stocks[[#This Row],[Fecha]]),DAY(T_Stocks[[#This Row],[Fecha]]))</f>
        <v>BTCEUR-45272</v>
      </c>
    </row>
    <row r="3269" spans="1:4" ht="14.65" thickBot="1" x14ac:dyDescent="0.5">
      <c r="A3269" s="17">
        <v>45273.998611111114</v>
      </c>
      <c r="B3269" s="19">
        <v>39399.608289999996</v>
      </c>
      <c r="C3269" t="s">
        <v>155</v>
      </c>
      <c r="D3269" t="str">
        <f>T_Stocks[[#This Row],[Ticker]] &amp; "-" &amp; DATE(YEAR(T_Stocks[[#This Row],[Fecha]]),MONTH(T_Stocks[[#This Row],[Fecha]]),DAY(T_Stocks[[#This Row],[Fecha]]))</f>
        <v>BTCEUR-45273</v>
      </c>
    </row>
    <row r="3270" spans="1:4" ht="14.65" thickBot="1" x14ac:dyDescent="0.5">
      <c r="A3270" s="17">
        <v>45274.998611111114</v>
      </c>
      <c r="B3270" s="19">
        <v>39140.602939999997</v>
      </c>
      <c r="C3270" t="s">
        <v>155</v>
      </c>
      <c r="D3270" t="str">
        <f>T_Stocks[[#This Row],[Ticker]] &amp; "-" &amp; DATE(YEAR(T_Stocks[[#This Row],[Fecha]]),MONTH(T_Stocks[[#This Row],[Fecha]]),DAY(T_Stocks[[#This Row],[Fecha]]))</f>
        <v>BTCEUR-45274</v>
      </c>
    </row>
    <row r="3271" spans="1:4" ht="14.65" thickBot="1" x14ac:dyDescent="0.5">
      <c r="A3271" s="17">
        <v>45275.998611111114</v>
      </c>
      <c r="B3271" s="19">
        <v>38451.485679999998</v>
      </c>
      <c r="C3271" t="s">
        <v>155</v>
      </c>
      <c r="D3271" t="str">
        <f>T_Stocks[[#This Row],[Ticker]] &amp; "-" &amp; DATE(YEAR(T_Stocks[[#This Row],[Fecha]]),MONTH(T_Stocks[[#This Row],[Fecha]]),DAY(T_Stocks[[#This Row],[Fecha]]))</f>
        <v>BTCEUR-45275</v>
      </c>
    </row>
    <row r="3272" spans="1:4" ht="14.65" thickBot="1" x14ac:dyDescent="0.5">
      <c r="A3272" s="17">
        <v>45276.998611111114</v>
      </c>
      <c r="B3272" s="19">
        <v>38742.143750000003</v>
      </c>
      <c r="C3272" t="s">
        <v>155</v>
      </c>
      <c r="D3272" t="str">
        <f>T_Stocks[[#This Row],[Ticker]] &amp; "-" &amp; DATE(YEAR(T_Stocks[[#This Row],[Fecha]]),MONTH(T_Stocks[[#This Row],[Fecha]]),DAY(T_Stocks[[#This Row],[Fecha]]))</f>
        <v>BTCEUR-45276</v>
      </c>
    </row>
    <row r="3273" spans="1:4" ht="14.65" thickBot="1" x14ac:dyDescent="0.5">
      <c r="A3273" s="17">
        <v>45277.998611111114</v>
      </c>
      <c r="B3273" s="19">
        <v>37962.210590000002</v>
      </c>
      <c r="C3273" t="s">
        <v>155</v>
      </c>
      <c r="D3273" t="str">
        <f>T_Stocks[[#This Row],[Ticker]] &amp; "-" &amp; DATE(YEAR(T_Stocks[[#This Row],[Fecha]]),MONTH(T_Stocks[[#This Row],[Fecha]]),DAY(T_Stocks[[#This Row],[Fecha]]))</f>
        <v>BTCEUR-45277</v>
      </c>
    </row>
    <row r="3274" spans="1:4" ht="14.65" thickBot="1" x14ac:dyDescent="0.5">
      <c r="A3274" s="17">
        <v>45278.998611111114</v>
      </c>
      <c r="B3274" s="19">
        <v>39044.83797</v>
      </c>
      <c r="C3274" t="s">
        <v>155</v>
      </c>
      <c r="D3274" t="str">
        <f>T_Stocks[[#This Row],[Ticker]] &amp; "-" &amp; DATE(YEAR(T_Stocks[[#This Row],[Fecha]]),MONTH(T_Stocks[[#This Row],[Fecha]]),DAY(T_Stocks[[#This Row],[Fecha]]))</f>
        <v>BTCEUR-45278</v>
      </c>
    </row>
    <row r="3275" spans="1:4" ht="14.65" thickBot="1" x14ac:dyDescent="0.5">
      <c r="A3275" s="17">
        <v>45279.998611111114</v>
      </c>
      <c r="B3275" s="19">
        <v>38494.554389999998</v>
      </c>
      <c r="C3275" t="s">
        <v>155</v>
      </c>
      <c r="D3275" t="str">
        <f>T_Stocks[[#This Row],[Ticker]] &amp; "-" &amp; DATE(YEAR(T_Stocks[[#This Row],[Fecha]]),MONTH(T_Stocks[[#This Row],[Fecha]]),DAY(T_Stocks[[#This Row],[Fecha]]))</f>
        <v>BTCEUR-45279</v>
      </c>
    </row>
    <row r="3276" spans="1:4" ht="14.65" thickBot="1" x14ac:dyDescent="0.5">
      <c r="A3276" s="17">
        <v>45280.998611111114</v>
      </c>
      <c r="B3276" s="19">
        <v>39888.808360000003</v>
      </c>
      <c r="C3276" t="s">
        <v>155</v>
      </c>
      <c r="D3276" t="str">
        <f>T_Stocks[[#This Row],[Ticker]] &amp; "-" &amp; DATE(YEAR(T_Stocks[[#This Row],[Fecha]]),MONTH(T_Stocks[[#This Row],[Fecha]]),DAY(T_Stocks[[#This Row],[Fecha]]))</f>
        <v>BTCEUR-45280</v>
      </c>
    </row>
    <row r="3277" spans="1:4" ht="14.65" thickBot="1" x14ac:dyDescent="0.5">
      <c r="A3277" s="17">
        <v>45281.998611111114</v>
      </c>
      <c r="B3277" s="19">
        <v>39868.099710000002</v>
      </c>
      <c r="C3277" t="s">
        <v>155</v>
      </c>
      <c r="D3277" t="str">
        <f>T_Stocks[[#This Row],[Ticker]] &amp; "-" &amp; DATE(YEAR(T_Stocks[[#This Row],[Fecha]]),MONTH(T_Stocks[[#This Row],[Fecha]]),DAY(T_Stocks[[#This Row],[Fecha]]))</f>
        <v>BTCEUR-45281</v>
      </c>
    </row>
    <row r="3278" spans="1:4" ht="14.65" thickBot="1" x14ac:dyDescent="0.5">
      <c r="A3278" s="17">
        <v>45282.998611111114</v>
      </c>
      <c r="B3278" s="19">
        <v>39918.273639999999</v>
      </c>
      <c r="C3278" t="s">
        <v>155</v>
      </c>
      <c r="D3278" t="str">
        <f>T_Stocks[[#This Row],[Ticker]] &amp; "-" &amp; DATE(YEAR(T_Stocks[[#This Row],[Fecha]]),MONTH(T_Stocks[[#This Row],[Fecha]]),DAY(T_Stocks[[#This Row],[Fecha]]))</f>
        <v>BTCEUR-45282</v>
      </c>
    </row>
    <row r="3279" spans="1:4" ht="14.65" thickBot="1" x14ac:dyDescent="0.5">
      <c r="A3279" s="17">
        <v>45283.998611111114</v>
      </c>
      <c r="B3279" s="19">
        <v>39693.607300000003</v>
      </c>
      <c r="C3279" t="s">
        <v>155</v>
      </c>
      <c r="D3279" t="str">
        <f>T_Stocks[[#This Row],[Ticker]] &amp; "-" &amp; DATE(YEAR(T_Stocks[[#This Row],[Fecha]]),MONTH(T_Stocks[[#This Row],[Fecha]]),DAY(T_Stocks[[#This Row],[Fecha]]))</f>
        <v>BTCEUR-45283</v>
      </c>
    </row>
    <row r="3280" spans="1:4" ht="14.65" thickBot="1" x14ac:dyDescent="0.5">
      <c r="A3280" s="17">
        <v>45284.998611111114</v>
      </c>
      <c r="B3280" s="19">
        <v>39035.406490000001</v>
      </c>
      <c r="C3280" t="s">
        <v>155</v>
      </c>
      <c r="D3280" t="str">
        <f>T_Stocks[[#This Row],[Ticker]] &amp; "-" &amp; DATE(YEAR(T_Stocks[[#This Row],[Fecha]]),MONTH(T_Stocks[[#This Row],[Fecha]]),DAY(T_Stocks[[#This Row],[Fecha]]))</f>
        <v>BTCEUR-45284</v>
      </c>
    </row>
    <row r="3281" spans="1:4" ht="14.65" thickBot="1" x14ac:dyDescent="0.5">
      <c r="A3281" s="17">
        <v>45285.998611111114</v>
      </c>
      <c r="B3281" s="19">
        <v>39570.771359999999</v>
      </c>
      <c r="C3281" t="s">
        <v>155</v>
      </c>
      <c r="D3281" t="str">
        <f>T_Stocks[[#This Row],[Ticker]] &amp; "-" &amp; DATE(YEAR(T_Stocks[[#This Row],[Fecha]]),MONTH(T_Stocks[[#This Row],[Fecha]]),DAY(T_Stocks[[#This Row],[Fecha]]))</f>
        <v>BTCEUR-45285</v>
      </c>
    </row>
    <row r="3282" spans="1:4" ht="14.65" thickBot="1" x14ac:dyDescent="0.5">
      <c r="A3282" s="17">
        <v>45286.998611111114</v>
      </c>
      <c r="B3282" s="19">
        <v>38508.269249999998</v>
      </c>
      <c r="C3282" t="s">
        <v>155</v>
      </c>
      <c r="D3282" t="str">
        <f>T_Stocks[[#This Row],[Ticker]] &amp; "-" &amp; DATE(YEAR(T_Stocks[[#This Row],[Fecha]]),MONTH(T_Stocks[[#This Row],[Fecha]]),DAY(T_Stocks[[#This Row],[Fecha]]))</f>
        <v>BTCEUR-45286</v>
      </c>
    </row>
    <row r="3283" spans="1:4" ht="14.65" thickBot="1" x14ac:dyDescent="0.5">
      <c r="A3283" s="17">
        <v>45287.998611111114</v>
      </c>
      <c r="B3283" s="19">
        <v>39131.18088</v>
      </c>
      <c r="C3283" t="s">
        <v>155</v>
      </c>
      <c r="D3283" t="str">
        <f>T_Stocks[[#This Row],[Ticker]] &amp; "-" &amp; DATE(YEAR(T_Stocks[[#This Row],[Fecha]]),MONTH(T_Stocks[[#This Row],[Fecha]]),DAY(T_Stocks[[#This Row],[Fecha]]))</f>
        <v>BTCEUR-45287</v>
      </c>
    </row>
    <row r="3284" spans="1:4" ht="14.65" thickBot="1" x14ac:dyDescent="0.5">
      <c r="A3284" s="17">
        <v>45288.998611111114</v>
      </c>
      <c r="B3284" s="19">
        <v>38485.132310000001</v>
      </c>
      <c r="C3284" t="s">
        <v>155</v>
      </c>
      <c r="D3284" t="str">
        <f>T_Stocks[[#This Row],[Ticker]] &amp; "-" &amp; DATE(YEAR(T_Stocks[[#This Row],[Fecha]]),MONTH(T_Stocks[[#This Row],[Fecha]]),DAY(T_Stocks[[#This Row],[Fecha]]))</f>
        <v>BTCEUR-45288</v>
      </c>
    </row>
    <row r="3285" spans="1:4" ht="14.65" thickBot="1" x14ac:dyDescent="0.5">
      <c r="A3285" s="17">
        <v>45289.998611111114</v>
      </c>
      <c r="B3285" s="19">
        <v>38068.81308</v>
      </c>
      <c r="C3285" t="s">
        <v>155</v>
      </c>
      <c r="D3285" t="str">
        <f>T_Stocks[[#This Row],[Ticker]] &amp; "-" &amp; DATE(YEAR(T_Stocks[[#This Row],[Fecha]]),MONTH(T_Stocks[[#This Row],[Fecha]]),DAY(T_Stocks[[#This Row],[Fecha]]))</f>
        <v>BTCEUR-45289</v>
      </c>
    </row>
    <row r="3286" spans="1:4" ht="14.65" thickBot="1" x14ac:dyDescent="0.5">
      <c r="A3286" s="17">
        <v>45290.998611111114</v>
      </c>
      <c r="B3286" s="19">
        <v>38116.70635</v>
      </c>
      <c r="C3286" t="s">
        <v>155</v>
      </c>
      <c r="D3286" t="str">
        <f>T_Stocks[[#This Row],[Ticker]] &amp; "-" &amp; DATE(YEAR(T_Stocks[[#This Row],[Fecha]]),MONTH(T_Stocks[[#This Row],[Fecha]]),DAY(T_Stocks[[#This Row],[Fecha]]))</f>
        <v>BTCEUR-45290</v>
      </c>
    </row>
    <row r="3287" spans="1:4" ht="14.65" thickBot="1" x14ac:dyDescent="0.5">
      <c r="A3287" s="17">
        <v>45291.998611111114</v>
      </c>
      <c r="B3287" s="19">
        <v>38252.544159999998</v>
      </c>
      <c r="C3287" t="s">
        <v>155</v>
      </c>
      <c r="D3287" t="str">
        <f>T_Stocks[[#This Row],[Ticker]] &amp; "-" &amp; DATE(YEAR(T_Stocks[[#This Row],[Fecha]]),MONTH(T_Stocks[[#This Row],[Fecha]]),DAY(T_Stocks[[#This Row],[Fecha]]))</f>
        <v>BTCEUR-45291</v>
      </c>
    </row>
    <row r="3288" spans="1:4" ht="14.65" thickBot="1" x14ac:dyDescent="0.5">
      <c r="A3288" s="17">
        <v>45292.998611111114</v>
      </c>
      <c r="B3288" s="19">
        <v>40044.73878</v>
      </c>
      <c r="C3288" t="s">
        <v>155</v>
      </c>
      <c r="D3288" t="str">
        <f>T_Stocks[[#This Row],[Ticker]] &amp; "-" &amp; DATE(YEAR(T_Stocks[[#This Row],[Fecha]]),MONTH(T_Stocks[[#This Row],[Fecha]]),DAY(T_Stocks[[#This Row],[Fecha]]))</f>
        <v>BTCEUR-45292</v>
      </c>
    </row>
    <row r="3289" spans="1:4" ht="14.65" thickBot="1" x14ac:dyDescent="0.5">
      <c r="A3289" s="17">
        <v>45293.998611111114</v>
      </c>
      <c r="B3289" s="19">
        <v>41101.040609999996</v>
      </c>
      <c r="C3289" t="s">
        <v>155</v>
      </c>
      <c r="D3289" t="str">
        <f>T_Stocks[[#This Row],[Ticker]] &amp; "-" &amp; DATE(YEAR(T_Stocks[[#This Row],[Fecha]]),MONTH(T_Stocks[[#This Row],[Fecha]]),DAY(T_Stocks[[#This Row],[Fecha]]))</f>
        <v>BTCEUR-45293</v>
      </c>
    </row>
    <row r="3290" spans="1:4" ht="14.65" thickBot="1" x14ac:dyDescent="0.5">
      <c r="A3290" s="17">
        <v>45294.998611111114</v>
      </c>
      <c r="B3290" s="19">
        <v>39225.322249999997</v>
      </c>
      <c r="C3290" t="s">
        <v>155</v>
      </c>
      <c r="D3290" t="str">
        <f>T_Stocks[[#This Row],[Ticker]] &amp; "-" &amp; DATE(YEAR(T_Stocks[[#This Row],[Fecha]]),MONTH(T_Stocks[[#This Row],[Fecha]]),DAY(T_Stocks[[#This Row],[Fecha]]))</f>
        <v>BTCEUR-45294</v>
      </c>
    </row>
    <row r="3291" spans="1:4" ht="14.65" thickBot="1" x14ac:dyDescent="0.5">
      <c r="A3291" s="17">
        <v>45295.998611111114</v>
      </c>
      <c r="B3291" s="19">
        <v>40376.914199999999</v>
      </c>
      <c r="C3291" t="s">
        <v>155</v>
      </c>
      <c r="D3291" t="str">
        <f>T_Stocks[[#This Row],[Ticker]] &amp; "-" &amp; DATE(YEAR(T_Stocks[[#This Row],[Fecha]]),MONTH(T_Stocks[[#This Row],[Fecha]]),DAY(T_Stocks[[#This Row],[Fecha]]))</f>
        <v>BTCEUR-45295</v>
      </c>
    </row>
    <row r="3292" spans="1:4" ht="14.65" thickBot="1" x14ac:dyDescent="0.5">
      <c r="A3292" s="17">
        <v>45296.998611111114</v>
      </c>
      <c r="B3292" s="19">
        <v>40328.224499999997</v>
      </c>
      <c r="C3292" t="s">
        <v>155</v>
      </c>
      <c r="D3292" t="str">
        <f>T_Stocks[[#This Row],[Ticker]] &amp; "-" &amp; DATE(YEAR(T_Stocks[[#This Row],[Fecha]]),MONTH(T_Stocks[[#This Row],[Fecha]]),DAY(T_Stocks[[#This Row],[Fecha]]))</f>
        <v>BTCEUR-45296</v>
      </c>
    </row>
    <row r="3293" spans="1:4" ht="14.65" thickBot="1" x14ac:dyDescent="0.5">
      <c r="A3293" s="17">
        <v>45297.998611111114</v>
      </c>
      <c r="B3293" s="19">
        <v>40162.167860000001</v>
      </c>
      <c r="C3293" t="s">
        <v>155</v>
      </c>
      <c r="D3293" t="str">
        <f>T_Stocks[[#This Row],[Ticker]] &amp; "-" &amp; DATE(YEAR(T_Stocks[[#This Row],[Fecha]]),MONTH(T_Stocks[[#This Row],[Fecha]]),DAY(T_Stocks[[#This Row],[Fecha]]))</f>
        <v>BTCEUR-45297</v>
      </c>
    </row>
    <row r="3294" spans="1:4" ht="14.65" thickBot="1" x14ac:dyDescent="0.5">
      <c r="A3294" s="17">
        <v>45298.998611111114</v>
      </c>
      <c r="B3294" s="19">
        <v>40156.655599999998</v>
      </c>
      <c r="C3294" t="s">
        <v>155</v>
      </c>
      <c r="D3294" t="str">
        <f>T_Stocks[[#This Row],[Ticker]] &amp; "-" &amp; DATE(YEAR(T_Stocks[[#This Row],[Fecha]]),MONTH(T_Stocks[[#This Row],[Fecha]]),DAY(T_Stocks[[#This Row],[Fecha]]))</f>
        <v>BTCEUR-45298</v>
      </c>
    </row>
    <row r="3295" spans="1:4" ht="14.65" thickBot="1" x14ac:dyDescent="0.5">
      <c r="A3295" s="17">
        <v>45299.998611111114</v>
      </c>
      <c r="B3295" s="19">
        <v>42903.756650000003</v>
      </c>
      <c r="C3295" t="s">
        <v>155</v>
      </c>
      <c r="D3295" t="str">
        <f>T_Stocks[[#This Row],[Ticker]] &amp; "-" &amp; DATE(YEAR(T_Stocks[[#This Row],[Fecha]]),MONTH(T_Stocks[[#This Row],[Fecha]]),DAY(T_Stocks[[#This Row],[Fecha]]))</f>
        <v>BTCEUR-45299</v>
      </c>
    </row>
    <row r="3296" spans="1:4" ht="14.65" thickBot="1" x14ac:dyDescent="0.5">
      <c r="A3296" s="17">
        <v>45300.998611111114</v>
      </c>
      <c r="B3296" s="19">
        <v>42194.739909999997</v>
      </c>
      <c r="C3296" t="s">
        <v>155</v>
      </c>
      <c r="D3296" t="str">
        <f>T_Stocks[[#This Row],[Ticker]] &amp; "-" &amp; DATE(YEAR(T_Stocks[[#This Row],[Fecha]]),MONTH(T_Stocks[[#This Row],[Fecha]]),DAY(T_Stocks[[#This Row],[Fecha]]))</f>
        <v>BTCEUR-45300</v>
      </c>
    </row>
    <row r="3297" spans="1:4" ht="14.65" thickBot="1" x14ac:dyDescent="0.5">
      <c r="A3297" s="17">
        <v>45301.998611111114</v>
      </c>
      <c r="B3297" s="19">
        <v>42516.445760000002</v>
      </c>
      <c r="C3297" t="s">
        <v>155</v>
      </c>
      <c r="D3297" t="str">
        <f>T_Stocks[[#This Row],[Ticker]] &amp; "-" &amp; DATE(YEAR(T_Stocks[[#This Row],[Fecha]]),MONTH(T_Stocks[[#This Row],[Fecha]]),DAY(T_Stocks[[#This Row],[Fecha]]))</f>
        <v>BTCEUR-45301</v>
      </c>
    </row>
    <row r="3298" spans="1:4" ht="14.65" thickBot="1" x14ac:dyDescent="0.5">
      <c r="A3298" s="17">
        <v>45302.998611111114</v>
      </c>
      <c r="B3298" s="19">
        <v>42205.425790000001</v>
      </c>
      <c r="C3298" t="s">
        <v>155</v>
      </c>
      <c r="D3298" t="str">
        <f>T_Stocks[[#This Row],[Ticker]] &amp; "-" &amp; DATE(YEAR(T_Stocks[[#This Row],[Fecha]]),MONTH(T_Stocks[[#This Row],[Fecha]]),DAY(T_Stocks[[#This Row],[Fecha]]))</f>
        <v>BTCEUR-45302</v>
      </c>
    </row>
    <row r="3299" spans="1:4" ht="14.65" thickBot="1" x14ac:dyDescent="0.5">
      <c r="A3299" s="17">
        <v>45303.998611111114</v>
      </c>
      <c r="B3299" s="19">
        <v>39039.841009999996</v>
      </c>
      <c r="C3299" t="s">
        <v>155</v>
      </c>
      <c r="D3299" t="str">
        <f>T_Stocks[[#This Row],[Ticker]] &amp; "-" &amp; DATE(YEAR(T_Stocks[[#This Row],[Fecha]]),MONTH(T_Stocks[[#This Row],[Fecha]]),DAY(T_Stocks[[#This Row],[Fecha]]))</f>
        <v>BTCEUR-45303</v>
      </c>
    </row>
    <row r="3300" spans="1:4" ht="14.65" thickBot="1" x14ac:dyDescent="0.5">
      <c r="A3300" s="17">
        <v>45304.998611111114</v>
      </c>
      <c r="B3300" s="19">
        <v>39081.989150000001</v>
      </c>
      <c r="C3300" t="s">
        <v>155</v>
      </c>
      <c r="D3300" t="str">
        <f>T_Stocks[[#This Row],[Ticker]] &amp; "-" &amp; DATE(YEAR(T_Stocks[[#This Row],[Fecha]]),MONTH(T_Stocks[[#This Row],[Fecha]]),DAY(T_Stocks[[#This Row],[Fecha]]))</f>
        <v>BTCEUR-45304</v>
      </c>
    </row>
    <row r="3301" spans="1:4" ht="14.65" thickBot="1" x14ac:dyDescent="0.5">
      <c r="A3301" s="17">
        <v>45305.998611111114</v>
      </c>
      <c r="B3301" s="19">
        <v>38298.4683</v>
      </c>
      <c r="C3301" t="s">
        <v>155</v>
      </c>
      <c r="D3301" t="str">
        <f>T_Stocks[[#This Row],[Ticker]] &amp; "-" &amp; DATE(YEAR(T_Stocks[[#This Row],[Fecha]]),MONTH(T_Stocks[[#This Row],[Fecha]]),DAY(T_Stocks[[#This Row],[Fecha]]))</f>
        <v>BTCEUR-45305</v>
      </c>
    </row>
    <row r="3302" spans="1:4" ht="14.65" thickBot="1" x14ac:dyDescent="0.5">
      <c r="A3302" s="17">
        <v>45306.998611111114</v>
      </c>
      <c r="B3302" s="19">
        <v>38834.76064</v>
      </c>
      <c r="C3302" t="s">
        <v>155</v>
      </c>
      <c r="D3302" t="str">
        <f>T_Stocks[[#This Row],[Ticker]] &amp; "-" &amp; DATE(YEAR(T_Stocks[[#This Row],[Fecha]]),MONTH(T_Stocks[[#This Row],[Fecha]]),DAY(T_Stocks[[#This Row],[Fecha]]))</f>
        <v>BTCEUR-45306</v>
      </c>
    </row>
    <row r="3303" spans="1:4" ht="14.65" thickBot="1" x14ac:dyDescent="0.5">
      <c r="A3303" s="17">
        <v>45307.998611111114</v>
      </c>
      <c r="B3303" s="19">
        <v>39665.36333</v>
      </c>
      <c r="C3303" t="s">
        <v>155</v>
      </c>
      <c r="D3303" t="str">
        <f>T_Stocks[[#This Row],[Ticker]] &amp; "-" &amp; DATE(YEAR(T_Stocks[[#This Row],[Fecha]]),MONTH(T_Stocks[[#This Row],[Fecha]]),DAY(T_Stocks[[#This Row],[Fecha]]))</f>
        <v>BTCEUR-45307</v>
      </c>
    </row>
    <row r="3304" spans="1:4" ht="14.65" thickBot="1" x14ac:dyDescent="0.5">
      <c r="A3304" s="17">
        <v>45308.998611111114</v>
      </c>
      <c r="B3304" s="19">
        <v>39224.380270000001</v>
      </c>
      <c r="C3304" t="s">
        <v>155</v>
      </c>
      <c r="D3304" t="str">
        <f>T_Stocks[[#This Row],[Ticker]] &amp; "-" &amp; DATE(YEAR(T_Stocks[[#This Row],[Fecha]]),MONTH(T_Stocks[[#This Row],[Fecha]]),DAY(T_Stocks[[#This Row],[Fecha]]))</f>
        <v>BTCEUR-45308</v>
      </c>
    </row>
    <row r="3305" spans="1:4" ht="14.65" thickBot="1" x14ac:dyDescent="0.5">
      <c r="A3305" s="17">
        <v>45309.998611111114</v>
      </c>
      <c r="B3305" s="19">
        <v>37881.253830000001</v>
      </c>
      <c r="C3305" t="s">
        <v>155</v>
      </c>
      <c r="D3305" t="str">
        <f>T_Stocks[[#This Row],[Ticker]] &amp; "-" &amp; DATE(YEAR(T_Stocks[[#This Row],[Fecha]]),MONTH(T_Stocks[[#This Row],[Fecha]]),DAY(T_Stocks[[#This Row],[Fecha]]))</f>
        <v>BTCEUR-45309</v>
      </c>
    </row>
    <row r="3306" spans="1:4" ht="14.65" thickBot="1" x14ac:dyDescent="0.5">
      <c r="A3306" s="17">
        <v>45310.998611111114</v>
      </c>
      <c r="B3306" s="19">
        <v>38123.739679999999</v>
      </c>
      <c r="C3306" t="s">
        <v>155</v>
      </c>
      <c r="D3306" t="str">
        <f>T_Stocks[[#This Row],[Ticker]] &amp; "-" &amp; DATE(YEAR(T_Stocks[[#This Row],[Fecha]]),MONTH(T_Stocks[[#This Row],[Fecha]]),DAY(T_Stocks[[#This Row],[Fecha]]))</f>
        <v>BTCEUR-45310</v>
      </c>
    </row>
    <row r="3307" spans="1:4" ht="14.65" thickBot="1" x14ac:dyDescent="0.5">
      <c r="A3307" s="17">
        <v>45311.998611111114</v>
      </c>
      <c r="B3307" s="19">
        <v>38206.188679999999</v>
      </c>
      <c r="C3307" t="s">
        <v>155</v>
      </c>
      <c r="D3307" t="str">
        <f>T_Stocks[[#This Row],[Ticker]] &amp; "-" &amp; DATE(YEAR(T_Stocks[[#This Row],[Fecha]]),MONTH(T_Stocks[[#This Row],[Fecha]]),DAY(T_Stocks[[#This Row],[Fecha]]))</f>
        <v>BTCEUR-45311</v>
      </c>
    </row>
    <row r="3308" spans="1:4" ht="14.65" thickBot="1" x14ac:dyDescent="0.5">
      <c r="A3308" s="17">
        <v>45312.998611111114</v>
      </c>
      <c r="B3308" s="19">
        <v>38166.577830000002</v>
      </c>
      <c r="C3308" t="s">
        <v>155</v>
      </c>
      <c r="D3308" t="str">
        <f>T_Stocks[[#This Row],[Ticker]] &amp; "-" &amp; DATE(YEAR(T_Stocks[[#This Row],[Fecha]]),MONTH(T_Stocks[[#This Row],[Fecha]]),DAY(T_Stocks[[#This Row],[Fecha]]))</f>
        <v>BTCEUR-45312</v>
      </c>
    </row>
    <row r="3309" spans="1:4" ht="14.65" thickBot="1" x14ac:dyDescent="0.5">
      <c r="A3309" s="17">
        <v>45313.998611111114</v>
      </c>
      <c r="B3309" s="19">
        <v>36402.646639999999</v>
      </c>
      <c r="C3309" t="s">
        <v>155</v>
      </c>
      <c r="D3309" t="str">
        <f>T_Stocks[[#This Row],[Ticker]] &amp; "-" &amp; DATE(YEAR(T_Stocks[[#This Row],[Fecha]]),MONTH(T_Stocks[[#This Row],[Fecha]]),DAY(T_Stocks[[#This Row],[Fecha]]))</f>
        <v>BTCEUR-45313</v>
      </c>
    </row>
    <row r="3310" spans="1:4" ht="14.65" thickBot="1" x14ac:dyDescent="0.5">
      <c r="A3310" s="17">
        <v>45314.998611111114</v>
      </c>
      <c r="B3310" s="19">
        <v>36565.955450000001</v>
      </c>
      <c r="C3310" t="s">
        <v>155</v>
      </c>
      <c r="D3310" t="str">
        <f>T_Stocks[[#This Row],[Ticker]] &amp; "-" &amp; DATE(YEAR(T_Stocks[[#This Row],[Fecha]]),MONTH(T_Stocks[[#This Row],[Fecha]]),DAY(T_Stocks[[#This Row],[Fecha]]))</f>
        <v>BTCEUR-45314</v>
      </c>
    </row>
    <row r="3311" spans="1:4" ht="14.65" thickBot="1" x14ac:dyDescent="0.5">
      <c r="A3311" s="17">
        <v>45315.998611111114</v>
      </c>
      <c r="B3311" s="19">
        <v>36769.551939999998</v>
      </c>
      <c r="C3311" t="s">
        <v>155</v>
      </c>
      <c r="D3311" t="str">
        <f>T_Stocks[[#This Row],[Ticker]] &amp; "-" &amp; DATE(YEAR(T_Stocks[[#This Row],[Fecha]]),MONTH(T_Stocks[[#This Row],[Fecha]]),DAY(T_Stocks[[#This Row],[Fecha]]))</f>
        <v>BTCEUR-45315</v>
      </c>
    </row>
    <row r="3312" spans="1:4" ht="14.65" thickBot="1" x14ac:dyDescent="0.5">
      <c r="A3312" s="17">
        <v>45316.998611111114</v>
      </c>
      <c r="B3312" s="19">
        <v>36784.356500000002</v>
      </c>
      <c r="C3312" t="s">
        <v>155</v>
      </c>
      <c r="D3312" t="str">
        <f>T_Stocks[[#This Row],[Ticker]] &amp; "-" &amp; DATE(YEAR(T_Stocks[[#This Row],[Fecha]]),MONTH(T_Stocks[[#This Row],[Fecha]]),DAY(T_Stocks[[#This Row],[Fecha]]))</f>
        <v>BTCEUR-45316</v>
      </c>
    </row>
    <row r="3313" spans="1:4" ht="14.65" thickBot="1" x14ac:dyDescent="0.5">
      <c r="A3313" s="17">
        <v>45317.998611111114</v>
      </c>
      <c r="B3313" s="19">
        <v>38546.766179999999</v>
      </c>
      <c r="C3313" t="s">
        <v>155</v>
      </c>
      <c r="D3313" t="str">
        <f>T_Stocks[[#This Row],[Ticker]] &amp; "-" &amp; DATE(YEAR(T_Stocks[[#This Row],[Fecha]]),MONTH(T_Stocks[[#This Row],[Fecha]]),DAY(T_Stocks[[#This Row],[Fecha]]))</f>
        <v>BTCEUR-45317</v>
      </c>
    </row>
    <row r="3314" spans="1:4" ht="14.65" thickBot="1" x14ac:dyDescent="0.5">
      <c r="A3314" s="17">
        <v>45318.998611111114</v>
      </c>
      <c r="B3314" s="19">
        <v>38770.95721</v>
      </c>
      <c r="C3314" t="s">
        <v>155</v>
      </c>
      <c r="D3314" t="str">
        <f>T_Stocks[[#This Row],[Ticker]] &amp; "-" &amp; DATE(YEAR(T_Stocks[[#This Row],[Fecha]]),MONTH(T_Stocks[[#This Row],[Fecha]]),DAY(T_Stocks[[#This Row],[Fecha]]))</f>
        <v>BTCEUR-45318</v>
      </c>
    </row>
    <row r="3315" spans="1:4" ht="14.65" thickBot="1" x14ac:dyDescent="0.5">
      <c r="A3315" s="17">
        <v>45319.998611111114</v>
      </c>
      <c r="B3315" s="19">
        <v>38762.533600000002</v>
      </c>
      <c r="C3315" t="s">
        <v>155</v>
      </c>
      <c r="D3315" t="str">
        <f>T_Stocks[[#This Row],[Ticker]] &amp; "-" &amp; DATE(YEAR(T_Stocks[[#This Row],[Fecha]]),MONTH(T_Stocks[[#This Row],[Fecha]]),DAY(T_Stocks[[#This Row],[Fecha]]))</f>
        <v>BTCEUR-45319</v>
      </c>
    </row>
    <row r="3316" spans="1:4" ht="14.65" thickBot="1" x14ac:dyDescent="0.5">
      <c r="A3316" s="17">
        <v>45320.998611111114</v>
      </c>
      <c r="B3316" s="19">
        <v>39943.067069999997</v>
      </c>
      <c r="C3316" t="s">
        <v>155</v>
      </c>
      <c r="D3316" t="str">
        <f>T_Stocks[[#This Row],[Ticker]] &amp; "-" &amp; DATE(YEAR(T_Stocks[[#This Row],[Fecha]]),MONTH(T_Stocks[[#This Row],[Fecha]]),DAY(T_Stocks[[#This Row],[Fecha]]))</f>
        <v>BTCEUR-45320</v>
      </c>
    </row>
    <row r="3317" spans="1:4" ht="14.65" thickBot="1" x14ac:dyDescent="0.5">
      <c r="A3317" s="17">
        <v>45321.998611111114</v>
      </c>
      <c r="B3317" s="19">
        <v>39724.515829999997</v>
      </c>
      <c r="C3317" t="s">
        <v>155</v>
      </c>
      <c r="D3317" t="str">
        <f>T_Stocks[[#This Row],[Ticker]] &amp; "-" &amp; DATE(YEAR(T_Stocks[[#This Row],[Fecha]]),MONTH(T_Stocks[[#This Row],[Fecha]]),DAY(T_Stocks[[#This Row],[Fecha]]))</f>
        <v>BTCEUR-45321</v>
      </c>
    </row>
    <row r="3318" spans="1:4" ht="14.65" thickBot="1" x14ac:dyDescent="0.5">
      <c r="A3318" s="17">
        <v>45322.998611111114</v>
      </c>
      <c r="B3318" s="19">
        <v>39413.667750000001</v>
      </c>
      <c r="C3318" t="s">
        <v>155</v>
      </c>
      <c r="D3318" t="str">
        <f>T_Stocks[[#This Row],[Ticker]] &amp; "-" &amp; DATE(YEAR(T_Stocks[[#This Row],[Fecha]]),MONTH(T_Stocks[[#This Row],[Fecha]]),DAY(T_Stocks[[#This Row],[Fecha]]))</f>
        <v>BTCEUR-45322</v>
      </c>
    </row>
    <row r="3319" spans="1:4" ht="14.65" thickBot="1" x14ac:dyDescent="0.5">
      <c r="A3319" s="17">
        <v>45323.998611111114</v>
      </c>
      <c r="B3319" s="19">
        <v>39590.192029999998</v>
      </c>
      <c r="C3319" t="s">
        <v>155</v>
      </c>
      <c r="D3319" t="str">
        <f>T_Stocks[[#This Row],[Ticker]] &amp; "-" &amp; DATE(YEAR(T_Stocks[[#This Row],[Fecha]]),MONTH(T_Stocks[[#This Row],[Fecha]]),DAY(T_Stocks[[#This Row],[Fecha]]))</f>
        <v>BTCEUR-45323</v>
      </c>
    </row>
    <row r="3320" spans="1:4" ht="14.65" thickBot="1" x14ac:dyDescent="0.5">
      <c r="A3320" s="17">
        <v>45324.998611111114</v>
      </c>
      <c r="B3320" s="19">
        <v>39951.375760000003</v>
      </c>
      <c r="C3320" t="s">
        <v>155</v>
      </c>
      <c r="D3320" t="str">
        <f>T_Stocks[[#This Row],[Ticker]] &amp; "-" &amp; DATE(YEAR(T_Stocks[[#This Row],[Fecha]]),MONTH(T_Stocks[[#This Row],[Fecha]]),DAY(T_Stocks[[#This Row],[Fecha]]))</f>
        <v>BTCEUR-45324</v>
      </c>
    </row>
    <row r="3321" spans="1:4" ht="14.65" thickBot="1" x14ac:dyDescent="0.5">
      <c r="A3321" s="17">
        <v>45325.998611111114</v>
      </c>
      <c r="B3321" s="19">
        <v>39787.754139999997</v>
      </c>
      <c r="C3321" t="s">
        <v>155</v>
      </c>
      <c r="D3321" t="str">
        <f>T_Stocks[[#This Row],[Ticker]] &amp; "-" &amp; DATE(YEAR(T_Stocks[[#This Row],[Fecha]]),MONTH(T_Stocks[[#This Row],[Fecha]]),DAY(T_Stocks[[#This Row],[Fecha]]))</f>
        <v>BTCEUR-45325</v>
      </c>
    </row>
    <row r="3322" spans="1:4" ht="14.65" thickBot="1" x14ac:dyDescent="0.5">
      <c r="A3322" s="17">
        <v>45326.998611111114</v>
      </c>
      <c r="B3322" s="19">
        <v>39485.209949999997</v>
      </c>
      <c r="C3322" t="s">
        <v>155</v>
      </c>
      <c r="D3322" t="str">
        <f>T_Stocks[[#This Row],[Ticker]] &amp; "-" &amp; DATE(YEAR(T_Stocks[[#This Row],[Fecha]]),MONTH(T_Stocks[[#This Row],[Fecha]]),DAY(T_Stocks[[#This Row],[Fecha]]))</f>
        <v>BTCEUR-45326</v>
      </c>
    </row>
    <row r="3323" spans="1:4" ht="14.65" thickBot="1" x14ac:dyDescent="0.5">
      <c r="A3323" s="17">
        <v>45327.998611111114</v>
      </c>
      <c r="B3323" s="19">
        <v>39718.601640000001</v>
      </c>
      <c r="C3323" t="s">
        <v>155</v>
      </c>
      <c r="D3323" t="str">
        <f>T_Stocks[[#This Row],[Ticker]] &amp; "-" &amp; DATE(YEAR(T_Stocks[[#This Row],[Fecha]]),MONTH(T_Stocks[[#This Row],[Fecha]]),DAY(T_Stocks[[#This Row],[Fecha]]))</f>
        <v>BTCEUR-45327</v>
      </c>
    </row>
    <row r="3324" spans="1:4" ht="14.65" thickBot="1" x14ac:dyDescent="0.5">
      <c r="A3324" s="17">
        <v>45328.998611111114</v>
      </c>
      <c r="B3324" s="19">
        <v>40052.153879999998</v>
      </c>
      <c r="C3324" t="s">
        <v>155</v>
      </c>
      <c r="D3324" t="str">
        <f>T_Stocks[[#This Row],[Ticker]] &amp; "-" &amp; DATE(YEAR(T_Stocks[[#This Row],[Fecha]]),MONTH(T_Stocks[[#This Row],[Fecha]]),DAY(T_Stocks[[#This Row],[Fecha]]))</f>
        <v>BTCEUR-45328</v>
      </c>
    </row>
    <row r="3325" spans="1:4" ht="14.65" thickBot="1" x14ac:dyDescent="0.5">
      <c r="A3325" s="17">
        <v>45329.998611111114</v>
      </c>
      <c r="B3325" s="19">
        <v>41097.544609999997</v>
      </c>
      <c r="C3325" t="s">
        <v>155</v>
      </c>
      <c r="D3325" t="str">
        <f>T_Stocks[[#This Row],[Ticker]] &amp; "-" &amp; DATE(YEAR(T_Stocks[[#This Row],[Fecha]]),MONTH(T_Stocks[[#This Row],[Fecha]]),DAY(T_Stocks[[#This Row],[Fecha]]))</f>
        <v>BTCEUR-45329</v>
      </c>
    </row>
    <row r="3326" spans="1:4" ht="14.65" thickBot="1" x14ac:dyDescent="0.5">
      <c r="A3326" s="17">
        <v>45330.998611111114</v>
      </c>
      <c r="B3326" s="19">
        <v>42054.416579999997</v>
      </c>
      <c r="C3326" t="s">
        <v>155</v>
      </c>
      <c r="D3326" t="str">
        <f>T_Stocks[[#This Row],[Ticker]] &amp; "-" &amp; DATE(YEAR(T_Stocks[[#This Row],[Fecha]]),MONTH(T_Stocks[[#This Row],[Fecha]]),DAY(T_Stocks[[#This Row],[Fecha]]))</f>
        <v>BTCEUR-45330</v>
      </c>
    </row>
    <row r="3327" spans="1:4" ht="14.65" thickBot="1" x14ac:dyDescent="0.5">
      <c r="A3327" s="17">
        <v>45331.998611111114</v>
      </c>
      <c r="B3327" s="19">
        <v>43835.920960000003</v>
      </c>
      <c r="C3327" t="s">
        <v>155</v>
      </c>
      <c r="D3327" t="str">
        <f>T_Stocks[[#This Row],[Ticker]] &amp; "-" &amp; DATE(YEAR(T_Stocks[[#This Row],[Fecha]]),MONTH(T_Stocks[[#This Row],[Fecha]]),DAY(T_Stocks[[#This Row],[Fecha]]))</f>
        <v>BTCEUR-45331</v>
      </c>
    </row>
    <row r="3328" spans="1:4" ht="14.65" thickBot="1" x14ac:dyDescent="0.5">
      <c r="A3328" s="17">
        <v>45332.998611111114</v>
      </c>
      <c r="B3328" s="19">
        <v>44266.197339999999</v>
      </c>
      <c r="C3328" t="s">
        <v>155</v>
      </c>
      <c r="D3328" t="str">
        <f>T_Stocks[[#This Row],[Ticker]] &amp; "-" &amp; DATE(YEAR(T_Stocks[[#This Row],[Fecha]]),MONTH(T_Stocks[[#This Row],[Fecha]]),DAY(T_Stocks[[#This Row],[Fecha]]))</f>
        <v>BTCEUR-45332</v>
      </c>
    </row>
    <row r="3329" spans="1:4" ht="14.65" thickBot="1" x14ac:dyDescent="0.5">
      <c r="A3329" s="17">
        <v>45333.998611111114</v>
      </c>
      <c r="B3329" s="19">
        <v>44712.244429999999</v>
      </c>
      <c r="C3329" t="s">
        <v>155</v>
      </c>
      <c r="D3329" t="str">
        <f>T_Stocks[[#This Row],[Ticker]] &amp; "-" &amp; DATE(YEAR(T_Stocks[[#This Row],[Fecha]]),MONTH(T_Stocks[[#This Row],[Fecha]]),DAY(T_Stocks[[#This Row],[Fecha]]))</f>
        <v>BTCEUR-45333</v>
      </c>
    </row>
    <row r="3330" spans="1:4" ht="14.65" thickBot="1" x14ac:dyDescent="0.5">
      <c r="A3330" s="17">
        <v>45334.998611111114</v>
      </c>
      <c r="B3330" s="19">
        <v>46415.202940000003</v>
      </c>
      <c r="C3330" t="s">
        <v>155</v>
      </c>
      <c r="D3330" t="str">
        <f>T_Stocks[[#This Row],[Ticker]] &amp; "-" &amp; DATE(YEAR(T_Stocks[[#This Row],[Fecha]]),MONTH(T_Stocks[[#This Row],[Fecha]]),DAY(T_Stocks[[#This Row],[Fecha]]))</f>
        <v>BTCEUR-45334</v>
      </c>
    </row>
    <row r="3331" spans="1:4" ht="14.65" thickBot="1" x14ac:dyDescent="0.5">
      <c r="A3331" s="17">
        <v>45335.998611111114</v>
      </c>
      <c r="B3331" s="19">
        <v>46435.604859999999</v>
      </c>
      <c r="C3331" t="s">
        <v>155</v>
      </c>
      <c r="D3331" t="str">
        <f>T_Stocks[[#This Row],[Ticker]] &amp; "-" &amp; DATE(YEAR(T_Stocks[[#This Row],[Fecha]]),MONTH(T_Stocks[[#This Row],[Fecha]]),DAY(T_Stocks[[#This Row],[Fecha]]))</f>
        <v>BTCEUR-45335</v>
      </c>
    </row>
    <row r="3332" spans="1:4" ht="14.65" thickBot="1" x14ac:dyDescent="0.5">
      <c r="A3332" s="17">
        <v>45336.998611111114</v>
      </c>
      <c r="B3332" s="19">
        <v>48301.406640000001</v>
      </c>
      <c r="C3332" t="s">
        <v>155</v>
      </c>
      <c r="D3332" t="str">
        <f>T_Stocks[[#This Row],[Ticker]] &amp; "-" &amp; DATE(YEAR(T_Stocks[[#This Row],[Fecha]]),MONTH(T_Stocks[[#This Row],[Fecha]]),DAY(T_Stocks[[#This Row],[Fecha]]))</f>
        <v>BTCEUR-45336</v>
      </c>
    </row>
    <row r="3333" spans="1:4" ht="14.65" thickBot="1" x14ac:dyDescent="0.5">
      <c r="A3333" s="17">
        <v>45337.998611111114</v>
      </c>
      <c r="B3333" s="19">
        <v>48139.769090000002</v>
      </c>
      <c r="C3333" t="s">
        <v>155</v>
      </c>
      <c r="D3333" t="str">
        <f>T_Stocks[[#This Row],[Ticker]] &amp; "-" &amp; DATE(YEAR(T_Stocks[[#This Row],[Fecha]]),MONTH(T_Stocks[[#This Row],[Fecha]]),DAY(T_Stocks[[#This Row],[Fecha]]))</f>
        <v>BTCEUR-45337</v>
      </c>
    </row>
    <row r="3334" spans="1:4" ht="14.65" thickBot="1" x14ac:dyDescent="0.5">
      <c r="A3334" s="17">
        <v>45338.998611111114</v>
      </c>
      <c r="B3334" s="19">
        <v>48417.84117</v>
      </c>
      <c r="C3334" t="s">
        <v>155</v>
      </c>
      <c r="D3334" t="str">
        <f>T_Stocks[[#This Row],[Ticker]] &amp; "-" &amp; DATE(YEAR(T_Stocks[[#This Row],[Fecha]]),MONTH(T_Stocks[[#This Row],[Fecha]]),DAY(T_Stocks[[#This Row],[Fecha]]))</f>
        <v>BTCEUR-45338</v>
      </c>
    </row>
    <row r="3335" spans="1:4" ht="14.65" thickBot="1" x14ac:dyDescent="0.5">
      <c r="A3335" s="17">
        <v>45339.998611111114</v>
      </c>
      <c r="B3335" s="19">
        <v>47948.675450000002</v>
      </c>
      <c r="C3335" t="s">
        <v>155</v>
      </c>
      <c r="D3335" t="str">
        <f>T_Stocks[[#This Row],[Ticker]] &amp; "-" &amp; DATE(YEAR(T_Stocks[[#This Row],[Fecha]]),MONTH(T_Stocks[[#This Row],[Fecha]]),DAY(T_Stocks[[#This Row],[Fecha]]))</f>
        <v>BTCEUR-45339</v>
      </c>
    </row>
    <row r="3336" spans="1:4" ht="14.65" thickBot="1" x14ac:dyDescent="0.5">
      <c r="A3336" s="17">
        <v>45340.998611111114</v>
      </c>
      <c r="B3336" s="19">
        <v>48326.96602</v>
      </c>
      <c r="C3336" t="s">
        <v>155</v>
      </c>
      <c r="D3336" t="str">
        <f>T_Stocks[[#This Row],[Ticker]] &amp; "-" &amp; DATE(YEAR(T_Stocks[[#This Row],[Fecha]]),MONTH(T_Stocks[[#This Row],[Fecha]]),DAY(T_Stocks[[#This Row],[Fecha]]))</f>
        <v>BTCEUR-45340</v>
      </c>
    </row>
    <row r="3337" spans="1:4" ht="14.65" thickBot="1" x14ac:dyDescent="0.5">
      <c r="A3337" s="17">
        <v>45341.998611111114</v>
      </c>
      <c r="B3337" s="19">
        <v>48044.547270000003</v>
      </c>
      <c r="C3337" t="s">
        <v>155</v>
      </c>
      <c r="D3337" t="str">
        <f>T_Stocks[[#This Row],[Ticker]] &amp; "-" &amp; DATE(YEAR(T_Stocks[[#This Row],[Fecha]]),MONTH(T_Stocks[[#This Row],[Fecha]]),DAY(T_Stocks[[#This Row],[Fecha]]))</f>
        <v>BTCEUR-45341</v>
      </c>
    </row>
    <row r="3338" spans="1:4" ht="14.65" thickBot="1" x14ac:dyDescent="0.5">
      <c r="A3338" s="17">
        <v>45342.998611111114</v>
      </c>
      <c r="B3338" s="19">
        <v>48355.045339999997</v>
      </c>
      <c r="C3338" t="s">
        <v>155</v>
      </c>
      <c r="D3338" t="str">
        <f>T_Stocks[[#This Row],[Ticker]] &amp; "-" &amp; DATE(YEAR(T_Stocks[[#This Row],[Fecha]]),MONTH(T_Stocks[[#This Row],[Fecha]]),DAY(T_Stocks[[#This Row],[Fecha]]))</f>
        <v>BTCEUR-45342</v>
      </c>
    </row>
    <row r="3339" spans="1:4" ht="14.65" thickBot="1" x14ac:dyDescent="0.5">
      <c r="A3339" s="17">
        <v>45343.998611111114</v>
      </c>
      <c r="B3339" s="19">
        <v>47832.211259999996</v>
      </c>
      <c r="C3339" t="s">
        <v>155</v>
      </c>
      <c r="D3339" t="str">
        <f>T_Stocks[[#This Row],[Ticker]] &amp; "-" &amp; DATE(YEAR(T_Stocks[[#This Row],[Fecha]]),MONTH(T_Stocks[[#This Row],[Fecha]]),DAY(T_Stocks[[#This Row],[Fecha]]))</f>
        <v>BTCEUR-45343</v>
      </c>
    </row>
    <row r="3340" spans="1:4" ht="14.65" thickBot="1" x14ac:dyDescent="0.5">
      <c r="A3340" s="17">
        <v>45344.998611111114</v>
      </c>
      <c r="B3340" s="19">
        <v>47398.646209999999</v>
      </c>
      <c r="C3340" t="s">
        <v>155</v>
      </c>
      <c r="D3340" t="str">
        <f>T_Stocks[[#This Row],[Ticker]] &amp; "-" &amp; DATE(YEAR(T_Stocks[[#This Row],[Fecha]]),MONTH(T_Stocks[[#This Row],[Fecha]]),DAY(T_Stocks[[#This Row],[Fecha]]))</f>
        <v>BTCEUR-45344</v>
      </c>
    </row>
    <row r="3341" spans="1:4" ht="14.65" thickBot="1" x14ac:dyDescent="0.5">
      <c r="A3341" s="17">
        <v>45345.998611111114</v>
      </c>
      <c r="B3341" s="19">
        <v>46833.372649999998</v>
      </c>
      <c r="C3341" t="s">
        <v>155</v>
      </c>
      <c r="D3341" t="str">
        <f>T_Stocks[[#This Row],[Ticker]] &amp; "-" &amp; DATE(YEAR(T_Stocks[[#This Row],[Fecha]]),MONTH(T_Stocks[[#This Row],[Fecha]]),DAY(T_Stocks[[#This Row],[Fecha]]))</f>
        <v>BTCEUR-45345</v>
      </c>
    </row>
    <row r="3342" spans="1:4" ht="14.65" thickBot="1" x14ac:dyDescent="0.5">
      <c r="A3342" s="17">
        <v>45346.998611111114</v>
      </c>
      <c r="B3342" s="19">
        <v>47614.792079999999</v>
      </c>
      <c r="C3342" t="s">
        <v>155</v>
      </c>
      <c r="D3342" t="str">
        <f>T_Stocks[[#This Row],[Ticker]] &amp; "-" &amp; DATE(YEAR(T_Stocks[[#This Row],[Fecha]]),MONTH(T_Stocks[[#This Row],[Fecha]]),DAY(T_Stocks[[#This Row],[Fecha]]))</f>
        <v>BTCEUR-45346</v>
      </c>
    </row>
    <row r="3343" spans="1:4" ht="14.65" thickBot="1" x14ac:dyDescent="0.5">
      <c r="A3343" s="17">
        <v>45347.998611111114</v>
      </c>
      <c r="B3343" s="19">
        <v>47808.024709999998</v>
      </c>
      <c r="C3343" t="s">
        <v>155</v>
      </c>
      <c r="D3343" t="str">
        <f>T_Stocks[[#This Row],[Ticker]] &amp; "-" &amp; DATE(YEAR(T_Stocks[[#This Row],[Fecha]]),MONTH(T_Stocks[[#This Row],[Fecha]]),DAY(T_Stocks[[#This Row],[Fecha]]))</f>
        <v>BTCEUR-45347</v>
      </c>
    </row>
    <row r="3344" spans="1:4" ht="14.65" thickBot="1" x14ac:dyDescent="0.5">
      <c r="A3344" s="17">
        <v>45348.998611111114</v>
      </c>
      <c r="B3344" s="19">
        <v>50227.25275</v>
      </c>
      <c r="C3344" t="s">
        <v>155</v>
      </c>
      <c r="D3344" t="str">
        <f>T_Stocks[[#This Row],[Ticker]] &amp; "-" &amp; DATE(YEAR(T_Stocks[[#This Row],[Fecha]]),MONTH(T_Stocks[[#This Row],[Fecha]]),DAY(T_Stocks[[#This Row],[Fecha]]))</f>
        <v>BTCEUR-45348</v>
      </c>
    </row>
    <row r="3345" spans="1:4" ht="14.65" thickBot="1" x14ac:dyDescent="0.5">
      <c r="A3345" s="17">
        <v>45349.998611111114</v>
      </c>
      <c r="B3345" s="19">
        <v>52621.619010000002</v>
      </c>
      <c r="C3345" t="s">
        <v>155</v>
      </c>
      <c r="D3345" t="str">
        <f>T_Stocks[[#This Row],[Ticker]] &amp; "-" &amp; DATE(YEAR(T_Stocks[[#This Row],[Fecha]]),MONTH(T_Stocks[[#This Row],[Fecha]]),DAY(T_Stocks[[#This Row],[Fecha]]))</f>
        <v>BTCEUR-45349</v>
      </c>
    </row>
    <row r="3346" spans="1:4" ht="14.65" thickBot="1" x14ac:dyDescent="0.5">
      <c r="A3346" s="17">
        <v>45350.998611111114</v>
      </c>
      <c r="B3346" s="19">
        <v>57694.85355</v>
      </c>
      <c r="C3346" t="s">
        <v>155</v>
      </c>
      <c r="D3346" t="str">
        <f>T_Stocks[[#This Row],[Ticker]] &amp; "-" &amp; DATE(YEAR(T_Stocks[[#This Row],[Fecha]]),MONTH(T_Stocks[[#This Row],[Fecha]]),DAY(T_Stocks[[#This Row],[Fecha]]))</f>
        <v>BTCEUR-45350</v>
      </c>
    </row>
    <row r="3347" spans="1:4" ht="14.65" thickBot="1" x14ac:dyDescent="0.5">
      <c r="A3347" s="17">
        <v>45351.998611111114</v>
      </c>
      <c r="B3347" s="19">
        <v>56690.484450000004</v>
      </c>
      <c r="C3347" t="s">
        <v>155</v>
      </c>
      <c r="D3347" t="str">
        <f>T_Stocks[[#This Row],[Ticker]] &amp; "-" &amp; DATE(YEAR(T_Stocks[[#This Row],[Fecha]]),MONTH(T_Stocks[[#This Row],[Fecha]]),DAY(T_Stocks[[#This Row],[Fecha]]))</f>
        <v>BTCEUR-45351</v>
      </c>
    </row>
    <row r="3348" spans="1:4" ht="14.65" thickBot="1" x14ac:dyDescent="0.5">
      <c r="A3348" s="17">
        <v>45352.998611111114</v>
      </c>
      <c r="B3348" s="19">
        <v>57612.345869999997</v>
      </c>
      <c r="C3348" t="s">
        <v>155</v>
      </c>
      <c r="D3348" t="str">
        <f>T_Stocks[[#This Row],[Ticker]] &amp; "-" &amp; DATE(YEAR(T_Stocks[[#This Row],[Fecha]]),MONTH(T_Stocks[[#This Row],[Fecha]]),DAY(T_Stocks[[#This Row],[Fecha]]))</f>
        <v>BTCEUR-45352</v>
      </c>
    </row>
    <row r="3349" spans="1:4" ht="14.65" thickBot="1" x14ac:dyDescent="0.5">
      <c r="A3349" s="17">
        <v>45353.998611111114</v>
      </c>
      <c r="B3349" s="19">
        <v>57114.67136</v>
      </c>
      <c r="C3349" t="s">
        <v>155</v>
      </c>
      <c r="D3349" t="str">
        <f>T_Stocks[[#This Row],[Ticker]] &amp; "-" &amp; DATE(YEAR(T_Stocks[[#This Row],[Fecha]]),MONTH(T_Stocks[[#This Row],[Fecha]]),DAY(T_Stocks[[#This Row],[Fecha]]))</f>
        <v>BTCEUR-45353</v>
      </c>
    </row>
    <row r="3350" spans="1:4" ht="14.65" thickBot="1" x14ac:dyDescent="0.5">
      <c r="A3350" s="17">
        <v>45354.998611111114</v>
      </c>
      <c r="B3350" s="19">
        <v>58144.00819</v>
      </c>
      <c r="C3350" t="s">
        <v>155</v>
      </c>
      <c r="D3350" t="str">
        <f>T_Stocks[[#This Row],[Ticker]] &amp; "-" &amp; DATE(YEAR(T_Stocks[[#This Row],[Fecha]]),MONTH(T_Stocks[[#This Row],[Fecha]]),DAY(T_Stocks[[#This Row],[Fecha]]))</f>
        <v>BTCEUR-45354</v>
      </c>
    </row>
    <row r="3351" spans="1:4" ht="14.65" thickBot="1" x14ac:dyDescent="0.5">
      <c r="A3351" s="17">
        <v>45355.998611111114</v>
      </c>
      <c r="B3351" s="19">
        <v>62923.895250000001</v>
      </c>
      <c r="C3351" t="s">
        <v>155</v>
      </c>
      <c r="D3351" t="str">
        <f>T_Stocks[[#This Row],[Ticker]] &amp; "-" &amp; DATE(YEAR(T_Stocks[[#This Row],[Fecha]]),MONTH(T_Stocks[[#This Row],[Fecha]]),DAY(T_Stocks[[#This Row],[Fecha]]))</f>
        <v>BTCEUR-45355</v>
      </c>
    </row>
    <row r="3352" spans="1:4" ht="14.65" thickBot="1" x14ac:dyDescent="0.5">
      <c r="A3352" s="17">
        <v>45356.998611111114</v>
      </c>
      <c r="B3352" s="19">
        <v>58991.846140000001</v>
      </c>
      <c r="C3352" t="s">
        <v>155</v>
      </c>
      <c r="D3352" t="str">
        <f>T_Stocks[[#This Row],[Ticker]] &amp; "-" &amp; DATE(YEAR(T_Stocks[[#This Row],[Fecha]]),MONTH(T_Stocks[[#This Row],[Fecha]]),DAY(T_Stocks[[#This Row],[Fecha]]))</f>
        <v>BTCEUR-45356</v>
      </c>
    </row>
    <row r="3353" spans="1:4" ht="14.65" thickBot="1" x14ac:dyDescent="0.5">
      <c r="A3353" s="17">
        <v>45357.998611111114</v>
      </c>
      <c r="B3353" s="19">
        <v>60683.979659999997</v>
      </c>
      <c r="C3353" t="s">
        <v>155</v>
      </c>
      <c r="D3353" t="str">
        <f>T_Stocks[[#This Row],[Ticker]] &amp; "-" &amp; DATE(YEAR(T_Stocks[[#This Row],[Fecha]]),MONTH(T_Stocks[[#This Row],[Fecha]]),DAY(T_Stocks[[#This Row],[Fecha]]))</f>
        <v>BTCEUR-45357</v>
      </c>
    </row>
    <row r="3354" spans="1:4" ht="14.65" thickBot="1" x14ac:dyDescent="0.5">
      <c r="A3354" s="17">
        <v>45358.998611111114</v>
      </c>
      <c r="B3354" s="19">
        <v>61127.095710000001</v>
      </c>
      <c r="C3354" t="s">
        <v>155</v>
      </c>
      <c r="D3354" t="str">
        <f>T_Stocks[[#This Row],[Ticker]] &amp; "-" &amp; DATE(YEAR(T_Stocks[[#This Row],[Fecha]]),MONTH(T_Stocks[[#This Row],[Fecha]]),DAY(T_Stocks[[#This Row],[Fecha]]))</f>
        <v>BTCEUR-45358</v>
      </c>
    </row>
    <row r="3355" spans="1:4" ht="14.65" thickBot="1" x14ac:dyDescent="0.5">
      <c r="A3355" s="17">
        <v>45359.998611111114</v>
      </c>
      <c r="B3355" s="19">
        <v>62427.165050000003</v>
      </c>
      <c r="C3355" t="s">
        <v>155</v>
      </c>
      <c r="D3355" t="str">
        <f>T_Stocks[[#This Row],[Ticker]] &amp; "-" &amp; DATE(YEAR(T_Stocks[[#This Row],[Fecha]]),MONTH(T_Stocks[[#This Row],[Fecha]]),DAY(T_Stocks[[#This Row],[Fecha]]))</f>
        <v>BTCEUR-45359</v>
      </c>
    </row>
    <row r="3356" spans="1:4" ht="14.65" thickBot="1" x14ac:dyDescent="0.5">
      <c r="A3356" s="17">
        <v>45360.998611111114</v>
      </c>
      <c r="B3356" s="19">
        <v>62553.698649999998</v>
      </c>
      <c r="C3356" t="s">
        <v>155</v>
      </c>
      <c r="D3356" t="str">
        <f>T_Stocks[[#This Row],[Ticker]] &amp; "-" &amp; DATE(YEAR(T_Stocks[[#This Row],[Fecha]]),MONTH(T_Stocks[[#This Row],[Fecha]]),DAY(T_Stocks[[#This Row],[Fecha]]))</f>
        <v>BTCEUR-45360</v>
      </c>
    </row>
    <row r="3357" spans="1:4" ht="14.65" thickBot="1" x14ac:dyDescent="0.5">
      <c r="A3357" s="17">
        <v>45361.998611111114</v>
      </c>
      <c r="B3357" s="19">
        <v>63064.578000000001</v>
      </c>
      <c r="C3357" t="s">
        <v>155</v>
      </c>
      <c r="D3357" t="str">
        <f>T_Stocks[[#This Row],[Ticker]] &amp; "-" &amp; DATE(YEAR(T_Stocks[[#This Row],[Fecha]]),MONTH(T_Stocks[[#This Row],[Fecha]]),DAY(T_Stocks[[#This Row],[Fecha]]))</f>
        <v>BTCEUR-45361</v>
      </c>
    </row>
    <row r="3358" spans="1:4" ht="14.65" thickBot="1" x14ac:dyDescent="0.5">
      <c r="A3358" s="17">
        <v>45362.998611111114</v>
      </c>
      <c r="B3358" s="19">
        <v>65987.616020000001</v>
      </c>
      <c r="C3358" t="s">
        <v>155</v>
      </c>
      <c r="D3358" t="str">
        <f>T_Stocks[[#This Row],[Ticker]] &amp; "-" &amp; DATE(YEAR(T_Stocks[[#This Row],[Fecha]]),MONTH(T_Stocks[[#This Row],[Fecha]]),DAY(T_Stocks[[#This Row],[Fecha]]))</f>
        <v>BTCEUR-45362</v>
      </c>
    </row>
    <row r="3359" spans="1:4" ht="14.65" thickBot="1" x14ac:dyDescent="0.5">
      <c r="A3359" s="17">
        <v>45363.998611111114</v>
      </c>
      <c r="B3359" s="19">
        <v>65422.118719999999</v>
      </c>
      <c r="C3359" t="s">
        <v>155</v>
      </c>
      <c r="D3359" t="str">
        <f>T_Stocks[[#This Row],[Ticker]] &amp; "-" &amp; DATE(YEAR(T_Stocks[[#This Row],[Fecha]]),MONTH(T_Stocks[[#This Row],[Fecha]]),DAY(T_Stocks[[#This Row],[Fecha]]))</f>
        <v>BTCEUR-45363</v>
      </c>
    </row>
    <row r="3360" spans="1:4" ht="14.65" thickBot="1" x14ac:dyDescent="0.5">
      <c r="A3360" s="17">
        <v>45364.998611111114</v>
      </c>
      <c r="B3360" s="19">
        <v>66722.804680000001</v>
      </c>
      <c r="C3360" t="s">
        <v>155</v>
      </c>
      <c r="D3360" t="str">
        <f>T_Stocks[[#This Row],[Ticker]] &amp; "-" &amp; DATE(YEAR(T_Stocks[[#This Row],[Fecha]]),MONTH(T_Stocks[[#This Row],[Fecha]]),DAY(T_Stocks[[#This Row],[Fecha]]))</f>
        <v>BTCEUR-45364</v>
      </c>
    </row>
    <row r="3361" spans="1:4" ht="14.65" thickBot="1" x14ac:dyDescent="0.5">
      <c r="A3361" s="17">
        <v>45365.998611111114</v>
      </c>
      <c r="B3361" s="19">
        <v>65598.985769999999</v>
      </c>
      <c r="C3361" t="s">
        <v>155</v>
      </c>
      <c r="D3361" t="str">
        <f>T_Stocks[[#This Row],[Ticker]] &amp; "-" &amp; DATE(YEAR(T_Stocks[[#This Row],[Fecha]]),MONTH(T_Stocks[[#This Row],[Fecha]]),DAY(T_Stocks[[#This Row],[Fecha]]))</f>
        <v>BTCEUR-45365</v>
      </c>
    </row>
    <row r="3362" spans="1:4" ht="14.65" thickBot="1" x14ac:dyDescent="0.5">
      <c r="A3362" s="17">
        <v>45366.998611111114</v>
      </c>
      <c r="B3362" s="19">
        <v>63705.797229999996</v>
      </c>
      <c r="C3362" t="s">
        <v>155</v>
      </c>
      <c r="D3362" t="str">
        <f>T_Stocks[[#This Row],[Ticker]] &amp; "-" &amp; DATE(YEAR(T_Stocks[[#This Row],[Fecha]]),MONTH(T_Stocks[[#This Row],[Fecha]]),DAY(T_Stocks[[#This Row],[Fecha]]))</f>
        <v>BTCEUR-45366</v>
      </c>
    </row>
    <row r="3363" spans="1:4" ht="14.65" thickBot="1" x14ac:dyDescent="0.5">
      <c r="A3363" s="17">
        <v>45367.998611111114</v>
      </c>
      <c r="B3363" s="19">
        <v>59919.751649999998</v>
      </c>
      <c r="C3363" t="s">
        <v>155</v>
      </c>
      <c r="D3363" t="str">
        <f>T_Stocks[[#This Row],[Ticker]] &amp; "-" &amp; DATE(YEAR(T_Stocks[[#This Row],[Fecha]]),MONTH(T_Stocks[[#This Row],[Fecha]]),DAY(T_Stocks[[#This Row],[Fecha]]))</f>
        <v>BTCEUR-45367</v>
      </c>
    </row>
    <row r="3364" spans="1:4" ht="14.65" thickBot="1" x14ac:dyDescent="0.5">
      <c r="A3364" s="17">
        <v>45368.998611111114</v>
      </c>
      <c r="B3364" s="19">
        <v>62922.770989999997</v>
      </c>
      <c r="C3364" t="s">
        <v>155</v>
      </c>
      <c r="D3364" t="str">
        <f>T_Stocks[[#This Row],[Ticker]] &amp; "-" &amp; DATE(YEAR(T_Stocks[[#This Row],[Fecha]]),MONTH(T_Stocks[[#This Row],[Fecha]]),DAY(T_Stocks[[#This Row],[Fecha]]))</f>
        <v>BTCEUR-45368</v>
      </c>
    </row>
    <row r="3365" spans="1:4" ht="14.65" thickBot="1" x14ac:dyDescent="0.5">
      <c r="A3365" s="17">
        <v>45369.998611111114</v>
      </c>
      <c r="B3365" s="19">
        <v>62288.88495</v>
      </c>
      <c r="C3365" t="s">
        <v>155</v>
      </c>
      <c r="D3365" t="str">
        <f>T_Stocks[[#This Row],[Ticker]] &amp; "-" &amp; DATE(YEAR(T_Stocks[[#This Row],[Fecha]]),MONTH(T_Stocks[[#This Row],[Fecha]]),DAY(T_Stocks[[#This Row],[Fecha]]))</f>
        <v>BTCEUR-45369</v>
      </c>
    </row>
    <row r="3366" spans="1:4" ht="14.65" thickBot="1" x14ac:dyDescent="0.5">
      <c r="A3366" s="17">
        <v>45370.998611111114</v>
      </c>
      <c r="B3366" s="19">
        <v>57040.319259999997</v>
      </c>
      <c r="C3366" t="s">
        <v>155</v>
      </c>
      <c r="D3366" t="str">
        <f>T_Stocks[[#This Row],[Ticker]] &amp; "-" &amp; DATE(YEAR(T_Stocks[[#This Row],[Fecha]]),MONTH(T_Stocks[[#This Row],[Fecha]]),DAY(T_Stocks[[#This Row],[Fecha]]))</f>
        <v>BTCEUR-45370</v>
      </c>
    </row>
    <row r="3367" spans="1:4" ht="14.65" thickBot="1" x14ac:dyDescent="0.5">
      <c r="A3367" s="17">
        <v>45371.998611111114</v>
      </c>
      <c r="B3367" s="19">
        <v>62082.078719999998</v>
      </c>
      <c r="C3367" t="s">
        <v>155</v>
      </c>
      <c r="D3367" t="str">
        <f>T_Stocks[[#This Row],[Ticker]] &amp; "-" &amp; DATE(YEAR(T_Stocks[[#This Row],[Fecha]]),MONTH(T_Stocks[[#This Row],[Fecha]]),DAY(T_Stocks[[#This Row],[Fecha]]))</f>
        <v>BTCEUR-45371</v>
      </c>
    </row>
    <row r="3368" spans="1:4" ht="14.65" thickBot="1" x14ac:dyDescent="0.5">
      <c r="A3368" s="17">
        <v>45372.998611111114</v>
      </c>
      <c r="B3368" s="19">
        <v>60307.172579999999</v>
      </c>
      <c r="C3368" t="s">
        <v>155</v>
      </c>
      <c r="D3368" t="str">
        <f>T_Stocks[[#This Row],[Ticker]] &amp; "-" &amp; DATE(YEAR(T_Stocks[[#This Row],[Fecha]]),MONTH(T_Stocks[[#This Row],[Fecha]]),DAY(T_Stocks[[#This Row],[Fecha]]))</f>
        <v>BTCEUR-45372</v>
      </c>
    </row>
    <row r="3369" spans="1:4" ht="14.65" thickBot="1" x14ac:dyDescent="0.5">
      <c r="A3369" s="17">
        <v>45373.998611111114</v>
      </c>
      <c r="B3369" s="19">
        <v>58601.60108</v>
      </c>
      <c r="C3369" t="s">
        <v>155</v>
      </c>
      <c r="D3369" t="str">
        <f>T_Stocks[[#This Row],[Ticker]] &amp; "-" &amp; DATE(YEAR(T_Stocks[[#This Row],[Fecha]]),MONTH(T_Stocks[[#This Row],[Fecha]]),DAY(T_Stocks[[#This Row],[Fecha]]))</f>
        <v>BTCEUR-45373</v>
      </c>
    </row>
    <row r="3370" spans="1:4" ht="14.65" thickBot="1" x14ac:dyDescent="0.5">
      <c r="A3370" s="17">
        <v>45374.998611111114</v>
      </c>
      <c r="B3370" s="19">
        <v>58954.086669999997</v>
      </c>
      <c r="C3370" t="s">
        <v>155</v>
      </c>
      <c r="D3370" t="str">
        <f>T_Stocks[[#This Row],[Ticker]] &amp; "-" &amp; DATE(YEAR(T_Stocks[[#This Row],[Fecha]]),MONTH(T_Stocks[[#This Row],[Fecha]]),DAY(T_Stocks[[#This Row],[Fecha]]))</f>
        <v>BTCEUR-45374</v>
      </c>
    </row>
    <row r="3371" spans="1:4" ht="14.65" thickBot="1" x14ac:dyDescent="0.5">
      <c r="A3371" s="17">
        <v>45375.998611111114</v>
      </c>
      <c r="B3371" s="19">
        <v>62205.353029999998</v>
      </c>
      <c r="C3371" t="s">
        <v>155</v>
      </c>
      <c r="D3371" t="str">
        <f>T_Stocks[[#This Row],[Ticker]] &amp; "-" &amp; DATE(YEAR(T_Stocks[[#This Row],[Fecha]]),MONTH(T_Stocks[[#This Row],[Fecha]]),DAY(T_Stocks[[#This Row],[Fecha]]))</f>
        <v>BTCEUR-45375</v>
      </c>
    </row>
    <row r="3372" spans="1:4" ht="14.65" thickBot="1" x14ac:dyDescent="0.5">
      <c r="A3372" s="17">
        <v>45376.998611111114</v>
      </c>
      <c r="B3372" s="19">
        <v>64546.036610000003</v>
      </c>
      <c r="C3372" t="s">
        <v>155</v>
      </c>
      <c r="D3372" t="str">
        <f>T_Stocks[[#This Row],[Ticker]] &amp; "-" &amp; DATE(YEAR(T_Stocks[[#This Row],[Fecha]]),MONTH(T_Stocks[[#This Row],[Fecha]]),DAY(T_Stocks[[#This Row],[Fecha]]))</f>
        <v>BTCEUR-45376</v>
      </c>
    </row>
    <row r="3373" spans="1:4" ht="14.65" thickBot="1" x14ac:dyDescent="0.5">
      <c r="A3373" s="17">
        <v>45377.998611111114</v>
      </c>
      <c r="B3373" s="19">
        <v>64599.284180000002</v>
      </c>
      <c r="C3373" t="s">
        <v>155</v>
      </c>
      <c r="D3373" t="str">
        <f>T_Stocks[[#This Row],[Ticker]] &amp; "-" &amp; DATE(YEAR(T_Stocks[[#This Row],[Fecha]]),MONTH(T_Stocks[[#This Row],[Fecha]]),DAY(T_Stocks[[#This Row],[Fecha]]))</f>
        <v>BTCEUR-45377</v>
      </c>
    </row>
    <row r="3374" spans="1:4" ht="14.65" thickBot="1" x14ac:dyDescent="0.5">
      <c r="A3374" s="17">
        <v>45378.998611111114</v>
      </c>
      <c r="B3374" s="19">
        <v>64182.469340000003</v>
      </c>
      <c r="C3374" t="s">
        <v>155</v>
      </c>
      <c r="D3374" t="str">
        <f>T_Stocks[[#This Row],[Ticker]] &amp; "-" &amp; DATE(YEAR(T_Stocks[[#This Row],[Fecha]]),MONTH(T_Stocks[[#This Row],[Fecha]]),DAY(T_Stocks[[#This Row],[Fecha]]))</f>
        <v>BTCEUR-45378</v>
      </c>
    </row>
    <row r="3375" spans="1:4" ht="14.65" thickBot="1" x14ac:dyDescent="0.5">
      <c r="A3375" s="17">
        <v>45379.998611111114</v>
      </c>
      <c r="B3375" s="19">
        <v>65577.49368</v>
      </c>
      <c r="C3375" t="s">
        <v>155</v>
      </c>
      <c r="D3375" t="str">
        <f>T_Stocks[[#This Row],[Ticker]] &amp; "-" &amp; DATE(YEAR(T_Stocks[[#This Row],[Fecha]]),MONTH(T_Stocks[[#This Row],[Fecha]]),DAY(T_Stocks[[#This Row],[Fecha]]))</f>
        <v>BTCEUR-45379</v>
      </c>
    </row>
    <row r="3376" spans="1:4" ht="14.65" thickBot="1" x14ac:dyDescent="0.5">
      <c r="A3376" s="17">
        <v>45380.998611111114</v>
      </c>
      <c r="B3376" s="19">
        <v>64729.30672</v>
      </c>
      <c r="C3376" t="s">
        <v>155</v>
      </c>
      <c r="D3376" t="str">
        <f>T_Stocks[[#This Row],[Ticker]] &amp; "-" &amp; DATE(YEAR(T_Stocks[[#This Row],[Fecha]]),MONTH(T_Stocks[[#This Row],[Fecha]]),DAY(T_Stocks[[#This Row],[Fecha]]))</f>
        <v>BTCEUR-45380</v>
      </c>
    </row>
    <row r="3377" spans="1:4" ht="14.65" thickBot="1" x14ac:dyDescent="0.5">
      <c r="A3377" s="17">
        <v>45381.998611111114</v>
      </c>
      <c r="B3377" s="19">
        <v>64497.643790000002</v>
      </c>
      <c r="C3377" t="s">
        <v>155</v>
      </c>
      <c r="D3377" t="str">
        <f>T_Stocks[[#This Row],[Ticker]] &amp; "-" &amp; DATE(YEAR(T_Stocks[[#This Row],[Fecha]]),MONTH(T_Stocks[[#This Row],[Fecha]]),DAY(T_Stocks[[#This Row],[Fecha]]))</f>
        <v>BTCEUR-45381</v>
      </c>
    </row>
    <row r="3378" spans="1:4" ht="14.65" thickBot="1" x14ac:dyDescent="0.5">
      <c r="A3378" s="17">
        <v>45382.998611111114</v>
      </c>
      <c r="B3378" s="19">
        <v>66101.661399999997</v>
      </c>
      <c r="C3378" t="s">
        <v>155</v>
      </c>
      <c r="D3378" t="str">
        <f>T_Stocks[[#This Row],[Ticker]] &amp; "-" &amp; DATE(YEAR(T_Stocks[[#This Row],[Fecha]]),MONTH(T_Stocks[[#This Row],[Fecha]]),DAY(T_Stocks[[#This Row],[Fecha]]))</f>
        <v>BTCEUR-45382</v>
      </c>
    </row>
    <row r="3379" spans="1:4" ht="14.65" thickBot="1" x14ac:dyDescent="0.5">
      <c r="A3379" s="17">
        <v>45383.998611111114</v>
      </c>
      <c r="B3379" s="19">
        <v>64908.241840000002</v>
      </c>
      <c r="C3379" t="s">
        <v>155</v>
      </c>
      <c r="D3379" t="str">
        <f>T_Stocks[[#This Row],[Ticker]] &amp; "-" &amp; DATE(YEAR(T_Stocks[[#This Row],[Fecha]]),MONTH(T_Stocks[[#This Row],[Fecha]]),DAY(T_Stocks[[#This Row],[Fecha]]))</f>
        <v>BTCEUR-45383</v>
      </c>
    </row>
    <row r="3380" spans="1:4" ht="14.65" thickBot="1" x14ac:dyDescent="0.5">
      <c r="A3380" s="17">
        <v>45384.998611111114</v>
      </c>
      <c r="B3380" s="19">
        <v>60937.304199999999</v>
      </c>
      <c r="C3380" t="s">
        <v>155</v>
      </c>
      <c r="D3380" t="str">
        <f>T_Stocks[[#This Row],[Ticker]] &amp; "-" &amp; DATE(YEAR(T_Stocks[[#This Row],[Fecha]]),MONTH(T_Stocks[[#This Row],[Fecha]]),DAY(T_Stocks[[#This Row],[Fecha]]))</f>
        <v>BTCEUR-45384</v>
      </c>
    </row>
    <row r="3381" spans="1:4" ht="14.65" thickBot="1" x14ac:dyDescent="0.5">
      <c r="A3381" s="17">
        <v>45385.998611111114</v>
      </c>
      <c r="B3381" s="19">
        <v>60944.123370000001</v>
      </c>
      <c r="C3381" t="s">
        <v>155</v>
      </c>
      <c r="D3381" t="str">
        <f>T_Stocks[[#This Row],[Ticker]] &amp; "-" &amp; DATE(YEAR(T_Stocks[[#This Row],[Fecha]]),MONTH(T_Stocks[[#This Row],[Fecha]]),DAY(T_Stocks[[#This Row],[Fecha]]))</f>
        <v>BTCEUR-45385</v>
      </c>
    </row>
    <row r="3382" spans="1:4" ht="14.65" thickBot="1" x14ac:dyDescent="0.5">
      <c r="A3382" s="17">
        <v>45386.998611111114</v>
      </c>
      <c r="B3382" s="19">
        <v>63225.438990000002</v>
      </c>
      <c r="C3382" t="s">
        <v>155</v>
      </c>
      <c r="D3382" t="str">
        <f>T_Stocks[[#This Row],[Ticker]] &amp; "-" &amp; DATE(YEAR(T_Stocks[[#This Row],[Fecha]]),MONTH(T_Stocks[[#This Row],[Fecha]]),DAY(T_Stocks[[#This Row],[Fecha]]))</f>
        <v>BTCEUR-45386</v>
      </c>
    </row>
    <row r="3383" spans="1:4" ht="14.65" thickBot="1" x14ac:dyDescent="0.5">
      <c r="A3383" s="17">
        <v>45387.998611111114</v>
      </c>
      <c r="B3383" s="19">
        <v>62513.767910000002</v>
      </c>
      <c r="C3383" t="s">
        <v>155</v>
      </c>
      <c r="D3383" t="str">
        <f>T_Stocks[[#This Row],[Ticker]] &amp; "-" &amp; DATE(YEAR(T_Stocks[[#This Row],[Fecha]]),MONTH(T_Stocks[[#This Row],[Fecha]]),DAY(T_Stocks[[#This Row],[Fecha]]))</f>
        <v>BTCEUR-45387</v>
      </c>
    </row>
    <row r="3384" spans="1:4" ht="14.65" thickBot="1" x14ac:dyDescent="0.5">
      <c r="A3384" s="17">
        <v>45388.998611111114</v>
      </c>
      <c r="B3384" s="19">
        <v>63477.773939999999</v>
      </c>
      <c r="C3384" t="s">
        <v>155</v>
      </c>
      <c r="D3384" t="str">
        <f>T_Stocks[[#This Row],[Ticker]] &amp; "-" &amp; DATE(YEAR(T_Stocks[[#This Row],[Fecha]]),MONTH(T_Stocks[[#This Row],[Fecha]]),DAY(T_Stocks[[#This Row],[Fecha]]))</f>
        <v>BTCEUR-45388</v>
      </c>
    </row>
    <row r="3385" spans="1:4" ht="14.65" thickBot="1" x14ac:dyDescent="0.5">
      <c r="A3385" s="17">
        <v>45389.998611111114</v>
      </c>
      <c r="B3385" s="19">
        <v>64089.76483</v>
      </c>
      <c r="C3385" t="s">
        <v>155</v>
      </c>
      <c r="D3385" t="str">
        <f>T_Stocks[[#This Row],[Ticker]] &amp; "-" &amp; DATE(YEAR(T_Stocks[[#This Row],[Fecha]]),MONTH(T_Stocks[[#This Row],[Fecha]]),DAY(T_Stocks[[#This Row],[Fecha]]))</f>
        <v>BTCEUR-45389</v>
      </c>
    </row>
    <row r="3386" spans="1:4" ht="14.65" thickBot="1" x14ac:dyDescent="0.5">
      <c r="A3386" s="17">
        <v>45390.998611111114</v>
      </c>
      <c r="B3386" s="19">
        <v>65941.711219999997</v>
      </c>
      <c r="C3386" t="s">
        <v>155</v>
      </c>
      <c r="D3386" t="str">
        <f>T_Stocks[[#This Row],[Ticker]] &amp; "-" &amp; DATE(YEAR(T_Stocks[[#This Row],[Fecha]]),MONTH(T_Stocks[[#This Row],[Fecha]]),DAY(T_Stocks[[#This Row],[Fecha]]))</f>
        <v>BTCEUR-45390</v>
      </c>
    </row>
    <row r="3387" spans="1:4" ht="14.65" thickBot="1" x14ac:dyDescent="0.5">
      <c r="A3387" s="17">
        <v>45391.998611111114</v>
      </c>
      <c r="B3387" s="19">
        <v>63684.311909999997</v>
      </c>
      <c r="C3387" t="s">
        <v>155</v>
      </c>
      <c r="D3387" t="str">
        <f>T_Stocks[[#This Row],[Ticker]] &amp; "-" &amp; DATE(YEAR(T_Stocks[[#This Row],[Fecha]]),MONTH(T_Stocks[[#This Row],[Fecha]]),DAY(T_Stocks[[#This Row],[Fecha]]))</f>
        <v>BTCEUR-45391</v>
      </c>
    </row>
    <row r="3388" spans="1:4" ht="14.65" thickBot="1" x14ac:dyDescent="0.5">
      <c r="A3388" s="17">
        <v>45392.998611111114</v>
      </c>
      <c r="B3388" s="19">
        <v>65736.976850000006</v>
      </c>
      <c r="C3388" t="s">
        <v>155</v>
      </c>
      <c r="D3388" t="str">
        <f>T_Stocks[[#This Row],[Ticker]] &amp; "-" &amp; DATE(YEAR(T_Stocks[[#This Row],[Fecha]]),MONTH(T_Stocks[[#This Row],[Fecha]]),DAY(T_Stocks[[#This Row],[Fecha]]))</f>
        <v>BTCEUR-45392</v>
      </c>
    </row>
    <row r="3389" spans="1:4" ht="14.65" thickBot="1" x14ac:dyDescent="0.5">
      <c r="A3389" s="17">
        <v>45393.998611111114</v>
      </c>
      <c r="B3389" s="19">
        <v>65284.207849999999</v>
      </c>
      <c r="C3389" t="s">
        <v>155</v>
      </c>
      <c r="D3389" t="str">
        <f>T_Stocks[[#This Row],[Ticker]] &amp; "-" &amp; DATE(YEAR(T_Stocks[[#This Row],[Fecha]]),MONTH(T_Stocks[[#This Row],[Fecha]]),DAY(T_Stocks[[#This Row],[Fecha]]))</f>
        <v>BTCEUR-45393</v>
      </c>
    </row>
    <row r="3390" spans="1:4" ht="14.65" thickBot="1" x14ac:dyDescent="0.5">
      <c r="A3390" s="17">
        <v>45394.998611111114</v>
      </c>
      <c r="B3390" s="19">
        <v>62867.72453</v>
      </c>
      <c r="C3390" t="s">
        <v>155</v>
      </c>
      <c r="D3390" t="str">
        <f>T_Stocks[[#This Row],[Ticker]] &amp; "-" &amp; DATE(YEAR(T_Stocks[[#This Row],[Fecha]]),MONTH(T_Stocks[[#This Row],[Fecha]]),DAY(T_Stocks[[#This Row],[Fecha]]))</f>
        <v>BTCEUR-45394</v>
      </c>
    </row>
    <row r="3391" spans="1:4" ht="14.65" thickBot="1" x14ac:dyDescent="0.5">
      <c r="A3391" s="17">
        <v>45395.998611111114</v>
      </c>
      <c r="B3391" s="19">
        <v>60295.106699999997</v>
      </c>
      <c r="C3391" t="s">
        <v>155</v>
      </c>
      <c r="D3391" t="str">
        <f>T_Stocks[[#This Row],[Ticker]] &amp; "-" &amp; DATE(YEAR(T_Stocks[[#This Row],[Fecha]]),MONTH(T_Stocks[[#This Row],[Fecha]]),DAY(T_Stocks[[#This Row],[Fecha]]))</f>
        <v>BTCEUR-45395</v>
      </c>
    </row>
    <row r="3392" spans="1:4" ht="14.65" thickBot="1" x14ac:dyDescent="0.5">
      <c r="A3392" s="17">
        <v>45396.998611111114</v>
      </c>
      <c r="B3392" s="19">
        <v>61766.819040000002</v>
      </c>
      <c r="C3392" t="s">
        <v>155</v>
      </c>
      <c r="D3392" t="str">
        <f>T_Stocks[[#This Row],[Ticker]] &amp; "-" &amp; DATE(YEAR(T_Stocks[[#This Row],[Fecha]]),MONTH(T_Stocks[[#This Row],[Fecha]]),DAY(T_Stocks[[#This Row],[Fecha]]))</f>
        <v>BTCEUR-45396</v>
      </c>
    </row>
    <row r="3393" spans="1:4" ht="14.65" thickBot="1" x14ac:dyDescent="0.5">
      <c r="A3393" s="17">
        <v>45397.998611111114</v>
      </c>
      <c r="B3393" s="19">
        <v>59695.764860000003</v>
      </c>
      <c r="C3393" t="s">
        <v>155</v>
      </c>
      <c r="D3393" t="str">
        <f>T_Stocks[[#This Row],[Ticker]] &amp; "-" &amp; DATE(YEAR(T_Stocks[[#This Row],[Fecha]]),MONTH(T_Stocks[[#This Row],[Fecha]]),DAY(T_Stocks[[#This Row],[Fecha]]))</f>
        <v>BTCEUR-45397</v>
      </c>
    </row>
    <row r="3394" spans="1:4" ht="14.65" thickBot="1" x14ac:dyDescent="0.5">
      <c r="A3394" s="17">
        <v>45398.998611111114</v>
      </c>
      <c r="B3394" s="19">
        <v>60048.94773</v>
      </c>
      <c r="C3394" t="s">
        <v>155</v>
      </c>
      <c r="D3394" t="str">
        <f>T_Stocks[[#This Row],[Ticker]] &amp; "-" &amp; DATE(YEAR(T_Stocks[[#This Row],[Fecha]]),MONTH(T_Stocks[[#This Row],[Fecha]]),DAY(T_Stocks[[#This Row],[Fecha]]))</f>
        <v>BTCEUR-45398</v>
      </c>
    </row>
    <row r="3395" spans="1:4" ht="14.65" thickBot="1" x14ac:dyDescent="0.5">
      <c r="A3395" s="17">
        <v>45399.998611111114</v>
      </c>
      <c r="B3395" s="19">
        <v>57474.320299999999</v>
      </c>
      <c r="C3395" t="s">
        <v>155</v>
      </c>
      <c r="D3395" t="str">
        <f>T_Stocks[[#This Row],[Ticker]] &amp; "-" &amp; DATE(YEAR(T_Stocks[[#This Row],[Fecha]]),MONTH(T_Stocks[[#This Row],[Fecha]]),DAY(T_Stocks[[#This Row],[Fecha]]))</f>
        <v>BTCEUR-45399</v>
      </c>
    </row>
    <row r="3396" spans="1:4" ht="14.65" thickBot="1" x14ac:dyDescent="0.5">
      <c r="A3396" s="17">
        <v>45400.998611111114</v>
      </c>
      <c r="B3396" s="19">
        <v>59666.064769999997</v>
      </c>
      <c r="C3396" t="s">
        <v>155</v>
      </c>
      <c r="D3396" t="str">
        <f>T_Stocks[[#This Row],[Ticker]] &amp; "-" &amp; DATE(YEAR(T_Stocks[[#This Row],[Fecha]]),MONTH(T_Stocks[[#This Row],[Fecha]]),DAY(T_Stocks[[#This Row],[Fecha]]))</f>
        <v>BTCEUR-45400</v>
      </c>
    </row>
    <row r="3397" spans="1:4" ht="14.65" thickBot="1" x14ac:dyDescent="0.5">
      <c r="A3397" s="17">
        <v>45401.998611111114</v>
      </c>
      <c r="B3397" s="19">
        <v>59809.466509999998</v>
      </c>
      <c r="C3397" t="s">
        <v>155</v>
      </c>
      <c r="D3397" t="str">
        <f>T_Stocks[[#This Row],[Ticker]] &amp; "-" &amp; DATE(YEAR(T_Stocks[[#This Row],[Fecha]]),MONTH(T_Stocks[[#This Row],[Fecha]]),DAY(T_Stocks[[#This Row],[Fecha]]))</f>
        <v>BTCEUR-45401</v>
      </c>
    </row>
    <row r="3398" spans="1:4" ht="14.65" thickBot="1" x14ac:dyDescent="0.5">
      <c r="A3398" s="17">
        <v>45402.998611111114</v>
      </c>
      <c r="B3398" s="19">
        <v>60891.994780000001</v>
      </c>
      <c r="C3398" t="s">
        <v>155</v>
      </c>
      <c r="D3398" t="str">
        <f>T_Stocks[[#This Row],[Ticker]] &amp; "-" &amp; DATE(YEAR(T_Stocks[[#This Row],[Fecha]]),MONTH(T_Stocks[[#This Row],[Fecha]]),DAY(T_Stocks[[#This Row],[Fecha]]))</f>
        <v>BTCEUR-45402</v>
      </c>
    </row>
    <row r="3399" spans="1:4" ht="14.65" thickBot="1" x14ac:dyDescent="0.5">
      <c r="A3399" s="17">
        <v>45403.998611111114</v>
      </c>
      <c r="B3399" s="19">
        <v>60935.422919999997</v>
      </c>
      <c r="C3399" t="s">
        <v>155</v>
      </c>
      <c r="D3399" t="str">
        <f>T_Stocks[[#This Row],[Ticker]] &amp; "-" &amp; DATE(YEAR(T_Stocks[[#This Row],[Fecha]]),MONTH(T_Stocks[[#This Row],[Fecha]]),DAY(T_Stocks[[#This Row],[Fecha]]))</f>
        <v>BTCEUR-45403</v>
      </c>
    </row>
    <row r="3400" spans="1:4" ht="14.65" thickBot="1" x14ac:dyDescent="0.5">
      <c r="A3400" s="17">
        <v>45404.998611111114</v>
      </c>
      <c r="B3400" s="19">
        <v>62737.227400000003</v>
      </c>
      <c r="C3400" t="s">
        <v>155</v>
      </c>
      <c r="D3400" t="str">
        <f>T_Stocks[[#This Row],[Ticker]] &amp; "-" &amp; DATE(YEAR(T_Stocks[[#This Row],[Fecha]]),MONTH(T_Stocks[[#This Row],[Fecha]]),DAY(T_Stocks[[#This Row],[Fecha]]))</f>
        <v>BTCEUR-45404</v>
      </c>
    </row>
    <row r="3401" spans="1:4" ht="14.65" thickBot="1" x14ac:dyDescent="0.5">
      <c r="A3401" s="17">
        <v>45405.998611111114</v>
      </c>
      <c r="B3401" s="19">
        <v>62032.776420000002</v>
      </c>
      <c r="C3401" t="s">
        <v>155</v>
      </c>
      <c r="D3401" t="str">
        <f>T_Stocks[[#This Row],[Ticker]] &amp; "-" &amp; DATE(YEAR(T_Stocks[[#This Row],[Fecha]]),MONTH(T_Stocks[[#This Row],[Fecha]]),DAY(T_Stocks[[#This Row],[Fecha]]))</f>
        <v>BTCEUR-45405</v>
      </c>
    </row>
    <row r="3402" spans="1:4" ht="14.65" thickBot="1" x14ac:dyDescent="0.5">
      <c r="A3402" s="17">
        <v>45406.998611111114</v>
      </c>
      <c r="B3402" s="19">
        <v>60066.78155</v>
      </c>
      <c r="C3402" t="s">
        <v>155</v>
      </c>
      <c r="D3402" t="str">
        <f>T_Stocks[[#This Row],[Ticker]] &amp; "-" &amp; DATE(YEAR(T_Stocks[[#This Row],[Fecha]]),MONTH(T_Stocks[[#This Row],[Fecha]]),DAY(T_Stocks[[#This Row],[Fecha]]))</f>
        <v>BTCEUR-45406</v>
      </c>
    </row>
    <row r="3403" spans="1:4" ht="14.65" thickBot="1" x14ac:dyDescent="0.5">
      <c r="A3403" s="17">
        <v>45407.998611111114</v>
      </c>
      <c r="B3403" s="19">
        <v>60119.6852</v>
      </c>
      <c r="C3403" t="s">
        <v>155</v>
      </c>
      <c r="D3403" t="str">
        <f>T_Stocks[[#This Row],[Ticker]] &amp; "-" &amp; DATE(YEAR(T_Stocks[[#This Row],[Fecha]]),MONTH(T_Stocks[[#This Row],[Fecha]]),DAY(T_Stocks[[#This Row],[Fecha]]))</f>
        <v>BTCEUR-45407</v>
      </c>
    </row>
    <row r="3404" spans="1:4" ht="14.65" thickBot="1" x14ac:dyDescent="0.5">
      <c r="A3404" s="17">
        <v>45408.998611111114</v>
      </c>
      <c r="B3404" s="19">
        <v>59585.181759999999</v>
      </c>
      <c r="C3404" t="s">
        <v>155</v>
      </c>
      <c r="D3404" t="str">
        <f>T_Stocks[[#This Row],[Ticker]] &amp; "-" &amp; DATE(YEAR(T_Stocks[[#This Row],[Fecha]]),MONTH(T_Stocks[[#This Row],[Fecha]]),DAY(T_Stocks[[#This Row],[Fecha]]))</f>
        <v>BTCEUR-45408</v>
      </c>
    </row>
    <row r="3405" spans="1:4" ht="14.65" thickBot="1" x14ac:dyDescent="0.5">
      <c r="A3405" s="17">
        <v>45409.998611111114</v>
      </c>
      <c r="B3405" s="19">
        <v>59277.465629999999</v>
      </c>
      <c r="C3405" t="s">
        <v>155</v>
      </c>
      <c r="D3405" t="str">
        <f>T_Stocks[[#This Row],[Ticker]] &amp; "-" &amp; DATE(YEAR(T_Stocks[[#This Row],[Fecha]]),MONTH(T_Stocks[[#This Row],[Fecha]]),DAY(T_Stocks[[#This Row],[Fecha]]))</f>
        <v>BTCEUR-45409</v>
      </c>
    </row>
    <row r="3406" spans="1:4" ht="14.65" thickBot="1" x14ac:dyDescent="0.5">
      <c r="A3406" s="17">
        <v>45410.998611111114</v>
      </c>
      <c r="B3406" s="19">
        <v>58829.46686</v>
      </c>
      <c r="C3406" t="s">
        <v>155</v>
      </c>
      <c r="D3406" t="str">
        <f>T_Stocks[[#This Row],[Ticker]] &amp; "-" &amp; DATE(YEAR(T_Stocks[[#This Row],[Fecha]]),MONTH(T_Stocks[[#This Row],[Fecha]]),DAY(T_Stocks[[#This Row],[Fecha]]))</f>
        <v>BTCEUR-45410</v>
      </c>
    </row>
    <row r="3407" spans="1:4" ht="14.65" thickBot="1" x14ac:dyDescent="0.5">
      <c r="A3407" s="17">
        <v>45411.998611111114</v>
      </c>
      <c r="B3407" s="19">
        <v>59603.740080000003</v>
      </c>
      <c r="C3407" t="s">
        <v>155</v>
      </c>
      <c r="D3407" t="str">
        <f>T_Stocks[[#This Row],[Ticker]] &amp; "-" &amp; DATE(YEAR(T_Stocks[[#This Row],[Fecha]]),MONTH(T_Stocks[[#This Row],[Fecha]]),DAY(T_Stocks[[#This Row],[Fecha]]))</f>
        <v>BTCEUR-45411</v>
      </c>
    </row>
    <row r="3408" spans="1:4" ht="14.65" thickBot="1" x14ac:dyDescent="0.5">
      <c r="A3408" s="17">
        <v>45412.998611111114</v>
      </c>
      <c r="B3408" s="19">
        <v>56955.279390000003</v>
      </c>
      <c r="C3408" t="s">
        <v>155</v>
      </c>
      <c r="D3408" t="str">
        <f>T_Stocks[[#This Row],[Ticker]] &amp; "-" &amp; DATE(YEAR(T_Stocks[[#This Row],[Fecha]]),MONTH(T_Stocks[[#This Row],[Fecha]]),DAY(T_Stocks[[#This Row],[Fecha]]))</f>
        <v>BTCEUR-45412</v>
      </c>
    </row>
    <row r="3409" spans="1:4" ht="14.65" thickBot="1" x14ac:dyDescent="0.5">
      <c r="A3409" s="17">
        <v>45413.998611111114</v>
      </c>
      <c r="B3409" s="19">
        <v>54386.912199999999</v>
      </c>
      <c r="C3409" t="s">
        <v>155</v>
      </c>
      <c r="D3409" t="str">
        <f>T_Stocks[[#This Row],[Ticker]] &amp; "-" &amp; DATE(YEAR(T_Stocks[[#This Row],[Fecha]]),MONTH(T_Stocks[[#This Row],[Fecha]]),DAY(T_Stocks[[#This Row],[Fecha]]))</f>
        <v>BTCEUR-45413</v>
      </c>
    </row>
    <row r="3410" spans="1:4" ht="14.65" thickBot="1" x14ac:dyDescent="0.5">
      <c r="A3410" s="17">
        <v>45414.998611111114</v>
      </c>
      <c r="B3410" s="19">
        <v>55107.017650000002</v>
      </c>
      <c r="C3410" t="s">
        <v>155</v>
      </c>
      <c r="D3410" t="str">
        <f>T_Stocks[[#This Row],[Ticker]] &amp; "-" &amp; DATE(YEAR(T_Stocks[[#This Row],[Fecha]]),MONTH(T_Stocks[[#This Row],[Fecha]]),DAY(T_Stocks[[#This Row],[Fecha]]))</f>
        <v>BTCEUR-45414</v>
      </c>
    </row>
    <row r="3411" spans="1:4" ht="14.65" thickBot="1" x14ac:dyDescent="0.5">
      <c r="A3411" s="17">
        <v>45415.998611111114</v>
      </c>
      <c r="B3411" s="19">
        <v>58396.923309999998</v>
      </c>
      <c r="C3411" t="s">
        <v>155</v>
      </c>
      <c r="D3411" t="str">
        <f>T_Stocks[[#This Row],[Ticker]] &amp; "-" &amp; DATE(YEAR(T_Stocks[[#This Row],[Fecha]]),MONTH(T_Stocks[[#This Row],[Fecha]]),DAY(T_Stocks[[#This Row],[Fecha]]))</f>
        <v>BTCEUR-45415</v>
      </c>
    </row>
    <row r="3412" spans="1:4" ht="14.65" thickBot="1" x14ac:dyDescent="0.5">
      <c r="A3412" s="17">
        <v>45416.998611111114</v>
      </c>
      <c r="B3412" s="19">
        <v>59280.764629999998</v>
      </c>
      <c r="C3412" t="s">
        <v>155</v>
      </c>
      <c r="D3412" t="str">
        <f>T_Stocks[[#This Row],[Ticker]] &amp; "-" &amp; DATE(YEAR(T_Stocks[[#This Row],[Fecha]]),MONTH(T_Stocks[[#This Row],[Fecha]]),DAY(T_Stocks[[#This Row],[Fecha]]))</f>
        <v>BTCEUR-45416</v>
      </c>
    </row>
    <row r="3413" spans="1:4" ht="14.65" thickBot="1" x14ac:dyDescent="0.5">
      <c r="A3413" s="17">
        <v>45417.998611111114</v>
      </c>
      <c r="B3413" s="19">
        <v>59423.737459999997</v>
      </c>
      <c r="C3413" t="s">
        <v>155</v>
      </c>
      <c r="D3413" t="str">
        <f>T_Stocks[[#This Row],[Ticker]] &amp; "-" &amp; DATE(YEAR(T_Stocks[[#This Row],[Fecha]]),MONTH(T_Stocks[[#This Row],[Fecha]]),DAY(T_Stocks[[#This Row],[Fecha]]))</f>
        <v>BTCEUR-45417</v>
      </c>
    </row>
    <row r="3414" spans="1:4" ht="14.65" thickBot="1" x14ac:dyDescent="0.5">
      <c r="A3414" s="17">
        <v>45418.998611111114</v>
      </c>
      <c r="B3414" s="19">
        <v>58688.946580000003</v>
      </c>
      <c r="C3414" t="s">
        <v>155</v>
      </c>
      <c r="D3414" t="str">
        <f>T_Stocks[[#This Row],[Ticker]] &amp; "-" &amp; DATE(YEAR(T_Stocks[[#This Row],[Fecha]]),MONTH(T_Stocks[[#This Row],[Fecha]]),DAY(T_Stocks[[#This Row],[Fecha]]))</f>
        <v>BTCEUR-45418</v>
      </c>
    </row>
    <row r="3415" spans="1:4" ht="14.65" thickBot="1" x14ac:dyDescent="0.5">
      <c r="A3415" s="17">
        <v>45419.998611111114</v>
      </c>
      <c r="B3415" s="19">
        <v>58027.968350000003</v>
      </c>
      <c r="C3415" t="s">
        <v>155</v>
      </c>
      <c r="D3415" t="str">
        <f>T_Stocks[[#This Row],[Ticker]] &amp; "-" &amp; DATE(YEAR(T_Stocks[[#This Row],[Fecha]]),MONTH(T_Stocks[[#This Row],[Fecha]]),DAY(T_Stocks[[#This Row],[Fecha]]))</f>
        <v>BTCEUR-45419</v>
      </c>
    </row>
    <row r="3416" spans="1:4" ht="14.65" thickBot="1" x14ac:dyDescent="0.5">
      <c r="A3416" s="17">
        <v>45420.998611111114</v>
      </c>
      <c r="B3416" s="19">
        <v>56858.732880000003</v>
      </c>
      <c r="C3416" t="s">
        <v>155</v>
      </c>
      <c r="D3416" t="str">
        <f>T_Stocks[[#This Row],[Ticker]] &amp; "-" &amp; DATE(YEAR(T_Stocks[[#This Row],[Fecha]]),MONTH(T_Stocks[[#This Row],[Fecha]]),DAY(T_Stocks[[#This Row],[Fecha]]))</f>
        <v>BTCEUR-45420</v>
      </c>
    </row>
    <row r="3417" spans="1:4" ht="14.65" thickBot="1" x14ac:dyDescent="0.5">
      <c r="A3417" s="17">
        <v>45421.998611111114</v>
      </c>
      <c r="B3417" s="19">
        <v>58436.96544</v>
      </c>
      <c r="C3417" t="s">
        <v>155</v>
      </c>
      <c r="D3417" t="str">
        <f>T_Stocks[[#This Row],[Ticker]] &amp; "-" &amp; DATE(YEAR(T_Stocks[[#This Row],[Fecha]]),MONTH(T_Stocks[[#This Row],[Fecha]]),DAY(T_Stocks[[#This Row],[Fecha]]))</f>
        <v>BTCEUR-45421</v>
      </c>
    </row>
    <row r="3418" spans="1:4" ht="14.65" thickBot="1" x14ac:dyDescent="0.5">
      <c r="A3418" s="17">
        <v>45422.998611111114</v>
      </c>
      <c r="B3418" s="19">
        <v>56414.137150000002</v>
      </c>
      <c r="C3418" t="s">
        <v>155</v>
      </c>
      <c r="D3418" t="str">
        <f>T_Stocks[[#This Row],[Ticker]] &amp; "-" &amp; DATE(YEAR(T_Stocks[[#This Row],[Fecha]]),MONTH(T_Stocks[[#This Row],[Fecha]]),DAY(T_Stocks[[#This Row],[Fecha]]))</f>
        <v>BTCEUR-45422</v>
      </c>
    </row>
    <row r="3419" spans="1:4" ht="14.65" thickBot="1" x14ac:dyDescent="0.5">
      <c r="A3419" s="17">
        <v>45423.998611111114</v>
      </c>
      <c r="B3419" s="19">
        <v>56414.137150000002</v>
      </c>
      <c r="C3419" t="s">
        <v>155</v>
      </c>
      <c r="D3419" t="str">
        <f>T_Stocks[[#This Row],[Ticker]] &amp; "-" &amp; DATE(YEAR(T_Stocks[[#This Row],[Fecha]]),MONTH(T_Stocks[[#This Row],[Fecha]]),DAY(T_Stocks[[#This Row],[Fecha]]))</f>
        <v>BTCEUR-45423</v>
      </c>
    </row>
    <row r="3420" spans="1:4" ht="14.65" thickBot="1" x14ac:dyDescent="0.5">
      <c r="A3420" s="17">
        <v>45424.998611111114</v>
      </c>
      <c r="B3420" s="19">
        <v>56557.555070000002</v>
      </c>
      <c r="C3420" t="s">
        <v>155</v>
      </c>
      <c r="D3420" t="str">
        <f>T_Stocks[[#This Row],[Ticker]] &amp; "-" &amp; DATE(YEAR(T_Stocks[[#This Row],[Fecha]]),MONTH(T_Stocks[[#This Row],[Fecha]]),DAY(T_Stocks[[#This Row],[Fecha]]))</f>
        <v>BTCEUR-45424</v>
      </c>
    </row>
    <row r="3421" spans="1:4" ht="14.65" thickBot="1" x14ac:dyDescent="0.5">
      <c r="A3421" s="17">
        <v>45425.998611111114</v>
      </c>
      <c r="B3421" s="19">
        <v>56655.326710000001</v>
      </c>
      <c r="C3421" t="s">
        <v>155</v>
      </c>
      <c r="D3421" t="str">
        <f>T_Stocks[[#This Row],[Ticker]] &amp; "-" &amp; DATE(YEAR(T_Stocks[[#This Row],[Fecha]]),MONTH(T_Stocks[[#This Row],[Fecha]]),DAY(T_Stocks[[#This Row],[Fecha]]))</f>
        <v>BTCEUR-45425</v>
      </c>
    </row>
    <row r="3422" spans="1:4" ht="14.65" thickBot="1" x14ac:dyDescent="0.5">
      <c r="A3422" s="17">
        <v>45426.998611111114</v>
      </c>
      <c r="B3422" s="19">
        <v>57723.814760000001</v>
      </c>
      <c r="C3422" t="s">
        <v>155</v>
      </c>
      <c r="D3422" t="str">
        <f>T_Stocks[[#This Row],[Ticker]] &amp; "-" &amp; DATE(YEAR(T_Stocks[[#This Row],[Fecha]]),MONTH(T_Stocks[[#This Row],[Fecha]]),DAY(T_Stocks[[#This Row],[Fecha]]))</f>
        <v>BTCEUR-45426</v>
      </c>
    </row>
    <row r="3423" spans="1:4" ht="14.65" thickBot="1" x14ac:dyDescent="0.5">
      <c r="A3423" s="17">
        <v>45427.998611111114</v>
      </c>
      <c r="B3423" s="19">
        <v>56800.368799999997</v>
      </c>
      <c r="C3423" t="s">
        <v>155</v>
      </c>
      <c r="D3423" t="str">
        <f>T_Stocks[[#This Row],[Ticker]] &amp; "-" &amp; DATE(YEAR(T_Stocks[[#This Row],[Fecha]]),MONTH(T_Stocks[[#This Row],[Fecha]]),DAY(T_Stocks[[#This Row],[Fecha]]))</f>
        <v>BTCEUR-45427</v>
      </c>
    </row>
    <row r="3424" spans="1:4" ht="14.65" thickBot="1" x14ac:dyDescent="0.5">
      <c r="A3424" s="17">
        <v>45428.998611111114</v>
      </c>
      <c r="B3424" s="19">
        <v>60801.368049999997</v>
      </c>
      <c r="C3424" t="s">
        <v>155</v>
      </c>
      <c r="D3424" t="str">
        <f>T_Stocks[[#This Row],[Ticker]] &amp; "-" &amp; DATE(YEAR(T_Stocks[[#This Row],[Fecha]]),MONTH(T_Stocks[[#This Row],[Fecha]]),DAY(T_Stocks[[#This Row],[Fecha]]))</f>
        <v>BTCEUR-45428</v>
      </c>
    </row>
    <row r="3425" spans="1:4" ht="14.65" thickBot="1" x14ac:dyDescent="0.5">
      <c r="A3425" s="17">
        <v>45429.998611111114</v>
      </c>
      <c r="B3425" s="19">
        <v>60251.009330000001</v>
      </c>
      <c r="C3425" t="s">
        <v>155</v>
      </c>
      <c r="D3425" t="str">
        <f>T_Stocks[[#This Row],[Ticker]] &amp; "-" &amp; DATE(YEAR(T_Stocks[[#This Row],[Fecha]]),MONTH(T_Stocks[[#This Row],[Fecha]]),DAY(T_Stocks[[#This Row],[Fecha]]))</f>
        <v>BTCEUR-45429</v>
      </c>
    </row>
    <row r="3426" spans="1:4" ht="14.65" thickBot="1" x14ac:dyDescent="0.5">
      <c r="A3426" s="17">
        <v>45430.998611111114</v>
      </c>
      <c r="B3426" s="19">
        <v>61459.999739999999</v>
      </c>
      <c r="C3426" t="s">
        <v>155</v>
      </c>
      <c r="D3426" t="str">
        <f>T_Stocks[[#This Row],[Ticker]] &amp; "-" &amp; DATE(YEAR(T_Stocks[[#This Row],[Fecha]]),MONTH(T_Stocks[[#This Row],[Fecha]]),DAY(T_Stocks[[#This Row],[Fecha]]))</f>
        <v>BTCEUR-45430</v>
      </c>
    </row>
    <row r="3427" spans="1:4" ht="14.65" thickBot="1" x14ac:dyDescent="0.5">
      <c r="A3427" s="17">
        <v>45431.998611111114</v>
      </c>
      <c r="B3427" s="19">
        <v>61655.113960000002</v>
      </c>
      <c r="C3427" t="s">
        <v>155</v>
      </c>
      <c r="D3427" t="str">
        <f>T_Stocks[[#This Row],[Ticker]] &amp; "-" &amp; DATE(YEAR(T_Stocks[[#This Row],[Fecha]]),MONTH(T_Stocks[[#This Row],[Fecha]]),DAY(T_Stocks[[#This Row],[Fecha]]))</f>
        <v>BTCEUR-45431</v>
      </c>
    </row>
    <row r="3428" spans="1:4" ht="14.65" thickBot="1" x14ac:dyDescent="0.5">
      <c r="A3428" s="17">
        <v>45432.998611111114</v>
      </c>
      <c r="B3428" s="19">
        <v>61395.771860000001</v>
      </c>
      <c r="C3428" t="s">
        <v>155</v>
      </c>
      <c r="D3428" t="str">
        <f>T_Stocks[[#This Row],[Ticker]] &amp; "-" &amp; DATE(YEAR(T_Stocks[[#This Row],[Fecha]]),MONTH(T_Stocks[[#This Row],[Fecha]]),DAY(T_Stocks[[#This Row],[Fecha]]))</f>
        <v>BTCEUR-45432</v>
      </c>
    </row>
    <row r="3429" spans="1:4" ht="14.65" thickBot="1" x14ac:dyDescent="0.5">
      <c r="A3429" s="17">
        <v>45433.998611111114</v>
      </c>
      <c r="B3429" s="19">
        <v>65615.902749999994</v>
      </c>
      <c r="C3429" t="s">
        <v>155</v>
      </c>
      <c r="D3429" t="str">
        <f>T_Stocks[[#This Row],[Ticker]] &amp; "-" &amp; DATE(YEAR(T_Stocks[[#This Row],[Fecha]]),MONTH(T_Stocks[[#This Row],[Fecha]]),DAY(T_Stocks[[#This Row],[Fecha]]))</f>
        <v>BTCEUR-45433</v>
      </c>
    </row>
    <row r="3430" spans="1:4" ht="14.65" thickBot="1" x14ac:dyDescent="0.5">
      <c r="A3430" s="17">
        <v>45434.998611111114</v>
      </c>
      <c r="B3430" s="19">
        <v>64572.677710000004</v>
      </c>
      <c r="C3430" t="s">
        <v>155</v>
      </c>
      <c r="D3430" t="str">
        <f>T_Stocks[[#This Row],[Ticker]] &amp; "-" &amp; DATE(YEAR(T_Stocks[[#This Row],[Fecha]]),MONTH(T_Stocks[[#This Row],[Fecha]]),DAY(T_Stocks[[#This Row],[Fecha]]))</f>
        <v>BTCEUR-45434</v>
      </c>
    </row>
    <row r="3431" spans="1:4" ht="14.65" thickBot="1" x14ac:dyDescent="0.5">
      <c r="A3431" s="17">
        <v>45435.998611111114</v>
      </c>
      <c r="B3431" s="19">
        <v>64123.06927</v>
      </c>
      <c r="C3431" t="s">
        <v>155</v>
      </c>
      <c r="D3431" t="str">
        <f>T_Stocks[[#This Row],[Ticker]] &amp; "-" &amp; DATE(YEAR(T_Stocks[[#This Row],[Fecha]]),MONTH(T_Stocks[[#This Row],[Fecha]]),DAY(T_Stocks[[#This Row],[Fecha]]))</f>
        <v>BTCEUR-45435</v>
      </c>
    </row>
    <row r="3432" spans="1:4" ht="14.65" thickBot="1" x14ac:dyDescent="0.5">
      <c r="A3432" s="17">
        <v>45436.998611111114</v>
      </c>
      <c r="B3432" s="19">
        <v>62498.3943</v>
      </c>
      <c r="C3432" t="s">
        <v>155</v>
      </c>
      <c r="D3432" t="str">
        <f>T_Stocks[[#This Row],[Ticker]] &amp; "-" &amp; DATE(YEAR(T_Stocks[[#This Row],[Fecha]]),MONTH(T_Stocks[[#This Row],[Fecha]]),DAY(T_Stocks[[#This Row],[Fecha]]))</f>
        <v>BTCEUR-45436</v>
      </c>
    </row>
    <row r="3433" spans="1:4" ht="14.65" thickBot="1" x14ac:dyDescent="0.5">
      <c r="A3433" s="17">
        <v>45437.998611111114</v>
      </c>
      <c r="B3433" s="19">
        <v>63322.953809999999</v>
      </c>
      <c r="C3433" t="s">
        <v>155</v>
      </c>
      <c r="D3433" t="str">
        <f>T_Stocks[[#This Row],[Ticker]] &amp; "-" &amp; DATE(YEAR(T_Stocks[[#This Row],[Fecha]]),MONTH(T_Stocks[[#This Row],[Fecha]]),DAY(T_Stocks[[#This Row],[Fecha]]))</f>
        <v>BTCEUR-45437</v>
      </c>
    </row>
    <row r="3434" spans="1:4" ht="14.65" thickBot="1" x14ac:dyDescent="0.5">
      <c r="A3434" s="17">
        <v>45438.998611111114</v>
      </c>
      <c r="B3434" s="19">
        <v>63678.963689999997</v>
      </c>
      <c r="C3434" t="s">
        <v>155</v>
      </c>
      <c r="D3434" t="str">
        <f>T_Stocks[[#This Row],[Ticker]] &amp; "-" &amp; DATE(YEAR(T_Stocks[[#This Row],[Fecha]]),MONTH(T_Stocks[[#This Row],[Fecha]]),DAY(T_Stocks[[#This Row],[Fecha]]))</f>
        <v>BTCEUR-45438</v>
      </c>
    </row>
    <row r="3435" spans="1:4" ht="14.65" thickBot="1" x14ac:dyDescent="0.5">
      <c r="A3435" s="17">
        <v>45439.998611111114</v>
      </c>
      <c r="B3435" s="19">
        <v>63446.43823</v>
      </c>
      <c r="C3435" t="s">
        <v>155</v>
      </c>
      <c r="D3435" t="str">
        <f>T_Stocks[[#This Row],[Ticker]] &amp; "-" &amp; DATE(YEAR(T_Stocks[[#This Row],[Fecha]]),MONTH(T_Stocks[[#This Row],[Fecha]]),DAY(T_Stocks[[#This Row],[Fecha]]))</f>
        <v>BTCEUR-45439</v>
      </c>
    </row>
    <row r="3436" spans="1:4" ht="14.65" thickBot="1" x14ac:dyDescent="0.5">
      <c r="A3436" s="17">
        <v>45440.998611111114</v>
      </c>
      <c r="B3436" s="19">
        <v>62756.029860000002</v>
      </c>
      <c r="C3436" t="s">
        <v>155</v>
      </c>
      <c r="D3436" t="str">
        <f>T_Stocks[[#This Row],[Ticker]] &amp; "-" &amp; DATE(YEAR(T_Stocks[[#This Row],[Fecha]]),MONTH(T_Stocks[[#This Row],[Fecha]]),DAY(T_Stocks[[#This Row],[Fecha]]))</f>
        <v>BTCEUR-45440</v>
      </c>
    </row>
    <row r="3437" spans="1:4" ht="14.65" thickBot="1" x14ac:dyDescent="0.5">
      <c r="A3437" s="17">
        <v>45441.998611111114</v>
      </c>
      <c r="B3437" s="19">
        <v>63612.878369999999</v>
      </c>
      <c r="C3437" t="s">
        <v>155</v>
      </c>
      <c r="D3437" t="str">
        <f>T_Stocks[[#This Row],[Ticker]] &amp; "-" &amp; DATE(YEAR(T_Stocks[[#This Row],[Fecha]]),MONTH(T_Stocks[[#This Row],[Fecha]]),DAY(T_Stocks[[#This Row],[Fecha]]))</f>
        <v>BTCEUR-45441</v>
      </c>
    </row>
    <row r="3438" spans="1:4" ht="14.65" thickBot="1" x14ac:dyDescent="0.5">
      <c r="A3438" s="17">
        <v>45442.998611111114</v>
      </c>
      <c r="B3438" s="19">
        <v>62792.860849999997</v>
      </c>
      <c r="C3438" t="s">
        <v>155</v>
      </c>
      <c r="D3438" t="str">
        <f>T_Stocks[[#This Row],[Ticker]] &amp; "-" &amp; DATE(YEAR(T_Stocks[[#This Row],[Fecha]]),MONTH(T_Stocks[[#This Row],[Fecha]]),DAY(T_Stocks[[#This Row],[Fecha]]))</f>
        <v>BTCEUR-45442</v>
      </c>
    </row>
    <row r="3439" spans="1:4" ht="14.65" thickBot="1" x14ac:dyDescent="0.5">
      <c r="A3439" s="17">
        <v>45443.998611111114</v>
      </c>
      <c r="B3439" s="19">
        <v>63154.047570000002</v>
      </c>
      <c r="C3439" t="s">
        <v>155</v>
      </c>
      <c r="D3439" t="str">
        <f>T_Stocks[[#This Row],[Ticker]] &amp; "-" &amp; DATE(YEAR(T_Stocks[[#This Row],[Fecha]]),MONTH(T_Stocks[[#This Row],[Fecha]]),DAY(T_Stocks[[#This Row],[Fecha]]))</f>
        <v>BTCEUR-45443</v>
      </c>
    </row>
    <row r="3440" spans="1:4" ht="14.65" thickBot="1" x14ac:dyDescent="0.5">
      <c r="A3440" s="17">
        <v>45444.998611111114</v>
      </c>
      <c r="B3440" s="19">
        <v>62314.215300000003</v>
      </c>
      <c r="C3440" t="s">
        <v>155</v>
      </c>
      <c r="D3440" t="str">
        <f>T_Stocks[[#This Row],[Ticker]] &amp; "-" &amp; DATE(YEAR(T_Stocks[[#This Row],[Fecha]]),MONTH(T_Stocks[[#This Row],[Fecha]]),DAY(T_Stocks[[#This Row],[Fecha]]))</f>
        <v>BTCEUR-45444</v>
      </c>
    </row>
    <row r="3441" spans="1:4" ht="14.65" thickBot="1" x14ac:dyDescent="0.5">
      <c r="A3441" s="17">
        <v>45445.998611111114</v>
      </c>
      <c r="B3441" s="19">
        <v>62413.618130000003</v>
      </c>
      <c r="C3441" t="s">
        <v>155</v>
      </c>
      <c r="D3441" t="str">
        <f>T_Stocks[[#This Row],[Ticker]] &amp; "-" &amp; DATE(YEAR(T_Stocks[[#This Row],[Fecha]]),MONTH(T_Stocks[[#This Row],[Fecha]]),DAY(T_Stocks[[#This Row],[Fecha]]))</f>
        <v>BTCEUR-45445</v>
      </c>
    </row>
    <row r="3442" spans="1:4" ht="14.65" thickBot="1" x14ac:dyDescent="0.5">
      <c r="A3442" s="17">
        <v>45446.998611111114</v>
      </c>
      <c r="B3442" s="19">
        <v>62671.554680000001</v>
      </c>
      <c r="C3442" t="s">
        <v>155</v>
      </c>
      <c r="D3442" t="str">
        <f>T_Stocks[[#This Row],[Ticker]] &amp; "-" &amp; DATE(YEAR(T_Stocks[[#This Row],[Fecha]]),MONTH(T_Stocks[[#This Row],[Fecha]]),DAY(T_Stocks[[#This Row],[Fecha]]))</f>
        <v>BTCEUR-45446</v>
      </c>
    </row>
    <row r="3443" spans="1:4" ht="14.65" thickBot="1" x14ac:dyDescent="0.5">
      <c r="A3443" s="17">
        <v>45447.998611111114</v>
      </c>
      <c r="B3443" s="19">
        <v>63551.184220000003</v>
      </c>
      <c r="C3443" t="s">
        <v>155</v>
      </c>
      <c r="D3443" t="str">
        <f>T_Stocks[[#This Row],[Ticker]] &amp; "-" &amp; DATE(YEAR(T_Stocks[[#This Row],[Fecha]]),MONTH(T_Stocks[[#This Row],[Fecha]]),DAY(T_Stocks[[#This Row],[Fecha]]))</f>
        <v>BTCEUR-45447</v>
      </c>
    </row>
    <row r="3444" spans="1:4" ht="14.65" thickBot="1" x14ac:dyDescent="0.5">
      <c r="A3444" s="17">
        <v>45448.998611111114</v>
      </c>
      <c r="B3444" s="19">
        <v>65182.699480000003</v>
      </c>
      <c r="C3444" t="s">
        <v>155</v>
      </c>
      <c r="D3444" t="str">
        <f>T_Stocks[[#This Row],[Ticker]] &amp; "-" &amp; DATE(YEAR(T_Stocks[[#This Row],[Fecha]]),MONTH(T_Stocks[[#This Row],[Fecha]]),DAY(T_Stocks[[#This Row],[Fecha]]))</f>
        <v>BTCEUR-45448</v>
      </c>
    </row>
    <row r="3445" spans="1:4" ht="14.65" thickBot="1" x14ac:dyDescent="0.5">
      <c r="A3445" s="17">
        <v>45449.998611111114</v>
      </c>
      <c r="B3445" s="19">
        <v>65265.572200000002</v>
      </c>
      <c r="C3445" t="s">
        <v>155</v>
      </c>
      <c r="D3445" t="str">
        <f>T_Stocks[[#This Row],[Ticker]] &amp; "-" &amp; DATE(YEAR(T_Stocks[[#This Row],[Fecha]]),MONTH(T_Stocks[[#This Row],[Fecha]]),DAY(T_Stocks[[#This Row],[Fecha]]))</f>
        <v>BTCEUR-45449</v>
      </c>
    </row>
    <row r="3446" spans="1:4" ht="14.65" thickBot="1" x14ac:dyDescent="0.5">
      <c r="A3446" s="17">
        <v>45450.998611111114</v>
      </c>
      <c r="B3446" s="19">
        <v>65609.431079999995</v>
      </c>
      <c r="C3446" t="s">
        <v>155</v>
      </c>
      <c r="D3446" t="str">
        <f>T_Stocks[[#This Row],[Ticker]] &amp; "-" &amp; DATE(YEAR(T_Stocks[[#This Row],[Fecha]]),MONTH(T_Stocks[[#This Row],[Fecha]]),DAY(T_Stocks[[#This Row],[Fecha]]))</f>
        <v>BTCEUR-45450</v>
      </c>
    </row>
    <row r="3447" spans="1:4" ht="14.65" thickBot="1" x14ac:dyDescent="0.5">
      <c r="A3447" s="17">
        <v>45451.998611111114</v>
      </c>
      <c r="B3447" s="19">
        <v>64209.392509999998</v>
      </c>
      <c r="C3447" t="s">
        <v>155</v>
      </c>
      <c r="D3447" t="str">
        <f>T_Stocks[[#This Row],[Ticker]] &amp; "-" &amp; DATE(YEAR(T_Stocks[[#This Row],[Fecha]]),MONTH(T_Stocks[[#This Row],[Fecha]]),DAY(T_Stocks[[#This Row],[Fecha]]))</f>
        <v>BTCEUR-45451</v>
      </c>
    </row>
    <row r="3448" spans="1:4" ht="14.65" thickBot="1" x14ac:dyDescent="0.5">
      <c r="A3448" s="17">
        <v>45452.998611111114</v>
      </c>
      <c r="B3448" s="19">
        <v>64271.67484</v>
      </c>
      <c r="C3448" t="s">
        <v>155</v>
      </c>
      <c r="D3448" t="str">
        <f>T_Stocks[[#This Row],[Ticker]] &amp; "-" &amp; DATE(YEAR(T_Stocks[[#This Row],[Fecha]]),MONTH(T_Stocks[[#This Row],[Fecha]]),DAY(T_Stocks[[#This Row],[Fecha]]))</f>
        <v>BTCEUR-45452</v>
      </c>
    </row>
    <row r="3449" spans="1:4" ht="14.65" thickBot="1" x14ac:dyDescent="0.5">
      <c r="A3449" s="17">
        <v>45453.998611111114</v>
      </c>
      <c r="B3449" s="19">
        <v>64689.447180000003</v>
      </c>
      <c r="C3449" t="s">
        <v>155</v>
      </c>
      <c r="D3449" t="str">
        <f>T_Stocks[[#This Row],[Ticker]] &amp; "-" &amp; DATE(YEAR(T_Stocks[[#This Row],[Fecha]]),MONTH(T_Stocks[[#This Row],[Fecha]]),DAY(T_Stocks[[#This Row],[Fecha]]))</f>
        <v>BTCEUR-45453</v>
      </c>
    </row>
    <row r="3450" spans="1:4" ht="14.65" thickBot="1" x14ac:dyDescent="0.5">
      <c r="A3450" s="17">
        <v>45454.998611111114</v>
      </c>
      <c r="B3450" s="19">
        <v>63690.336810000001</v>
      </c>
      <c r="C3450" t="s">
        <v>155</v>
      </c>
      <c r="D3450" t="str">
        <f>T_Stocks[[#This Row],[Ticker]] &amp; "-" &amp; DATE(YEAR(T_Stocks[[#This Row],[Fecha]]),MONTH(T_Stocks[[#This Row],[Fecha]]),DAY(T_Stocks[[#This Row],[Fecha]]))</f>
        <v>BTCEUR-45454</v>
      </c>
    </row>
    <row r="3451" spans="1:4" ht="14.65" thickBot="1" x14ac:dyDescent="0.5">
      <c r="A3451" s="17">
        <v>45455.998611111114</v>
      </c>
      <c r="B3451" s="19">
        <v>62303.322840000001</v>
      </c>
      <c r="C3451" t="s">
        <v>155</v>
      </c>
      <c r="D3451" t="str">
        <f>T_Stocks[[#This Row],[Ticker]] &amp; "-" &amp; DATE(YEAR(T_Stocks[[#This Row],[Fecha]]),MONTH(T_Stocks[[#This Row],[Fecha]]),DAY(T_Stocks[[#This Row],[Fecha]]))</f>
        <v>BTCEUR-45455</v>
      </c>
    </row>
    <row r="3452" spans="1:4" ht="14.65" thickBot="1" x14ac:dyDescent="0.5">
      <c r="A3452" s="17">
        <v>45456.998611111114</v>
      </c>
      <c r="B3452" s="19">
        <v>62729.207799999996</v>
      </c>
      <c r="C3452" t="s">
        <v>155</v>
      </c>
      <c r="D3452" t="str">
        <f>T_Stocks[[#This Row],[Ticker]] &amp; "-" &amp; DATE(YEAR(T_Stocks[[#This Row],[Fecha]]),MONTH(T_Stocks[[#This Row],[Fecha]]),DAY(T_Stocks[[#This Row],[Fecha]]))</f>
        <v>BTCEUR-45456</v>
      </c>
    </row>
    <row r="3453" spans="1:4" ht="14.65" thickBot="1" x14ac:dyDescent="0.5">
      <c r="A3453" s="17">
        <v>45457.998611111114</v>
      </c>
      <c r="B3453" s="19">
        <v>62228.130420000001</v>
      </c>
      <c r="C3453" t="s">
        <v>155</v>
      </c>
      <c r="D3453" t="str">
        <f>T_Stocks[[#This Row],[Ticker]] &amp; "-" &amp; DATE(YEAR(T_Stocks[[#This Row],[Fecha]]),MONTH(T_Stocks[[#This Row],[Fecha]]),DAY(T_Stocks[[#This Row],[Fecha]]))</f>
        <v>BTCEUR-45457</v>
      </c>
    </row>
    <row r="3454" spans="1:4" ht="14.65" thickBot="1" x14ac:dyDescent="0.5">
      <c r="A3454" s="17">
        <v>45458.998611111114</v>
      </c>
      <c r="B3454" s="19">
        <v>61687.565490000001</v>
      </c>
      <c r="C3454" t="s">
        <v>155</v>
      </c>
      <c r="D3454" t="str">
        <f>T_Stocks[[#This Row],[Ticker]] &amp; "-" &amp; DATE(YEAR(T_Stocks[[#This Row],[Fecha]]),MONTH(T_Stocks[[#This Row],[Fecha]]),DAY(T_Stocks[[#This Row],[Fecha]]))</f>
        <v>BTCEUR-45458</v>
      </c>
    </row>
    <row r="3455" spans="1:4" ht="14.65" thickBot="1" x14ac:dyDescent="0.5">
      <c r="A3455" s="17">
        <v>45459.998611111114</v>
      </c>
      <c r="B3455" s="19">
        <v>61774.195449999999</v>
      </c>
      <c r="C3455" t="s">
        <v>155</v>
      </c>
      <c r="D3455" t="str">
        <f>T_Stocks[[#This Row],[Ticker]] &amp; "-" &amp; DATE(YEAR(T_Stocks[[#This Row],[Fecha]]),MONTH(T_Stocks[[#This Row],[Fecha]]),DAY(T_Stocks[[#This Row],[Fecha]]))</f>
        <v>BTCEUR-45459</v>
      </c>
    </row>
    <row r="3456" spans="1:4" ht="14.65" thickBot="1" x14ac:dyDescent="0.5">
      <c r="A3456" s="17">
        <v>45460.998611111114</v>
      </c>
      <c r="B3456" s="19">
        <v>61662.574370000002</v>
      </c>
      <c r="C3456" t="s">
        <v>155</v>
      </c>
      <c r="D3456" t="str">
        <f>T_Stocks[[#This Row],[Ticker]] &amp; "-" &amp; DATE(YEAR(T_Stocks[[#This Row],[Fecha]]),MONTH(T_Stocks[[#This Row],[Fecha]]),DAY(T_Stocks[[#This Row],[Fecha]]))</f>
        <v>BTCEUR-45460</v>
      </c>
    </row>
    <row r="3457" spans="1:4" ht="14.65" thickBot="1" x14ac:dyDescent="0.5">
      <c r="A3457" s="17">
        <v>45461.998611111114</v>
      </c>
      <c r="B3457" s="19">
        <v>60981.276180000001</v>
      </c>
      <c r="C3457" t="s">
        <v>155</v>
      </c>
      <c r="D3457" t="str">
        <f>T_Stocks[[#This Row],[Ticker]] &amp; "-" &amp; DATE(YEAR(T_Stocks[[#This Row],[Fecha]]),MONTH(T_Stocks[[#This Row],[Fecha]]),DAY(T_Stocks[[#This Row],[Fecha]]))</f>
        <v>BTCEUR-45461</v>
      </c>
    </row>
    <row r="3458" spans="1:4" ht="14.65" thickBot="1" x14ac:dyDescent="0.5">
      <c r="A3458" s="17">
        <v>45462.998611111114</v>
      </c>
      <c r="B3458" s="19">
        <v>60839.031519999997</v>
      </c>
      <c r="C3458" t="s">
        <v>155</v>
      </c>
      <c r="D3458" t="str">
        <f>T_Stocks[[#This Row],[Ticker]] &amp; "-" &amp; DATE(YEAR(T_Stocks[[#This Row],[Fecha]]),MONTH(T_Stocks[[#This Row],[Fecha]]),DAY(T_Stocks[[#This Row],[Fecha]]))</f>
        <v>BTCEUR-45462</v>
      </c>
    </row>
    <row r="3459" spans="1:4" ht="14.65" thickBot="1" x14ac:dyDescent="0.5">
      <c r="A3459" s="17">
        <v>45463.998611111114</v>
      </c>
      <c r="B3459" s="19">
        <v>60871.521789999999</v>
      </c>
      <c r="C3459" t="s">
        <v>155</v>
      </c>
      <c r="D3459" t="str">
        <f>T_Stocks[[#This Row],[Ticker]] &amp; "-" &amp; DATE(YEAR(T_Stocks[[#This Row],[Fecha]]),MONTH(T_Stocks[[#This Row],[Fecha]]),DAY(T_Stocks[[#This Row],[Fecha]]))</f>
        <v>BTCEUR-45463</v>
      </c>
    </row>
    <row r="3460" spans="1:4" ht="14.65" thickBot="1" x14ac:dyDescent="0.5">
      <c r="A3460" s="17">
        <v>45464.998611111114</v>
      </c>
      <c r="B3460" s="19">
        <v>60391.956290000002</v>
      </c>
      <c r="C3460" t="s">
        <v>155</v>
      </c>
      <c r="D3460" t="str">
        <f>T_Stocks[[#This Row],[Ticker]] &amp; "-" &amp; DATE(YEAR(T_Stocks[[#This Row],[Fecha]]),MONTH(T_Stocks[[#This Row],[Fecha]]),DAY(T_Stocks[[#This Row],[Fecha]]))</f>
        <v>BTCEUR-45464</v>
      </c>
    </row>
    <row r="3461" spans="1:4" ht="14.65" thickBot="1" x14ac:dyDescent="0.5">
      <c r="A3461" s="17">
        <v>45465.998611111114</v>
      </c>
      <c r="B3461" s="19">
        <v>60047.469550000002</v>
      </c>
      <c r="C3461" t="s">
        <v>155</v>
      </c>
      <c r="D3461" t="str">
        <f>T_Stocks[[#This Row],[Ticker]] &amp; "-" &amp; DATE(YEAR(T_Stocks[[#This Row],[Fecha]]),MONTH(T_Stocks[[#This Row],[Fecha]]),DAY(T_Stocks[[#This Row],[Fecha]]))</f>
        <v>BTCEUR-45465</v>
      </c>
    </row>
    <row r="3462" spans="1:4" ht="14.65" thickBot="1" x14ac:dyDescent="0.5">
      <c r="A3462" s="17">
        <v>45466.998611111114</v>
      </c>
      <c r="B3462" s="19">
        <v>60262.409549999997</v>
      </c>
      <c r="C3462" t="s">
        <v>155</v>
      </c>
      <c r="D3462" t="str">
        <f>T_Stocks[[#This Row],[Ticker]] &amp; "-" &amp; DATE(YEAR(T_Stocks[[#This Row],[Fecha]]),MONTH(T_Stocks[[#This Row],[Fecha]]),DAY(T_Stocks[[#This Row],[Fecha]]))</f>
        <v>BTCEUR-45466</v>
      </c>
    </row>
    <row r="3463" spans="1:4" ht="14.65" thickBot="1" x14ac:dyDescent="0.5">
      <c r="A3463" s="17">
        <v>45467.998611111114</v>
      </c>
      <c r="B3463" s="19">
        <v>58568.678240000001</v>
      </c>
      <c r="C3463" t="s">
        <v>155</v>
      </c>
      <c r="D3463" t="str">
        <f>T_Stocks[[#This Row],[Ticker]] &amp; "-" &amp; DATE(YEAR(T_Stocks[[#This Row],[Fecha]]),MONTH(T_Stocks[[#This Row],[Fecha]]),DAY(T_Stocks[[#This Row],[Fecha]]))</f>
        <v>BTCEUR-45467</v>
      </c>
    </row>
    <row r="3464" spans="1:4" ht="14.65" thickBot="1" x14ac:dyDescent="0.5">
      <c r="A3464" s="17">
        <v>45468.998611111114</v>
      </c>
      <c r="B3464" s="19">
        <v>57163.880960000002</v>
      </c>
      <c r="C3464" t="s">
        <v>155</v>
      </c>
      <c r="D3464" t="str">
        <f>T_Stocks[[#This Row],[Ticker]] &amp; "-" &amp; DATE(YEAR(T_Stocks[[#This Row],[Fecha]]),MONTH(T_Stocks[[#This Row],[Fecha]]),DAY(T_Stocks[[#This Row],[Fecha]]))</f>
        <v>BTCEUR-45468</v>
      </c>
    </row>
    <row r="3465" spans="1:4" ht="14.65" thickBot="1" x14ac:dyDescent="0.5">
      <c r="A3465" s="17">
        <v>45469.998611111114</v>
      </c>
      <c r="B3465" s="19">
        <v>58013.235520000002</v>
      </c>
      <c r="C3465" t="s">
        <v>155</v>
      </c>
      <c r="D3465" t="str">
        <f>T_Stocks[[#This Row],[Ticker]] &amp; "-" &amp; DATE(YEAR(T_Stocks[[#This Row],[Fecha]]),MONTH(T_Stocks[[#This Row],[Fecha]]),DAY(T_Stocks[[#This Row],[Fecha]]))</f>
        <v>BTCEUR-45469</v>
      </c>
    </row>
    <row r="3466" spans="1:4" ht="14.65" thickBot="1" x14ac:dyDescent="0.5">
      <c r="A3466" s="17">
        <v>45470.998611111114</v>
      </c>
      <c r="B3466" s="19">
        <v>56970.309959999999</v>
      </c>
      <c r="C3466" t="s">
        <v>155</v>
      </c>
      <c r="D3466" t="str">
        <f>T_Stocks[[#This Row],[Ticker]] &amp; "-" &amp; DATE(YEAR(T_Stocks[[#This Row],[Fecha]]),MONTH(T_Stocks[[#This Row],[Fecha]]),DAY(T_Stocks[[#This Row],[Fecha]]))</f>
        <v>BTCEUR-45470</v>
      </c>
    </row>
    <row r="3467" spans="1:4" ht="14.65" thickBot="1" x14ac:dyDescent="0.5">
      <c r="A3467" s="17">
        <v>45471.998611111114</v>
      </c>
      <c r="B3467" s="19">
        <v>57654.085679999997</v>
      </c>
      <c r="C3467" t="s">
        <v>155</v>
      </c>
      <c r="D3467" t="str">
        <f>T_Stocks[[#This Row],[Ticker]] &amp; "-" &amp; DATE(YEAR(T_Stocks[[#This Row],[Fecha]]),MONTH(T_Stocks[[#This Row],[Fecha]]),DAY(T_Stocks[[#This Row],[Fecha]]))</f>
        <v>BTCEUR-45471</v>
      </c>
    </row>
    <row r="3468" spans="1:4" ht="14.65" thickBot="1" x14ac:dyDescent="0.5">
      <c r="A3468" s="17">
        <v>45472.998611111114</v>
      </c>
      <c r="B3468" s="19">
        <v>56600.30257</v>
      </c>
      <c r="C3468" t="s">
        <v>155</v>
      </c>
      <c r="D3468" t="str">
        <f>T_Stocks[[#This Row],[Ticker]] &amp; "-" &amp; DATE(YEAR(T_Stocks[[#This Row],[Fecha]]),MONTH(T_Stocks[[#This Row],[Fecha]]),DAY(T_Stocks[[#This Row],[Fecha]]))</f>
        <v>BTCEUR-45472</v>
      </c>
    </row>
    <row r="3469" spans="1:4" ht="14.65" thickBot="1" x14ac:dyDescent="0.5">
      <c r="A3469" s="17">
        <v>45473.998611111114</v>
      </c>
      <c r="B3469" s="19">
        <v>56691.791749999997</v>
      </c>
      <c r="C3469" t="s">
        <v>155</v>
      </c>
      <c r="D3469" t="str">
        <f>T_Stocks[[#This Row],[Ticker]] &amp; "-" &amp; DATE(YEAR(T_Stocks[[#This Row],[Fecha]]),MONTH(T_Stocks[[#This Row],[Fecha]]),DAY(T_Stocks[[#This Row],[Fecha]]))</f>
        <v>BTCEUR-45473</v>
      </c>
    </row>
    <row r="3470" spans="1:4" ht="14.65" thickBot="1" x14ac:dyDescent="0.5">
      <c r="A3470" s="17">
        <v>45474.998611111114</v>
      </c>
      <c r="B3470" s="19">
        <v>59003.462630000002</v>
      </c>
      <c r="C3470" t="s">
        <v>155</v>
      </c>
      <c r="D3470" t="str">
        <f>T_Stocks[[#This Row],[Ticker]] &amp; "-" &amp; DATE(YEAR(T_Stocks[[#This Row],[Fecha]]),MONTH(T_Stocks[[#This Row],[Fecha]]),DAY(T_Stocks[[#This Row],[Fecha]]))</f>
        <v>BTCEUR-45474</v>
      </c>
    </row>
    <row r="3471" spans="1:4" ht="14.65" thickBot="1" x14ac:dyDescent="0.5">
      <c r="A3471" s="17">
        <v>45475.998611111114</v>
      </c>
      <c r="B3471" s="19">
        <v>58717.604469999998</v>
      </c>
      <c r="C3471" t="s">
        <v>155</v>
      </c>
      <c r="D3471" t="str">
        <f>T_Stocks[[#This Row],[Ticker]] &amp; "-" &amp; DATE(YEAR(T_Stocks[[#This Row],[Fecha]]),MONTH(T_Stocks[[#This Row],[Fecha]]),DAY(T_Stocks[[#This Row],[Fecha]]))</f>
        <v>BTCEUR-45475</v>
      </c>
    </row>
    <row r="3472" spans="1:4" ht="14.65" thickBot="1" x14ac:dyDescent="0.5">
      <c r="A3472" s="17">
        <v>45476.998611111114</v>
      </c>
      <c r="B3472" s="19">
        <v>56414.121749999998</v>
      </c>
      <c r="C3472" t="s">
        <v>155</v>
      </c>
      <c r="D3472" t="str">
        <f>T_Stocks[[#This Row],[Ticker]] &amp; "-" &amp; DATE(YEAR(T_Stocks[[#This Row],[Fecha]]),MONTH(T_Stocks[[#This Row],[Fecha]]),DAY(T_Stocks[[#This Row],[Fecha]]))</f>
        <v>BTCEUR-45476</v>
      </c>
    </row>
    <row r="3473" spans="1:4" ht="14.65" thickBot="1" x14ac:dyDescent="0.5">
      <c r="A3473" s="17">
        <v>45477.998611111114</v>
      </c>
      <c r="B3473" s="19">
        <v>54550.836730000003</v>
      </c>
      <c r="C3473" t="s">
        <v>155</v>
      </c>
      <c r="D3473" t="str">
        <f>T_Stocks[[#This Row],[Ticker]] &amp; "-" &amp; DATE(YEAR(T_Stocks[[#This Row],[Fecha]]),MONTH(T_Stocks[[#This Row],[Fecha]]),DAY(T_Stocks[[#This Row],[Fecha]]))</f>
        <v>BTCEUR-45477</v>
      </c>
    </row>
    <row r="3474" spans="1:4" ht="14.65" thickBot="1" x14ac:dyDescent="0.5">
      <c r="A3474" s="17">
        <v>45478.998611111114</v>
      </c>
      <c r="B3474" s="19">
        <v>50891.518969999997</v>
      </c>
      <c r="C3474" t="s">
        <v>155</v>
      </c>
      <c r="D3474" t="str">
        <f>T_Stocks[[#This Row],[Ticker]] &amp; "-" &amp; DATE(YEAR(T_Stocks[[#This Row],[Fecha]]),MONTH(T_Stocks[[#This Row],[Fecha]]),DAY(T_Stocks[[#This Row],[Fecha]]))</f>
        <v>BTCEUR-45478</v>
      </c>
    </row>
    <row r="3475" spans="1:4" ht="14.65" thickBot="1" x14ac:dyDescent="0.5">
      <c r="A3475" s="17">
        <v>45479.998611111114</v>
      </c>
      <c r="B3475" s="19">
        <v>51974.592230000002</v>
      </c>
      <c r="C3475" t="s">
        <v>155</v>
      </c>
      <c r="D3475" t="str">
        <f>T_Stocks[[#This Row],[Ticker]] &amp; "-" &amp; DATE(YEAR(T_Stocks[[#This Row],[Fecha]]),MONTH(T_Stocks[[#This Row],[Fecha]]),DAY(T_Stocks[[#This Row],[Fecha]]))</f>
        <v>BTCEUR-45479</v>
      </c>
    </row>
    <row r="3476" spans="1:4" ht="14.65" thickBot="1" x14ac:dyDescent="0.5">
      <c r="A3476" s="17">
        <v>45480.998611111114</v>
      </c>
      <c r="B3476" s="19">
        <v>53656.550660000001</v>
      </c>
      <c r="C3476" t="s">
        <v>155</v>
      </c>
      <c r="D3476" t="str">
        <f>T_Stocks[[#This Row],[Ticker]] &amp; "-" &amp; DATE(YEAR(T_Stocks[[#This Row],[Fecha]]),MONTH(T_Stocks[[#This Row],[Fecha]]),DAY(T_Stocks[[#This Row],[Fecha]]))</f>
        <v>BTCEUR-45480</v>
      </c>
    </row>
    <row r="3477" spans="1:4" ht="14.65" thickBot="1" x14ac:dyDescent="0.5">
      <c r="A3477" s="17">
        <v>45481.998611111114</v>
      </c>
      <c r="B3477" s="19">
        <v>50951.11447</v>
      </c>
      <c r="C3477" t="s">
        <v>155</v>
      </c>
      <c r="D3477" t="str">
        <f>T_Stocks[[#This Row],[Ticker]] &amp; "-" &amp; DATE(YEAR(T_Stocks[[#This Row],[Fecha]]),MONTH(T_Stocks[[#This Row],[Fecha]]),DAY(T_Stocks[[#This Row],[Fecha]]))</f>
        <v>BTCEUR-45481</v>
      </c>
    </row>
    <row r="3478" spans="1:4" ht="14.65" thickBot="1" x14ac:dyDescent="0.5">
      <c r="A3478" s="17">
        <v>45482.998611111114</v>
      </c>
      <c r="B3478" s="19">
        <v>52806.648350000003</v>
      </c>
      <c r="C3478" t="s">
        <v>155</v>
      </c>
      <c r="D3478" t="str">
        <f>T_Stocks[[#This Row],[Ticker]] &amp; "-" &amp; DATE(YEAR(T_Stocks[[#This Row],[Fecha]]),MONTH(T_Stocks[[#This Row],[Fecha]]),DAY(T_Stocks[[#This Row],[Fecha]]))</f>
        <v>BTCEUR-45482</v>
      </c>
    </row>
    <row r="3479" spans="1:4" ht="14.65" thickBot="1" x14ac:dyDescent="0.5">
      <c r="A3479" s="17">
        <v>45483.998611111114</v>
      </c>
      <c r="B3479" s="19">
        <v>53580.907829999996</v>
      </c>
      <c r="C3479" t="s">
        <v>155</v>
      </c>
      <c r="D3479" t="str">
        <f>T_Stocks[[#This Row],[Ticker]] &amp; "-" &amp; DATE(YEAR(T_Stocks[[#This Row],[Fecha]]),MONTH(T_Stocks[[#This Row],[Fecha]]),DAY(T_Stocks[[#This Row],[Fecha]]))</f>
        <v>BTCEUR-45483</v>
      </c>
    </row>
    <row r="3480" spans="1:4" ht="14.65" thickBot="1" x14ac:dyDescent="0.5">
      <c r="A3480" s="17">
        <v>45484.998611111114</v>
      </c>
      <c r="B3480" s="19">
        <v>52978.811699999998</v>
      </c>
      <c r="C3480" t="s">
        <v>155</v>
      </c>
      <c r="D3480" t="str">
        <f>T_Stocks[[#This Row],[Ticker]] &amp; "-" &amp; DATE(YEAR(T_Stocks[[#This Row],[Fecha]]),MONTH(T_Stocks[[#This Row],[Fecha]]),DAY(T_Stocks[[#This Row],[Fecha]]))</f>
        <v>BTCEUR-45484</v>
      </c>
    </row>
    <row r="3481" spans="1:4" ht="14.65" thickBot="1" x14ac:dyDescent="0.5">
      <c r="A3481" s="17">
        <v>45485.998611111114</v>
      </c>
      <c r="B3481" s="19">
        <v>52134.547830000003</v>
      </c>
      <c r="C3481" t="s">
        <v>155</v>
      </c>
      <c r="D3481" t="str">
        <f>T_Stocks[[#This Row],[Ticker]] &amp; "-" &amp; DATE(YEAR(T_Stocks[[#This Row],[Fecha]]),MONTH(T_Stocks[[#This Row],[Fecha]]),DAY(T_Stocks[[#This Row],[Fecha]]))</f>
        <v>BTCEUR-45485</v>
      </c>
    </row>
    <row r="3482" spans="1:4" ht="14.65" thickBot="1" x14ac:dyDescent="0.5">
      <c r="A3482" s="17">
        <v>45486.998611111114</v>
      </c>
      <c r="B3482" s="19">
        <v>53045.505740000001</v>
      </c>
      <c r="C3482" t="s">
        <v>155</v>
      </c>
      <c r="D3482" t="str">
        <f>T_Stocks[[#This Row],[Ticker]] &amp; "-" &amp; DATE(YEAR(T_Stocks[[#This Row],[Fecha]]),MONTH(T_Stocks[[#This Row],[Fecha]]),DAY(T_Stocks[[#This Row],[Fecha]]))</f>
        <v>BTCEUR-45486</v>
      </c>
    </row>
    <row r="3483" spans="1:4" ht="14.65" thickBot="1" x14ac:dyDescent="0.5">
      <c r="A3483" s="17">
        <v>45487.998611111114</v>
      </c>
      <c r="B3483" s="19">
        <v>54639.170729999998</v>
      </c>
      <c r="C3483" t="s">
        <v>155</v>
      </c>
      <c r="D3483" t="str">
        <f>T_Stocks[[#This Row],[Ticker]] &amp; "-" &amp; DATE(YEAR(T_Stocks[[#This Row],[Fecha]]),MONTH(T_Stocks[[#This Row],[Fecha]]),DAY(T_Stocks[[#This Row],[Fecha]]))</f>
        <v>BTCEUR-45487</v>
      </c>
    </row>
    <row r="3484" spans="1:4" ht="14.65" thickBot="1" x14ac:dyDescent="0.5">
      <c r="A3484" s="17">
        <v>45488.998611111114</v>
      </c>
      <c r="B3484" s="19">
        <v>57432.024570000001</v>
      </c>
      <c r="C3484" t="s">
        <v>155</v>
      </c>
      <c r="D3484" t="str">
        <f>T_Stocks[[#This Row],[Ticker]] &amp; "-" &amp; DATE(YEAR(T_Stocks[[#This Row],[Fecha]]),MONTH(T_Stocks[[#This Row],[Fecha]]),DAY(T_Stocks[[#This Row],[Fecha]]))</f>
        <v>BTCEUR-45488</v>
      </c>
    </row>
    <row r="3485" spans="1:4" ht="14.65" thickBot="1" x14ac:dyDescent="0.5">
      <c r="A3485" s="17">
        <v>45489.998611111114</v>
      </c>
      <c r="B3485" s="19">
        <v>59416.741130000002</v>
      </c>
      <c r="C3485" t="s">
        <v>155</v>
      </c>
      <c r="D3485" t="str">
        <f>T_Stocks[[#This Row],[Ticker]] &amp; "-" &amp; DATE(YEAR(T_Stocks[[#This Row],[Fecha]]),MONTH(T_Stocks[[#This Row],[Fecha]]),DAY(T_Stocks[[#This Row],[Fecha]]))</f>
        <v>BTCEUR-45489</v>
      </c>
    </row>
    <row r="3486" spans="1:4" ht="14.65" thickBot="1" x14ac:dyDescent="0.5">
      <c r="A3486" s="17">
        <v>45490.998611111114</v>
      </c>
      <c r="B3486" s="19">
        <v>60086.373939999998</v>
      </c>
      <c r="C3486" t="s">
        <v>155</v>
      </c>
      <c r="D3486" t="str">
        <f>T_Stocks[[#This Row],[Ticker]] &amp; "-" &amp; DATE(YEAR(T_Stocks[[#This Row],[Fecha]]),MONTH(T_Stocks[[#This Row],[Fecha]]),DAY(T_Stocks[[#This Row],[Fecha]]))</f>
        <v>BTCEUR-45490</v>
      </c>
    </row>
    <row r="3487" spans="1:4" ht="14.65" thickBot="1" x14ac:dyDescent="0.5">
      <c r="A3487" s="17">
        <v>45491.998611111114</v>
      </c>
      <c r="B3487" s="19">
        <v>59517.496950000001</v>
      </c>
      <c r="C3487" t="s">
        <v>155</v>
      </c>
      <c r="D3487" t="str">
        <f>T_Stocks[[#This Row],[Ticker]] &amp; "-" &amp; DATE(YEAR(T_Stocks[[#This Row],[Fecha]]),MONTH(T_Stocks[[#This Row],[Fecha]]),DAY(T_Stocks[[#This Row],[Fecha]]))</f>
        <v>BTCEUR-45491</v>
      </c>
    </row>
    <row r="3488" spans="1:4" ht="14.65" thickBot="1" x14ac:dyDescent="0.5">
      <c r="A3488" s="17">
        <v>45492.998611111114</v>
      </c>
      <c r="B3488" s="19">
        <v>58916.522149999997</v>
      </c>
      <c r="C3488" t="s">
        <v>155</v>
      </c>
      <c r="D3488" t="str">
        <f>T_Stocks[[#This Row],[Ticker]] &amp; "-" &amp; DATE(YEAR(T_Stocks[[#This Row],[Fecha]]),MONTH(T_Stocks[[#This Row],[Fecha]]),DAY(T_Stocks[[#This Row],[Fecha]]))</f>
        <v>BTCEUR-45492</v>
      </c>
    </row>
    <row r="3489" spans="1:4" ht="14.65" thickBot="1" x14ac:dyDescent="0.5">
      <c r="A3489" s="17">
        <v>45493.998611111114</v>
      </c>
      <c r="B3489" s="19">
        <v>61217.688280000002</v>
      </c>
      <c r="C3489" t="s">
        <v>155</v>
      </c>
      <c r="D3489" t="str">
        <f>T_Stocks[[#This Row],[Ticker]] &amp; "-" &amp; DATE(YEAR(T_Stocks[[#This Row],[Fecha]]),MONTH(T_Stocks[[#This Row],[Fecha]]),DAY(T_Stocks[[#This Row],[Fecha]]))</f>
        <v>BTCEUR-45493</v>
      </c>
    </row>
    <row r="3490" spans="1:4" ht="14.65" thickBot="1" x14ac:dyDescent="0.5">
      <c r="A3490" s="17">
        <v>45494.998611111114</v>
      </c>
      <c r="B3490" s="19">
        <v>61616.2906</v>
      </c>
      <c r="C3490" t="s">
        <v>155</v>
      </c>
      <c r="D3490" t="str">
        <f>T_Stocks[[#This Row],[Ticker]] &amp; "-" &amp; DATE(YEAR(T_Stocks[[#This Row],[Fecha]]),MONTH(T_Stocks[[#This Row],[Fecha]]),DAY(T_Stocks[[#This Row],[Fecha]]))</f>
        <v>BTCEUR-45494</v>
      </c>
    </row>
    <row r="3491" spans="1:4" ht="14.65" thickBot="1" x14ac:dyDescent="0.5">
      <c r="A3491" s="17">
        <v>45495.998611111114</v>
      </c>
      <c r="B3491" s="19">
        <v>62399.036</v>
      </c>
      <c r="C3491" t="s">
        <v>155</v>
      </c>
      <c r="D3491" t="str">
        <f>T_Stocks[[#This Row],[Ticker]] &amp; "-" &amp; DATE(YEAR(T_Stocks[[#This Row],[Fecha]]),MONTH(T_Stocks[[#This Row],[Fecha]]),DAY(T_Stocks[[#This Row],[Fecha]]))</f>
        <v>BTCEUR-45495</v>
      </c>
    </row>
    <row r="3492" spans="1:4" ht="14.65" thickBot="1" x14ac:dyDescent="0.5">
      <c r="A3492" s="17">
        <v>45496.998611111114</v>
      </c>
      <c r="B3492" s="19">
        <v>62269.627390000001</v>
      </c>
      <c r="C3492" t="s">
        <v>155</v>
      </c>
      <c r="D3492" t="str">
        <f>T_Stocks[[#This Row],[Ticker]] &amp; "-" &amp; DATE(YEAR(T_Stocks[[#This Row],[Fecha]]),MONTH(T_Stocks[[#This Row],[Fecha]]),DAY(T_Stocks[[#This Row],[Fecha]]))</f>
        <v>BTCEUR-45496</v>
      </c>
    </row>
    <row r="3493" spans="1:4" ht="14.65" thickBot="1" x14ac:dyDescent="0.5">
      <c r="A3493" s="17">
        <v>45497.998611111114</v>
      </c>
      <c r="B3493" s="19">
        <v>60926.28138</v>
      </c>
      <c r="C3493" t="s">
        <v>155</v>
      </c>
      <c r="D3493" t="str">
        <f>T_Stocks[[#This Row],[Ticker]] &amp; "-" &amp; DATE(YEAR(T_Stocks[[#This Row],[Fecha]]),MONTH(T_Stocks[[#This Row],[Fecha]]),DAY(T_Stocks[[#This Row],[Fecha]]))</f>
        <v>BTCEUR-45497</v>
      </c>
    </row>
    <row r="3494" spans="1:4" ht="14.65" thickBot="1" x14ac:dyDescent="0.5">
      <c r="A3494" s="17">
        <v>45498.998611111114</v>
      </c>
      <c r="B3494" s="19">
        <v>59095.223140000002</v>
      </c>
      <c r="C3494" t="s">
        <v>155</v>
      </c>
      <c r="D3494" t="str">
        <f>T_Stocks[[#This Row],[Ticker]] &amp; "-" &amp; DATE(YEAR(T_Stocks[[#This Row],[Fecha]]),MONTH(T_Stocks[[#This Row],[Fecha]]),DAY(T_Stocks[[#This Row],[Fecha]]))</f>
        <v>BTCEUR-45498</v>
      </c>
    </row>
    <row r="3495" spans="1:4" ht="14.65" thickBot="1" x14ac:dyDescent="0.5">
      <c r="A3495" s="17">
        <v>45499.998611111114</v>
      </c>
      <c r="B3495" s="19">
        <v>61565.803809999998</v>
      </c>
      <c r="C3495" t="s">
        <v>155</v>
      </c>
      <c r="D3495" t="str">
        <f>T_Stocks[[#This Row],[Ticker]] &amp; "-" &amp; DATE(YEAR(T_Stocks[[#This Row],[Fecha]]),MONTH(T_Stocks[[#This Row],[Fecha]]),DAY(T_Stocks[[#This Row],[Fecha]]))</f>
        <v>BTCEUR-45499</v>
      </c>
    </row>
    <row r="3496" spans="1:4" ht="14.65" thickBot="1" x14ac:dyDescent="0.5">
      <c r="A3496" s="17">
        <v>45500.998611111114</v>
      </c>
      <c r="B3496" s="19">
        <v>62390.905720000002</v>
      </c>
      <c r="C3496" t="s">
        <v>155</v>
      </c>
      <c r="D3496" t="str">
        <f>T_Stocks[[#This Row],[Ticker]] &amp; "-" &amp; DATE(YEAR(T_Stocks[[#This Row],[Fecha]]),MONTH(T_Stocks[[#This Row],[Fecha]]),DAY(T_Stocks[[#This Row],[Fecha]]))</f>
        <v>BTCEUR-45500</v>
      </c>
    </row>
    <row r="3497" spans="1:4" ht="14.65" thickBot="1" x14ac:dyDescent="0.5">
      <c r="A3497" s="17">
        <v>45501.998611111114</v>
      </c>
      <c r="B3497" s="19">
        <v>62666.948620000003</v>
      </c>
      <c r="C3497" t="s">
        <v>155</v>
      </c>
      <c r="D3497" t="str">
        <f>T_Stocks[[#This Row],[Ticker]] &amp; "-" &amp; DATE(YEAR(T_Stocks[[#This Row],[Fecha]]),MONTH(T_Stocks[[#This Row],[Fecha]]),DAY(T_Stocks[[#This Row],[Fecha]]))</f>
        <v>BTCEUR-45501</v>
      </c>
    </row>
    <row r="3498" spans="1:4" ht="14.65" thickBot="1" x14ac:dyDescent="0.5">
      <c r="A3498" s="17">
        <v>45502.998611111114</v>
      </c>
      <c r="B3498" s="19">
        <v>64098.475409999999</v>
      </c>
      <c r="C3498" t="s">
        <v>155</v>
      </c>
      <c r="D3498" t="str">
        <f>T_Stocks[[#This Row],[Ticker]] &amp; "-" &amp; DATE(YEAR(T_Stocks[[#This Row],[Fecha]]),MONTH(T_Stocks[[#This Row],[Fecha]]),DAY(T_Stocks[[#This Row],[Fecha]]))</f>
        <v>BTCEUR-45502</v>
      </c>
    </row>
    <row r="3499" spans="1:4" ht="14.65" thickBot="1" x14ac:dyDescent="0.5">
      <c r="A3499" s="17">
        <v>45503.998611111114</v>
      </c>
      <c r="B3499" s="19">
        <v>61404.98676</v>
      </c>
      <c r="C3499" t="s">
        <v>155</v>
      </c>
      <c r="D3499" t="str">
        <f>T_Stocks[[#This Row],[Ticker]] &amp; "-" &amp; DATE(YEAR(T_Stocks[[#This Row],[Fecha]]),MONTH(T_Stocks[[#This Row],[Fecha]]),DAY(T_Stocks[[#This Row],[Fecha]]))</f>
        <v>BTCEUR-45503</v>
      </c>
    </row>
    <row r="3500" spans="1:4" ht="14.65" thickBot="1" x14ac:dyDescent="0.5">
      <c r="A3500" s="17">
        <v>45504.998611111114</v>
      </c>
      <c r="B3500" s="19">
        <v>61077.752990000001</v>
      </c>
      <c r="C3500" t="s">
        <v>155</v>
      </c>
      <c r="D3500" t="str">
        <f>T_Stocks[[#This Row],[Ticker]] &amp; "-" &amp; DATE(YEAR(T_Stocks[[#This Row],[Fecha]]),MONTH(T_Stocks[[#This Row],[Fecha]]),DAY(T_Stocks[[#This Row],[Fecha]]))</f>
        <v>BTCEUR-45504</v>
      </c>
    </row>
    <row r="3501" spans="1:4" ht="14.65" thickBot="1" x14ac:dyDescent="0.5">
      <c r="A3501" s="17">
        <v>45505.998611111114</v>
      </c>
      <c r="B3501" s="19">
        <v>59258.521719999997</v>
      </c>
      <c r="C3501" t="s">
        <v>155</v>
      </c>
      <c r="D3501" t="str">
        <f>T_Stocks[[#This Row],[Ticker]] &amp; "-" &amp; DATE(YEAR(T_Stocks[[#This Row],[Fecha]]),MONTH(T_Stocks[[#This Row],[Fecha]]),DAY(T_Stocks[[#This Row],[Fecha]]))</f>
        <v>BTCEUR-45505</v>
      </c>
    </row>
    <row r="3502" spans="1:4" ht="14.65" thickBot="1" x14ac:dyDescent="0.5">
      <c r="A3502" s="17">
        <v>45506.998611111114</v>
      </c>
      <c r="B3502" s="19">
        <v>59083.603900000002</v>
      </c>
      <c r="C3502" t="s">
        <v>155</v>
      </c>
      <c r="D3502" t="str">
        <f>T_Stocks[[#This Row],[Ticker]] &amp; "-" &amp; DATE(YEAR(T_Stocks[[#This Row],[Fecha]]),MONTH(T_Stocks[[#This Row],[Fecha]]),DAY(T_Stocks[[#This Row],[Fecha]]))</f>
        <v>BTCEUR-45506</v>
      </c>
    </row>
    <row r="3503" spans="1:4" ht="14.65" thickBot="1" x14ac:dyDescent="0.5">
      <c r="A3503" s="17">
        <v>45507.998611111114</v>
      </c>
      <c r="B3503" s="19">
        <v>56522.103029999998</v>
      </c>
      <c r="C3503" t="s">
        <v>155</v>
      </c>
      <c r="D3503" t="str">
        <f>T_Stocks[[#This Row],[Ticker]] &amp; "-" &amp; DATE(YEAR(T_Stocks[[#This Row],[Fecha]]),MONTH(T_Stocks[[#This Row],[Fecha]]),DAY(T_Stocks[[#This Row],[Fecha]]))</f>
        <v>BTCEUR-45507</v>
      </c>
    </row>
    <row r="3504" spans="1:4" ht="14.65" thickBot="1" x14ac:dyDescent="0.5">
      <c r="A3504" s="17">
        <v>45508.998611111114</v>
      </c>
      <c r="B3504" s="19">
        <v>55688.754200000003</v>
      </c>
      <c r="C3504" t="s">
        <v>155</v>
      </c>
      <c r="D3504" t="str">
        <f>T_Stocks[[#This Row],[Ticker]] &amp; "-" &amp; DATE(YEAR(T_Stocks[[#This Row],[Fecha]]),MONTH(T_Stocks[[#This Row],[Fecha]]),DAY(T_Stocks[[#This Row],[Fecha]]))</f>
        <v>BTCEUR-45508</v>
      </c>
    </row>
    <row r="3505" spans="1:4" ht="14.65" thickBot="1" x14ac:dyDescent="0.5">
      <c r="A3505" s="17">
        <v>45509.998611111114</v>
      </c>
      <c r="B3505" s="19">
        <v>49527.542889999997</v>
      </c>
      <c r="C3505" t="s">
        <v>155</v>
      </c>
      <c r="D3505" t="str">
        <f>T_Stocks[[#This Row],[Ticker]] &amp; "-" &amp; DATE(YEAR(T_Stocks[[#This Row],[Fecha]]),MONTH(T_Stocks[[#This Row],[Fecha]]),DAY(T_Stocks[[#This Row],[Fecha]]))</f>
        <v>BTCEUR-45509</v>
      </c>
    </row>
    <row r="3506" spans="1:4" ht="14.65" thickBot="1" x14ac:dyDescent="0.5">
      <c r="A3506" s="17">
        <v>45510.998611111114</v>
      </c>
      <c r="B3506" s="19">
        <v>51037.636200000001</v>
      </c>
      <c r="C3506" t="s">
        <v>155</v>
      </c>
      <c r="D3506" t="str">
        <f>T_Stocks[[#This Row],[Ticker]] &amp; "-" &amp; DATE(YEAR(T_Stocks[[#This Row],[Fecha]]),MONTH(T_Stocks[[#This Row],[Fecha]]),DAY(T_Stocks[[#This Row],[Fecha]]))</f>
        <v>BTCEUR-45510</v>
      </c>
    </row>
    <row r="3507" spans="1:4" ht="14.65" thickBot="1" x14ac:dyDescent="0.5">
      <c r="A3507" s="17">
        <v>45511.998611111114</v>
      </c>
      <c r="B3507" s="19">
        <v>52055.404069999997</v>
      </c>
      <c r="C3507" t="s">
        <v>155</v>
      </c>
      <c r="D3507" t="str">
        <f>T_Stocks[[#This Row],[Ticker]] &amp; "-" &amp; DATE(YEAR(T_Stocks[[#This Row],[Fecha]]),MONTH(T_Stocks[[#This Row],[Fecha]]),DAY(T_Stocks[[#This Row],[Fecha]]))</f>
        <v>BTCEUR-45511</v>
      </c>
    </row>
    <row r="3508" spans="1:4" ht="14.65" thickBot="1" x14ac:dyDescent="0.5">
      <c r="A3508" s="17">
        <v>45512.998611111114</v>
      </c>
      <c r="B3508" s="19">
        <v>52362.969570000001</v>
      </c>
      <c r="C3508" t="s">
        <v>155</v>
      </c>
      <c r="D3508" t="str">
        <f>T_Stocks[[#This Row],[Ticker]] &amp; "-" &amp; DATE(YEAR(T_Stocks[[#This Row],[Fecha]]),MONTH(T_Stocks[[#This Row],[Fecha]]),DAY(T_Stocks[[#This Row],[Fecha]]))</f>
        <v>BTCEUR-45512</v>
      </c>
    </row>
    <row r="3509" spans="1:4" ht="14.65" thickBot="1" x14ac:dyDescent="0.5">
      <c r="A3509" s="17">
        <v>45513.998611111114</v>
      </c>
      <c r="B3509" s="19">
        <v>56157.455730000001</v>
      </c>
      <c r="C3509" t="s">
        <v>155</v>
      </c>
      <c r="D3509" t="str">
        <f>T_Stocks[[#This Row],[Ticker]] &amp; "-" &amp; DATE(YEAR(T_Stocks[[#This Row],[Fecha]]),MONTH(T_Stocks[[#This Row],[Fecha]]),DAY(T_Stocks[[#This Row],[Fecha]]))</f>
        <v>BTCEUR-45513</v>
      </c>
    </row>
    <row r="3510" spans="1:4" ht="14.65" thickBot="1" x14ac:dyDescent="0.5">
      <c r="A3510" s="17">
        <v>45514.998611111114</v>
      </c>
      <c r="B3510" s="19">
        <v>55348.013279999999</v>
      </c>
      <c r="C3510" t="s">
        <v>155</v>
      </c>
      <c r="D3510" t="str">
        <f>T_Stocks[[#This Row],[Ticker]] &amp; "-" &amp; DATE(YEAR(T_Stocks[[#This Row],[Fecha]]),MONTH(T_Stocks[[#This Row],[Fecha]]),DAY(T_Stocks[[#This Row],[Fecha]]))</f>
        <v>BTCEUR-45514</v>
      </c>
    </row>
    <row r="3511" spans="1:4" ht="14.65" thickBot="1" x14ac:dyDescent="0.5">
      <c r="A3511" s="17">
        <v>45515.998611111114</v>
      </c>
      <c r="B3511" s="19">
        <v>56025.219190000003</v>
      </c>
      <c r="C3511" t="s">
        <v>155</v>
      </c>
      <c r="D3511" t="str">
        <f>T_Stocks[[#This Row],[Ticker]] &amp; "-" &amp; DATE(YEAR(T_Stocks[[#This Row],[Fecha]]),MONTH(T_Stocks[[#This Row],[Fecha]]),DAY(T_Stocks[[#This Row],[Fecha]]))</f>
        <v>BTCEUR-45515</v>
      </c>
    </row>
    <row r="3512" spans="1:4" ht="14.65" thickBot="1" x14ac:dyDescent="0.5">
      <c r="A3512" s="17">
        <v>45516.998611111114</v>
      </c>
      <c r="B3512" s="19">
        <v>53596.713819999997</v>
      </c>
      <c r="C3512" t="s">
        <v>155</v>
      </c>
      <c r="D3512" t="str">
        <f>T_Stocks[[#This Row],[Ticker]] &amp; "-" &amp; DATE(YEAR(T_Stocks[[#This Row],[Fecha]]),MONTH(T_Stocks[[#This Row],[Fecha]]),DAY(T_Stocks[[#This Row],[Fecha]]))</f>
        <v>BTCEUR-45516</v>
      </c>
    </row>
    <row r="3513" spans="1:4" ht="14.65" thickBot="1" x14ac:dyDescent="0.5">
      <c r="A3513" s="17">
        <v>45517.998611111114</v>
      </c>
      <c r="B3513" s="19">
        <v>53774.384689999999</v>
      </c>
      <c r="C3513" t="s">
        <v>155</v>
      </c>
      <c r="D3513" t="str">
        <f>T_Stocks[[#This Row],[Ticker]] &amp; "-" &amp; DATE(YEAR(T_Stocks[[#This Row],[Fecha]]),MONTH(T_Stocks[[#This Row],[Fecha]]),DAY(T_Stocks[[#This Row],[Fecha]]))</f>
        <v>BTCEUR-45517</v>
      </c>
    </row>
    <row r="3514" spans="1:4" ht="14.65" thickBot="1" x14ac:dyDescent="0.5">
      <c r="A3514" s="17">
        <v>45518.998611111114</v>
      </c>
      <c r="B3514" s="19">
        <v>55434.834640000001</v>
      </c>
      <c r="C3514" t="s">
        <v>155</v>
      </c>
      <c r="D3514" t="str">
        <f>T_Stocks[[#This Row],[Ticker]] &amp; "-" &amp; DATE(YEAR(T_Stocks[[#This Row],[Fecha]]),MONTH(T_Stocks[[#This Row],[Fecha]]),DAY(T_Stocks[[#This Row],[Fecha]]))</f>
        <v>BTCEUR-45518</v>
      </c>
    </row>
    <row r="3515" spans="1:4" ht="14.65" thickBot="1" x14ac:dyDescent="0.5">
      <c r="A3515" s="17">
        <v>45519.998611111114</v>
      </c>
      <c r="B3515" s="19">
        <v>53239.344539999998</v>
      </c>
      <c r="C3515" t="s">
        <v>155</v>
      </c>
      <c r="D3515" t="str">
        <f>T_Stocks[[#This Row],[Ticker]] &amp; "-" &amp; DATE(YEAR(T_Stocks[[#This Row],[Fecha]]),MONTH(T_Stocks[[#This Row],[Fecha]]),DAY(T_Stocks[[#This Row],[Fecha]]))</f>
        <v>BTCEUR-45519</v>
      </c>
    </row>
    <row r="3516" spans="1:4" ht="14.65" thickBot="1" x14ac:dyDescent="0.5">
      <c r="A3516" s="17">
        <v>45520.998611111114</v>
      </c>
      <c r="B3516" s="19">
        <v>52532.225749999998</v>
      </c>
      <c r="C3516" t="s">
        <v>155</v>
      </c>
      <c r="D3516" t="str">
        <f>T_Stocks[[#This Row],[Ticker]] &amp; "-" &amp; DATE(YEAR(T_Stocks[[#This Row],[Fecha]]),MONTH(T_Stocks[[#This Row],[Fecha]]),DAY(T_Stocks[[#This Row],[Fecha]]))</f>
        <v>BTCEUR-45520</v>
      </c>
    </row>
    <row r="3517" spans="1:4" ht="14.65" thickBot="1" x14ac:dyDescent="0.5">
      <c r="A3517" s="17">
        <v>45521.998611111114</v>
      </c>
      <c r="B3517" s="19">
        <v>53579.351159999998</v>
      </c>
      <c r="C3517" t="s">
        <v>155</v>
      </c>
      <c r="D3517" t="str">
        <f>T_Stocks[[#This Row],[Ticker]] &amp; "-" &amp; DATE(YEAR(T_Stocks[[#This Row],[Fecha]]),MONTH(T_Stocks[[#This Row],[Fecha]]),DAY(T_Stocks[[#This Row],[Fecha]]))</f>
        <v>BTCEUR-45521</v>
      </c>
    </row>
    <row r="3518" spans="1:4" ht="14.65" thickBot="1" x14ac:dyDescent="0.5">
      <c r="A3518" s="17">
        <v>45522.998611111114</v>
      </c>
      <c r="B3518" s="19">
        <v>53909.636440000002</v>
      </c>
      <c r="C3518" t="s">
        <v>155</v>
      </c>
      <c r="D3518" t="str">
        <f>T_Stocks[[#This Row],[Ticker]] &amp; "-" &amp; DATE(YEAR(T_Stocks[[#This Row],[Fecha]]),MONTH(T_Stocks[[#This Row],[Fecha]]),DAY(T_Stocks[[#This Row],[Fecha]]))</f>
        <v>BTCEUR-45522</v>
      </c>
    </row>
    <row r="3519" spans="1:4" ht="14.65" thickBot="1" x14ac:dyDescent="0.5">
      <c r="A3519" s="17">
        <v>45523.998611111114</v>
      </c>
      <c r="B3519" s="19">
        <v>52955.481919999998</v>
      </c>
      <c r="C3519" t="s">
        <v>155</v>
      </c>
      <c r="D3519" t="str">
        <f>T_Stocks[[#This Row],[Ticker]] &amp; "-" &amp; DATE(YEAR(T_Stocks[[#This Row],[Fecha]]),MONTH(T_Stocks[[#This Row],[Fecha]]),DAY(T_Stocks[[#This Row],[Fecha]]))</f>
        <v>BTCEUR-45523</v>
      </c>
    </row>
    <row r="3520" spans="1:4" ht="14.65" thickBot="1" x14ac:dyDescent="0.5">
      <c r="A3520" s="17">
        <v>45524.998611111114</v>
      </c>
      <c r="B3520" s="19">
        <v>54412.346460000001</v>
      </c>
      <c r="C3520" t="s">
        <v>155</v>
      </c>
      <c r="D3520" t="str">
        <f>T_Stocks[[#This Row],[Ticker]] &amp; "-" &amp; DATE(YEAR(T_Stocks[[#This Row],[Fecha]]),MONTH(T_Stocks[[#This Row],[Fecha]]),DAY(T_Stocks[[#This Row],[Fecha]]))</f>
        <v>BTCEUR-45524</v>
      </c>
    </row>
    <row r="3521" spans="1:4" ht="14.65" thickBot="1" x14ac:dyDescent="0.5">
      <c r="A3521" s="17">
        <v>45525.998611111114</v>
      </c>
      <c r="B3521" s="19">
        <v>53150.258020000001</v>
      </c>
      <c r="C3521" t="s">
        <v>155</v>
      </c>
      <c r="D3521" t="str">
        <f>T_Stocks[[#This Row],[Ticker]] &amp; "-" &amp; DATE(YEAR(T_Stocks[[#This Row],[Fecha]]),MONTH(T_Stocks[[#This Row],[Fecha]]),DAY(T_Stocks[[#This Row],[Fecha]]))</f>
        <v>BTCEUR-45525</v>
      </c>
    </row>
    <row r="3522" spans="1:4" ht="14.65" thickBot="1" x14ac:dyDescent="0.5">
      <c r="A3522" s="17">
        <v>45526.998611111114</v>
      </c>
      <c r="B3522" s="19">
        <v>54469.153409999999</v>
      </c>
      <c r="C3522" t="s">
        <v>155</v>
      </c>
      <c r="D3522" t="str">
        <f>T_Stocks[[#This Row],[Ticker]] &amp; "-" &amp; DATE(YEAR(T_Stocks[[#This Row],[Fecha]]),MONTH(T_Stocks[[#This Row],[Fecha]]),DAY(T_Stocks[[#This Row],[Fecha]]))</f>
        <v>BTCEUR-45526</v>
      </c>
    </row>
    <row r="3523" spans="1:4" ht="14.65" thickBot="1" x14ac:dyDescent="0.5">
      <c r="A3523" s="17">
        <v>45527.998611111114</v>
      </c>
      <c r="B3523" s="19">
        <v>54083.58034</v>
      </c>
      <c r="C3523" t="s">
        <v>155</v>
      </c>
      <c r="D3523" t="str">
        <f>T_Stocks[[#This Row],[Ticker]] &amp; "-" &amp; DATE(YEAR(T_Stocks[[#This Row],[Fecha]]),MONTH(T_Stocks[[#This Row],[Fecha]]),DAY(T_Stocks[[#This Row],[Fecha]]))</f>
        <v>BTCEUR-45527</v>
      </c>
    </row>
    <row r="3524" spans="1:4" ht="14.65" thickBot="1" x14ac:dyDescent="0.5">
      <c r="A3524" s="17">
        <v>45528.998611111114</v>
      </c>
      <c r="B3524" s="19">
        <v>57072.641680000001</v>
      </c>
      <c r="C3524" t="s">
        <v>155</v>
      </c>
      <c r="D3524" t="str">
        <f>T_Stocks[[#This Row],[Ticker]] &amp; "-" &amp; DATE(YEAR(T_Stocks[[#This Row],[Fecha]]),MONTH(T_Stocks[[#This Row],[Fecha]]),DAY(T_Stocks[[#This Row],[Fecha]]))</f>
        <v>BTCEUR-45528</v>
      </c>
    </row>
    <row r="3525" spans="1:4" ht="14.65" thickBot="1" x14ac:dyDescent="0.5">
      <c r="A3525" s="17">
        <v>45529.998611111114</v>
      </c>
      <c r="B3525" s="19">
        <v>57342.101459999998</v>
      </c>
      <c r="C3525" t="s">
        <v>155</v>
      </c>
      <c r="D3525" t="str">
        <f>T_Stocks[[#This Row],[Ticker]] &amp; "-" &amp; DATE(YEAR(T_Stocks[[#This Row],[Fecha]]),MONTH(T_Stocks[[#This Row],[Fecha]]),DAY(T_Stocks[[#This Row],[Fecha]]))</f>
        <v>BTCEUR-45529</v>
      </c>
    </row>
    <row r="3526" spans="1:4" ht="14.65" thickBot="1" x14ac:dyDescent="0.5">
      <c r="A3526" s="17">
        <v>45530.998611111114</v>
      </c>
      <c r="B3526" s="19">
        <v>57444.221830000002</v>
      </c>
      <c r="C3526" t="s">
        <v>155</v>
      </c>
      <c r="D3526" t="str">
        <f>T_Stocks[[#This Row],[Ticker]] &amp; "-" &amp; DATE(YEAR(T_Stocks[[#This Row],[Fecha]]),MONTH(T_Stocks[[#This Row],[Fecha]]),DAY(T_Stocks[[#This Row],[Fecha]]))</f>
        <v>BTCEUR-45530</v>
      </c>
    </row>
    <row r="3527" spans="1:4" ht="14.65" thickBot="1" x14ac:dyDescent="0.5">
      <c r="A3527" s="17">
        <v>45531.998611111114</v>
      </c>
      <c r="B3527" s="19">
        <v>56339.624900000003</v>
      </c>
      <c r="C3527" t="s">
        <v>155</v>
      </c>
      <c r="D3527" t="str">
        <f>T_Stocks[[#This Row],[Ticker]] &amp; "-" &amp; DATE(YEAR(T_Stocks[[#This Row],[Fecha]]),MONTH(T_Stocks[[#This Row],[Fecha]]),DAY(T_Stocks[[#This Row],[Fecha]]))</f>
        <v>BTCEUR-45531</v>
      </c>
    </row>
    <row r="3528" spans="1:4" ht="14.65" thickBot="1" x14ac:dyDescent="0.5">
      <c r="A3528" s="17">
        <v>45532.998611111114</v>
      </c>
      <c r="B3528" s="19">
        <v>53516.115180000001</v>
      </c>
      <c r="C3528" t="s">
        <v>155</v>
      </c>
      <c r="D3528" t="str">
        <f>T_Stocks[[#This Row],[Ticker]] &amp; "-" &amp; DATE(YEAR(T_Stocks[[#This Row],[Fecha]]),MONTH(T_Stocks[[#This Row],[Fecha]]),DAY(T_Stocks[[#This Row],[Fecha]]))</f>
        <v>BTCEUR-45532</v>
      </c>
    </row>
    <row r="3529" spans="1:4" ht="14.65" thickBot="1" x14ac:dyDescent="0.5">
      <c r="A3529" s="17">
        <v>45533.998611111114</v>
      </c>
      <c r="B3529" s="19">
        <v>53350.660250000001</v>
      </c>
      <c r="C3529" t="s">
        <v>155</v>
      </c>
      <c r="D3529" t="str">
        <f>T_Stocks[[#This Row],[Ticker]] &amp; "-" &amp; DATE(YEAR(T_Stocks[[#This Row],[Fecha]]),MONTH(T_Stocks[[#This Row],[Fecha]]),DAY(T_Stocks[[#This Row],[Fecha]]))</f>
        <v>BTCEUR-45533</v>
      </c>
    </row>
    <row r="3530" spans="1:4" ht="14.65" thickBot="1" x14ac:dyDescent="0.5">
      <c r="A3530" s="17">
        <v>45534.998611111114</v>
      </c>
      <c r="B3530" s="19">
        <v>53391.586960000001</v>
      </c>
      <c r="C3530" t="s">
        <v>155</v>
      </c>
      <c r="D3530" t="str">
        <f>T_Stocks[[#This Row],[Ticker]] &amp; "-" &amp; DATE(YEAR(T_Stocks[[#This Row],[Fecha]]),MONTH(T_Stocks[[#This Row],[Fecha]]),DAY(T_Stocks[[#This Row],[Fecha]]))</f>
        <v>BTCEUR-45534</v>
      </c>
    </row>
    <row r="3531" spans="1:4" ht="14.65" thickBot="1" x14ac:dyDescent="0.5">
      <c r="A3531" s="17">
        <v>45535.998611111114</v>
      </c>
      <c r="B3531" s="19">
        <v>53556.684480000004</v>
      </c>
      <c r="C3531" t="s">
        <v>155</v>
      </c>
      <c r="D3531" t="str">
        <f>T_Stocks[[#This Row],[Ticker]] &amp; "-" &amp; DATE(YEAR(T_Stocks[[#This Row],[Fecha]]),MONTH(T_Stocks[[#This Row],[Fecha]]),DAY(T_Stocks[[#This Row],[Fecha]]))</f>
        <v>BTCEUR-45535</v>
      </c>
    </row>
    <row r="3532" spans="1:4" ht="14.65" thickBot="1" x14ac:dyDescent="0.5">
      <c r="A3532" s="17">
        <v>45536.998611111114</v>
      </c>
      <c r="B3532" s="19">
        <v>53022.949249999998</v>
      </c>
      <c r="C3532" t="s">
        <v>155</v>
      </c>
      <c r="D3532" t="str">
        <f>T_Stocks[[#This Row],[Ticker]] &amp; "-" &amp; DATE(YEAR(T_Stocks[[#This Row],[Fecha]]),MONTH(T_Stocks[[#This Row],[Fecha]]),DAY(T_Stocks[[#This Row],[Fecha]]))</f>
        <v>BTCEUR-45536</v>
      </c>
    </row>
    <row r="3533" spans="1:4" ht="14.65" thickBot="1" x14ac:dyDescent="0.5">
      <c r="A3533" s="17">
        <v>45537.998611111114</v>
      </c>
      <c r="B3533" s="19">
        <v>52157.026180000001</v>
      </c>
      <c r="C3533" t="s">
        <v>155</v>
      </c>
      <c r="D3533" t="str">
        <f>T_Stocks[[#This Row],[Ticker]] &amp; "-" &amp; DATE(YEAR(T_Stocks[[#This Row],[Fecha]]),MONTH(T_Stocks[[#This Row],[Fecha]]),DAY(T_Stocks[[#This Row],[Fecha]]))</f>
        <v>BTCEUR-45537</v>
      </c>
    </row>
    <row r="3534" spans="1:4" ht="14.65" thickBot="1" x14ac:dyDescent="0.5">
      <c r="A3534" s="17">
        <v>45538.998611111114</v>
      </c>
      <c r="B3534" s="19">
        <v>53510.634619999997</v>
      </c>
      <c r="C3534" t="s">
        <v>155</v>
      </c>
      <c r="D3534" t="str">
        <f>T_Stocks[[#This Row],[Ticker]] &amp; "-" &amp; DATE(YEAR(T_Stocks[[#This Row],[Fecha]]),MONTH(T_Stocks[[#This Row],[Fecha]]),DAY(T_Stocks[[#This Row],[Fecha]]))</f>
        <v>BTCEUR-45538</v>
      </c>
    </row>
    <row r="3535" spans="1:4" ht="14.65" thickBot="1" x14ac:dyDescent="0.5">
      <c r="A3535" s="17">
        <v>45539.998611111114</v>
      </c>
      <c r="B3535" s="19">
        <v>51197.526680000003</v>
      </c>
      <c r="C3535" t="s">
        <v>155</v>
      </c>
      <c r="D3535" t="str">
        <f>T_Stocks[[#This Row],[Ticker]] &amp; "-" &amp; DATE(YEAR(T_Stocks[[#This Row],[Fecha]]),MONTH(T_Stocks[[#This Row],[Fecha]]),DAY(T_Stocks[[#This Row],[Fecha]]))</f>
        <v>BTCEUR-45539</v>
      </c>
    </row>
    <row r="3536" spans="1:4" ht="14.65" thickBot="1" x14ac:dyDescent="0.5">
      <c r="A3536" s="17">
        <v>45540.998611111114</v>
      </c>
      <c r="B3536" s="19">
        <v>51482.303999999996</v>
      </c>
      <c r="C3536" t="s">
        <v>155</v>
      </c>
      <c r="D3536" t="str">
        <f>T_Stocks[[#This Row],[Ticker]] &amp; "-" &amp; DATE(YEAR(T_Stocks[[#This Row],[Fecha]]),MONTH(T_Stocks[[#This Row],[Fecha]]),DAY(T_Stocks[[#This Row],[Fecha]]))</f>
        <v>BTCEUR-45540</v>
      </c>
    </row>
    <row r="3537" spans="1:4" ht="14.65" thickBot="1" x14ac:dyDescent="0.5">
      <c r="A3537" s="17">
        <v>45541.998611111114</v>
      </c>
      <c r="B3537" s="19">
        <v>51023.350380000003</v>
      </c>
      <c r="C3537" t="s">
        <v>155</v>
      </c>
      <c r="D3537" t="str">
        <f>T_Stocks[[#This Row],[Ticker]] &amp; "-" &amp; DATE(YEAR(T_Stocks[[#This Row],[Fecha]]),MONTH(T_Stocks[[#This Row],[Fecha]]),DAY(T_Stocks[[#This Row],[Fecha]]))</f>
        <v>BTCEUR-45541</v>
      </c>
    </row>
    <row r="3538" spans="1:4" ht="14.65" thickBot="1" x14ac:dyDescent="0.5">
      <c r="A3538" s="17">
        <v>45542.998611111114</v>
      </c>
      <c r="B3538" s="19">
        <v>48547.204579999998</v>
      </c>
      <c r="C3538" t="s">
        <v>155</v>
      </c>
      <c r="D3538" t="str">
        <f>T_Stocks[[#This Row],[Ticker]] &amp; "-" &amp; DATE(YEAR(T_Stocks[[#This Row],[Fecha]]),MONTH(T_Stocks[[#This Row],[Fecha]]),DAY(T_Stocks[[#This Row],[Fecha]]))</f>
        <v>BTCEUR-45542</v>
      </c>
    </row>
    <row r="3539" spans="1:4" ht="14.65" thickBot="1" x14ac:dyDescent="0.5">
      <c r="A3539" s="17">
        <v>45543.998611111114</v>
      </c>
      <c r="B3539" s="19">
        <v>49049.301079999997</v>
      </c>
      <c r="C3539" t="s">
        <v>155</v>
      </c>
      <c r="D3539" t="str">
        <f>T_Stocks[[#This Row],[Ticker]] &amp; "-" &amp; DATE(YEAR(T_Stocks[[#This Row],[Fecha]]),MONTH(T_Stocks[[#This Row],[Fecha]]),DAY(T_Stocks[[#This Row],[Fecha]]))</f>
        <v>BTCEUR-45543</v>
      </c>
    </row>
    <row r="3540" spans="1:4" ht="14.65" thickBot="1" x14ac:dyDescent="0.5">
      <c r="A3540" s="17">
        <v>45544.998611111114</v>
      </c>
      <c r="B3540" s="19">
        <v>49896.754079999999</v>
      </c>
      <c r="C3540" t="s">
        <v>155</v>
      </c>
      <c r="D3540" t="str">
        <f>T_Stocks[[#This Row],[Ticker]] &amp; "-" &amp; DATE(YEAR(T_Stocks[[#This Row],[Fecha]]),MONTH(T_Stocks[[#This Row],[Fecha]]),DAY(T_Stocks[[#This Row],[Fecha]]))</f>
        <v>BTCEUR-45544</v>
      </c>
    </row>
    <row r="3541" spans="1:4" ht="14.65" thickBot="1" x14ac:dyDescent="0.5">
      <c r="A3541" s="17">
        <v>45545.998611111114</v>
      </c>
      <c r="B3541" s="19">
        <v>51328.393389999997</v>
      </c>
      <c r="C3541" t="s">
        <v>155</v>
      </c>
      <c r="D3541" t="str">
        <f>T_Stocks[[#This Row],[Ticker]] &amp; "-" &amp; DATE(YEAR(T_Stocks[[#This Row],[Fecha]]),MONTH(T_Stocks[[#This Row],[Fecha]]),DAY(T_Stocks[[#This Row],[Fecha]]))</f>
        <v>BTCEUR-45545</v>
      </c>
    </row>
    <row r="3542" spans="1:4" ht="14.65" thickBot="1" x14ac:dyDescent="0.5">
      <c r="A3542" s="17">
        <v>45546.998611111114</v>
      </c>
      <c r="B3542" s="19">
        <v>51565.702239999999</v>
      </c>
      <c r="C3542" t="s">
        <v>155</v>
      </c>
      <c r="D3542" t="str">
        <f>T_Stocks[[#This Row],[Ticker]] &amp; "-" &amp; DATE(YEAR(T_Stocks[[#This Row],[Fecha]]),MONTH(T_Stocks[[#This Row],[Fecha]]),DAY(T_Stocks[[#This Row],[Fecha]]))</f>
        <v>BTCEUR-45546</v>
      </c>
    </row>
    <row r="3543" spans="1:4" ht="14.65" thickBot="1" x14ac:dyDescent="0.5">
      <c r="A3543" s="17">
        <v>45547.998611111114</v>
      </c>
      <c r="B3543" s="19">
        <v>52432.44485</v>
      </c>
      <c r="C3543" t="s">
        <v>155</v>
      </c>
      <c r="D3543" t="str">
        <f>T_Stocks[[#This Row],[Ticker]] &amp; "-" &amp; DATE(YEAR(T_Stocks[[#This Row],[Fecha]]),MONTH(T_Stocks[[#This Row],[Fecha]]),DAY(T_Stocks[[#This Row],[Fecha]]))</f>
        <v>BTCEUR-45547</v>
      </c>
    </row>
    <row r="3544" spans="1:4" ht="14.65" thickBot="1" x14ac:dyDescent="0.5">
      <c r="A3544" s="17">
        <v>45548.998611111114</v>
      </c>
      <c r="B3544" s="19">
        <v>52213.25318</v>
      </c>
      <c r="C3544" t="s">
        <v>155</v>
      </c>
      <c r="D3544" t="str">
        <f>T_Stocks[[#This Row],[Ticker]] &amp; "-" &amp; DATE(YEAR(T_Stocks[[#This Row],[Fecha]]),MONTH(T_Stocks[[#This Row],[Fecha]]),DAY(T_Stocks[[#This Row],[Fecha]]))</f>
        <v>BTCEUR-45548</v>
      </c>
    </row>
    <row r="3545" spans="1:4" ht="14.65" thickBot="1" x14ac:dyDescent="0.5">
      <c r="A3545" s="17">
        <v>45549.998611111114</v>
      </c>
      <c r="B3545" s="19">
        <v>54464.951860000001</v>
      </c>
      <c r="C3545" t="s">
        <v>155</v>
      </c>
      <c r="D3545" t="str">
        <f>T_Stocks[[#This Row],[Ticker]] &amp; "-" &amp; DATE(YEAR(T_Stocks[[#This Row],[Fecha]]),MONTH(T_Stocks[[#This Row],[Fecha]]),DAY(T_Stocks[[#This Row],[Fecha]]))</f>
        <v>BTCEUR-45549</v>
      </c>
    </row>
    <row r="3546" spans="1:4" ht="14.65" thickBot="1" x14ac:dyDescent="0.5">
      <c r="A3546" s="17">
        <v>45550.998611111114</v>
      </c>
      <c r="B3546" s="19">
        <v>54278.989959999999</v>
      </c>
      <c r="C3546" t="s">
        <v>155</v>
      </c>
      <c r="D3546" t="str">
        <f>T_Stocks[[#This Row],[Ticker]] &amp; "-" &amp; DATE(YEAR(T_Stocks[[#This Row],[Fecha]]),MONTH(T_Stocks[[#This Row],[Fecha]]),DAY(T_Stocks[[#This Row],[Fecha]]))</f>
        <v>BTCEUR-45550</v>
      </c>
    </row>
    <row r="3547" spans="1:4" ht="14.65" thickBot="1" x14ac:dyDescent="0.5">
      <c r="A3547" s="17">
        <v>45551.998611111114</v>
      </c>
      <c r="B3547" s="19">
        <v>52636.854249999997</v>
      </c>
      <c r="C3547" t="s">
        <v>155</v>
      </c>
      <c r="D3547" t="str">
        <f>T_Stocks[[#This Row],[Ticker]] &amp; "-" &amp; DATE(YEAR(T_Stocks[[#This Row],[Fecha]]),MONTH(T_Stocks[[#This Row],[Fecha]]),DAY(T_Stocks[[#This Row],[Fecha]]))</f>
        <v>BTCEUR-45551</v>
      </c>
    </row>
    <row r="3548" spans="1:4" ht="14.65" thickBot="1" x14ac:dyDescent="0.5">
      <c r="A3548" s="17">
        <v>45552.998611111114</v>
      </c>
      <c r="B3548" s="19">
        <v>52210.07043</v>
      </c>
      <c r="C3548" t="s">
        <v>155</v>
      </c>
      <c r="D3548" t="str">
        <f>T_Stocks[[#This Row],[Ticker]] &amp; "-" &amp; DATE(YEAR(T_Stocks[[#This Row],[Fecha]]),MONTH(T_Stocks[[#This Row],[Fecha]]),DAY(T_Stocks[[#This Row],[Fecha]]))</f>
        <v>BTCEUR-45552</v>
      </c>
    </row>
    <row r="3549" spans="1:4" ht="14.65" thickBot="1" x14ac:dyDescent="0.5">
      <c r="A3549" s="17">
        <v>45553.998611111114</v>
      </c>
      <c r="B3549" s="19">
        <v>54472.714370000002</v>
      </c>
      <c r="C3549" t="s">
        <v>155</v>
      </c>
      <c r="D3549" t="str">
        <f>T_Stocks[[#This Row],[Ticker]] &amp; "-" &amp; DATE(YEAR(T_Stocks[[#This Row],[Fecha]]),MONTH(T_Stocks[[#This Row],[Fecha]]),DAY(T_Stocks[[#This Row],[Fecha]]))</f>
        <v>BTCEUR-45553</v>
      </c>
    </row>
    <row r="3550" spans="1:4" ht="14.65" thickBot="1" x14ac:dyDescent="0.5">
      <c r="A3550" s="17">
        <v>45554.998611111114</v>
      </c>
      <c r="B3550" s="19">
        <v>55631.465949999998</v>
      </c>
      <c r="C3550" t="s">
        <v>155</v>
      </c>
      <c r="D3550" t="str">
        <f>T_Stocks[[#This Row],[Ticker]] &amp; "-" &amp; DATE(YEAR(T_Stocks[[#This Row],[Fecha]]),MONTH(T_Stocks[[#This Row],[Fecha]]),DAY(T_Stocks[[#This Row],[Fecha]]))</f>
        <v>BTCEUR-45554</v>
      </c>
    </row>
    <row r="3551" spans="1:4" ht="14.65" thickBot="1" x14ac:dyDescent="0.5">
      <c r="A3551" s="17">
        <v>45555.998611111114</v>
      </c>
      <c r="B3551" s="19">
        <v>56973.311880000001</v>
      </c>
      <c r="C3551" t="s">
        <v>155</v>
      </c>
      <c r="D3551" t="str">
        <f>T_Stocks[[#This Row],[Ticker]] &amp; "-" &amp; DATE(YEAR(T_Stocks[[#This Row],[Fecha]]),MONTH(T_Stocks[[#This Row],[Fecha]]),DAY(T_Stocks[[#This Row],[Fecha]]))</f>
        <v>BTCEUR-45555</v>
      </c>
    </row>
    <row r="3552" spans="1:4" ht="14.65" thickBot="1" x14ac:dyDescent="0.5">
      <c r="A3552" s="17">
        <v>45556.998611111114</v>
      </c>
      <c r="B3552" s="19">
        <v>56302.730869999999</v>
      </c>
      <c r="C3552" t="s">
        <v>155</v>
      </c>
      <c r="D3552" t="str">
        <f>T_Stocks[[#This Row],[Ticker]] &amp; "-" &amp; DATE(YEAR(T_Stocks[[#This Row],[Fecha]]),MONTH(T_Stocks[[#This Row],[Fecha]]),DAY(T_Stocks[[#This Row],[Fecha]]))</f>
        <v>BTCEUR-45556</v>
      </c>
    </row>
    <row r="3553" spans="1:4" ht="14.65" thickBot="1" x14ac:dyDescent="0.5">
      <c r="A3553" s="17">
        <v>45557.998611111114</v>
      </c>
      <c r="B3553" s="19">
        <v>56572.862350000003</v>
      </c>
      <c r="C3553" t="s">
        <v>155</v>
      </c>
      <c r="D3553" t="str">
        <f>T_Stocks[[#This Row],[Ticker]] &amp; "-" &amp; DATE(YEAR(T_Stocks[[#This Row],[Fecha]]),MONTH(T_Stocks[[#This Row],[Fecha]]),DAY(T_Stocks[[#This Row],[Fecha]]))</f>
        <v>BTCEUR-45557</v>
      </c>
    </row>
    <row r="3554" spans="1:4" ht="14.65" thickBot="1" x14ac:dyDescent="0.5">
      <c r="A3554" s="17">
        <v>45558.998611111114</v>
      </c>
      <c r="B3554" s="19">
        <v>57905.923820000004</v>
      </c>
      <c r="C3554" t="s">
        <v>155</v>
      </c>
      <c r="D3554" t="str">
        <f>T_Stocks[[#This Row],[Ticker]] &amp; "-" &amp; DATE(YEAR(T_Stocks[[#This Row],[Fecha]]),MONTH(T_Stocks[[#This Row],[Fecha]]),DAY(T_Stocks[[#This Row],[Fecha]]))</f>
        <v>BTCEUR-45558</v>
      </c>
    </row>
    <row r="3555" spans="1:4" ht="14.65" thickBot="1" x14ac:dyDescent="0.5">
      <c r="A3555" s="17">
        <v>45559.998611111114</v>
      </c>
      <c r="B3555" s="19">
        <v>56410.791279999998</v>
      </c>
      <c r="C3555" t="s">
        <v>155</v>
      </c>
      <c r="D3555" t="str">
        <f>T_Stocks[[#This Row],[Ticker]] &amp; "-" &amp; DATE(YEAR(T_Stocks[[#This Row],[Fecha]]),MONTH(T_Stocks[[#This Row],[Fecha]]),DAY(T_Stocks[[#This Row],[Fecha]]))</f>
        <v>BTCEUR-45559</v>
      </c>
    </row>
    <row r="3556" spans="1:4" ht="14.65" thickBot="1" x14ac:dyDescent="0.5">
      <c r="A3556" s="17">
        <v>45560.998611111114</v>
      </c>
      <c r="B3556" s="19">
        <v>57901.810460000001</v>
      </c>
      <c r="C3556" t="s">
        <v>155</v>
      </c>
      <c r="D3556" t="str">
        <f>T_Stocks[[#This Row],[Ticker]] &amp; "-" &amp; DATE(YEAR(T_Stocks[[#This Row],[Fecha]]),MONTH(T_Stocks[[#This Row],[Fecha]]),DAY(T_Stocks[[#This Row],[Fecha]]))</f>
        <v>BTCEUR-45560</v>
      </c>
    </row>
    <row r="3557" spans="1:4" ht="14.65" thickBot="1" x14ac:dyDescent="0.5">
      <c r="A3557" s="17">
        <v>45561.998611111114</v>
      </c>
      <c r="B3557" s="19">
        <v>56808.520750000003</v>
      </c>
      <c r="C3557" t="s">
        <v>155</v>
      </c>
      <c r="D3557" t="str">
        <f>T_Stocks[[#This Row],[Ticker]] &amp; "-" &amp; DATE(YEAR(T_Stocks[[#This Row],[Fecha]]),MONTH(T_Stocks[[#This Row],[Fecha]]),DAY(T_Stocks[[#This Row],[Fecha]]))</f>
        <v>BTCEUR-45561</v>
      </c>
    </row>
    <row r="3558" spans="1:4" ht="14.65" thickBot="1" x14ac:dyDescent="0.5">
      <c r="A3558" s="17">
        <v>45562.998611111114</v>
      </c>
      <c r="B3558" s="19">
        <v>58544.428</v>
      </c>
      <c r="C3558" t="s">
        <v>155</v>
      </c>
      <c r="D3558" t="str">
        <f>T_Stocks[[#This Row],[Ticker]] &amp; "-" &amp; DATE(YEAR(T_Stocks[[#This Row],[Fecha]]),MONTH(T_Stocks[[#This Row],[Fecha]]),DAY(T_Stocks[[#This Row],[Fecha]]))</f>
        <v>BTCEUR-45562</v>
      </c>
    </row>
    <row r="3559" spans="1:4" ht="14.65" thickBot="1" x14ac:dyDescent="0.5">
      <c r="A3559" s="17">
        <v>45563.998611111114</v>
      </c>
      <c r="B3559" s="19">
        <v>59176.03529</v>
      </c>
      <c r="C3559" t="s">
        <v>155</v>
      </c>
      <c r="D3559" t="str">
        <f>T_Stocks[[#This Row],[Ticker]] &amp; "-" &amp; DATE(YEAR(T_Stocks[[#This Row],[Fecha]]),MONTH(T_Stocks[[#This Row],[Fecha]]),DAY(T_Stocks[[#This Row],[Fecha]]))</f>
        <v>BTCEUR-45563</v>
      </c>
    </row>
    <row r="3560" spans="1:4" ht="14.65" thickBot="1" x14ac:dyDescent="0.5">
      <c r="A3560" s="17">
        <v>45564.998611111114</v>
      </c>
      <c r="B3560" s="19">
        <v>58952.123919999998</v>
      </c>
      <c r="C3560" t="s">
        <v>155</v>
      </c>
      <c r="D3560" t="str">
        <f>T_Stocks[[#This Row],[Ticker]] &amp; "-" &amp; DATE(YEAR(T_Stocks[[#This Row],[Fecha]]),MONTH(T_Stocks[[#This Row],[Fecha]]),DAY(T_Stocks[[#This Row],[Fecha]]))</f>
        <v>BTCEUR-45564</v>
      </c>
    </row>
    <row r="3561" spans="1:4" ht="14.65" thickBot="1" x14ac:dyDescent="0.5">
      <c r="A3561" s="17">
        <v>45565.998611111114</v>
      </c>
      <c r="B3561" s="19">
        <v>57956.836900000002</v>
      </c>
      <c r="C3561" t="s">
        <v>155</v>
      </c>
      <c r="D3561" t="str">
        <f>T_Stocks[[#This Row],[Ticker]] &amp; "-" &amp; DATE(YEAR(T_Stocks[[#This Row],[Fecha]]),MONTH(T_Stocks[[#This Row],[Fecha]]),DAY(T_Stocks[[#This Row],[Fecha]]))</f>
        <v>BTCEUR-45565</v>
      </c>
    </row>
    <row r="3562" spans="1:4" ht="14.65" thickBot="1" x14ac:dyDescent="0.5">
      <c r="A3562" s="17">
        <v>45566.998611111114</v>
      </c>
      <c r="B3562" s="19">
        <v>57585.173880000002</v>
      </c>
      <c r="C3562" t="s">
        <v>155</v>
      </c>
      <c r="D3562" t="str">
        <f>T_Stocks[[#This Row],[Ticker]] &amp; "-" &amp; DATE(YEAR(T_Stocks[[#This Row],[Fecha]]),MONTH(T_Stocks[[#This Row],[Fecha]]),DAY(T_Stocks[[#This Row],[Fecha]]))</f>
        <v>BTCEUR-45566</v>
      </c>
    </row>
    <row r="3563" spans="1:4" ht="14.65" thickBot="1" x14ac:dyDescent="0.5">
      <c r="A3563" s="17">
        <v>45567.998611111114</v>
      </c>
      <c r="B3563" s="19">
        <v>55918.643819999998</v>
      </c>
      <c r="C3563" t="s">
        <v>155</v>
      </c>
      <c r="D3563" t="str">
        <f>T_Stocks[[#This Row],[Ticker]] &amp; "-" &amp; DATE(YEAR(T_Stocks[[#This Row],[Fecha]]),MONTH(T_Stocks[[#This Row],[Fecha]]),DAY(T_Stocks[[#This Row],[Fecha]]))</f>
        <v>BTCEUR-45567</v>
      </c>
    </row>
    <row r="3564" spans="1:4" ht="14.65" thickBot="1" x14ac:dyDescent="0.5">
      <c r="A3564" s="17">
        <v>45568.998611111114</v>
      </c>
      <c r="B3564" s="19">
        <v>55675.503420000001</v>
      </c>
      <c r="C3564" t="s">
        <v>155</v>
      </c>
      <c r="D3564" t="str">
        <f>T_Stocks[[#This Row],[Ticker]] &amp; "-" &amp; DATE(YEAR(T_Stocks[[#This Row],[Fecha]]),MONTH(T_Stocks[[#This Row],[Fecha]]),DAY(T_Stocks[[#This Row],[Fecha]]))</f>
        <v>BTCEUR-45568</v>
      </c>
    </row>
    <row r="3565" spans="1:4" ht="14.65" thickBot="1" x14ac:dyDescent="0.5">
      <c r="A3565" s="17">
        <v>45569.998611111114</v>
      </c>
      <c r="B3565" s="19">
        <v>55498.589679999997</v>
      </c>
      <c r="C3565" t="s">
        <v>155</v>
      </c>
      <c r="D3565" t="str">
        <f>T_Stocks[[#This Row],[Ticker]] &amp; "-" &amp; DATE(YEAR(T_Stocks[[#This Row],[Fecha]]),MONTH(T_Stocks[[#This Row],[Fecha]]),DAY(T_Stocks[[#This Row],[Fecha]]))</f>
        <v>BTCEUR-45569</v>
      </c>
    </row>
    <row r="3566" spans="1:4" ht="14.65" thickBot="1" x14ac:dyDescent="0.5">
      <c r="A3566" s="17">
        <v>45570.998611111114</v>
      </c>
      <c r="B3566" s="19">
        <v>56357.992420000002</v>
      </c>
      <c r="C3566" t="s">
        <v>155</v>
      </c>
      <c r="D3566" t="str">
        <f>T_Stocks[[#This Row],[Ticker]] &amp; "-" &amp; DATE(YEAR(T_Stocks[[#This Row],[Fecha]]),MONTH(T_Stocks[[#This Row],[Fecha]]),DAY(T_Stocks[[#This Row],[Fecha]]))</f>
        <v>BTCEUR-45570</v>
      </c>
    </row>
    <row r="3567" spans="1:4" ht="14.65" thickBot="1" x14ac:dyDescent="0.5">
      <c r="A3567" s="17">
        <v>45571.998611111114</v>
      </c>
      <c r="B3567" s="19">
        <v>56409.348590000001</v>
      </c>
      <c r="C3567" t="s">
        <v>155</v>
      </c>
      <c r="D3567" t="str">
        <f>T_Stocks[[#This Row],[Ticker]] &amp; "-" &amp; DATE(YEAR(T_Stocks[[#This Row],[Fecha]]),MONTH(T_Stocks[[#This Row],[Fecha]]),DAY(T_Stocks[[#This Row],[Fecha]]))</f>
        <v>BTCEUR-45571</v>
      </c>
    </row>
    <row r="3568" spans="1:4" ht="14.65" thickBot="1" x14ac:dyDescent="0.5">
      <c r="A3568" s="17">
        <v>45572.998611111114</v>
      </c>
      <c r="B3568" s="19">
        <v>57868.15206</v>
      </c>
      <c r="C3568" t="s">
        <v>155</v>
      </c>
      <c r="D3568" t="str">
        <f>T_Stocks[[#This Row],[Ticker]] &amp; "-" &amp; DATE(YEAR(T_Stocks[[#This Row],[Fecha]]),MONTH(T_Stocks[[#This Row],[Fecha]]),DAY(T_Stocks[[#This Row],[Fecha]]))</f>
        <v>BTCEUR-45572</v>
      </c>
    </row>
    <row r="3569" spans="1:4" ht="14.65" thickBot="1" x14ac:dyDescent="0.5">
      <c r="A3569" s="17">
        <v>45573.998611111114</v>
      </c>
      <c r="B3569" s="19">
        <v>57043.752330000003</v>
      </c>
      <c r="C3569" t="s">
        <v>155</v>
      </c>
      <c r="D3569" t="str">
        <f>T_Stocks[[#This Row],[Ticker]] &amp; "-" &amp; DATE(YEAR(T_Stocks[[#This Row],[Fecha]]),MONTH(T_Stocks[[#This Row],[Fecha]]),DAY(T_Stocks[[#This Row],[Fecha]]))</f>
        <v>BTCEUR-45573</v>
      </c>
    </row>
    <row r="3570" spans="1:4" ht="14.65" thickBot="1" x14ac:dyDescent="0.5">
      <c r="A3570" s="17">
        <v>45574.998611111114</v>
      </c>
      <c r="B3570" s="19">
        <v>56984.00144</v>
      </c>
      <c r="C3570" t="s">
        <v>155</v>
      </c>
      <c r="D3570" t="str">
        <f>T_Stocks[[#This Row],[Ticker]] &amp; "-" &amp; DATE(YEAR(T_Stocks[[#This Row],[Fecha]]),MONTH(T_Stocks[[#This Row],[Fecha]]),DAY(T_Stocks[[#This Row],[Fecha]]))</f>
        <v>BTCEUR-45574</v>
      </c>
    </row>
    <row r="3571" spans="1:4" ht="14.65" thickBot="1" x14ac:dyDescent="0.5">
      <c r="A3571" s="17">
        <v>45575.998611111114</v>
      </c>
      <c r="B3571" s="19">
        <v>55637.847950000003</v>
      </c>
      <c r="C3571" t="s">
        <v>155</v>
      </c>
      <c r="D3571" t="str">
        <f>T_Stocks[[#This Row],[Ticker]] &amp; "-" &amp; DATE(YEAR(T_Stocks[[#This Row],[Fecha]]),MONTH(T_Stocks[[#This Row],[Fecha]]),DAY(T_Stocks[[#This Row],[Fecha]]))</f>
        <v>BTCEUR-45575</v>
      </c>
    </row>
    <row r="3572" spans="1:4" ht="14.65" thickBot="1" x14ac:dyDescent="0.5">
      <c r="A3572" s="17">
        <v>45576.998611111114</v>
      </c>
      <c r="B3572" s="19">
        <v>55346.4859</v>
      </c>
      <c r="C3572" t="s">
        <v>155</v>
      </c>
      <c r="D3572" t="str">
        <f>T_Stocks[[#This Row],[Ticker]] &amp; "-" &amp; DATE(YEAR(T_Stocks[[#This Row],[Fecha]]),MONTH(T_Stocks[[#This Row],[Fecha]]),DAY(T_Stocks[[#This Row],[Fecha]]))</f>
        <v>BTCEUR-45576</v>
      </c>
    </row>
    <row r="3573" spans="1:4" ht="14.65" thickBot="1" x14ac:dyDescent="0.5">
      <c r="A3573" s="17">
        <v>45577.998611111114</v>
      </c>
      <c r="B3573" s="19">
        <v>57125.445160000003</v>
      </c>
      <c r="C3573" t="s">
        <v>155</v>
      </c>
      <c r="D3573" t="str">
        <f>T_Stocks[[#This Row],[Ticker]] &amp; "-" &amp; DATE(YEAR(T_Stocks[[#This Row],[Fecha]]),MONTH(T_Stocks[[#This Row],[Fecha]]),DAY(T_Stocks[[#This Row],[Fecha]]))</f>
        <v>BTCEUR-45577</v>
      </c>
    </row>
    <row r="3574" spans="1:4" ht="14.65" thickBot="1" x14ac:dyDescent="0.5">
      <c r="A3574" s="17">
        <v>45578.998611111114</v>
      </c>
      <c r="B3574" s="19">
        <v>57405.007389999999</v>
      </c>
      <c r="C3574" t="s">
        <v>155</v>
      </c>
      <c r="D3574" t="str">
        <f>T_Stocks[[#This Row],[Ticker]] &amp; "-" &amp; DATE(YEAR(T_Stocks[[#This Row],[Fecha]]),MONTH(T_Stocks[[#This Row],[Fecha]]),DAY(T_Stocks[[#This Row],[Fecha]]))</f>
        <v>BTCEUR-45578</v>
      </c>
    </row>
    <row r="3575" spans="1:4" ht="14.65" thickBot="1" x14ac:dyDescent="0.5">
      <c r="A3575" s="17">
        <v>45579.998611111114</v>
      </c>
      <c r="B3575" s="19">
        <v>58845.419529999999</v>
      </c>
      <c r="C3575" t="s">
        <v>155</v>
      </c>
      <c r="D3575" t="str">
        <f>T_Stocks[[#This Row],[Ticker]] &amp; "-" &amp; DATE(YEAR(T_Stocks[[#This Row],[Fecha]]),MONTH(T_Stocks[[#This Row],[Fecha]]),DAY(T_Stocks[[#This Row],[Fecha]]))</f>
        <v>BTCEUR-45579</v>
      </c>
    </row>
    <row r="3576" spans="1:4" ht="14.65" thickBot="1" x14ac:dyDescent="0.5">
      <c r="A3576" s="17">
        <v>45580.998611111114</v>
      </c>
      <c r="B3576" s="19">
        <v>60045.120009999999</v>
      </c>
      <c r="C3576" t="s">
        <v>155</v>
      </c>
      <c r="D3576" t="str">
        <f>T_Stocks[[#This Row],[Ticker]] &amp; "-" &amp; DATE(YEAR(T_Stocks[[#This Row],[Fecha]]),MONTH(T_Stocks[[#This Row],[Fecha]]),DAY(T_Stocks[[#This Row],[Fecha]]))</f>
        <v>BTCEUR-45580</v>
      </c>
    </row>
    <row r="3577" spans="1:4" ht="14.65" thickBot="1" x14ac:dyDescent="0.5">
      <c r="A3577" s="17">
        <v>45581.998611111114</v>
      </c>
      <c r="B3577" s="19">
        <v>61776.375079999998</v>
      </c>
      <c r="C3577" t="s">
        <v>155</v>
      </c>
      <c r="D3577" t="str">
        <f>T_Stocks[[#This Row],[Ticker]] &amp; "-" &amp; DATE(YEAR(T_Stocks[[#This Row],[Fecha]]),MONTH(T_Stocks[[#This Row],[Fecha]]),DAY(T_Stocks[[#This Row],[Fecha]]))</f>
        <v>BTCEUR-45581</v>
      </c>
    </row>
    <row r="3578" spans="1:4" ht="14.65" thickBot="1" x14ac:dyDescent="0.5">
      <c r="A3578" s="17">
        <v>45582.998611111114</v>
      </c>
      <c r="B3578" s="19">
        <v>62427.251120000001</v>
      </c>
      <c r="C3578" t="s">
        <v>155</v>
      </c>
      <c r="D3578" t="str">
        <f>T_Stocks[[#This Row],[Ticker]] &amp; "-" &amp; DATE(YEAR(T_Stocks[[#This Row],[Fecha]]),MONTH(T_Stocks[[#This Row],[Fecha]]),DAY(T_Stocks[[#This Row],[Fecha]]))</f>
        <v>BTCEUR-45582</v>
      </c>
    </row>
    <row r="3579" spans="1:4" ht="14.65" thickBot="1" x14ac:dyDescent="0.5">
      <c r="A3579" s="17">
        <v>45583.998611111114</v>
      </c>
      <c r="B3579" s="19">
        <v>62099.094539999998</v>
      </c>
      <c r="C3579" t="s">
        <v>155</v>
      </c>
      <c r="D3579" t="str">
        <f>T_Stocks[[#This Row],[Ticker]] &amp; "-" &amp; DATE(YEAR(T_Stocks[[#This Row],[Fecha]]),MONTH(T_Stocks[[#This Row],[Fecha]]),DAY(T_Stocks[[#This Row],[Fecha]]))</f>
        <v>BTCEUR-45583</v>
      </c>
    </row>
    <row r="3580" spans="1:4" ht="14.65" thickBot="1" x14ac:dyDescent="0.5">
      <c r="A3580" s="17">
        <v>45584.998611111114</v>
      </c>
      <c r="B3580" s="19">
        <v>62946.082770000001</v>
      </c>
      <c r="C3580" t="s">
        <v>155</v>
      </c>
      <c r="D3580" t="str">
        <f>T_Stocks[[#This Row],[Ticker]] &amp; "-" &amp; DATE(YEAR(T_Stocks[[#This Row],[Fecha]]),MONTH(T_Stocks[[#This Row],[Fecha]]),DAY(T_Stocks[[#This Row],[Fecha]]))</f>
        <v>BTCEUR-45584</v>
      </c>
    </row>
    <row r="3581" spans="1:4" ht="14.65" thickBot="1" x14ac:dyDescent="0.5">
      <c r="A3581" s="17">
        <v>45585.998611111114</v>
      </c>
      <c r="B3581" s="19">
        <v>62730.36434</v>
      </c>
      <c r="C3581" t="s">
        <v>155</v>
      </c>
      <c r="D3581" t="str">
        <f>T_Stocks[[#This Row],[Ticker]] &amp; "-" &amp; DATE(YEAR(T_Stocks[[#This Row],[Fecha]]),MONTH(T_Stocks[[#This Row],[Fecha]]),DAY(T_Stocks[[#This Row],[Fecha]]))</f>
        <v>BTCEUR-45585</v>
      </c>
    </row>
    <row r="3582" spans="1:4" ht="14.65" thickBot="1" x14ac:dyDescent="0.5">
      <c r="A3582" s="17">
        <v>45586.998611111114</v>
      </c>
      <c r="B3582" s="19">
        <v>63682.045409999999</v>
      </c>
      <c r="C3582" t="s">
        <v>155</v>
      </c>
      <c r="D3582" t="str">
        <f>T_Stocks[[#This Row],[Ticker]] &amp; "-" &amp; DATE(YEAR(T_Stocks[[#This Row],[Fecha]]),MONTH(T_Stocks[[#This Row],[Fecha]]),DAY(T_Stocks[[#This Row],[Fecha]]))</f>
        <v>BTCEUR-45586</v>
      </c>
    </row>
    <row r="3583" spans="1:4" ht="14.65" thickBot="1" x14ac:dyDescent="0.5">
      <c r="A3583" s="17">
        <v>45587.998611111114</v>
      </c>
      <c r="B3583" s="19">
        <v>62371.763590000002</v>
      </c>
      <c r="C3583" t="s">
        <v>155</v>
      </c>
      <c r="D3583" t="str">
        <f>T_Stocks[[#This Row],[Ticker]] &amp; "-" &amp; DATE(YEAR(T_Stocks[[#This Row],[Fecha]]),MONTH(T_Stocks[[#This Row],[Fecha]]),DAY(T_Stocks[[#This Row],[Fecha]]))</f>
        <v>BTCEUR-45587</v>
      </c>
    </row>
    <row r="3584" spans="1:4" ht="14.65" thickBot="1" x14ac:dyDescent="0.5">
      <c r="A3584" s="17">
        <v>45588.998611111114</v>
      </c>
      <c r="B3584" s="19">
        <v>62176.323020000003</v>
      </c>
      <c r="C3584" t="s">
        <v>155</v>
      </c>
      <c r="D3584" t="str">
        <f>T_Stocks[[#This Row],[Ticker]] &amp; "-" &amp; DATE(YEAR(T_Stocks[[#This Row],[Fecha]]),MONTH(T_Stocks[[#This Row],[Fecha]]),DAY(T_Stocks[[#This Row],[Fecha]]))</f>
        <v>BTCEUR-45588</v>
      </c>
    </row>
    <row r="3585" spans="1:4" ht="14.65" thickBot="1" x14ac:dyDescent="0.5">
      <c r="A3585" s="17">
        <v>45589.998611111114</v>
      </c>
      <c r="B3585" s="19">
        <v>62073.626790000002</v>
      </c>
      <c r="C3585" t="s">
        <v>155</v>
      </c>
      <c r="D3585" t="str">
        <f>T_Stocks[[#This Row],[Ticker]] &amp; "-" &amp; DATE(YEAR(T_Stocks[[#This Row],[Fecha]]),MONTH(T_Stocks[[#This Row],[Fecha]]),DAY(T_Stocks[[#This Row],[Fecha]]))</f>
        <v>BTCEUR-45589</v>
      </c>
    </row>
    <row r="3586" spans="1:4" ht="14.65" thickBot="1" x14ac:dyDescent="0.5">
      <c r="A3586" s="17">
        <v>45590.998611111114</v>
      </c>
      <c r="B3586" s="19">
        <v>62929.597809999999</v>
      </c>
      <c r="C3586" t="s">
        <v>155</v>
      </c>
      <c r="D3586" t="str">
        <f>T_Stocks[[#This Row],[Ticker]] &amp; "-" &amp; DATE(YEAR(T_Stocks[[#This Row],[Fecha]]),MONTH(T_Stocks[[#This Row],[Fecha]]),DAY(T_Stocks[[#This Row],[Fecha]]))</f>
        <v>BTCEUR-45590</v>
      </c>
    </row>
    <row r="3587" spans="1:4" ht="14.65" thickBot="1" x14ac:dyDescent="0.5">
      <c r="A3587" s="17">
        <v>45591.998611111114</v>
      </c>
      <c r="B3587" s="19">
        <v>61901.765399999997</v>
      </c>
      <c r="C3587" t="s">
        <v>155</v>
      </c>
      <c r="D3587" t="str">
        <f>T_Stocks[[#This Row],[Ticker]] &amp; "-" &amp; DATE(YEAR(T_Stocks[[#This Row],[Fecha]]),MONTH(T_Stocks[[#This Row],[Fecha]]),DAY(T_Stocks[[#This Row],[Fecha]]))</f>
        <v>BTCEUR-45591</v>
      </c>
    </row>
    <row r="3588" spans="1:4" ht="14.65" thickBot="1" x14ac:dyDescent="0.5">
      <c r="A3588" s="17">
        <v>45592.998611111114</v>
      </c>
      <c r="B3588" s="19">
        <v>62238.556980000001</v>
      </c>
      <c r="C3588" t="s">
        <v>155</v>
      </c>
      <c r="D3588" t="str">
        <f>T_Stocks[[#This Row],[Ticker]] &amp; "-" &amp; DATE(YEAR(T_Stocks[[#This Row],[Fecha]]),MONTH(T_Stocks[[#This Row],[Fecha]]),DAY(T_Stocks[[#This Row],[Fecha]]))</f>
        <v>BTCEUR-45592</v>
      </c>
    </row>
    <row r="3589" spans="1:4" ht="14.65" thickBot="1" x14ac:dyDescent="0.5">
      <c r="A3589" s="17">
        <v>45593.998611111114</v>
      </c>
      <c r="B3589" s="19">
        <v>62562.632720000001</v>
      </c>
      <c r="C3589" t="s">
        <v>155</v>
      </c>
      <c r="D3589" t="str">
        <f>T_Stocks[[#This Row],[Ticker]] &amp; "-" &amp; DATE(YEAR(T_Stocks[[#This Row],[Fecha]]),MONTH(T_Stocks[[#This Row],[Fecha]]),DAY(T_Stocks[[#This Row],[Fecha]]))</f>
        <v>BTCEUR-45593</v>
      </c>
    </row>
    <row r="3590" spans="1:4" ht="14.65" thickBot="1" x14ac:dyDescent="0.5">
      <c r="A3590" s="17">
        <v>45594.998611111114</v>
      </c>
      <c r="B3590" s="19">
        <v>65513.194109999997</v>
      </c>
      <c r="C3590" t="s">
        <v>155</v>
      </c>
      <c r="D3590" t="str">
        <f>T_Stocks[[#This Row],[Ticker]] &amp; "-" &amp; DATE(YEAR(T_Stocks[[#This Row],[Fecha]]),MONTH(T_Stocks[[#This Row],[Fecha]]),DAY(T_Stocks[[#This Row],[Fecha]]))</f>
        <v>BTCEUR-45594</v>
      </c>
    </row>
    <row r="3591" spans="1:4" ht="14.65" thickBot="1" x14ac:dyDescent="0.5">
      <c r="A3591" s="17">
        <v>45595.998611111114</v>
      </c>
      <c r="B3591" s="19">
        <v>66474.348989999999</v>
      </c>
      <c r="C3591" t="s">
        <v>155</v>
      </c>
      <c r="D3591" t="str">
        <f>T_Stocks[[#This Row],[Ticker]] &amp; "-" &amp; DATE(YEAR(T_Stocks[[#This Row],[Fecha]]),MONTH(T_Stocks[[#This Row],[Fecha]]),DAY(T_Stocks[[#This Row],[Fecha]]))</f>
        <v>BTCEUR-45595</v>
      </c>
    </row>
    <row r="3592" spans="1:4" ht="14.65" thickBot="1" x14ac:dyDescent="0.5">
      <c r="A3592" s="17">
        <v>45596.998611111114</v>
      </c>
      <c r="B3592" s="19">
        <v>66439.876149999996</v>
      </c>
      <c r="C3592" t="s">
        <v>155</v>
      </c>
      <c r="D3592" t="str">
        <f>T_Stocks[[#This Row],[Ticker]] &amp; "-" &amp; DATE(YEAR(T_Stocks[[#This Row],[Fecha]]),MONTH(T_Stocks[[#This Row],[Fecha]]),DAY(T_Stocks[[#This Row],[Fecha]]))</f>
        <v>BTCEUR-45596</v>
      </c>
    </row>
    <row r="3593" spans="1:4" ht="14.65" thickBot="1" x14ac:dyDescent="0.5">
      <c r="A3593" s="17">
        <v>45597.998611111114</v>
      </c>
      <c r="B3593" s="19">
        <v>63689.087639999998</v>
      </c>
      <c r="C3593" t="s">
        <v>155</v>
      </c>
      <c r="D3593" t="str">
        <f>T_Stocks[[#This Row],[Ticker]] &amp; "-" &amp; DATE(YEAR(T_Stocks[[#This Row],[Fecha]]),MONTH(T_Stocks[[#This Row],[Fecha]]),DAY(T_Stocks[[#This Row],[Fecha]]))</f>
        <v>BTCEUR-45597</v>
      </c>
    </row>
    <row r="3594" spans="1:4" ht="14.65" thickBot="1" x14ac:dyDescent="0.5">
      <c r="A3594" s="17">
        <v>45598.998611111114</v>
      </c>
      <c r="B3594" s="19">
        <v>63975.573089999998</v>
      </c>
      <c r="C3594" t="s">
        <v>155</v>
      </c>
      <c r="D3594" t="str">
        <f>T_Stocks[[#This Row],[Ticker]] &amp; "-" &amp; DATE(YEAR(T_Stocks[[#This Row],[Fecha]]),MONTH(T_Stocks[[#This Row],[Fecha]]),DAY(T_Stocks[[#This Row],[Fecha]]))</f>
        <v>BTCEUR-45598</v>
      </c>
    </row>
    <row r="3595" spans="1:4" ht="14.65" thickBot="1" x14ac:dyDescent="0.5">
      <c r="A3595" s="17">
        <v>45599.998611111114</v>
      </c>
      <c r="B3595" s="19">
        <v>62931.135439999998</v>
      </c>
      <c r="C3595" t="s">
        <v>155</v>
      </c>
      <c r="D3595" t="str">
        <f>T_Stocks[[#This Row],[Ticker]] &amp; "-" &amp; DATE(YEAR(T_Stocks[[#This Row],[Fecha]]),MONTH(T_Stocks[[#This Row],[Fecha]]),DAY(T_Stocks[[#This Row],[Fecha]]))</f>
        <v>BTCEUR-45599</v>
      </c>
    </row>
    <row r="3596" spans="1:4" ht="14.65" thickBot="1" x14ac:dyDescent="0.5">
      <c r="A3596" s="17">
        <v>45600.998611111114</v>
      </c>
      <c r="B3596" s="19">
        <v>63565.90926</v>
      </c>
      <c r="C3596" t="s">
        <v>155</v>
      </c>
      <c r="D3596" t="str">
        <f>T_Stocks[[#This Row],[Ticker]] &amp; "-" &amp; DATE(YEAR(T_Stocks[[#This Row],[Fecha]]),MONTH(T_Stocks[[#This Row],[Fecha]]),DAY(T_Stocks[[#This Row],[Fecha]]))</f>
        <v>BTCEUR-45600</v>
      </c>
    </row>
    <row r="3597" spans="1:4" ht="14.65" thickBot="1" x14ac:dyDescent="0.5">
      <c r="A3597" s="17">
        <v>45601.998611111114</v>
      </c>
      <c r="B3597" s="19">
        <v>62479.26021</v>
      </c>
      <c r="C3597" t="s">
        <v>155</v>
      </c>
      <c r="D3597" t="str">
        <f>T_Stocks[[#This Row],[Ticker]] &amp; "-" &amp; DATE(YEAR(T_Stocks[[#This Row],[Fecha]]),MONTH(T_Stocks[[#This Row],[Fecha]]),DAY(T_Stocks[[#This Row],[Fecha]]))</f>
        <v>BTCEUR-45601</v>
      </c>
    </row>
    <row r="3598" spans="1:4" ht="14.65" thickBot="1" x14ac:dyDescent="0.5">
      <c r="A3598" s="17">
        <v>45602.998611111114</v>
      </c>
      <c r="B3598" s="19">
        <v>69361.170490000004</v>
      </c>
      <c r="C3598" t="s">
        <v>155</v>
      </c>
      <c r="D3598" t="str">
        <f>T_Stocks[[#This Row],[Ticker]] &amp; "-" &amp; DATE(YEAR(T_Stocks[[#This Row],[Fecha]]),MONTH(T_Stocks[[#This Row],[Fecha]]),DAY(T_Stocks[[#This Row],[Fecha]]))</f>
        <v>BTCEUR-45602</v>
      </c>
    </row>
    <row r="3599" spans="1:4" ht="14.65" thickBot="1" x14ac:dyDescent="0.5">
      <c r="A3599" s="17">
        <v>45603.998611111114</v>
      </c>
      <c r="B3599" s="19">
        <v>69227.574359999999</v>
      </c>
      <c r="C3599" t="s">
        <v>155</v>
      </c>
      <c r="D3599" t="str">
        <f>T_Stocks[[#This Row],[Ticker]] &amp; "-" &amp; DATE(YEAR(T_Stocks[[#This Row],[Fecha]]),MONTH(T_Stocks[[#This Row],[Fecha]]),DAY(T_Stocks[[#This Row],[Fecha]]))</f>
        <v>BTCEUR-45603</v>
      </c>
    </row>
    <row r="3600" spans="1:4" ht="14.65" thickBot="1" x14ac:dyDescent="0.5">
      <c r="A3600" s="17">
        <v>45604.998611111114</v>
      </c>
      <c r="B3600" s="19">
        <v>70761.475649999993</v>
      </c>
      <c r="C3600" t="s">
        <v>155</v>
      </c>
      <c r="D3600" t="str">
        <f>T_Stocks[[#This Row],[Ticker]] &amp; "-" &amp; DATE(YEAR(T_Stocks[[#This Row],[Fecha]]),MONTH(T_Stocks[[#This Row],[Fecha]]),DAY(T_Stocks[[#This Row],[Fecha]]))</f>
        <v>BTCEUR-45604</v>
      </c>
    </row>
    <row r="3601" spans="1:4" ht="14.65" thickBot="1" x14ac:dyDescent="0.5">
      <c r="A3601" s="17">
        <v>45605.998611111114</v>
      </c>
      <c r="B3601" s="19">
        <v>71255.253049999999</v>
      </c>
      <c r="C3601" t="s">
        <v>155</v>
      </c>
      <c r="D3601" t="str">
        <f>T_Stocks[[#This Row],[Ticker]] &amp; "-" &amp; DATE(YEAR(T_Stocks[[#This Row],[Fecha]]),MONTH(T_Stocks[[#This Row],[Fecha]]),DAY(T_Stocks[[#This Row],[Fecha]]))</f>
        <v>BTCEUR-45605</v>
      </c>
    </row>
    <row r="3602" spans="1:4" ht="14.65" thickBot="1" x14ac:dyDescent="0.5">
      <c r="A3602" s="17">
        <v>45606.998611111114</v>
      </c>
      <c r="B3602" s="19">
        <v>73730.333259999999</v>
      </c>
      <c r="C3602" t="s">
        <v>155</v>
      </c>
      <c r="D3602" t="str">
        <f>T_Stocks[[#This Row],[Ticker]] &amp; "-" &amp; DATE(YEAR(T_Stocks[[#This Row],[Fecha]]),MONTH(T_Stocks[[#This Row],[Fecha]]),DAY(T_Stocks[[#This Row],[Fecha]]))</f>
        <v>BTCEUR-45606</v>
      </c>
    </row>
    <row r="3603" spans="1:4" ht="14.65" thickBot="1" x14ac:dyDescent="0.5">
      <c r="A3603" s="17">
        <v>45607.998611111114</v>
      </c>
      <c r="B3603" s="19">
        <v>76406.899780000007</v>
      </c>
      <c r="C3603" t="s">
        <v>155</v>
      </c>
      <c r="D3603" t="str">
        <f>T_Stocks[[#This Row],[Ticker]] &amp; "-" &amp; DATE(YEAR(T_Stocks[[#This Row],[Fecha]]),MONTH(T_Stocks[[#This Row],[Fecha]]),DAY(T_Stocks[[#This Row],[Fecha]]))</f>
        <v>BTCEUR-45607</v>
      </c>
    </row>
    <row r="3604" spans="1:4" ht="14.65" thickBot="1" x14ac:dyDescent="0.5">
      <c r="A3604" s="17">
        <v>45608.998611111114</v>
      </c>
      <c r="B3604" s="19">
        <v>83331.239230000007</v>
      </c>
      <c r="C3604" t="s">
        <v>155</v>
      </c>
      <c r="D3604" t="str">
        <f>T_Stocks[[#This Row],[Ticker]] &amp; "-" &amp; DATE(YEAR(T_Stocks[[#This Row],[Fecha]]),MONTH(T_Stocks[[#This Row],[Fecha]]),DAY(T_Stocks[[#This Row],[Fecha]]))</f>
        <v>BTCEUR-45608</v>
      </c>
    </row>
    <row r="3605" spans="1:4" ht="14.65" thickBot="1" x14ac:dyDescent="0.5">
      <c r="A3605" s="17">
        <v>45609.998611111114</v>
      </c>
      <c r="B3605" s="19">
        <v>82472.950970000005</v>
      </c>
      <c r="C3605" t="s">
        <v>155</v>
      </c>
      <c r="D3605" t="str">
        <f>T_Stocks[[#This Row],[Ticker]] &amp; "-" &amp; DATE(YEAR(T_Stocks[[#This Row],[Fecha]]),MONTH(T_Stocks[[#This Row],[Fecha]]),DAY(T_Stocks[[#This Row],[Fecha]]))</f>
        <v>BTCEUR-45609</v>
      </c>
    </row>
    <row r="3606" spans="1:4" ht="14.65" thickBot="1" x14ac:dyDescent="0.5">
      <c r="A3606" s="17">
        <v>45610.998611111114</v>
      </c>
      <c r="B3606" s="19">
        <v>85571.270019999996</v>
      </c>
      <c r="C3606" t="s">
        <v>155</v>
      </c>
      <c r="D3606" t="str">
        <f>T_Stocks[[#This Row],[Ticker]] &amp; "-" &amp; DATE(YEAR(T_Stocks[[#This Row],[Fecha]]),MONTH(T_Stocks[[#This Row],[Fecha]]),DAY(T_Stocks[[#This Row],[Fecha]]))</f>
        <v>BTCEUR-45610</v>
      </c>
    </row>
    <row r="3607" spans="1:4" ht="14.65" thickBot="1" x14ac:dyDescent="0.5">
      <c r="A3607" s="17">
        <v>45611.998611111114</v>
      </c>
      <c r="B3607" s="19">
        <v>82897.541800000006</v>
      </c>
      <c r="C3607" t="s">
        <v>155</v>
      </c>
      <c r="D3607" t="str">
        <f>T_Stocks[[#This Row],[Ticker]] &amp; "-" &amp; DATE(YEAR(T_Stocks[[#This Row],[Fecha]]),MONTH(T_Stocks[[#This Row],[Fecha]]),DAY(T_Stocks[[#This Row],[Fecha]]))</f>
        <v>BTCEUR-45611</v>
      </c>
    </row>
    <row r="3608" spans="1:4" ht="14.65" thickBot="1" x14ac:dyDescent="0.5">
      <c r="A3608" s="17">
        <v>45612.998611111114</v>
      </c>
      <c r="B3608" s="19">
        <v>86550.245250000007</v>
      </c>
      <c r="C3608" t="s">
        <v>155</v>
      </c>
      <c r="D3608" t="str">
        <f>T_Stocks[[#This Row],[Ticker]] &amp; "-" &amp; DATE(YEAR(T_Stocks[[#This Row],[Fecha]]),MONTH(T_Stocks[[#This Row],[Fecha]]),DAY(T_Stocks[[#This Row],[Fecha]]))</f>
        <v>BTCEUR-45612</v>
      </c>
    </row>
    <row r="3609" spans="1:4" ht="14.65" thickBot="1" x14ac:dyDescent="0.5">
      <c r="A3609" s="17">
        <v>45613.998611111114</v>
      </c>
      <c r="B3609" s="19">
        <v>85741.748319999999</v>
      </c>
      <c r="C3609" t="s">
        <v>155</v>
      </c>
      <c r="D3609" t="str">
        <f>T_Stocks[[#This Row],[Ticker]] &amp; "-" &amp; DATE(YEAR(T_Stocks[[#This Row],[Fecha]]),MONTH(T_Stocks[[#This Row],[Fecha]]),DAY(T_Stocks[[#This Row],[Fecha]]))</f>
        <v>BTCEUR-45613</v>
      </c>
    </row>
    <row r="3610" spans="1:4" ht="14.65" thickBot="1" x14ac:dyDescent="0.5">
      <c r="A3610" s="17">
        <v>45614.998611111114</v>
      </c>
      <c r="B3610" s="19">
        <v>85371.147549999994</v>
      </c>
      <c r="C3610" t="s">
        <v>155</v>
      </c>
      <c r="D3610" t="str">
        <f>T_Stocks[[#This Row],[Ticker]] &amp; "-" &amp; DATE(YEAR(T_Stocks[[#This Row],[Fecha]]),MONTH(T_Stocks[[#This Row],[Fecha]]),DAY(T_Stocks[[#This Row],[Fecha]]))</f>
        <v>BTCEUR-45614</v>
      </c>
    </row>
    <row r="3611" spans="1:4" ht="14.65" thickBot="1" x14ac:dyDescent="0.5">
      <c r="A3611" s="17">
        <v>45615.998611111114</v>
      </c>
      <c r="B3611" s="19">
        <v>86303.084140000006</v>
      </c>
      <c r="C3611" t="s">
        <v>155</v>
      </c>
      <c r="D3611" t="str">
        <f>T_Stocks[[#This Row],[Ticker]] &amp; "-" &amp; DATE(YEAR(T_Stocks[[#This Row],[Fecha]]),MONTH(T_Stocks[[#This Row],[Fecha]]),DAY(T_Stocks[[#This Row],[Fecha]]))</f>
        <v>BTCEUR-45615</v>
      </c>
    </row>
    <row r="3612" spans="1:4" ht="14.65" thickBot="1" x14ac:dyDescent="0.5">
      <c r="A3612" s="17">
        <v>45616.998611111114</v>
      </c>
      <c r="B3612" s="19">
        <v>87441.963399999993</v>
      </c>
      <c r="C3612" t="s">
        <v>155</v>
      </c>
      <c r="D3612" t="str">
        <f>T_Stocks[[#This Row],[Ticker]] &amp; "-" &amp; DATE(YEAR(T_Stocks[[#This Row],[Fecha]]),MONTH(T_Stocks[[#This Row],[Fecha]]),DAY(T_Stocks[[#This Row],[Fecha]]))</f>
        <v>BTCEUR-45616</v>
      </c>
    </row>
    <row r="3613" spans="1:4" ht="14.65" thickBot="1" x14ac:dyDescent="0.5">
      <c r="A3613" s="17">
        <v>45617.998611111114</v>
      </c>
      <c r="B3613" s="19">
        <v>93036.098750000005</v>
      </c>
      <c r="C3613" t="s">
        <v>155</v>
      </c>
      <c r="D3613" t="str">
        <f>T_Stocks[[#This Row],[Ticker]] &amp; "-" &amp; DATE(YEAR(T_Stocks[[#This Row],[Fecha]]),MONTH(T_Stocks[[#This Row],[Fecha]]),DAY(T_Stocks[[#This Row],[Fecha]]))</f>
        <v>BTCEUR-45617</v>
      </c>
    </row>
    <row r="3614" spans="1:4" ht="14.65" thickBot="1" x14ac:dyDescent="0.5">
      <c r="A3614" s="17">
        <v>45618.998611111114</v>
      </c>
      <c r="B3614" s="19">
        <v>94760.058220000006</v>
      </c>
      <c r="C3614" t="s">
        <v>155</v>
      </c>
      <c r="D3614" t="str">
        <f>T_Stocks[[#This Row],[Ticker]] &amp; "-" &amp; DATE(YEAR(T_Stocks[[#This Row],[Fecha]]),MONTH(T_Stocks[[#This Row],[Fecha]]),DAY(T_Stocks[[#This Row],[Fecha]]))</f>
        <v>BTCEUR-45618</v>
      </c>
    </row>
    <row r="3615" spans="1:4" ht="14.65" thickBot="1" x14ac:dyDescent="0.5">
      <c r="A3615" s="17">
        <v>45619.998611111114</v>
      </c>
      <c r="B3615" s="19">
        <v>94527.484519999998</v>
      </c>
      <c r="C3615" t="s">
        <v>155</v>
      </c>
      <c r="D3615" t="str">
        <f>T_Stocks[[#This Row],[Ticker]] &amp; "-" &amp; DATE(YEAR(T_Stocks[[#This Row],[Fecha]]),MONTH(T_Stocks[[#This Row],[Fecha]]),DAY(T_Stocks[[#This Row],[Fecha]]))</f>
        <v>BTCEUR-45619</v>
      </c>
    </row>
    <row r="3616" spans="1:4" ht="14.65" thickBot="1" x14ac:dyDescent="0.5">
      <c r="A3616" s="17">
        <v>45620.998611111114</v>
      </c>
      <c r="B3616" s="19">
        <v>93618.373259999993</v>
      </c>
      <c r="C3616" t="s">
        <v>155</v>
      </c>
      <c r="D3616" t="str">
        <f>T_Stocks[[#This Row],[Ticker]] &amp; "-" &amp; DATE(YEAR(T_Stocks[[#This Row],[Fecha]]),MONTH(T_Stocks[[#This Row],[Fecha]]),DAY(T_Stocks[[#This Row],[Fecha]]))</f>
        <v>BTCEUR-45620</v>
      </c>
    </row>
    <row r="3617" spans="1:4" ht="14.65" thickBot="1" x14ac:dyDescent="0.5">
      <c r="A3617" s="17">
        <v>45621.998611111114</v>
      </c>
      <c r="B3617" s="19">
        <v>93651.067939999994</v>
      </c>
      <c r="C3617" t="s">
        <v>155</v>
      </c>
      <c r="D3617" t="str">
        <f>T_Stocks[[#This Row],[Ticker]] &amp; "-" &amp; DATE(YEAR(T_Stocks[[#This Row],[Fecha]]),MONTH(T_Stocks[[#This Row],[Fecha]]),DAY(T_Stocks[[#This Row],[Fecha]]))</f>
        <v>BTCEUR-45621</v>
      </c>
    </row>
    <row r="3618" spans="1:4" ht="14.65" thickBot="1" x14ac:dyDescent="0.5">
      <c r="A3618" s="17">
        <v>45622.998611111114</v>
      </c>
      <c r="B3618" s="19">
        <v>89905.977400000003</v>
      </c>
      <c r="C3618" t="s">
        <v>155</v>
      </c>
      <c r="D3618" t="str">
        <f>T_Stocks[[#This Row],[Ticker]] &amp; "-" &amp; DATE(YEAR(T_Stocks[[#This Row],[Fecha]]),MONTH(T_Stocks[[#This Row],[Fecha]]),DAY(T_Stocks[[#This Row],[Fecha]]))</f>
        <v>BTCEUR-45622</v>
      </c>
    </row>
    <row r="3619" spans="1:4" ht="14.65" thickBot="1" x14ac:dyDescent="0.5">
      <c r="A3619" s="17">
        <v>45623.998611111114</v>
      </c>
      <c r="B3619" s="19">
        <v>87617.111290000001</v>
      </c>
      <c r="C3619" t="s">
        <v>155</v>
      </c>
      <c r="D3619" t="str">
        <f>T_Stocks[[#This Row],[Ticker]] &amp; "-" &amp; DATE(YEAR(T_Stocks[[#This Row],[Fecha]]),MONTH(T_Stocks[[#This Row],[Fecha]]),DAY(T_Stocks[[#This Row],[Fecha]]))</f>
        <v>BTCEUR-45623</v>
      </c>
    </row>
    <row r="3620" spans="1:4" ht="14.65" thickBot="1" x14ac:dyDescent="0.5">
      <c r="A3620" s="17">
        <v>45624.998611111114</v>
      </c>
      <c r="B3620" s="19">
        <v>90691.02936</v>
      </c>
      <c r="C3620" t="s">
        <v>155</v>
      </c>
      <c r="D3620" t="str">
        <f>T_Stocks[[#This Row],[Ticker]] &amp; "-" &amp; DATE(YEAR(T_Stocks[[#This Row],[Fecha]]),MONTH(T_Stocks[[#This Row],[Fecha]]),DAY(T_Stocks[[#This Row],[Fecha]]))</f>
        <v>BTCEUR-45624</v>
      </c>
    </row>
    <row r="3621" spans="1:4" ht="14.65" thickBot="1" x14ac:dyDescent="0.5">
      <c r="A3621" s="17">
        <v>45625.998611111114</v>
      </c>
      <c r="B3621" s="19">
        <v>91006.845079999999</v>
      </c>
      <c r="C3621" t="s">
        <v>155</v>
      </c>
      <c r="D3621" t="str">
        <f>T_Stocks[[#This Row],[Ticker]] &amp; "-" &amp; DATE(YEAR(T_Stocks[[#This Row],[Fecha]]),MONTH(T_Stocks[[#This Row],[Fecha]]),DAY(T_Stocks[[#This Row],[Fecha]]))</f>
        <v>BTCEUR-45625</v>
      </c>
    </row>
    <row r="3622" spans="1:4" ht="14.65" thickBot="1" x14ac:dyDescent="0.5">
      <c r="A3622" s="17">
        <v>45626.998611111114</v>
      </c>
      <c r="B3622" s="19">
        <v>91407.038220000002</v>
      </c>
      <c r="C3622" t="s">
        <v>155</v>
      </c>
      <c r="D3622" t="str">
        <f>T_Stocks[[#This Row],[Ticker]] &amp; "-" &amp; DATE(YEAR(T_Stocks[[#This Row],[Fecha]]),MONTH(T_Stocks[[#This Row],[Fecha]]),DAY(T_Stocks[[#This Row],[Fecha]]))</f>
        <v>BTCEUR-45626</v>
      </c>
    </row>
    <row r="3623" spans="1:4" ht="14.65" thickBot="1" x14ac:dyDescent="0.5">
      <c r="A3623" s="17">
        <v>45627.998611111114</v>
      </c>
      <c r="B3623" s="19">
        <v>91502.782770000005</v>
      </c>
      <c r="C3623" t="s">
        <v>155</v>
      </c>
      <c r="D3623" t="str">
        <f>T_Stocks[[#This Row],[Ticker]] &amp; "-" &amp; DATE(YEAR(T_Stocks[[#This Row],[Fecha]]),MONTH(T_Stocks[[#This Row],[Fecha]]),DAY(T_Stocks[[#This Row],[Fecha]]))</f>
        <v>BTCEUR-45627</v>
      </c>
    </row>
    <row r="3624" spans="1:4" ht="14.65" thickBot="1" x14ac:dyDescent="0.5">
      <c r="A3624" s="17">
        <v>45628.998611111114</v>
      </c>
      <c r="B3624" s="19">
        <v>92124.171040000001</v>
      </c>
      <c r="C3624" t="s">
        <v>155</v>
      </c>
      <c r="D3624" t="str">
        <f>T_Stocks[[#This Row],[Ticker]] &amp; "-" &amp; DATE(YEAR(T_Stocks[[#This Row],[Fecha]]),MONTH(T_Stocks[[#This Row],[Fecha]]),DAY(T_Stocks[[#This Row],[Fecha]]))</f>
        <v>BTCEUR-45628</v>
      </c>
    </row>
    <row r="3625" spans="1:4" ht="14.65" thickBot="1" x14ac:dyDescent="0.5">
      <c r="A3625" s="17">
        <v>45629.998611111114</v>
      </c>
      <c r="B3625" s="19">
        <v>91277.249400000001</v>
      </c>
      <c r="C3625" t="s">
        <v>155</v>
      </c>
      <c r="D3625" t="str">
        <f>T_Stocks[[#This Row],[Ticker]] &amp; "-" &amp; DATE(YEAR(T_Stocks[[#This Row],[Fecha]]),MONTH(T_Stocks[[#This Row],[Fecha]]),DAY(T_Stocks[[#This Row],[Fecha]]))</f>
        <v>BTCEUR-45629</v>
      </c>
    </row>
    <row r="3626" spans="1:4" ht="14.65" thickBot="1" x14ac:dyDescent="0.5">
      <c r="A3626" s="17">
        <v>45630.998611111114</v>
      </c>
      <c r="B3626" s="19">
        <v>91243.074680000005</v>
      </c>
      <c r="C3626" t="s">
        <v>155</v>
      </c>
      <c r="D3626" t="str">
        <f>T_Stocks[[#This Row],[Ticker]] &amp; "-" &amp; DATE(YEAR(T_Stocks[[#This Row],[Fecha]]),MONTH(T_Stocks[[#This Row],[Fecha]]),DAY(T_Stocks[[#This Row],[Fecha]]))</f>
        <v>BTCEUR-45630</v>
      </c>
    </row>
    <row r="3627" spans="1:4" ht="14.65" thickBot="1" x14ac:dyDescent="0.5">
      <c r="A3627" s="17">
        <v>45631.998611111114</v>
      </c>
      <c r="B3627" s="19">
        <v>97531.313829999999</v>
      </c>
      <c r="C3627" t="s">
        <v>155</v>
      </c>
      <c r="D3627" t="str">
        <f>T_Stocks[[#This Row],[Ticker]] &amp; "-" &amp; DATE(YEAR(T_Stocks[[#This Row],[Fecha]]),MONTH(T_Stocks[[#This Row],[Fecha]]),DAY(T_Stocks[[#This Row],[Fecha]]))</f>
        <v>BTCEUR-45631</v>
      </c>
    </row>
    <row r="3628" spans="1:4" ht="14.65" thickBot="1" x14ac:dyDescent="0.5">
      <c r="A3628" s="17">
        <v>45632.998611111114</v>
      </c>
      <c r="B3628" s="19">
        <v>92604.076050000003</v>
      </c>
      <c r="C3628" t="s">
        <v>155</v>
      </c>
      <c r="D3628" t="str">
        <f>T_Stocks[[#This Row],[Ticker]] &amp; "-" &amp; DATE(YEAR(T_Stocks[[#This Row],[Fecha]]),MONTH(T_Stocks[[#This Row],[Fecha]]),DAY(T_Stocks[[#This Row],[Fecha]]))</f>
        <v>BTCEUR-45632</v>
      </c>
    </row>
    <row r="3629" spans="1:4" ht="14.65" thickBot="1" x14ac:dyDescent="0.5">
      <c r="A3629" s="17">
        <v>45633.998611111114</v>
      </c>
      <c r="B3629" s="19">
        <v>94259.197289999996</v>
      </c>
      <c r="C3629" t="s">
        <v>155</v>
      </c>
      <c r="D3629" t="str">
        <f>T_Stocks[[#This Row],[Ticker]] &amp; "-" &amp; DATE(YEAR(T_Stocks[[#This Row],[Fecha]]),MONTH(T_Stocks[[#This Row],[Fecha]]),DAY(T_Stocks[[#This Row],[Fecha]]))</f>
        <v>BTCEUR-45633</v>
      </c>
    </row>
    <row r="3630" spans="1:4" ht="14.65" thickBot="1" x14ac:dyDescent="0.5">
      <c r="A3630" s="17">
        <v>45634.998611111114</v>
      </c>
      <c r="B3630" s="19">
        <v>94476.696580000003</v>
      </c>
      <c r="C3630" t="s">
        <v>155</v>
      </c>
      <c r="D3630" t="str">
        <f>T_Stocks[[#This Row],[Ticker]] &amp; "-" &amp; DATE(YEAR(T_Stocks[[#This Row],[Fecha]]),MONTH(T_Stocks[[#This Row],[Fecha]]),DAY(T_Stocks[[#This Row],[Fecha]]))</f>
        <v>BTCEUR-45634</v>
      </c>
    </row>
    <row r="3631" spans="1:4" ht="14.65" thickBot="1" x14ac:dyDescent="0.5">
      <c r="A3631" s="17">
        <v>45635.998611111114</v>
      </c>
      <c r="B3631" s="19">
        <v>94207.997000000003</v>
      </c>
      <c r="C3631" t="s">
        <v>155</v>
      </c>
      <c r="D3631" t="str">
        <f>T_Stocks[[#This Row],[Ticker]] &amp; "-" &amp; DATE(YEAR(T_Stocks[[#This Row],[Fecha]]),MONTH(T_Stocks[[#This Row],[Fecha]]),DAY(T_Stocks[[#This Row],[Fecha]]))</f>
        <v>BTCEUR-45635</v>
      </c>
    </row>
    <row r="3632" spans="1:4" ht="14.65" thickBot="1" x14ac:dyDescent="0.5">
      <c r="A3632" s="17">
        <v>45636.998611111114</v>
      </c>
      <c r="B3632" s="19">
        <v>92165.188620000001</v>
      </c>
      <c r="C3632" t="s">
        <v>155</v>
      </c>
      <c r="D3632" t="str">
        <f>T_Stocks[[#This Row],[Ticker]] &amp; "-" &amp; DATE(YEAR(T_Stocks[[#This Row],[Fecha]]),MONTH(T_Stocks[[#This Row],[Fecha]]),DAY(T_Stocks[[#This Row],[Fecha]]))</f>
        <v>BTCEUR-45636</v>
      </c>
    </row>
    <row r="3633" spans="1:4" ht="14.65" thickBot="1" x14ac:dyDescent="0.5">
      <c r="A3633" s="17">
        <v>45637.998611111114</v>
      </c>
      <c r="B3633" s="19">
        <v>92893.298809999993</v>
      </c>
      <c r="C3633" t="s">
        <v>155</v>
      </c>
      <c r="D3633" t="str">
        <f>T_Stocks[[#This Row],[Ticker]] &amp; "-" &amp; DATE(YEAR(T_Stocks[[#This Row],[Fecha]]),MONTH(T_Stocks[[#This Row],[Fecha]]),DAY(T_Stocks[[#This Row],[Fecha]]))</f>
        <v>BTCEUR-45637</v>
      </c>
    </row>
    <row r="3634" spans="1:4" ht="14.65" thickBot="1" x14ac:dyDescent="0.5">
      <c r="A3634" s="17">
        <v>45638.998611111114</v>
      </c>
      <c r="B3634" s="19">
        <v>96139.644719999997</v>
      </c>
      <c r="C3634" t="s">
        <v>155</v>
      </c>
      <c r="D3634" t="str">
        <f>T_Stocks[[#This Row],[Ticker]] &amp; "-" &amp; DATE(YEAR(T_Stocks[[#This Row],[Fecha]]),MONTH(T_Stocks[[#This Row],[Fecha]]),DAY(T_Stocks[[#This Row],[Fecha]]))</f>
        <v>BTCEUR-45638</v>
      </c>
    </row>
    <row r="3635" spans="1:4" ht="14.65" thickBot="1" x14ac:dyDescent="0.5">
      <c r="A3635" s="17">
        <v>45639.998611111114</v>
      </c>
      <c r="B3635" s="19">
        <v>95179.162410000004</v>
      </c>
      <c r="C3635" t="s">
        <v>155</v>
      </c>
      <c r="D3635" t="str">
        <f>T_Stocks[[#This Row],[Ticker]] &amp; "-" &amp; DATE(YEAR(T_Stocks[[#This Row],[Fecha]]),MONTH(T_Stocks[[#This Row],[Fecha]]),DAY(T_Stocks[[#This Row],[Fecha]]))</f>
        <v>BTCEUR-45639</v>
      </c>
    </row>
    <row r="3636" spans="1:4" ht="14.65" thickBot="1" x14ac:dyDescent="0.5">
      <c r="A3636" s="17">
        <v>45640.998611111114</v>
      </c>
      <c r="B3636" s="19">
        <v>96779.880619999996</v>
      </c>
      <c r="C3636" t="s">
        <v>155</v>
      </c>
      <c r="D3636" t="str">
        <f>T_Stocks[[#This Row],[Ticker]] &amp; "-" &amp; DATE(YEAR(T_Stocks[[#This Row],[Fecha]]),MONTH(T_Stocks[[#This Row],[Fecha]]),DAY(T_Stocks[[#This Row],[Fecha]]))</f>
        <v>BTCEUR-45640</v>
      </c>
    </row>
    <row r="3637" spans="1:4" ht="14.65" thickBot="1" x14ac:dyDescent="0.5">
      <c r="A3637" s="17">
        <v>45641.998611111114</v>
      </c>
      <c r="B3637" s="19">
        <v>97297.227050000001</v>
      </c>
      <c r="C3637" t="s">
        <v>155</v>
      </c>
      <c r="D3637" t="str">
        <f>T_Stocks[[#This Row],[Ticker]] &amp; "-" &amp; DATE(YEAR(T_Stocks[[#This Row],[Fecha]]),MONTH(T_Stocks[[#This Row],[Fecha]]),DAY(T_Stocks[[#This Row],[Fecha]]))</f>
        <v>BTCEUR-45641</v>
      </c>
    </row>
    <row r="3638" spans="1:4" ht="14.65" thickBot="1" x14ac:dyDescent="0.5">
      <c r="A3638" s="17">
        <v>45642.998611111114</v>
      </c>
      <c r="B3638" s="19">
        <v>99428.198399999994</v>
      </c>
      <c r="C3638" t="s">
        <v>155</v>
      </c>
      <c r="D3638" t="str">
        <f>T_Stocks[[#This Row],[Ticker]] &amp; "-" &amp; DATE(YEAR(T_Stocks[[#This Row],[Fecha]]),MONTH(T_Stocks[[#This Row],[Fecha]]),DAY(T_Stocks[[#This Row],[Fecha]]))</f>
        <v>BTCEUR-45642</v>
      </c>
    </row>
    <row r="3639" spans="1:4" ht="14.65" thickBot="1" x14ac:dyDescent="0.5">
      <c r="A3639" s="17">
        <v>45643.998611111114</v>
      </c>
      <c r="B3639" s="19">
        <v>101466.96189999999</v>
      </c>
      <c r="C3639" t="s">
        <v>155</v>
      </c>
      <c r="D3639" t="str">
        <f>T_Stocks[[#This Row],[Ticker]] &amp; "-" &amp; DATE(YEAR(T_Stocks[[#This Row],[Fecha]]),MONTH(T_Stocks[[#This Row],[Fecha]]),DAY(T_Stocks[[#This Row],[Fecha]]))</f>
        <v>BTCEUR-45643</v>
      </c>
    </row>
    <row r="3640" spans="1:4" ht="14.65" thickBot="1" x14ac:dyDescent="0.5">
      <c r="A3640" s="17">
        <v>45644.998611111114</v>
      </c>
      <c r="B3640" s="19">
        <v>100333.8802</v>
      </c>
      <c r="C3640" t="s">
        <v>155</v>
      </c>
      <c r="D3640" t="str">
        <f>T_Stocks[[#This Row],[Ticker]] &amp; "-" &amp; DATE(YEAR(T_Stocks[[#This Row],[Fecha]]),MONTH(T_Stocks[[#This Row],[Fecha]]),DAY(T_Stocks[[#This Row],[Fecha]]))</f>
        <v>BTCEUR-45644</v>
      </c>
    </row>
    <row r="3641" spans="1:4" ht="14.65" thickBot="1" x14ac:dyDescent="0.5">
      <c r="A3641" s="17">
        <v>45645.998611111114</v>
      </c>
      <c r="B3641" s="19">
        <v>97102.447289999996</v>
      </c>
      <c r="C3641" t="s">
        <v>155</v>
      </c>
      <c r="D3641" t="str">
        <f>T_Stocks[[#This Row],[Ticker]] &amp; "-" &amp; DATE(YEAR(T_Stocks[[#This Row],[Fecha]]),MONTH(T_Stocks[[#This Row],[Fecha]]),DAY(T_Stocks[[#This Row],[Fecha]]))</f>
        <v>BTCEUR-45645</v>
      </c>
    </row>
    <row r="3642" spans="1:4" ht="14.65" thickBot="1" x14ac:dyDescent="0.5">
      <c r="A3642" s="17">
        <v>45646.998611111114</v>
      </c>
      <c r="B3642" s="19">
        <v>93304.516189999995</v>
      </c>
      <c r="C3642" t="s">
        <v>155</v>
      </c>
      <c r="D3642" t="str">
        <f>T_Stocks[[#This Row],[Ticker]] &amp; "-" &amp; DATE(YEAR(T_Stocks[[#This Row],[Fecha]]),MONTH(T_Stocks[[#This Row],[Fecha]]),DAY(T_Stocks[[#This Row],[Fecha]]))</f>
        <v>BTCEUR-45646</v>
      </c>
    </row>
    <row r="3643" spans="1:4" ht="14.65" thickBot="1" x14ac:dyDescent="0.5">
      <c r="A3643" s="17">
        <v>45647.998611111114</v>
      </c>
      <c r="B3643" s="19">
        <v>93582.289709999997</v>
      </c>
      <c r="C3643" t="s">
        <v>155</v>
      </c>
      <c r="D3643" t="str">
        <f>T_Stocks[[#This Row],[Ticker]] &amp; "-" &amp; DATE(YEAR(T_Stocks[[#This Row],[Fecha]]),MONTH(T_Stocks[[#This Row],[Fecha]]),DAY(T_Stocks[[#This Row],[Fecha]]))</f>
        <v>BTCEUR-45647</v>
      </c>
    </row>
    <row r="3644" spans="1:4" ht="14.65" thickBot="1" x14ac:dyDescent="0.5">
      <c r="A3644" s="17">
        <v>45648.998611111114</v>
      </c>
      <c r="B3644" s="19">
        <v>92200.613240000006</v>
      </c>
      <c r="C3644" t="s">
        <v>155</v>
      </c>
      <c r="D3644" t="str">
        <f>T_Stocks[[#This Row],[Ticker]] &amp; "-" &amp; DATE(YEAR(T_Stocks[[#This Row],[Fecha]]),MONTH(T_Stocks[[#This Row],[Fecha]]),DAY(T_Stocks[[#This Row],[Fecha]]))</f>
        <v>BTCEUR-45648</v>
      </c>
    </row>
    <row r="3645" spans="1:4" ht="14.65" thickBot="1" x14ac:dyDescent="0.5">
      <c r="A3645" s="17">
        <v>45649.998611111114</v>
      </c>
      <c r="B3645" s="19">
        <v>92051.037920000002</v>
      </c>
      <c r="C3645" t="s">
        <v>155</v>
      </c>
      <c r="D3645" t="str">
        <f>T_Stocks[[#This Row],[Ticker]] &amp; "-" &amp; DATE(YEAR(T_Stocks[[#This Row],[Fecha]]),MONTH(T_Stocks[[#This Row],[Fecha]]),DAY(T_Stocks[[#This Row],[Fecha]]))</f>
        <v>BTCEUR-45649</v>
      </c>
    </row>
    <row r="3646" spans="1:4" ht="14.65" thickBot="1" x14ac:dyDescent="0.5">
      <c r="A3646" s="17">
        <v>45650.998611111114</v>
      </c>
      <c r="B3646" s="19">
        <v>90638.141159999999</v>
      </c>
      <c r="C3646" t="s">
        <v>155</v>
      </c>
      <c r="D3646" t="str">
        <f>T_Stocks[[#This Row],[Ticker]] &amp; "-" &amp; DATE(YEAR(T_Stocks[[#This Row],[Fecha]]),MONTH(T_Stocks[[#This Row],[Fecha]]),DAY(T_Stocks[[#This Row],[Fecha]]))</f>
        <v>BTCEUR-45650</v>
      </c>
    </row>
    <row r="3647" spans="1:4" ht="14.65" thickBot="1" x14ac:dyDescent="0.5">
      <c r="A3647" s="17">
        <v>45651.998611111114</v>
      </c>
      <c r="B3647" s="19">
        <v>94436.406390000004</v>
      </c>
      <c r="C3647" t="s">
        <v>155</v>
      </c>
      <c r="D3647" t="str">
        <f>T_Stocks[[#This Row],[Ticker]] &amp; "-" &amp; DATE(YEAR(T_Stocks[[#This Row],[Fecha]]),MONTH(T_Stocks[[#This Row],[Fecha]]),DAY(T_Stocks[[#This Row],[Fecha]]))</f>
        <v>BTCEUR-45651</v>
      </c>
    </row>
    <row r="3648" spans="1:4" ht="14.65" thickBot="1" x14ac:dyDescent="0.5">
      <c r="A3648" s="17">
        <v>45652.998611111114</v>
      </c>
      <c r="B3648" s="19">
        <v>94303.378719999993</v>
      </c>
      <c r="C3648" t="s">
        <v>155</v>
      </c>
      <c r="D3648" t="str">
        <f>T_Stocks[[#This Row],[Ticker]] &amp; "-" &amp; DATE(YEAR(T_Stocks[[#This Row],[Fecha]]),MONTH(T_Stocks[[#This Row],[Fecha]]),DAY(T_Stocks[[#This Row],[Fecha]]))</f>
        <v>BTCEUR-45652</v>
      </c>
    </row>
    <row r="3649" spans="1:4" ht="14.65" thickBot="1" x14ac:dyDescent="0.5">
      <c r="A3649" s="17">
        <v>45653.998611111114</v>
      </c>
      <c r="B3649" s="19">
        <v>92245.95624</v>
      </c>
      <c r="C3649" t="s">
        <v>155</v>
      </c>
      <c r="D3649" t="str">
        <f>T_Stocks[[#This Row],[Ticker]] &amp; "-" &amp; DATE(YEAR(T_Stocks[[#This Row],[Fecha]]),MONTH(T_Stocks[[#This Row],[Fecha]]),DAY(T_Stocks[[#This Row],[Fecha]]))</f>
        <v>BTCEUR-45653</v>
      </c>
    </row>
    <row r="3650" spans="1:4" ht="14.65" thickBot="1" x14ac:dyDescent="0.5">
      <c r="A3650" s="17">
        <v>45654.998611111114</v>
      </c>
      <c r="B3650" s="19">
        <v>90558.631229999999</v>
      </c>
      <c r="C3650" t="s">
        <v>155</v>
      </c>
      <c r="D3650" t="str">
        <f>T_Stocks[[#This Row],[Ticker]] &amp; "-" &amp; DATE(YEAR(T_Stocks[[#This Row],[Fecha]]),MONTH(T_Stocks[[#This Row],[Fecha]]),DAY(T_Stocks[[#This Row],[Fecha]]))</f>
        <v>BTCEUR-45654</v>
      </c>
    </row>
    <row r="3651" spans="1:4" ht="14.65" thickBot="1" x14ac:dyDescent="0.5">
      <c r="A3651" s="17">
        <v>45655.998611111114</v>
      </c>
      <c r="B3651" s="19">
        <v>91085.10097</v>
      </c>
      <c r="C3651" t="s">
        <v>155</v>
      </c>
      <c r="D3651" t="str">
        <f>T_Stocks[[#This Row],[Ticker]] &amp; "-" &amp; DATE(YEAR(T_Stocks[[#This Row],[Fecha]]),MONTH(T_Stocks[[#This Row],[Fecha]]),DAY(T_Stocks[[#This Row],[Fecha]]))</f>
        <v>BTCEUR-45655</v>
      </c>
    </row>
    <row r="3652" spans="1:4" ht="14.65" thickBot="1" x14ac:dyDescent="0.5">
      <c r="A3652" s="17">
        <v>45656.998611111114</v>
      </c>
      <c r="B3652" s="19">
        <v>89533.517240000001</v>
      </c>
      <c r="C3652" t="s">
        <v>155</v>
      </c>
      <c r="D3652" t="str">
        <f>T_Stocks[[#This Row],[Ticker]] &amp; "-" &amp; DATE(YEAR(T_Stocks[[#This Row],[Fecha]]),MONTH(T_Stocks[[#This Row],[Fecha]]),DAY(T_Stocks[[#This Row],[Fecha]]))</f>
        <v>BTCEUR-45656</v>
      </c>
    </row>
    <row r="3653" spans="1:4" ht="14.65" thickBot="1" x14ac:dyDescent="0.5">
      <c r="A3653" s="17">
        <v>43496</v>
      </c>
      <c r="B3653" s="19">
        <v>102.78</v>
      </c>
      <c r="C3653" t="s">
        <v>41</v>
      </c>
      <c r="D3653" t="str">
        <f>T_Stocks[[#This Row],[Ticker]] &amp; "-" &amp; DATE(YEAR(T_Stocks[[#This Row],[Fecha]]),MONTH(T_Stocks[[#This Row],[Fecha]]),DAY(T_Stocks[[#This Row],[Fecha]]))</f>
        <v>MSFT-43496</v>
      </c>
    </row>
    <row r="3654" spans="1:4" ht="14.65" thickBot="1" x14ac:dyDescent="0.5">
      <c r="A3654" s="17">
        <v>43497.666666666664</v>
      </c>
      <c r="B3654" s="19">
        <v>102.78</v>
      </c>
      <c r="C3654" t="s">
        <v>41</v>
      </c>
      <c r="D3654" t="str">
        <f>T_Stocks[[#This Row],[Ticker]] &amp; "-" &amp; DATE(YEAR(T_Stocks[[#This Row],[Fecha]]),MONTH(T_Stocks[[#This Row],[Fecha]]),DAY(T_Stocks[[#This Row],[Fecha]]))</f>
        <v>MSFT-43497</v>
      </c>
    </row>
    <row r="3655" spans="1:4" ht="14.65" thickBot="1" x14ac:dyDescent="0.5">
      <c r="A3655" s="17">
        <v>43500.666666666664</v>
      </c>
      <c r="B3655" s="19">
        <v>105.74</v>
      </c>
      <c r="C3655" t="s">
        <v>41</v>
      </c>
      <c r="D3655" t="str">
        <f>T_Stocks[[#This Row],[Ticker]] &amp; "-" &amp; DATE(YEAR(T_Stocks[[#This Row],[Fecha]]),MONTH(T_Stocks[[#This Row],[Fecha]]),DAY(T_Stocks[[#This Row],[Fecha]]))</f>
        <v>MSFT-43500</v>
      </c>
    </row>
    <row r="3656" spans="1:4" ht="14.65" thickBot="1" x14ac:dyDescent="0.5">
      <c r="A3656" s="17">
        <v>43501.666666666664</v>
      </c>
      <c r="B3656" s="19">
        <v>107.22</v>
      </c>
      <c r="C3656" t="s">
        <v>41</v>
      </c>
      <c r="D3656" t="str">
        <f>T_Stocks[[#This Row],[Ticker]] &amp; "-" &amp; DATE(YEAR(T_Stocks[[#This Row],[Fecha]]),MONTH(T_Stocks[[#This Row],[Fecha]]),DAY(T_Stocks[[#This Row],[Fecha]]))</f>
        <v>MSFT-43501</v>
      </c>
    </row>
    <row r="3657" spans="1:4" ht="14.65" thickBot="1" x14ac:dyDescent="0.5">
      <c r="A3657" s="17">
        <v>43502.666666666664</v>
      </c>
      <c r="B3657" s="19">
        <v>106.03</v>
      </c>
      <c r="C3657" t="s">
        <v>41</v>
      </c>
      <c r="D3657" t="str">
        <f>T_Stocks[[#This Row],[Ticker]] &amp; "-" &amp; DATE(YEAR(T_Stocks[[#This Row],[Fecha]]),MONTH(T_Stocks[[#This Row],[Fecha]]),DAY(T_Stocks[[#This Row],[Fecha]]))</f>
        <v>MSFT-43502</v>
      </c>
    </row>
    <row r="3658" spans="1:4" ht="14.65" thickBot="1" x14ac:dyDescent="0.5">
      <c r="A3658" s="17">
        <v>43503.666666666664</v>
      </c>
      <c r="B3658" s="19">
        <v>105.27</v>
      </c>
      <c r="C3658" t="s">
        <v>41</v>
      </c>
      <c r="D3658" t="str">
        <f>T_Stocks[[#This Row],[Ticker]] &amp; "-" &amp; DATE(YEAR(T_Stocks[[#This Row],[Fecha]]),MONTH(T_Stocks[[#This Row],[Fecha]]),DAY(T_Stocks[[#This Row],[Fecha]]))</f>
        <v>MSFT-43503</v>
      </c>
    </row>
    <row r="3659" spans="1:4" ht="14.65" thickBot="1" x14ac:dyDescent="0.5">
      <c r="A3659" s="17">
        <v>43504.666666666664</v>
      </c>
      <c r="B3659" s="19">
        <v>105.67</v>
      </c>
      <c r="C3659" t="s">
        <v>41</v>
      </c>
      <c r="D3659" t="str">
        <f>T_Stocks[[#This Row],[Ticker]] &amp; "-" &amp; DATE(YEAR(T_Stocks[[#This Row],[Fecha]]),MONTH(T_Stocks[[#This Row],[Fecha]]),DAY(T_Stocks[[#This Row],[Fecha]]))</f>
        <v>MSFT-43504</v>
      </c>
    </row>
    <row r="3660" spans="1:4" ht="14.65" thickBot="1" x14ac:dyDescent="0.5">
      <c r="A3660" s="17">
        <v>43507.666666666664</v>
      </c>
      <c r="B3660" s="19">
        <v>105.25</v>
      </c>
      <c r="C3660" t="s">
        <v>41</v>
      </c>
      <c r="D3660" t="str">
        <f>T_Stocks[[#This Row],[Ticker]] &amp; "-" &amp; DATE(YEAR(T_Stocks[[#This Row],[Fecha]]),MONTH(T_Stocks[[#This Row],[Fecha]]),DAY(T_Stocks[[#This Row],[Fecha]]))</f>
        <v>MSFT-43507</v>
      </c>
    </row>
    <row r="3661" spans="1:4" ht="14.65" thickBot="1" x14ac:dyDescent="0.5">
      <c r="A3661" s="17">
        <v>43508.666666666664</v>
      </c>
      <c r="B3661" s="19">
        <v>106.89</v>
      </c>
      <c r="C3661" t="s">
        <v>41</v>
      </c>
      <c r="D3661" t="str">
        <f>T_Stocks[[#This Row],[Ticker]] &amp; "-" &amp; DATE(YEAR(T_Stocks[[#This Row],[Fecha]]),MONTH(T_Stocks[[#This Row],[Fecha]]),DAY(T_Stocks[[#This Row],[Fecha]]))</f>
        <v>MSFT-43508</v>
      </c>
    </row>
    <row r="3662" spans="1:4" ht="14.65" thickBot="1" x14ac:dyDescent="0.5">
      <c r="A3662" s="17">
        <v>43509.666666666664</v>
      </c>
      <c r="B3662" s="19">
        <v>106.81</v>
      </c>
      <c r="C3662" t="s">
        <v>41</v>
      </c>
      <c r="D3662" t="str">
        <f>T_Stocks[[#This Row],[Ticker]] &amp; "-" &amp; DATE(YEAR(T_Stocks[[#This Row],[Fecha]]),MONTH(T_Stocks[[#This Row],[Fecha]]),DAY(T_Stocks[[#This Row],[Fecha]]))</f>
        <v>MSFT-43509</v>
      </c>
    </row>
    <row r="3663" spans="1:4" ht="14.65" thickBot="1" x14ac:dyDescent="0.5">
      <c r="A3663" s="17">
        <v>43510.666666666664</v>
      </c>
      <c r="B3663" s="19">
        <v>106.9</v>
      </c>
      <c r="C3663" t="s">
        <v>41</v>
      </c>
      <c r="D3663" t="str">
        <f>T_Stocks[[#This Row],[Ticker]] &amp; "-" &amp; DATE(YEAR(T_Stocks[[#This Row],[Fecha]]),MONTH(T_Stocks[[#This Row],[Fecha]]),DAY(T_Stocks[[#This Row],[Fecha]]))</f>
        <v>MSFT-43510</v>
      </c>
    </row>
    <row r="3664" spans="1:4" ht="14.65" thickBot="1" x14ac:dyDescent="0.5">
      <c r="A3664" s="17">
        <v>43511.666666666664</v>
      </c>
      <c r="B3664" s="19">
        <v>108.22</v>
      </c>
      <c r="C3664" t="s">
        <v>41</v>
      </c>
      <c r="D3664" t="str">
        <f>T_Stocks[[#This Row],[Ticker]] &amp; "-" &amp; DATE(YEAR(T_Stocks[[#This Row],[Fecha]]),MONTH(T_Stocks[[#This Row],[Fecha]]),DAY(T_Stocks[[#This Row],[Fecha]]))</f>
        <v>MSFT-43511</v>
      </c>
    </row>
    <row r="3665" spans="1:4" ht="14.65" thickBot="1" x14ac:dyDescent="0.5">
      <c r="A3665" s="17">
        <v>43515.666666666664</v>
      </c>
      <c r="B3665" s="19">
        <v>108.17</v>
      </c>
      <c r="C3665" t="s">
        <v>41</v>
      </c>
      <c r="D3665" t="str">
        <f>T_Stocks[[#This Row],[Ticker]] &amp; "-" &amp; DATE(YEAR(T_Stocks[[#This Row],[Fecha]]),MONTH(T_Stocks[[#This Row],[Fecha]]),DAY(T_Stocks[[#This Row],[Fecha]]))</f>
        <v>MSFT-43515</v>
      </c>
    </row>
    <row r="3666" spans="1:4" ht="14.65" thickBot="1" x14ac:dyDescent="0.5">
      <c r="A3666" s="17">
        <v>43516.666666666664</v>
      </c>
      <c r="B3666" s="19">
        <v>107.15</v>
      </c>
      <c r="C3666" t="s">
        <v>41</v>
      </c>
      <c r="D3666" t="str">
        <f>T_Stocks[[#This Row],[Ticker]] &amp; "-" &amp; DATE(YEAR(T_Stocks[[#This Row],[Fecha]]),MONTH(T_Stocks[[#This Row],[Fecha]]),DAY(T_Stocks[[#This Row],[Fecha]]))</f>
        <v>MSFT-43516</v>
      </c>
    </row>
    <row r="3667" spans="1:4" ht="14.65" thickBot="1" x14ac:dyDescent="0.5">
      <c r="A3667" s="17">
        <v>43517.666666666664</v>
      </c>
      <c r="B3667" s="19">
        <v>109.41</v>
      </c>
      <c r="C3667" t="s">
        <v>41</v>
      </c>
      <c r="D3667" t="str">
        <f>T_Stocks[[#This Row],[Ticker]] &amp; "-" &amp; DATE(YEAR(T_Stocks[[#This Row],[Fecha]]),MONTH(T_Stocks[[#This Row],[Fecha]]),DAY(T_Stocks[[#This Row],[Fecha]]))</f>
        <v>MSFT-43517</v>
      </c>
    </row>
    <row r="3668" spans="1:4" ht="14.65" thickBot="1" x14ac:dyDescent="0.5">
      <c r="A3668" s="17">
        <v>43518.666666666664</v>
      </c>
      <c r="B3668" s="19">
        <v>110.97</v>
      </c>
      <c r="C3668" t="s">
        <v>41</v>
      </c>
      <c r="D3668" t="str">
        <f>T_Stocks[[#This Row],[Ticker]] &amp; "-" &amp; DATE(YEAR(T_Stocks[[#This Row],[Fecha]]),MONTH(T_Stocks[[#This Row],[Fecha]]),DAY(T_Stocks[[#This Row],[Fecha]]))</f>
        <v>MSFT-43518</v>
      </c>
    </row>
    <row r="3669" spans="1:4" ht="14.65" thickBot="1" x14ac:dyDescent="0.5">
      <c r="A3669" s="17">
        <v>43521.666666666664</v>
      </c>
      <c r="B3669" s="19">
        <v>111.59</v>
      </c>
      <c r="C3669" t="s">
        <v>41</v>
      </c>
      <c r="D3669" t="str">
        <f>T_Stocks[[#This Row],[Ticker]] &amp; "-" &amp; DATE(YEAR(T_Stocks[[#This Row],[Fecha]]),MONTH(T_Stocks[[#This Row],[Fecha]]),DAY(T_Stocks[[#This Row],[Fecha]]))</f>
        <v>MSFT-43521</v>
      </c>
    </row>
    <row r="3670" spans="1:4" ht="14.65" thickBot="1" x14ac:dyDescent="0.5">
      <c r="A3670" s="17">
        <v>43522.666666666664</v>
      </c>
      <c r="B3670" s="19">
        <v>112.36</v>
      </c>
      <c r="C3670" t="s">
        <v>41</v>
      </c>
      <c r="D3670" t="str">
        <f>T_Stocks[[#This Row],[Ticker]] &amp; "-" &amp; DATE(YEAR(T_Stocks[[#This Row],[Fecha]]),MONTH(T_Stocks[[#This Row],[Fecha]]),DAY(T_Stocks[[#This Row],[Fecha]]))</f>
        <v>MSFT-43522</v>
      </c>
    </row>
    <row r="3671" spans="1:4" ht="14.65" thickBot="1" x14ac:dyDescent="0.5">
      <c r="A3671" s="17">
        <v>43523.666666666664</v>
      </c>
      <c r="B3671" s="19">
        <v>112.17</v>
      </c>
      <c r="C3671" t="s">
        <v>41</v>
      </c>
      <c r="D3671" t="str">
        <f>T_Stocks[[#This Row],[Ticker]] &amp; "-" &amp; DATE(YEAR(T_Stocks[[#This Row],[Fecha]]),MONTH(T_Stocks[[#This Row],[Fecha]]),DAY(T_Stocks[[#This Row],[Fecha]]))</f>
        <v>MSFT-43523</v>
      </c>
    </row>
    <row r="3672" spans="1:4" ht="14.65" thickBot="1" x14ac:dyDescent="0.5">
      <c r="A3672" s="17">
        <v>43524.666666666664</v>
      </c>
      <c r="B3672" s="19">
        <v>112.03</v>
      </c>
      <c r="C3672" t="s">
        <v>41</v>
      </c>
      <c r="D3672" t="str">
        <f>T_Stocks[[#This Row],[Ticker]] &amp; "-" &amp; DATE(YEAR(T_Stocks[[#This Row],[Fecha]]),MONTH(T_Stocks[[#This Row],[Fecha]]),DAY(T_Stocks[[#This Row],[Fecha]]))</f>
        <v>MSFT-43524</v>
      </c>
    </row>
    <row r="3673" spans="1:4" ht="14.65" thickBot="1" x14ac:dyDescent="0.5">
      <c r="A3673" s="17">
        <v>43525.666666666664</v>
      </c>
      <c r="B3673" s="19">
        <v>112.53</v>
      </c>
      <c r="C3673" t="s">
        <v>41</v>
      </c>
      <c r="D3673" t="str">
        <f>T_Stocks[[#This Row],[Ticker]] &amp; "-" &amp; DATE(YEAR(T_Stocks[[#This Row],[Fecha]]),MONTH(T_Stocks[[#This Row],[Fecha]]),DAY(T_Stocks[[#This Row],[Fecha]]))</f>
        <v>MSFT-43525</v>
      </c>
    </row>
    <row r="3674" spans="1:4" ht="14.65" thickBot="1" x14ac:dyDescent="0.5">
      <c r="A3674" s="17">
        <v>43528.666666666664</v>
      </c>
      <c r="B3674" s="19">
        <v>112.26</v>
      </c>
      <c r="C3674" t="s">
        <v>41</v>
      </c>
      <c r="D3674" t="str">
        <f>T_Stocks[[#This Row],[Ticker]] &amp; "-" &amp; DATE(YEAR(T_Stocks[[#This Row],[Fecha]]),MONTH(T_Stocks[[#This Row],[Fecha]]),DAY(T_Stocks[[#This Row],[Fecha]]))</f>
        <v>MSFT-43528</v>
      </c>
    </row>
    <row r="3675" spans="1:4" ht="14.65" thickBot="1" x14ac:dyDescent="0.5">
      <c r="A3675" s="17">
        <v>43529.666666666664</v>
      </c>
      <c r="B3675" s="19">
        <v>111.7</v>
      </c>
      <c r="C3675" t="s">
        <v>41</v>
      </c>
      <c r="D3675" t="str">
        <f>T_Stocks[[#This Row],[Ticker]] &amp; "-" &amp; DATE(YEAR(T_Stocks[[#This Row],[Fecha]]),MONTH(T_Stocks[[#This Row],[Fecha]]),DAY(T_Stocks[[#This Row],[Fecha]]))</f>
        <v>MSFT-43529</v>
      </c>
    </row>
    <row r="3676" spans="1:4" ht="14.65" thickBot="1" x14ac:dyDescent="0.5">
      <c r="A3676" s="17">
        <v>43530.666666666664</v>
      </c>
      <c r="B3676" s="19">
        <v>111.75</v>
      </c>
      <c r="C3676" t="s">
        <v>41</v>
      </c>
      <c r="D3676" t="str">
        <f>T_Stocks[[#This Row],[Ticker]] &amp; "-" &amp; DATE(YEAR(T_Stocks[[#This Row],[Fecha]]),MONTH(T_Stocks[[#This Row],[Fecha]]),DAY(T_Stocks[[#This Row],[Fecha]]))</f>
        <v>MSFT-43530</v>
      </c>
    </row>
    <row r="3677" spans="1:4" ht="14.65" thickBot="1" x14ac:dyDescent="0.5">
      <c r="A3677" s="17">
        <v>43531.666666666664</v>
      </c>
      <c r="B3677" s="19">
        <v>110.39</v>
      </c>
      <c r="C3677" t="s">
        <v>41</v>
      </c>
      <c r="D3677" t="str">
        <f>T_Stocks[[#This Row],[Ticker]] &amp; "-" &amp; DATE(YEAR(T_Stocks[[#This Row],[Fecha]]),MONTH(T_Stocks[[#This Row],[Fecha]]),DAY(T_Stocks[[#This Row],[Fecha]]))</f>
        <v>MSFT-43531</v>
      </c>
    </row>
    <row r="3678" spans="1:4" ht="14.65" thickBot="1" x14ac:dyDescent="0.5">
      <c r="A3678" s="17">
        <v>43532.666666666664</v>
      </c>
      <c r="B3678" s="19">
        <v>110.51</v>
      </c>
      <c r="C3678" t="s">
        <v>41</v>
      </c>
      <c r="D3678" t="str">
        <f>T_Stocks[[#This Row],[Ticker]] &amp; "-" &amp; DATE(YEAR(T_Stocks[[#This Row],[Fecha]]),MONTH(T_Stocks[[#This Row],[Fecha]]),DAY(T_Stocks[[#This Row],[Fecha]]))</f>
        <v>MSFT-43532</v>
      </c>
    </row>
    <row r="3679" spans="1:4" ht="14.65" thickBot="1" x14ac:dyDescent="0.5">
      <c r="A3679" s="17">
        <v>43535.666666666664</v>
      </c>
      <c r="B3679" s="19">
        <v>112.83</v>
      </c>
      <c r="C3679" t="s">
        <v>41</v>
      </c>
      <c r="D3679" t="str">
        <f>T_Stocks[[#This Row],[Ticker]] &amp; "-" &amp; DATE(YEAR(T_Stocks[[#This Row],[Fecha]]),MONTH(T_Stocks[[#This Row],[Fecha]]),DAY(T_Stocks[[#This Row],[Fecha]]))</f>
        <v>MSFT-43535</v>
      </c>
    </row>
    <row r="3680" spans="1:4" ht="14.65" thickBot="1" x14ac:dyDescent="0.5">
      <c r="A3680" s="17">
        <v>43536.666666666664</v>
      </c>
      <c r="B3680" s="19">
        <v>113.62</v>
      </c>
      <c r="C3680" t="s">
        <v>41</v>
      </c>
      <c r="D3680" t="str">
        <f>T_Stocks[[#This Row],[Ticker]] &amp; "-" &amp; DATE(YEAR(T_Stocks[[#This Row],[Fecha]]),MONTH(T_Stocks[[#This Row],[Fecha]]),DAY(T_Stocks[[#This Row],[Fecha]]))</f>
        <v>MSFT-43536</v>
      </c>
    </row>
    <row r="3681" spans="1:4" ht="14.65" thickBot="1" x14ac:dyDescent="0.5">
      <c r="A3681" s="17">
        <v>43537.666666666664</v>
      </c>
      <c r="B3681" s="19">
        <v>114.5</v>
      </c>
      <c r="C3681" t="s">
        <v>41</v>
      </c>
      <c r="D3681" t="str">
        <f>T_Stocks[[#This Row],[Ticker]] &amp; "-" &amp; DATE(YEAR(T_Stocks[[#This Row],[Fecha]]),MONTH(T_Stocks[[#This Row],[Fecha]]),DAY(T_Stocks[[#This Row],[Fecha]]))</f>
        <v>MSFT-43537</v>
      </c>
    </row>
    <row r="3682" spans="1:4" ht="14.65" thickBot="1" x14ac:dyDescent="0.5">
      <c r="A3682" s="17">
        <v>43538.666666666664</v>
      </c>
      <c r="B3682" s="19">
        <v>114.59</v>
      </c>
      <c r="C3682" t="s">
        <v>41</v>
      </c>
      <c r="D3682" t="str">
        <f>T_Stocks[[#This Row],[Ticker]] &amp; "-" &amp; DATE(YEAR(T_Stocks[[#This Row],[Fecha]]),MONTH(T_Stocks[[#This Row],[Fecha]]),DAY(T_Stocks[[#This Row],[Fecha]]))</f>
        <v>MSFT-43538</v>
      </c>
    </row>
    <row r="3683" spans="1:4" ht="14.65" thickBot="1" x14ac:dyDescent="0.5">
      <c r="A3683" s="17">
        <v>43539.666666666664</v>
      </c>
      <c r="B3683" s="19">
        <v>115.91</v>
      </c>
      <c r="C3683" t="s">
        <v>41</v>
      </c>
      <c r="D3683" t="str">
        <f>T_Stocks[[#This Row],[Ticker]] &amp; "-" &amp; DATE(YEAR(T_Stocks[[#This Row],[Fecha]]),MONTH(T_Stocks[[#This Row],[Fecha]]),DAY(T_Stocks[[#This Row],[Fecha]]))</f>
        <v>MSFT-43539</v>
      </c>
    </row>
    <row r="3684" spans="1:4" ht="14.65" thickBot="1" x14ac:dyDescent="0.5">
      <c r="A3684" s="17">
        <v>43542.666666666664</v>
      </c>
      <c r="B3684" s="19">
        <v>117.57</v>
      </c>
      <c r="C3684" t="s">
        <v>41</v>
      </c>
      <c r="D3684" t="str">
        <f>T_Stocks[[#This Row],[Ticker]] &amp; "-" &amp; DATE(YEAR(T_Stocks[[#This Row],[Fecha]]),MONTH(T_Stocks[[#This Row],[Fecha]]),DAY(T_Stocks[[#This Row],[Fecha]]))</f>
        <v>MSFT-43542</v>
      </c>
    </row>
    <row r="3685" spans="1:4" ht="14.65" thickBot="1" x14ac:dyDescent="0.5">
      <c r="A3685" s="17">
        <v>43543.666666666664</v>
      </c>
      <c r="B3685" s="19">
        <v>117.65</v>
      </c>
      <c r="C3685" t="s">
        <v>41</v>
      </c>
      <c r="D3685" t="str">
        <f>T_Stocks[[#This Row],[Ticker]] &amp; "-" &amp; DATE(YEAR(T_Stocks[[#This Row],[Fecha]]),MONTH(T_Stocks[[#This Row],[Fecha]]),DAY(T_Stocks[[#This Row],[Fecha]]))</f>
        <v>MSFT-43543</v>
      </c>
    </row>
    <row r="3686" spans="1:4" ht="14.65" thickBot="1" x14ac:dyDescent="0.5">
      <c r="A3686" s="17">
        <v>43544.666666666664</v>
      </c>
      <c r="B3686" s="19">
        <v>117.52</v>
      </c>
      <c r="C3686" t="s">
        <v>41</v>
      </c>
      <c r="D3686" t="str">
        <f>T_Stocks[[#This Row],[Ticker]] &amp; "-" &amp; DATE(YEAR(T_Stocks[[#This Row],[Fecha]]),MONTH(T_Stocks[[#This Row],[Fecha]]),DAY(T_Stocks[[#This Row],[Fecha]]))</f>
        <v>MSFT-43544</v>
      </c>
    </row>
    <row r="3687" spans="1:4" ht="14.65" thickBot="1" x14ac:dyDescent="0.5">
      <c r="A3687" s="17">
        <v>43545.666666666664</v>
      </c>
      <c r="B3687" s="19">
        <v>120.22</v>
      </c>
      <c r="C3687" t="s">
        <v>41</v>
      </c>
      <c r="D3687" t="str">
        <f>T_Stocks[[#This Row],[Ticker]] &amp; "-" &amp; DATE(YEAR(T_Stocks[[#This Row],[Fecha]]),MONTH(T_Stocks[[#This Row],[Fecha]]),DAY(T_Stocks[[#This Row],[Fecha]]))</f>
        <v>MSFT-43545</v>
      </c>
    </row>
    <row r="3688" spans="1:4" ht="14.65" thickBot="1" x14ac:dyDescent="0.5">
      <c r="A3688" s="17">
        <v>43546.666666666664</v>
      </c>
      <c r="B3688" s="19">
        <v>117.05</v>
      </c>
      <c r="C3688" t="s">
        <v>41</v>
      </c>
      <c r="D3688" t="str">
        <f>T_Stocks[[#This Row],[Ticker]] &amp; "-" &amp; DATE(YEAR(T_Stocks[[#This Row],[Fecha]]),MONTH(T_Stocks[[#This Row],[Fecha]]),DAY(T_Stocks[[#This Row],[Fecha]]))</f>
        <v>MSFT-43546</v>
      </c>
    </row>
    <row r="3689" spans="1:4" ht="14.65" thickBot="1" x14ac:dyDescent="0.5">
      <c r="A3689" s="17">
        <v>43549.666666666664</v>
      </c>
      <c r="B3689" s="19">
        <v>117.66</v>
      </c>
      <c r="C3689" t="s">
        <v>41</v>
      </c>
      <c r="D3689" t="str">
        <f>T_Stocks[[#This Row],[Ticker]] &amp; "-" &amp; DATE(YEAR(T_Stocks[[#This Row],[Fecha]]),MONTH(T_Stocks[[#This Row],[Fecha]]),DAY(T_Stocks[[#This Row],[Fecha]]))</f>
        <v>MSFT-43549</v>
      </c>
    </row>
    <row r="3690" spans="1:4" ht="14.65" thickBot="1" x14ac:dyDescent="0.5">
      <c r="A3690" s="17">
        <v>43550.666666666664</v>
      </c>
      <c r="B3690" s="19">
        <v>117.91</v>
      </c>
      <c r="C3690" t="s">
        <v>41</v>
      </c>
      <c r="D3690" t="str">
        <f>T_Stocks[[#This Row],[Ticker]] &amp; "-" &amp; DATE(YEAR(T_Stocks[[#This Row],[Fecha]]),MONTH(T_Stocks[[#This Row],[Fecha]]),DAY(T_Stocks[[#This Row],[Fecha]]))</f>
        <v>MSFT-43550</v>
      </c>
    </row>
    <row r="3691" spans="1:4" ht="14.65" thickBot="1" x14ac:dyDescent="0.5">
      <c r="A3691" s="17">
        <v>43551.666666666664</v>
      </c>
      <c r="B3691" s="19">
        <v>116.77</v>
      </c>
      <c r="C3691" t="s">
        <v>41</v>
      </c>
      <c r="D3691" t="str">
        <f>T_Stocks[[#This Row],[Ticker]] &amp; "-" &amp; DATE(YEAR(T_Stocks[[#This Row],[Fecha]]),MONTH(T_Stocks[[#This Row],[Fecha]]),DAY(T_Stocks[[#This Row],[Fecha]]))</f>
        <v>MSFT-43551</v>
      </c>
    </row>
    <row r="3692" spans="1:4" ht="14.65" thickBot="1" x14ac:dyDescent="0.5">
      <c r="A3692" s="17">
        <v>43552.666666666664</v>
      </c>
      <c r="B3692" s="19">
        <v>116.93</v>
      </c>
      <c r="C3692" t="s">
        <v>41</v>
      </c>
      <c r="D3692" t="str">
        <f>T_Stocks[[#This Row],[Ticker]] &amp; "-" &amp; DATE(YEAR(T_Stocks[[#This Row],[Fecha]]),MONTH(T_Stocks[[#This Row],[Fecha]]),DAY(T_Stocks[[#This Row],[Fecha]]))</f>
        <v>MSFT-43552</v>
      </c>
    </row>
    <row r="3693" spans="1:4" ht="14.65" thickBot="1" x14ac:dyDescent="0.5">
      <c r="A3693" s="17">
        <v>43553.666666666664</v>
      </c>
      <c r="B3693" s="19">
        <v>117.94</v>
      </c>
      <c r="C3693" t="s">
        <v>41</v>
      </c>
      <c r="D3693" t="str">
        <f>T_Stocks[[#This Row],[Ticker]] &amp; "-" &amp; DATE(YEAR(T_Stocks[[#This Row],[Fecha]]),MONTH(T_Stocks[[#This Row],[Fecha]]),DAY(T_Stocks[[#This Row],[Fecha]]))</f>
        <v>MSFT-43553</v>
      </c>
    </row>
    <row r="3694" spans="1:4" ht="14.65" thickBot="1" x14ac:dyDescent="0.5">
      <c r="A3694" s="17">
        <v>43556.666666666664</v>
      </c>
      <c r="B3694" s="19">
        <v>119.02</v>
      </c>
      <c r="C3694" t="s">
        <v>41</v>
      </c>
      <c r="D3694" t="str">
        <f>T_Stocks[[#This Row],[Ticker]] &amp; "-" &amp; DATE(YEAR(T_Stocks[[#This Row],[Fecha]]),MONTH(T_Stocks[[#This Row],[Fecha]]),DAY(T_Stocks[[#This Row],[Fecha]]))</f>
        <v>MSFT-43556</v>
      </c>
    </row>
    <row r="3695" spans="1:4" ht="14.65" thickBot="1" x14ac:dyDescent="0.5">
      <c r="A3695" s="17">
        <v>43557.666666666664</v>
      </c>
      <c r="B3695" s="19">
        <v>119.19</v>
      </c>
      <c r="C3695" t="s">
        <v>41</v>
      </c>
      <c r="D3695" t="str">
        <f>T_Stocks[[#This Row],[Ticker]] &amp; "-" &amp; DATE(YEAR(T_Stocks[[#This Row],[Fecha]]),MONTH(T_Stocks[[#This Row],[Fecha]]),DAY(T_Stocks[[#This Row],[Fecha]]))</f>
        <v>MSFT-43557</v>
      </c>
    </row>
    <row r="3696" spans="1:4" ht="14.65" thickBot="1" x14ac:dyDescent="0.5">
      <c r="A3696" s="17">
        <v>43558.666666666664</v>
      </c>
      <c r="B3696" s="19">
        <v>119.97</v>
      </c>
      <c r="C3696" t="s">
        <v>41</v>
      </c>
      <c r="D3696" t="str">
        <f>T_Stocks[[#This Row],[Ticker]] &amp; "-" &amp; DATE(YEAR(T_Stocks[[#This Row],[Fecha]]),MONTH(T_Stocks[[#This Row],[Fecha]]),DAY(T_Stocks[[#This Row],[Fecha]]))</f>
        <v>MSFT-43558</v>
      </c>
    </row>
    <row r="3697" spans="1:4" ht="14.65" thickBot="1" x14ac:dyDescent="0.5">
      <c r="A3697" s="17">
        <v>43559.666666666664</v>
      </c>
      <c r="B3697" s="19">
        <v>119.36</v>
      </c>
      <c r="C3697" t="s">
        <v>41</v>
      </c>
      <c r="D3697" t="str">
        <f>T_Stocks[[#This Row],[Ticker]] &amp; "-" &amp; DATE(YEAR(T_Stocks[[#This Row],[Fecha]]),MONTH(T_Stocks[[#This Row],[Fecha]]),DAY(T_Stocks[[#This Row],[Fecha]]))</f>
        <v>MSFT-43559</v>
      </c>
    </row>
    <row r="3698" spans="1:4" ht="14.65" thickBot="1" x14ac:dyDescent="0.5">
      <c r="A3698" s="17">
        <v>43560.666666666664</v>
      </c>
      <c r="B3698" s="19">
        <v>119.89</v>
      </c>
      <c r="C3698" t="s">
        <v>41</v>
      </c>
      <c r="D3698" t="str">
        <f>T_Stocks[[#This Row],[Ticker]] &amp; "-" &amp; DATE(YEAR(T_Stocks[[#This Row],[Fecha]]),MONTH(T_Stocks[[#This Row],[Fecha]]),DAY(T_Stocks[[#This Row],[Fecha]]))</f>
        <v>MSFT-43560</v>
      </c>
    </row>
    <row r="3699" spans="1:4" ht="14.65" thickBot="1" x14ac:dyDescent="0.5">
      <c r="A3699" s="17">
        <v>43563.666666666664</v>
      </c>
      <c r="B3699" s="19">
        <v>119.93</v>
      </c>
      <c r="C3699" t="s">
        <v>41</v>
      </c>
      <c r="D3699" t="str">
        <f>T_Stocks[[#This Row],[Ticker]] &amp; "-" &amp; DATE(YEAR(T_Stocks[[#This Row],[Fecha]]),MONTH(T_Stocks[[#This Row],[Fecha]]),DAY(T_Stocks[[#This Row],[Fecha]]))</f>
        <v>MSFT-43563</v>
      </c>
    </row>
    <row r="3700" spans="1:4" ht="14.65" thickBot="1" x14ac:dyDescent="0.5">
      <c r="A3700" s="17">
        <v>43564.666666666664</v>
      </c>
      <c r="B3700" s="19">
        <v>119.28</v>
      </c>
      <c r="C3700" t="s">
        <v>41</v>
      </c>
      <c r="D3700" t="str">
        <f>T_Stocks[[#This Row],[Ticker]] &amp; "-" &amp; DATE(YEAR(T_Stocks[[#This Row],[Fecha]]),MONTH(T_Stocks[[#This Row],[Fecha]]),DAY(T_Stocks[[#This Row],[Fecha]]))</f>
        <v>MSFT-43564</v>
      </c>
    </row>
    <row r="3701" spans="1:4" ht="14.65" thickBot="1" x14ac:dyDescent="0.5">
      <c r="A3701" s="17">
        <v>43565.666666666664</v>
      </c>
      <c r="B3701" s="19">
        <v>120.19</v>
      </c>
      <c r="C3701" t="s">
        <v>41</v>
      </c>
      <c r="D3701" t="str">
        <f>T_Stocks[[#This Row],[Ticker]] &amp; "-" &amp; DATE(YEAR(T_Stocks[[#This Row],[Fecha]]),MONTH(T_Stocks[[#This Row],[Fecha]]),DAY(T_Stocks[[#This Row],[Fecha]]))</f>
        <v>MSFT-43565</v>
      </c>
    </row>
    <row r="3702" spans="1:4" ht="14.65" thickBot="1" x14ac:dyDescent="0.5">
      <c r="A3702" s="17">
        <v>43566.666666666664</v>
      </c>
      <c r="B3702" s="19">
        <v>120.33</v>
      </c>
      <c r="C3702" t="s">
        <v>41</v>
      </c>
      <c r="D3702" t="str">
        <f>T_Stocks[[#This Row],[Ticker]] &amp; "-" &amp; DATE(YEAR(T_Stocks[[#This Row],[Fecha]]),MONTH(T_Stocks[[#This Row],[Fecha]]),DAY(T_Stocks[[#This Row],[Fecha]]))</f>
        <v>MSFT-43566</v>
      </c>
    </row>
    <row r="3703" spans="1:4" ht="14.65" thickBot="1" x14ac:dyDescent="0.5">
      <c r="A3703" s="17">
        <v>43567.666666666664</v>
      </c>
      <c r="B3703" s="19">
        <v>120.95</v>
      </c>
      <c r="C3703" t="s">
        <v>41</v>
      </c>
      <c r="D3703" t="str">
        <f>T_Stocks[[#This Row],[Ticker]] &amp; "-" &amp; DATE(YEAR(T_Stocks[[#This Row],[Fecha]]),MONTH(T_Stocks[[#This Row],[Fecha]]),DAY(T_Stocks[[#This Row],[Fecha]]))</f>
        <v>MSFT-43567</v>
      </c>
    </row>
    <row r="3704" spans="1:4" ht="14.65" thickBot="1" x14ac:dyDescent="0.5">
      <c r="A3704" s="17">
        <v>43570.666666666664</v>
      </c>
      <c r="B3704" s="19">
        <v>121.05</v>
      </c>
      <c r="C3704" t="s">
        <v>41</v>
      </c>
      <c r="D3704" t="str">
        <f>T_Stocks[[#This Row],[Ticker]] &amp; "-" &amp; DATE(YEAR(T_Stocks[[#This Row],[Fecha]]),MONTH(T_Stocks[[#This Row],[Fecha]]),DAY(T_Stocks[[#This Row],[Fecha]]))</f>
        <v>MSFT-43570</v>
      </c>
    </row>
    <row r="3705" spans="1:4" ht="14.65" thickBot="1" x14ac:dyDescent="0.5">
      <c r="A3705" s="17">
        <v>43571.666666666664</v>
      </c>
      <c r="B3705" s="19">
        <v>120.77</v>
      </c>
      <c r="C3705" t="s">
        <v>41</v>
      </c>
      <c r="D3705" t="str">
        <f>T_Stocks[[#This Row],[Ticker]] &amp; "-" &amp; DATE(YEAR(T_Stocks[[#This Row],[Fecha]]),MONTH(T_Stocks[[#This Row],[Fecha]]),DAY(T_Stocks[[#This Row],[Fecha]]))</f>
        <v>MSFT-43571</v>
      </c>
    </row>
    <row r="3706" spans="1:4" ht="14.65" thickBot="1" x14ac:dyDescent="0.5">
      <c r="A3706" s="17">
        <v>43572.666666666664</v>
      </c>
      <c r="B3706" s="19">
        <v>121.77</v>
      </c>
      <c r="C3706" t="s">
        <v>41</v>
      </c>
      <c r="D3706" t="str">
        <f>T_Stocks[[#This Row],[Ticker]] &amp; "-" &amp; DATE(YEAR(T_Stocks[[#This Row],[Fecha]]),MONTH(T_Stocks[[#This Row],[Fecha]]),DAY(T_Stocks[[#This Row],[Fecha]]))</f>
        <v>MSFT-43572</v>
      </c>
    </row>
    <row r="3707" spans="1:4" ht="14.65" thickBot="1" x14ac:dyDescent="0.5">
      <c r="A3707" s="17">
        <v>43573.666666666664</v>
      </c>
      <c r="B3707" s="19">
        <v>123.37</v>
      </c>
      <c r="C3707" t="s">
        <v>41</v>
      </c>
      <c r="D3707" t="str">
        <f>T_Stocks[[#This Row],[Ticker]] &amp; "-" &amp; DATE(YEAR(T_Stocks[[#This Row],[Fecha]]),MONTH(T_Stocks[[#This Row],[Fecha]]),DAY(T_Stocks[[#This Row],[Fecha]]))</f>
        <v>MSFT-43573</v>
      </c>
    </row>
    <row r="3708" spans="1:4" ht="14.65" thickBot="1" x14ac:dyDescent="0.5">
      <c r="A3708" s="17">
        <v>43577.666666666664</v>
      </c>
      <c r="B3708" s="19">
        <v>123.76</v>
      </c>
      <c r="C3708" t="s">
        <v>41</v>
      </c>
      <c r="D3708" t="str">
        <f>T_Stocks[[#This Row],[Ticker]] &amp; "-" &amp; DATE(YEAR(T_Stocks[[#This Row],[Fecha]]),MONTH(T_Stocks[[#This Row],[Fecha]]),DAY(T_Stocks[[#This Row],[Fecha]]))</f>
        <v>MSFT-43577</v>
      </c>
    </row>
    <row r="3709" spans="1:4" ht="14.65" thickBot="1" x14ac:dyDescent="0.5">
      <c r="A3709" s="17">
        <v>43578.666666666664</v>
      </c>
      <c r="B3709" s="19">
        <v>125.44</v>
      </c>
      <c r="C3709" t="s">
        <v>41</v>
      </c>
      <c r="D3709" t="str">
        <f>T_Stocks[[#This Row],[Ticker]] &amp; "-" &amp; DATE(YEAR(T_Stocks[[#This Row],[Fecha]]),MONTH(T_Stocks[[#This Row],[Fecha]]),DAY(T_Stocks[[#This Row],[Fecha]]))</f>
        <v>MSFT-43578</v>
      </c>
    </row>
    <row r="3710" spans="1:4" ht="14.65" thickBot="1" x14ac:dyDescent="0.5">
      <c r="A3710" s="17">
        <v>43579.666666666664</v>
      </c>
      <c r="B3710" s="19">
        <v>125.01</v>
      </c>
      <c r="C3710" t="s">
        <v>41</v>
      </c>
      <c r="D3710" t="str">
        <f>T_Stocks[[#This Row],[Ticker]] &amp; "-" &amp; DATE(YEAR(T_Stocks[[#This Row],[Fecha]]),MONTH(T_Stocks[[#This Row],[Fecha]]),DAY(T_Stocks[[#This Row],[Fecha]]))</f>
        <v>MSFT-43579</v>
      </c>
    </row>
    <row r="3711" spans="1:4" ht="14.65" thickBot="1" x14ac:dyDescent="0.5">
      <c r="A3711" s="17">
        <v>43580.666666666664</v>
      </c>
      <c r="B3711" s="19">
        <v>129.15</v>
      </c>
      <c r="C3711" t="s">
        <v>41</v>
      </c>
      <c r="D3711" t="str">
        <f>T_Stocks[[#This Row],[Ticker]] &amp; "-" &amp; DATE(YEAR(T_Stocks[[#This Row],[Fecha]]),MONTH(T_Stocks[[#This Row],[Fecha]]),DAY(T_Stocks[[#This Row],[Fecha]]))</f>
        <v>MSFT-43580</v>
      </c>
    </row>
    <row r="3712" spans="1:4" ht="14.65" thickBot="1" x14ac:dyDescent="0.5">
      <c r="A3712" s="17">
        <v>43581.666666666664</v>
      </c>
      <c r="B3712" s="19">
        <v>129.88999999999999</v>
      </c>
      <c r="C3712" t="s">
        <v>41</v>
      </c>
      <c r="D3712" t="str">
        <f>T_Stocks[[#This Row],[Ticker]] &amp; "-" &amp; DATE(YEAR(T_Stocks[[#This Row],[Fecha]]),MONTH(T_Stocks[[#This Row],[Fecha]]),DAY(T_Stocks[[#This Row],[Fecha]]))</f>
        <v>MSFT-43581</v>
      </c>
    </row>
    <row r="3713" spans="1:4" ht="14.65" thickBot="1" x14ac:dyDescent="0.5">
      <c r="A3713" s="17">
        <v>43584.666666666664</v>
      </c>
      <c r="B3713" s="19">
        <v>129.77000000000001</v>
      </c>
      <c r="C3713" t="s">
        <v>41</v>
      </c>
      <c r="D3713" t="str">
        <f>T_Stocks[[#This Row],[Ticker]] &amp; "-" &amp; DATE(YEAR(T_Stocks[[#This Row],[Fecha]]),MONTH(T_Stocks[[#This Row],[Fecha]]),DAY(T_Stocks[[#This Row],[Fecha]]))</f>
        <v>MSFT-43584</v>
      </c>
    </row>
    <row r="3714" spans="1:4" ht="14.65" thickBot="1" x14ac:dyDescent="0.5">
      <c r="A3714" s="17">
        <v>43585.666666666664</v>
      </c>
      <c r="B3714" s="19">
        <v>130.6</v>
      </c>
      <c r="C3714" t="s">
        <v>41</v>
      </c>
      <c r="D3714" t="str">
        <f>T_Stocks[[#This Row],[Ticker]] &amp; "-" &amp; DATE(YEAR(T_Stocks[[#This Row],[Fecha]]),MONTH(T_Stocks[[#This Row],[Fecha]]),DAY(T_Stocks[[#This Row],[Fecha]]))</f>
        <v>MSFT-43585</v>
      </c>
    </row>
    <row r="3715" spans="1:4" ht="14.65" thickBot="1" x14ac:dyDescent="0.5">
      <c r="A3715" s="17">
        <v>43586.666666666664</v>
      </c>
      <c r="B3715" s="19">
        <v>127.88</v>
      </c>
      <c r="C3715" t="s">
        <v>41</v>
      </c>
      <c r="D3715" t="str">
        <f>T_Stocks[[#This Row],[Ticker]] &amp; "-" &amp; DATE(YEAR(T_Stocks[[#This Row],[Fecha]]),MONTH(T_Stocks[[#This Row],[Fecha]]),DAY(T_Stocks[[#This Row],[Fecha]]))</f>
        <v>MSFT-43586</v>
      </c>
    </row>
    <row r="3716" spans="1:4" ht="14.65" thickBot="1" x14ac:dyDescent="0.5">
      <c r="A3716" s="17">
        <v>43587.666666666664</v>
      </c>
      <c r="B3716" s="19">
        <v>126.21</v>
      </c>
      <c r="C3716" t="s">
        <v>41</v>
      </c>
      <c r="D3716" t="str">
        <f>T_Stocks[[#This Row],[Ticker]] &amp; "-" &amp; DATE(YEAR(T_Stocks[[#This Row],[Fecha]]),MONTH(T_Stocks[[#This Row],[Fecha]]),DAY(T_Stocks[[#This Row],[Fecha]]))</f>
        <v>MSFT-43587</v>
      </c>
    </row>
    <row r="3717" spans="1:4" ht="14.65" thickBot="1" x14ac:dyDescent="0.5">
      <c r="A3717" s="17">
        <v>43588.666666666664</v>
      </c>
      <c r="B3717" s="19">
        <v>128.9</v>
      </c>
      <c r="C3717" t="s">
        <v>41</v>
      </c>
      <c r="D3717" t="str">
        <f>T_Stocks[[#This Row],[Ticker]] &amp; "-" &amp; DATE(YEAR(T_Stocks[[#This Row],[Fecha]]),MONTH(T_Stocks[[#This Row],[Fecha]]),DAY(T_Stocks[[#This Row],[Fecha]]))</f>
        <v>MSFT-43588</v>
      </c>
    </row>
    <row r="3718" spans="1:4" ht="14.65" thickBot="1" x14ac:dyDescent="0.5">
      <c r="A3718" s="17">
        <v>43591.666666666664</v>
      </c>
      <c r="B3718" s="19">
        <v>128.15</v>
      </c>
      <c r="C3718" t="s">
        <v>41</v>
      </c>
      <c r="D3718" t="str">
        <f>T_Stocks[[#This Row],[Ticker]] &amp; "-" &amp; DATE(YEAR(T_Stocks[[#This Row],[Fecha]]),MONTH(T_Stocks[[#This Row],[Fecha]]),DAY(T_Stocks[[#This Row],[Fecha]]))</f>
        <v>MSFT-43591</v>
      </c>
    </row>
    <row r="3719" spans="1:4" ht="14.65" thickBot="1" x14ac:dyDescent="0.5">
      <c r="A3719" s="17">
        <v>43592.666666666664</v>
      </c>
      <c r="B3719" s="19">
        <v>125.52</v>
      </c>
      <c r="C3719" t="s">
        <v>41</v>
      </c>
      <c r="D3719" t="str">
        <f>T_Stocks[[#This Row],[Ticker]] &amp; "-" &amp; DATE(YEAR(T_Stocks[[#This Row],[Fecha]]),MONTH(T_Stocks[[#This Row],[Fecha]]),DAY(T_Stocks[[#This Row],[Fecha]]))</f>
        <v>MSFT-43592</v>
      </c>
    </row>
    <row r="3720" spans="1:4" ht="14.65" thickBot="1" x14ac:dyDescent="0.5">
      <c r="A3720" s="17">
        <v>43593.666666666664</v>
      </c>
      <c r="B3720" s="19">
        <v>125.51</v>
      </c>
      <c r="C3720" t="s">
        <v>41</v>
      </c>
      <c r="D3720" t="str">
        <f>T_Stocks[[#This Row],[Ticker]] &amp; "-" &amp; DATE(YEAR(T_Stocks[[#This Row],[Fecha]]),MONTH(T_Stocks[[#This Row],[Fecha]]),DAY(T_Stocks[[#This Row],[Fecha]]))</f>
        <v>MSFT-43593</v>
      </c>
    </row>
    <row r="3721" spans="1:4" ht="14.65" thickBot="1" x14ac:dyDescent="0.5">
      <c r="A3721" s="17">
        <v>43594.666666666664</v>
      </c>
      <c r="B3721" s="19">
        <v>125.5</v>
      </c>
      <c r="C3721" t="s">
        <v>41</v>
      </c>
      <c r="D3721" t="str">
        <f>T_Stocks[[#This Row],[Ticker]] &amp; "-" &amp; DATE(YEAR(T_Stocks[[#This Row],[Fecha]]),MONTH(T_Stocks[[#This Row],[Fecha]]),DAY(T_Stocks[[#This Row],[Fecha]]))</f>
        <v>MSFT-43594</v>
      </c>
    </row>
    <row r="3722" spans="1:4" ht="14.65" thickBot="1" x14ac:dyDescent="0.5">
      <c r="A3722" s="17">
        <v>43595.666666666664</v>
      </c>
      <c r="B3722" s="19">
        <v>127.13</v>
      </c>
      <c r="C3722" t="s">
        <v>41</v>
      </c>
      <c r="D3722" t="str">
        <f>T_Stocks[[#This Row],[Ticker]] &amp; "-" &amp; DATE(YEAR(T_Stocks[[#This Row],[Fecha]]),MONTH(T_Stocks[[#This Row],[Fecha]]),DAY(T_Stocks[[#This Row],[Fecha]]))</f>
        <v>MSFT-43595</v>
      </c>
    </row>
    <row r="3723" spans="1:4" ht="14.65" thickBot="1" x14ac:dyDescent="0.5">
      <c r="A3723" s="17">
        <v>43598.666666666664</v>
      </c>
      <c r="B3723" s="19">
        <v>123.35</v>
      </c>
      <c r="C3723" t="s">
        <v>41</v>
      </c>
      <c r="D3723" t="str">
        <f>T_Stocks[[#This Row],[Ticker]] &amp; "-" &amp; DATE(YEAR(T_Stocks[[#This Row],[Fecha]]),MONTH(T_Stocks[[#This Row],[Fecha]]),DAY(T_Stocks[[#This Row],[Fecha]]))</f>
        <v>MSFT-43598</v>
      </c>
    </row>
    <row r="3724" spans="1:4" ht="14.65" thickBot="1" x14ac:dyDescent="0.5">
      <c r="A3724" s="17">
        <v>43599.666666666664</v>
      </c>
      <c r="B3724" s="19">
        <v>124.73</v>
      </c>
      <c r="C3724" t="s">
        <v>41</v>
      </c>
      <c r="D3724" t="str">
        <f>T_Stocks[[#This Row],[Ticker]] &amp; "-" &amp; DATE(YEAR(T_Stocks[[#This Row],[Fecha]]),MONTH(T_Stocks[[#This Row],[Fecha]]),DAY(T_Stocks[[#This Row],[Fecha]]))</f>
        <v>MSFT-43599</v>
      </c>
    </row>
    <row r="3725" spans="1:4" ht="14.65" thickBot="1" x14ac:dyDescent="0.5">
      <c r="A3725" s="17">
        <v>43600.666666666664</v>
      </c>
      <c r="B3725" s="19">
        <v>126.02</v>
      </c>
      <c r="C3725" t="s">
        <v>41</v>
      </c>
      <c r="D3725" t="str">
        <f>T_Stocks[[#This Row],[Ticker]] &amp; "-" &amp; DATE(YEAR(T_Stocks[[#This Row],[Fecha]]),MONTH(T_Stocks[[#This Row],[Fecha]]),DAY(T_Stocks[[#This Row],[Fecha]]))</f>
        <v>MSFT-43600</v>
      </c>
    </row>
    <row r="3726" spans="1:4" ht="14.65" thickBot="1" x14ac:dyDescent="0.5">
      <c r="A3726" s="17">
        <v>43601.666666666664</v>
      </c>
      <c r="B3726" s="19">
        <v>128.93</v>
      </c>
      <c r="C3726" t="s">
        <v>41</v>
      </c>
      <c r="D3726" t="str">
        <f>T_Stocks[[#This Row],[Ticker]] &amp; "-" &amp; DATE(YEAR(T_Stocks[[#This Row],[Fecha]]),MONTH(T_Stocks[[#This Row],[Fecha]]),DAY(T_Stocks[[#This Row],[Fecha]]))</f>
        <v>MSFT-43601</v>
      </c>
    </row>
    <row r="3727" spans="1:4" ht="14.65" thickBot="1" x14ac:dyDescent="0.5">
      <c r="A3727" s="17">
        <v>43602.666666666664</v>
      </c>
      <c r="B3727" s="19">
        <v>128.07</v>
      </c>
      <c r="C3727" t="s">
        <v>41</v>
      </c>
      <c r="D3727" t="str">
        <f>T_Stocks[[#This Row],[Ticker]] &amp; "-" &amp; DATE(YEAR(T_Stocks[[#This Row],[Fecha]]),MONTH(T_Stocks[[#This Row],[Fecha]]),DAY(T_Stocks[[#This Row],[Fecha]]))</f>
        <v>MSFT-43602</v>
      </c>
    </row>
    <row r="3728" spans="1:4" ht="14.65" thickBot="1" x14ac:dyDescent="0.5">
      <c r="A3728" s="17">
        <v>43605.666666666664</v>
      </c>
      <c r="B3728" s="19">
        <v>126.22</v>
      </c>
      <c r="C3728" t="s">
        <v>41</v>
      </c>
      <c r="D3728" t="str">
        <f>T_Stocks[[#This Row],[Ticker]] &amp; "-" &amp; DATE(YEAR(T_Stocks[[#This Row],[Fecha]]),MONTH(T_Stocks[[#This Row],[Fecha]]),DAY(T_Stocks[[#This Row],[Fecha]]))</f>
        <v>MSFT-43605</v>
      </c>
    </row>
    <row r="3729" spans="1:4" ht="14.65" thickBot="1" x14ac:dyDescent="0.5">
      <c r="A3729" s="17">
        <v>43606.666666666664</v>
      </c>
      <c r="B3729" s="19">
        <v>126.9</v>
      </c>
      <c r="C3729" t="s">
        <v>41</v>
      </c>
      <c r="D3729" t="str">
        <f>T_Stocks[[#This Row],[Ticker]] &amp; "-" &amp; DATE(YEAR(T_Stocks[[#This Row],[Fecha]]),MONTH(T_Stocks[[#This Row],[Fecha]]),DAY(T_Stocks[[#This Row],[Fecha]]))</f>
        <v>MSFT-43606</v>
      </c>
    </row>
    <row r="3730" spans="1:4" ht="14.65" thickBot="1" x14ac:dyDescent="0.5">
      <c r="A3730" s="17">
        <v>43607.666666666664</v>
      </c>
      <c r="B3730" s="19">
        <v>127.67</v>
      </c>
      <c r="C3730" t="s">
        <v>41</v>
      </c>
      <c r="D3730" t="str">
        <f>T_Stocks[[#This Row],[Ticker]] &amp; "-" &amp; DATE(YEAR(T_Stocks[[#This Row],[Fecha]]),MONTH(T_Stocks[[#This Row],[Fecha]]),DAY(T_Stocks[[#This Row],[Fecha]]))</f>
        <v>MSFT-43607</v>
      </c>
    </row>
    <row r="3731" spans="1:4" ht="14.65" thickBot="1" x14ac:dyDescent="0.5">
      <c r="A3731" s="17">
        <v>43608.666666666664</v>
      </c>
      <c r="B3731" s="19">
        <v>126.18</v>
      </c>
      <c r="C3731" t="s">
        <v>41</v>
      </c>
      <c r="D3731" t="str">
        <f>T_Stocks[[#This Row],[Ticker]] &amp; "-" &amp; DATE(YEAR(T_Stocks[[#This Row],[Fecha]]),MONTH(T_Stocks[[#This Row],[Fecha]]),DAY(T_Stocks[[#This Row],[Fecha]]))</f>
        <v>MSFT-43608</v>
      </c>
    </row>
    <row r="3732" spans="1:4" ht="14.65" thickBot="1" x14ac:dyDescent="0.5">
      <c r="A3732" s="17">
        <v>43609.666666666664</v>
      </c>
      <c r="B3732" s="19">
        <v>126.24</v>
      </c>
      <c r="C3732" t="s">
        <v>41</v>
      </c>
      <c r="D3732" t="str">
        <f>T_Stocks[[#This Row],[Ticker]] &amp; "-" &amp; DATE(YEAR(T_Stocks[[#This Row],[Fecha]]),MONTH(T_Stocks[[#This Row],[Fecha]]),DAY(T_Stocks[[#This Row],[Fecha]]))</f>
        <v>MSFT-43609</v>
      </c>
    </row>
    <row r="3733" spans="1:4" ht="14.65" thickBot="1" x14ac:dyDescent="0.5">
      <c r="A3733" s="17">
        <v>43613.666666666664</v>
      </c>
      <c r="B3733" s="19">
        <v>126.16</v>
      </c>
      <c r="C3733" t="s">
        <v>41</v>
      </c>
      <c r="D3733" t="str">
        <f>T_Stocks[[#This Row],[Ticker]] &amp; "-" &amp; DATE(YEAR(T_Stocks[[#This Row],[Fecha]]),MONTH(T_Stocks[[#This Row],[Fecha]]),DAY(T_Stocks[[#This Row],[Fecha]]))</f>
        <v>MSFT-43613</v>
      </c>
    </row>
    <row r="3734" spans="1:4" ht="14.65" thickBot="1" x14ac:dyDescent="0.5">
      <c r="A3734" s="17">
        <v>43614.666666666664</v>
      </c>
      <c r="B3734" s="19">
        <v>124.94</v>
      </c>
      <c r="C3734" t="s">
        <v>41</v>
      </c>
      <c r="D3734" t="str">
        <f>T_Stocks[[#This Row],[Ticker]] &amp; "-" &amp; DATE(YEAR(T_Stocks[[#This Row],[Fecha]]),MONTH(T_Stocks[[#This Row],[Fecha]]),DAY(T_Stocks[[#This Row],[Fecha]]))</f>
        <v>MSFT-43614</v>
      </c>
    </row>
    <row r="3735" spans="1:4" ht="14.65" thickBot="1" x14ac:dyDescent="0.5">
      <c r="A3735" s="17">
        <v>43615.666666666664</v>
      </c>
      <c r="B3735" s="19">
        <v>125.73</v>
      </c>
      <c r="C3735" t="s">
        <v>41</v>
      </c>
      <c r="D3735" t="str">
        <f>T_Stocks[[#This Row],[Ticker]] &amp; "-" &amp; DATE(YEAR(T_Stocks[[#This Row],[Fecha]]),MONTH(T_Stocks[[#This Row],[Fecha]]),DAY(T_Stocks[[#This Row],[Fecha]]))</f>
        <v>MSFT-43615</v>
      </c>
    </row>
    <row r="3736" spans="1:4" ht="14.65" thickBot="1" x14ac:dyDescent="0.5">
      <c r="A3736" s="17">
        <v>43616.666666666664</v>
      </c>
      <c r="B3736" s="19">
        <v>123.68</v>
      </c>
      <c r="C3736" t="s">
        <v>41</v>
      </c>
      <c r="D3736" t="str">
        <f>T_Stocks[[#This Row],[Ticker]] &amp; "-" &amp; DATE(YEAR(T_Stocks[[#This Row],[Fecha]]),MONTH(T_Stocks[[#This Row],[Fecha]]),DAY(T_Stocks[[#This Row],[Fecha]]))</f>
        <v>MSFT-43616</v>
      </c>
    </row>
    <row r="3737" spans="1:4" ht="14.65" thickBot="1" x14ac:dyDescent="0.5">
      <c r="A3737" s="17">
        <v>43619.666666666664</v>
      </c>
      <c r="B3737" s="19">
        <v>119.84</v>
      </c>
      <c r="C3737" t="s">
        <v>41</v>
      </c>
      <c r="D3737" t="str">
        <f>T_Stocks[[#This Row],[Ticker]] &amp; "-" &amp; DATE(YEAR(T_Stocks[[#This Row],[Fecha]]),MONTH(T_Stocks[[#This Row],[Fecha]]),DAY(T_Stocks[[#This Row],[Fecha]]))</f>
        <v>MSFT-43619</v>
      </c>
    </row>
    <row r="3738" spans="1:4" ht="14.65" thickBot="1" x14ac:dyDescent="0.5">
      <c r="A3738" s="17">
        <v>43620.666666666664</v>
      </c>
      <c r="B3738" s="19">
        <v>123.16</v>
      </c>
      <c r="C3738" t="s">
        <v>41</v>
      </c>
      <c r="D3738" t="str">
        <f>T_Stocks[[#This Row],[Ticker]] &amp; "-" &amp; DATE(YEAR(T_Stocks[[#This Row],[Fecha]]),MONTH(T_Stocks[[#This Row],[Fecha]]),DAY(T_Stocks[[#This Row],[Fecha]]))</f>
        <v>MSFT-43620</v>
      </c>
    </row>
    <row r="3739" spans="1:4" ht="14.65" thickBot="1" x14ac:dyDescent="0.5">
      <c r="A3739" s="17">
        <v>43621.666666666664</v>
      </c>
      <c r="B3739" s="19">
        <v>125.83</v>
      </c>
      <c r="C3739" t="s">
        <v>41</v>
      </c>
      <c r="D3739" t="str">
        <f>T_Stocks[[#This Row],[Ticker]] &amp; "-" &amp; DATE(YEAR(T_Stocks[[#This Row],[Fecha]]),MONTH(T_Stocks[[#This Row],[Fecha]]),DAY(T_Stocks[[#This Row],[Fecha]]))</f>
        <v>MSFT-43621</v>
      </c>
    </row>
    <row r="3740" spans="1:4" ht="14.65" thickBot="1" x14ac:dyDescent="0.5">
      <c r="A3740" s="17">
        <v>43622.666666666664</v>
      </c>
      <c r="B3740" s="19">
        <v>127.82</v>
      </c>
      <c r="C3740" t="s">
        <v>41</v>
      </c>
      <c r="D3740" t="str">
        <f>T_Stocks[[#This Row],[Ticker]] &amp; "-" &amp; DATE(YEAR(T_Stocks[[#This Row],[Fecha]]),MONTH(T_Stocks[[#This Row],[Fecha]]),DAY(T_Stocks[[#This Row],[Fecha]]))</f>
        <v>MSFT-43622</v>
      </c>
    </row>
    <row r="3741" spans="1:4" ht="14.65" thickBot="1" x14ac:dyDescent="0.5">
      <c r="A3741" s="17">
        <v>43623.666666666664</v>
      </c>
      <c r="B3741" s="19">
        <v>131.4</v>
      </c>
      <c r="C3741" t="s">
        <v>41</v>
      </c>
      <c r="D3741" t="str">
        <f>T_Stocks[[#This Row],[Ticker]] &amp; "-" &amp; DATE(YEAR(T_Stocks[[#This Row],[Fecha]]),MONTH(T_Stocks[[#This Row],[Fecha]]),DAY(T_Stocks[[#This Row],[Fecha]]))</f>
        <v>MSFT-43623</v>
      </c>
    </row>
    <row r="3742" spans="1:4" ht="14.65" thickBot="1" x14ac:dyDescent="0.5">
      <c r="A3742" s="17">
        <v>43626.666666666664</v>
      </c>
      <c r="B3742" s="19">
        <v>132.6</v>
      </c>
      <c r="C3742" t="s">
        <v>41</v>
      </c>
      <c r="D3742" t="str">
        <f>T_Stocks[[#This Row],[Ticker]] &amp; "-" &amp; DATE(YEAR(T_Stocks[[#This Row],[Fecha]]),MONTH(T_Stocks[[#This Row],[Fecha]]),DAY(T_Stocks[[#This Row],[Fecha]]))</f>
        <v>MSFT-43626</v>
      </c>
    </row>
    <row r="3743" spans="1:4" ht="14.65" thickBot="1" x14ac:dyDescent="0.5">
      <c r="A3743" s="17">
        <v>43627.666666666664</v>
      </c>
      <c r="B3743" s="19">
        <v>132.1</v>
      </c>
      <c r="C3743" t="s">
        <v>41</v>
      </c>
      <c r="D3743" t="str">
        <f>T_Stocks[[#This Row],[Ticker]] &amp; "-" &amp; DATE(YEAR(T_Stocks[[#This Row],[Fecha]]),MONTH(T_Stocks[[#This Row],[Fecha]]),DAY(T_Stocks[[#This Row],[Fecha]]))</f>
        <v>MSFT-43627</v>
      </c>
    </row>
    <row r="3744" spans="1:4" ht="14.65" thickBot="1" x14ac:dyDescent="0.5">
      <c r="A3744" s="17">
        <v>43628.666666666664</v>
      </c>
      <c r="B3744" s="19">
        <v>131.49</v>
      </c>
      <c r="C3744" t="s">
        <v>41</v>
      </c>
      <c r="D3744" t="str">
        <f>T_Stocks[[#This Row],[Ticker]] &amp; "-" &amp; DATE(YEAR(T_Stocks[[#This Row],[Fecha]]),MONTH(T_Stocks[[#This Row],[Fecha]]),DAY(T_Stocks[[#This Row],[Fecha]]))</f>
        <v>MSFT-43628</v>
      </c>
    </row>
    <row r="3745" spans="1:4" ht="14.65" thickBot="1" x14ac:dyDescent="0.5">
      <c r="A3745" s="17">
        <v>43629.666666666664</v>
      </c>
      <c r="B3745" s="19">
        <v>132.32</v>
      </c>
      <c r="C3745" t="s">
        <v>41</v>
      </c>
      <c r="D3745" t="str">
        <f>T_Stocks[[#This Row],[Ticker]] &amp; "-" &amp; DATE(YEAR(T_Stocks[[#This Row],[Fecha]]),MONTH(T_Stocks[[#This Row],[Fecha]]),DAY(T_Stocks[[#This Row],[Fecha]]))</f>
        <v>MSFT-43629</v>
      </c>
    </row>
    <row r="3746" spans="1:4" ht="14.65" thickBot="1" x14ac:dyDescent="0.5">
      <c r="A3746" s="17">
        <v>43630.666666666664</v>
      </c>
      <c r="B3746" s="19">
        <v>132.44999999999999</v>
      </c>
      <c r="C3746" t="s">
        <v>41</v>
      </c>
      <c r="D3746" t="str">
        <f>T_Stocks[[#This Row],[Ticker]] &amp; "-" &amp; DATE(YEAR(T_Stocks[[#This Row],[Fecha]]),MONTH(T_Stocks[[#This Row],[Fecha]]),DAY(T_Stocks[[#This Row],[Fecha]]))</f>
        <v>MSFT-43630</v>
      </c>
    </row>
    <row r="3747" spans="1:4" ht="14.65" thickBot="1" x14ac:dyDescent="0.5">
      <c r="A3747" s="17">
        <v>43633.666666666664</v>
      </c>
      <c r="B3747" s="19">
        <v>132.85</v>
      </c>
      <c r="C3747" t="s">
        <v>41</v>
      </c>
      <c r="D3747" t="str">
        <f>T_Stocks[[#This Row],[Ticker]] &amp; "-" &amp; DATE(YEAR(T_Stocks[[#This Row],[Fecha]]),MONTH(T_Stocks[[#This Row],[Fecha]]),DAY(T_Stocks[[#This Row],[Fecha]]))</f>
        <v>MSFT-43633</v>
      </c>
    </row>
    <row r="3748" spans="1:4" ht="14.65" thickBot="1" x14ac:dyDescent="0.5">
      <c r="A3748" s="17">
        <v>43634.666666666664</v>
      </c>
      <c r="B3748" s="19">
        <v>135.16</v>
      </c>
      <c r="C3748" t="s">
        <v>41</v>
      </c>
      <c r="D3748" t="str">
        <f>T_Stocks[[#This Row],[Ticker]] &amp; "-" &amp; DATE(YEAR(T_Stocks[[#This Row],[Fecha]]),MONTH(T_Stocks[[#This Row],[Fecha]]),DAY(T_Stocks[[#This Row],[Fecha]]))</f>
        <v>MSFT-43634</v>
      </c>
    </row>
    <row r="3749" spans="1:4" ht="14.65" thickBot="1" x14ac:dyDescent="0.5">
      <c r="A3749" s="17">
        <v>43635.666666666664</v>
      </c>
      <c r="B3749" s="19">
        <v>135.69</v>
      </c>
      <c r="C3749" t="s">
        <v>41</v>
      </c>
      <c r="D3749" t="str">
        <f>T_Stocks[[#This Row],[Ticker]] &amp; "-" &amp; DATE(YEAR(T_Stocks[[#This Row],[Fecha]]),MONTH(T_Stocks[[#This Row],[Fecha]]),DAY(T_Stocks[[#This Row],[Fecha]]))</f>
        <v>MSFT-43635</v>
      </c>
    </row>
    <row r="3750" spans="1:4" ht="14.65" thickBot="1" x14ac:dyDescent="0.5">
      <c r="A3750" s="17">
        <v>43636.666666666664</v>
      </c>
      <c r="B3750" s="19">
        <v>136.94999999999999</v>
      </c>
      <c r="C3750" t="s">
        <v>41</v>
      </c>
      <c r="D3750" t="str">
        <f>T_Stocks[[#This Row],[Ticker]] &amp; "-" &amp; DATE(YEAR(T_Stocks[[#This Row],[Fecha]]),MONTH(T_Stocks[[#This Row],[Fecha]]),DAY(T_Stocks[[#This Row],[Fecha]]))</f>
        <v>MSFT-43636</v>
      </c>
    </row>
    <row r="3751" spans="1:4" ht="14.65" thickBot="1" x14ac:dyDescent="0.5">
      <c r="A3751" s="17">
        <v>43637.666666666664</v>
      </c>
      <c r="B3751" s="19">
        <v>136.97</v>
      </c>
      <c r="C3751" t="s">
        <v>41</v>
      </c>
      <c r="D3751" t="str">
        <f>T_Stocks[[#This Row],[Ticker]] &amp; "-" &amp; DATE(YEAR(T_Stocks[[#This Row],[Fecha]]),MONTH(T_Stocks[[#This Row],[Fecha]]),DAY(T_Stocks[[#This Row],[Fecha]]))</f>
        <v>MSFT-43637</v>
      </c>
    </row>
    <row r="3752" spans="1:4" ht="14.65" thickBot="1" x14ac:dyDescent="0.5">
      <c r="A3752" s="17">
        <v>43640.666666666664</v>
      </c>
      <c r="B3752" s="19">
        <v>137.78</v>
      </c>
      <c r="C3752" t="s">
        <v>41</v>
      </c>
      <c r="D3752" t="str">
        <f>T_Stocks[[#This Row],[Ticker]] &amp; "-" &amp; DATE(YEAR(T_Stocks[[#This Row],[Fecha]]),MONTH(T_Stocks[[#This Row],[Fecha]]),DAY(T_Stocks[[#This Row],[Fecha]]))</f>
        <v>MSFT-43640</v>
      </c>
    </row>
    <row r="3753" spans="1:4" ht="14.65" thickBot="1" x14ac:dyDescent="0.5">
      <c r="A3753" s="17">
        <v>43641.666666666664</v>
      </c>
      <c r="B3753" s="19">
        <v>133.43</v>
      </c>
      <c r="C3753" t="s">
        <v>41</v>
      </c>
      <c r="D3753" t="str">
        <f>T_Stocks[[#This Row],[Ticker]] &amp; "-" &amp; DATE(YEAR(T_Stocks[[#This Row],[Fecha]]),MONTH(T_Stocks[[#This Row],[Fecha]]),DAY(T_Stocks[[#This Row],[Fecha]]))</f>
        <v>MSFT-43641</v>
      </c>
    </row>
    <row r="3754" spans="1:4" ht="14.65" thickBot="1" x14ac:dyDescent="0.5">
      <c r="A3754" s="17">
        <v>43642.666666666664</v>
      </c>
      <c r="B3754" s="19">
        <v>133.93</v>
      </c>
      <c r="C3754" t="s">
        <v>41</v>
      </c>
      <c r="D3754" t="str">
        <f>T_Stocks[[#This Row],[Ticker]] &amp; "-" &amp; DATE(YEAR(T_Stocks[[#This Row],[Fecha]]),MONTH(T_Stocks[[#This Row],[Fecha]]),DAY(T_Stocks[[#This Row],[Fecha]]))</f>
        <v>MSFT-43642</v>
      </c>
    </row>
    <row r="3755" spans="1:4" ht="14.65" thickBot="1" x14ac:dyDescent="0.5">
      <c r="A3755" s="17">
        <v>43643.666666666664</v>
      </c>
      <c r="B3755" s="19">
        <v>134.15</v>
      </c>
      <c r="C3755" t="s">
        <v>41</v>
      </c>
      <c r="D3755" t="str">
        <f>T_Stocks[[#This Row],[Ticker]] &amp; "-" &amp; DATE(YEAR(T_Stocks[[#This Row],[Fecha]]),MONTH(T_Stocks[[#This Row],[Fecha]]),DAY(T_Stocks[[#This Row],[Fecha]]))</f>
        <v>MSFT-43643</v>
      </c>
    </row>
    <row r="3756" spans="1:4" ht="14.65" thickBot="1" x14ac:dyDescent="0.5">
      <c r="A3756" s="17">
        <v>43644.666666666664</v>
      </c>
      <c r="B3756" s="19">
        <v>133.96</v>
      </c>
      <c r="C3756" t="s">
        <v>41</v>
      </c>
      <c r="D3756" t="str">
        <f>T_Stocks[[#This Row],[Ticker]] &amp; "-" &amp; DATE(YEAR(T_Stocks[[#This Row],[Fecha]]),MONTH(T_Stocks[[#This Row],[Fecha]]),DAY(T_Stocks[[#This Row],[Fecha]]))</f>
        <v>MSFT-43644</v>
      </c>
    </row>
    <row r="3757" spans="1:4" ht="14.65" thickBot="1" x14ac:dyDescent="0.5">
      <c r="A3757" s="17">
        <v>43647.666666666664</v>
      </c>
      <c r="B3757" s="19">
        <v>135.68</v>
      </c>
      <c r="C3757" t="s">
        <v>41</v>
      </c>
      <c r="D3757" t="str">
        <f>T_Stocks[[#This Row],[Ticker]] &amp; "-" &amp; DATE(YEAR(T_Stocks[[#This Row],[Fecha]]),MONTH(T_Stocks[[#This Row],[Fecha]]),DAY(T_Stocks[[#This Row],[Fecha]]))</f>
        <v>MSFT-43647</v>
      </c>
    </row>
    <row r="3758" spans="1:4" ht="14.65" thickBot="1" x14ac:dyDescent="0.5">
      <c r="A3758" s="17">
        <v>43648.666666666664</v>
      </c>
      <c r="B3758" s="19">
        <v>136.58000000000001</v>
      </c>
      <c r="C3758" t="s">
        <v>41</v>
      </c>
      <c r="D3758" t="str">
        <f>T_Stocks[[#This Row],[Ticker]] &amp; "-" &amp; DATE(YEAR(T_Stocks[[#This Row],[Fecha]]),MONTH(T_Stocks[[#This Row],[Fecha]]),DAY(T_Stocks[[#This Row],[Fecha]]))</f>
        <v>MSFT-43648</v>
      </c>
    </row>
    <row r="3759" spans="1:4" ht="14.65" thickBot="1" x14ac:dyDescent="0.5">
      <c r="A3759" s="17">
        <v>43649.541666666664</v>
      </c>
      <c r="B3759" s="19">
        <v>137.46</v>
      </c>
      <c r="C3759" t="s">
        <v>41</v>
      </c>
      <c r="D3759" t="str">
        <f>T_Stocks[[#This Row],[Ticker]] &amp; "-" &amp; DATE(YEAR(T_Stocks[[#This Row],[Fecha]]),MONTH(T_Stocks[[#This Row],[Fecha]]),DAY(T_Stocks[[#This Row],[Fecha]]))</f>
        <v>MSFT-43649</v>
      </c>
    </row>
    <row r="3760" spans="1:4" ht="14.65" thickBot="1" x14ac:dyDescent="0.5">
      <c r="A3760" s="17">
        <v>43651.666666666664</v>
      </c>
      <c r="B3760" s="19">
        <v>137.06</v>
      </c>
      <c r="C3760" t="s">
        <v>41</v>
      </c>
      <c r="D3760" t="str">
        <f>T_Stocks[[#This Row],[Ticker]] &amp; "-" &amp; DATE(YEAR(T_Stocks[[#This Row],[Fecha]]),MONTH(T_Stocks[[#This Row],[Fecha]]),DAY(T_Stocks[[#This Row],[Fecha]]))</f>
        <v>MSFT-43651</v>
      </c>
    </row>
    <row r="3761" spans="1:4" ht="14.65" thickBot="1" x14ac:dyDescent="0.5">
      <c r="A3761" s="17">
        <v>43654.666666666664</v>
      </c>
      <c r="B3761" s="19">
        <v>136.96</v>
      </c>
      <c r="C3761" t="s">
        <v>41</v>
      </c>
      <c r="D3761" t="str">
        <f>T_Stocks[[#This Row],[Ticker]] &amp; "-" &amp; DATE(YEAR(T_Stocks[[#This Row],[Fecha]]),MONTH(T_Stocks[[#This Row],[Fecha]]),DAY(T_Stocks[[#This Row],[Fecha]]))</f>
        <v>MSFT-43654</v>
      </c>
    </row>
    <row r="3762" spans="1:4" ht="14.65" thickBot="1" x14ac:dyDescent="0.5">
      <c r="A3762" s="17">
        <v>43655.666666666664</v>
      </c>
      <c r="B3762" s="19">
        <v>136.46</v>
      </c>
      <c r="C3762" t="s">
        <v>41</v>
      </c>
      <c r="D3762" t="str">
        <f>T_Stocks[[#This Row],[Ticker]] &amp; "-" &amp; DATE(YEAR(T_Stocks[[#This Row],[Fecha]]),MONTH(T_Stocks[[#This Row],[Fecha]]),DAY(T_Stocks[[#This Row],[Fecha]]))</f>
        <v>MSFT-43655</v>
      </c>
    </row>
    <row r="3763" spans="1:4" ht="14.65" thickBot="1" x14ac:dyDescent="0.5">
      <c r="A3763" s="17">
        <v>43656.666666666664</v>
      </c>
      <c r="B3763" s="19">
        <v>137.85</v>
      </c>
      <c r="C3763" t="s">
        <v>41</v>
      </c>
      <c r="D3763" t="str">
        <f>T_Stocks[[#This Row],[Ticker]] &amp; "-" &amp; DATE(YEAR(T_Stocks[[#This Row],[Fecha]]),MONTH(T_Stocks[[#This Row],[Fecha]]),DAY(T_Stocks[[#This Row],[Fecha]]))</f>
        <v>MSFT-43656</v>
      </c>
    </row>
    <row r="3764" spans="1:4" ht="14.65" thickBot="1" x14ac:dyDescent="0.5">
      <c r="A3764" s="17">
        <v>43657.666666666664</v>
      </c>
      <c r="B3764" s="19">
        <v>138.4</v>
      </c>
      <c r="C3764" t="s">
        <v>41</v>
      </c>
      <c r="D3764" t="str">
        <f>T_Stocks[[#This Row],[Ticker]] &amp; "-" &amp; DATE(YEAR(T_Stocks[[#This Row],[Fecha]]),MONTH(T_Stocks[[#This Row],[Fecha]]),DAY(T_Stocks[[#This Row],[Fecha]]))</f>
        <v>MSFT-43657</v>
      </c>
    </row>
    <row r="3765" spans="1:4" ht="14.65" thickBot="1" x14ac:dyDescent="0.5">
      <c r="A3765" s="17">
        <v>43658.666666666664</v>
      </c>
      <c r="B3765" s="19">
        <v>138.9</v>
      </c>
      <c r="C3765" t="s">
        <v>41</v>
      </c>
      <c r="D3765" t="str">
        <f>T_Stocks[[#This Row],[Ticker]] &amp; "-" &amp; DATE(YEAR(T_Stocks[[#This Row],[Fecha]]),MONTH(T_Stocks[[#This Row],[Fecha]]),DAY(T_Stocks[[#This Row],[Fecha]]))</f>
        <v>MSFT-43658</v>
      </c>
    </row>
    <row r="3766" spans="1:4" ht="14.65" thickBot="1" x14ac:dyDescent="0.5">
      <c r="A3766" s="17">
        <v>43661.666666666664</v>
      </c>
      <c r="B3766" s="19">
        <v>138.9</v>
      </c>
      <c r="C3766" t="s">
        <v>41</v>
      </c>
      <c r="D3766" t="str">
        <f>T_Stocks[[#This Row],[Ticker]] &amp; "-" &amp; DATE(YEAR(T_Stocks[[#This Row],[Fecha]]),MONTH(T_Stocks[[#This Row],[Fecha]]),DAY(T_Stocks[[#This Row],[Fecha]]))</f>
        <v>MSFT-43661</v>
      </c>
    </row>
    <row r="3767" spans="1:4" ht="14.65" thickBot="1" x14ac:dyDescent="0.5">
      <c r="A3767" s="17">
        <v>43662.666666666664</v>
      </c>
      <c r="B3767" s="19">
        <v>137.08000000000001</v>
      </c>
      <c r="C3767" t="s">
        <v>41</v>
      </c>
      <c r="D3767" t="str">
        <f>T_Stocks[[#This Row],[Ticker]] &amp; "-" &amp; DATE(YEAR(T_Stocks[[#This Row],[Fecha]]),MONTH(T_Stocks[[#This Row],[Fecha]]),DAY(T_Stocks[[#This Row],[Fecha]]))</f>
        <v>MSFT-43662</v>
      </c>
    </row>
    <row r="3768" spans="1:4" ht="14.65" thickBot="1" x14ac:dyDescent="0.5">
      <c r="A3768" s="17">
        <v>43663.666666666664</v>
      </c>
      <c r="B3768" s="19">
        <v>136.27000000000001</v>
      </c>
      <c r="C3768" t="s">
        <v>41</v>
      </c>
      <c r="D3768" t="str">
        <f>T_Stocks[[#This Row],[Ticker]] &amp; "-" &amp; DATE(YEAR(T_Stocks[[#This Row],[Fecha]]),MONTH(T_Stocks[[#This Row],[Fecha]]),DAY(T_Stocks[[#This Row],[Fecha]]))</f>
        <v>MSFT-43663</v>
      </c>
    </row>
    <row r="3769" spans="1:4" ht="14.65" thickBot="1" x14ac:dyDescent="0.5">
      <c r="A3769" s="17">
        <v>43664.666666666664</v>
      </c>
      <c r="B3769" s="19">
        <v>136.41999999999999</v>
      </c>
      <c r="C3769" t="s">
        <v>41</v>
      </c>
      <c r="D3769" t="str">
        <f>T_Stocks[[#This Row],[Ticker]] &amp; "-" &amp; DATE(YEAR(T_Stocks[[#This Row],[Fecha]]),MONTH(T_Stocks[[#This Row],[Fecha]]),DAY(T_Stocks[[#This Row],[Fecha]]))</f>
        <v>MSFT-43664</v>
      </c>
    </row>
    <row r="3770" spans="1:4" ht="14.65" thickBot="1" x14ac:dyDescent="0.5">
      <c r="A3770" s="17">
        <v>43665.666666666664</v>
      </c>
      <c r="B3770" s="19">
        <v>136.62</v>
      </c>
      <c r="C3770" t="s">
        <v>41</v>
      </c>
      <c r="D3770" t="str">
        <f>T_Stocks[[#This Row],[Ticker]] &amp; "-" &amp; DATE(YEAR(T_Stocks[[#This Row],[Fecha]]),MONTH(T_Stocks[[#This Row],[Fecha]]),DAY(T_Stocks[[#This Row],[Fecha]]))</f>
        <v>MSFT-43665</v>
      </c>
    </row>
    <row r="3771" spans="1:4" ht="14.65" thickBot="1" x14ac:dyDescent="0.5">
      <c r="A3771" s="17">
        <v>43668.666666666664</v>
      </c>
      <c r="B3771" s="19">
        <v>138.43</v>
      </c>
      <c r="C3771" t="s">
        <v>41</v>
      </c>
      <c r="D3771" t="str">
        <f>T_Stocks[[#This Row],[Ticker]] &amp; "-" &amp; DATE(YEAR(T_Stocks[[#This Row],[Fecha]]),MONTH(T_Stocks[[#This Row],[Fecha]]),DAY(T_Stocks[[#This Row],[Fecha]]))</f>
        <v>MSFT-43668</v>
      </c>
    </row>
    <row r="3772" spans="1:4" ht="14.65" thickBot="1" x14ac:dyDescent="0.5">
      <c r="A3772" s="17">
        <v>43669.666666666664</v>
      </c>
      <c r="B3772" s="19">
        <v>139.29</v>
      </c>
      <c r="C3772" t="s">
        <v>41</v>
      </c>
      <c r="D3772" t="str">
        <f>T_Stocks[[#This Row],[Ticker]] &amp; "-" &amp; DATE(YEAR(T_Stocks[[#This Row],[Fecha]]),MONTH(T_Stocks[[#This Row],[Fecha]]),DAY(T_Stocks[[#This Row],[Fecha]]))</f>
        <v>MSFT-43669</v>
      </c>
    </row>
    <row r="3773" spans="1:4" ht="14.65" thickBot="1" x14ac:dyDescent="0.5">
      <c r="A3773" s="17">
        <v>43670.666666666664</v>
      </c>
      <c r="B3773" s="19">
        <v>140.72</v>
      </c>
      <c r="C3773" t="s">
        <v>41</v>
      </c>
      <c r="D3773" t="str">
        <f>T_Stocks[[#This Row],[Ticker]] &amp; "-" &amp; DATE(YEAR(T_Stocks[[#This Row],[Fecha]]),MONTH(T_Stocks[[#This Row],[Fecha]]),DAY(T_Stocks[[#This Row],[Fecha]]))</f>
        <v>MSFT-43670</v>
      </c>
    </row>
    <row r="3774" spans="1:4" ht="14.65" thickBot="1" x14ac:dyDescent="0.5">
      <c r="A3774" s="17">
        <v>43671.666666666664</v>
      </c>
      <c r="B3774" s="19">
        <v>140.19</v>
      </c>
      <c r="C3774" t="s">
        <v>41</v>
      </c>
      <c r="D3774" t="str">
        <f>T_Stocks[[#This Row],[Ticker]] &amp; "-" &amp; DATE(YEAR(T_Stocks[[#This Row],[Fecha]]),MONTH(T_Stocks[[#This Row],[Fecha]]),DAY(T_Stocks[[#This Row],[Fecha]]))</f>
        <v>MSFT-43671</v>
      </c>
    </row>
    <row r="3775" spans="1:4" ht="14.65" thickBot="1" x14ac:dyDescent="0.5">
      <c r="A3775" s="17">
        <v>43672.666666666664</v>
      </c>
      <c r="B3775" s="19">
        <v>141.34</v>
      </c>
      <c r="C3775" t="s">
        <v>41</v>
      </c>
      <c r="D3775" t="str">
        <f>T_Stocks[[#This Row],[Ticker]] &amp; "-" &amp; DATE(YEAR(T_Stocks[[#This Row],[Fecha]]),MONTH(T_Stocks[[#This Row],[Fecha]]),DAY(T_Stocks[[#This Row],[Fecha]]))</f>
        <v>MSFT-43672</v>
      </c>
    </row>
    <row r="3776" spans="1:4" ht="14.65" thickBot="1" x14ac:dyDescent="0.5">
      <c r="A3776" s="17">
        <v>43675.666666666664</v>
      </c>
      <c r="B3776" s="19">
        <v>141.03</v>
      </c>
      <c r="C3776" t="s">
        <v>41</v>
      </c>
      <c r="D3776" t="str">
        <f>T_Stocks[[#This Row],[Ticker]] &amp; "-" &amp; DATE(YEAR(T_Stocks[[#This Row],[Fecha]]),MONTH(T_Stocks[[#This Row],[Fecha]]),DAY(T_Stocks[[#This Row],[Fecha]]))</f>
        <v>MSFT-43675</v>
      </c>
    </row>
    <row r="3777" spans="1:4" ht="14.65" thickBot="1" x14ac:dyDescent="0.5">
      <c r="A3777" s="17">
        <v>43676.666666666664</v>
      </c>
      <c r="B3777" s="19">
        <v>140.35</v>
      </c>
      <c r="C3777" t="s">
        <v>41</v>
      </c>
      <c r="D3777" t="str">
        <f>T_Stocks[[#This Row],[Ticker]] &amp; "-" &amp; DATE(YEAR(T_Stocks[[#This Row],[Fecha]]),MONTH(T_Stocks[[#This Row],[Fecha]]),DAY(T_Stocks[[#This Row],[Fecha]]))</f>
        <v>MSFT-43676</v>
      </c>
    </row>
    <row r="3778" spans="1:4" ht="14.65" thickBot="1" x14ac:dyDescent="0.5">
      <c r="A3778" s="17">
        <v>43677.666666666664</v>
      </c>
      <c r="B3778" s="19">
        <v>136.27000000000001</v>
      </c>
      <c r="C3778" t="s">
        <v>41</v>
      </c>
      <c r="D3778" t="str">
        <f>T_Stocks[[#This Row],[Ticker]] &amp; "-" &amp; DATE(YEAR(T_Stocks[[#This Row],[Fecha]]),MONTH(T_Stocks[[#This Row],[Fecha]]),DAY(T_Stocks[[#This Row],[Fecha]]))</f>
        <v>MSFT-43677</v>
      </c>
    </row>
    <row r="3779" spans="1:4" ht="14.65" thickBot="1" x14ac:dyDescent="0.5">
      <c r="A3779" s="17">
        <v>43678.666666666664</v>
      </c>
      <c r="B3779" s="19">
        <v>138.06</v>
      </c>
      <c r="C3779" t="s">
        <v>41</v>
      </c>
      <c r="D3779" t="str">
        <f>T_Stocks[[#This Row],[Ticker]] &amp; "-" &amp; DATE(YEAR(T_Stocks[[#This Row],[Fecha]]),MONTH(T_Stocks[[#This Row],[Fecha]]),DAY(T_Stocks[[#This Row],[Fecha]]))</f>
        <v>MSFT-43678</v>
      </c>
    </row>
    <row r="3780" spans="1:4" ht="14.65" thickBot="1" x14ac:dyDescent="0.5">
      <c r="A3780" s="17">
        <v>43679.666666666664</v>
      </c>
      <c r="B3780" s="19">
        <v>136.9</v>
      </c>
      <c r="C3780" t="s">
        <v>41</v>
      </c>
      <c r="D3780" t="str">
        <f>T_Stocks[[#This Row],[Ticker]] &amp; "-" &amp; DATE(YEAR(T_Stocks[[#This Row],[Fecha]]),MONTH(T_Stocks[[#This Row],[Fecha]]),DAY(T_Stocks[[#This Row],[Fecha]]))</f>
        <v>MSFT-43679</v>
      </c>
    </row>
    <row r="3781" spans="1:4" ht="14.65" thickBot="1" x14ac:dyDescent="0.5">
      <c r="A3781" s="17">
        <v>43682.666666666664</v>
      </c>
      <c r="B3781" s="19">
        <v>132.21</v>
      </c>
      <c r="C3781" t="s">
        <v>41</v>
      </c>
      <c r="D3781" t="str">
        <f>T_Stocks[[#This Row],[Ticker]] &amp; "-" &amp; DATE(YEAR(T_Stocks[[#This Row],[Fecha]]),MONTH(T_Stocks[[#This Row],[Fecha]]),DAY(T_Stocks[[#This Row],[Fecha]]))</f>
        <v>MSFT-43682</v>
      </c>
    </row>
    <row r="3782" spans="1:4" ht="14.65" thickBot="1" x14ac:dyDescent="0.5">
      <c r="A3782" s="17">
        <v>43683.666666666664</v>
      </c>
      <c r="B3782" s="19">
        <v>134.69</v>
      </c>
      <c r="C3782" t="s">
        <v>41</v>
      </c>
      <c r="D3782" t="str">
        <f>T_Stocks[[#This Row],[Ticker]] &amp; "-" &amp; DATE(YEAR(T_Stocks[[#This Row],[Fecha]]),MONTH(T_Stocks[[#This Row],[Fecha]]),DAY(T_Stocks[[#This Row],[Fecha]]))</f>
        <v>MSFT-43683</v>
      </c>
    </row>
    <row r="3783" spans="1:4" ht="14.65" thickBot="1" x14ac:dyDescent="0.5">
      <c r="A3783" s="17">
        <v>43684.666666666664</v>
      </c>
      <c r="B3783" s="19">
        <v>135.28</v>
      </c>
      <c r="C3783" t="s">
        <v>41</v>
      </c>
      <c r="D3783" t="str">
        <f>T_Stocks[[#This Row],[Ticker]] &amp; "-" &amp; DATE(YEAR(T_Stocks[[#This Row],[Fecha]]),MONTH(T_Stocks[[#This Row],[Fecha]]),DAY(T_Stocks[[#This Row],[Fecha]]))</f>
        <v>MSFT-43684</v>
      </c>
    </row>
    <row r="3784" spans="1:4" ht="14.65" thickBot="1" x14ac:dyDescent="0.5">
      <c r="A3784" s="17">
        <v>43685.666666666664</v>
      </c>
      <c r="B3784" s="19">
        <v>138.88999999999999</v>
      </c>
      <c r="C3784" t="s">
        <v>41</v>
      </c>
      <c r="D3784" t="str">
        <f>T_Stocks[[#This Row],[Ticker]] &amp; "-" &amp; DATE(YEAR(T_Stocks[[#This Row],[Fecha]]),MONTH(T_Stocks[[#This Row],[Fecha]]),DAY(T_Stocks[[#This Row],[Fecha]]))</f>
        <v>MSFT-43685</v>
      </c>
    </row>
    <row r="3785" spans="1:4" ht="14.65" thickBot="1" x14ac:dyDescent="0.5">
      <c r="A3785" s="17">
        <v>43686.666666666664</v>
      </c>
      <c r="B3785" s="19">
        <v>137.71</v>
      </c>
      <c r="C3785" t="s">
        <v>41</v>
      </c>
      <c r="D3785" t="str">
        <f>T_Stocks[[#This Row],[Ticker]] &amp; "-" &amp; DATE(YEAR(T_Stocks[[#This Row],[Fecha]]),MONTH(T_Stocks[[#This Row],[Fecha]]),DAY(T_Stocks[[#This Row],[Fecha]]))</f>
        <v>MSFT-43686</v>
      </c>
    </row>
    <row r="3786" spans="1:4" ht="14.65" thickBot="1" x14ac:dyDescent="0.5">
      <c r="A3786" s="17">
        <v>43689.666666666664</v>
      </c>
      <c r="B3786" s="19">
        <v>135.79</v>
      </c>
      <c r="C3786" t="s">
        <v>41</v>
      </c>
      <c r="D3786" t="str">
        <f>T_Stocks[[#This Row],[Ticker]] &amp; "-" &amp; DATE(YEAR(T_Stocks[[#This Row],[Fecha]]),MONTH(T_Stocks[[#This Row],[Fecha]]),DAY(T_Stocks[[#This Row],[Fecha]]))</f>
        <v>MSFT-43689</v>
      </c>
    </row>
    <row r="3787" spans="1:4" ht="14.65" thickBot="1" x14ac:dyDescent="0.5">
      <c r="A3787" s="17">
        <v>43690.666666666664</v>
      </c>
      <c r="B3787" s="19">
        <v>138.6</v>
      </c>
      <c r="C3787" t="s">
        <v>41</v>
      </c>
      <c r="D3787" t="str">
        <f>T_Stocks[[#This Row],[Ticker]] &amp; "-" &amp; DATE(YEAR(T_Stocks[[#This Row],[Fecha]]),MONTH(T_Stocks[[#This Row],[Fecha]]),DAY(T_Stocks[[#This Row],[Fecha]]))</f>
        <v>MSFT-43690</v>
      </c>
    </row>
    <row r="3788" spans="1:4" ht="14.65" thickBot="1" x14ac:dyDescent="0.5">
      <c r="A3788" s="17">
        <v>43691.666666666664</v>
      </c>
      <c r="B3788" s="19">
        <v>133.97999999999999</v>
      </c>
      <c r="C3788" t="s">
        <v>41</v>
      </c>
      <c r="D3788" t="str">
        <f>T_Stocks[[#This Row],[Ticker]] &amp; "-" &amp; DATE(YEAR(T_Stocks[[#This Row],[Fecha]]),MONTH(T_Stocks[[#This Row],[Fecha]]),DAY(T_Stocks[[#This Row],[Fecha]]))</f>
        <v>MSFT-43691</v>
      </c>
    </row>
    <row r="3789" spans="1:4" ht="14.65" thickBot="1" x14ac:dyDescent="0.5">
      <c r="A3789" s="17">
        <v>43692.666666666664</v>
      </c>
      <c r="B3789" s="19">
        <v>133.68</v>
      </c>
      <c r="C3789" t="s">
        <v>41</v>
      </c>
      <c r="D3789" t="str">
        <f>T_Stocks[[#This Row],[Ticker]] &amp; "-" &amp; DATE(YEAR(T_Stocks[[#This Row],[Fecha]]),MONTH(T_Stocks[[#This Row],[Fecha]]),DAY(T_Stocks[[#This Row],[Fecha]]))</f>
        <v>MSFT-43692</v>
      </c>
    </row>
    <row r="3790" spans="1:4" ht="14.65" thickBot="1" x14ac:dyDescent="0.5">
      <c r="A3790" s="17">
        <v>43693.666666666664</v>
      </c>
      <c r="B3790" s="19">
        <v>136.13</v>
      </c>
      <c r="C3790" t="s">
        <v>41</v>
      </c>
      <c r="D3790" t="str">
        <f>T_Stocks[[#This Row],[Ticker]] &amp; "-" &amp; DATE(YEAR(T_Stocks[[#This Row],[Fecha]]),MONTH(T_Stocks[[#This Row],[Fecha]]),DAY(T_Stocks[[#This Row],[Fecha]]))</f>
        <v>MSFT-43693</v>
      </c>
    </row>
    <row r="3791" spans="1:4" ht="14.65" thickBot="1" x14ac:dyDescent="0.5">
      <c r="A3791" s="17">
        <v>43696.666666666664</v>
      </c>
      <c r="B3791" s="19">
        <v>138.41</v>
      </c>
      <c r="C3791" t="s">
        <v>41</v>
      </c>
      <c r="D3791" t="str">
        <f>T_Stocks[[#This Row],[Ticker]] &amp; "-" &amp; DATE(YEAR(T_Stocks[[#This Row],[Fecha]]),MONTH(T_Stocks[[#This Row],[Fecha]]),DAY(T_Stocks[[#This Row],[Fecha]]))</f>
        <v>MSFT-43696</v>
      </c>
    </row>
    <row r="3792" spans="1:4" ht="14.65" thickBot="1" x14ac:dyDescent="0.5">
      <c r="A3792" s="17">
        <v>43697.666666666664</v>
      </c>
      <c r="B3792" s="19">
        <v>137.26</v>
      </c>
      <c r="C3792" t="s">
        <v>41</v>
      </c>
      <c r="D3792" t="str">
        <f>T_Stocks[[#This Row],[Ticker]] &amp; "-" &amp; DATE(YEAR(T_Stocks[[#This Row],[Fecha]]),MONTH(T_Stocks[[#This Row],[Fecha]]),DAY(T_Stocks[[#This Row],[Fecha]]))</f>
        <v>MSFT-43697</v>
      </c>
    </row>
    <row r="3793" spans="1:4" ht="14.65" thickBot="1" x14ac:dyDescent="0.5">
      <c r="A3793" s="17">
        <v>43698.666666666664</v>
      </c>
      <c r="B3793" s="19">
        <v>138.79</v>
      </c>
      <c r="C3793" t="s">
        <v>41</v>
      </c>
      <c r="D3793" t="str">
        <f>T_Stocks[[#This Row],[Ticker]] &amp; "-" &amp; DATE(YEAR(T_Stocks[[#This Row],[Fecha]]),MONTH(T_Stocks[[#This Row],[Fecha]]),DAY(T_Stocks[[#This Row],[Fecha]]))</f>
        <v>MSFT-43698</v>
      </c>
    </row>
    <row r="3794" spans="1:4" ht="14.65" thickBot="1" x14ac:dyDescent="0.5">
      <c r="A3794" s="17">
        <v>43699.666666666664</v>
      </c>
      <c r="B3794" s="19">
        <v>137.78</v>
      </c>
      <c r="C3794" t="s">
        <v>41</v>
      </c>
      <c r="D3794" t="str">
        <f>T_Stocks[[#This Row],[Ticker]] &amp; "-" &amp; DATE(YEAR(T_Stocks[[#This Row],[Fecha]]),MONTH(T_Stocks[[#This Row],[Fecha]]),DAY(T_Stocks[[#This Row],[Fecha]]))</f>
        <v>MSFT-43699</v>
      </c>
    </row>
    <row r="3795" spans="1:4" ht="14.65" thickBot="1" x14ac:dyDescent="0.5">
      <c r="A3795" s="17">
        <v>43700.666666666664</v>
      </c>
      <c r="B3795" s="19">
        <v>133.38999999999999</v>
      </c>
      <c r="C3795" t="s">
        <v>41</v>
      </c>
      <c r="D3795" t="str">
        <f>T_Stocks[[#This Row],[Ticker]] &amp; "-" &amp; DATE(YEAR(T_Stocks[[#This Row],[Fecha]]),MONTH(T_Stocks[[#This Row],[Fecha]]),DAY(T_Stocks[[#This Row],[Fecha]]))</f>
        <v>MSFT-43700</v>
      </c>
    </row>
    <row r="3796" spans="1:4" ht="14.65" thickBot="1" x14ac:dyDescent="0.5">
      <c r="A3796" s="17">
        <v>43703.666666666664</v>
      </c>
      <c r="B3796" s="19">
        <v>135.44999999999999</v>
      </c>
      <c r="C3796" t="s">
        <v>41</v>
      </c>
      <c r="D3796" t="str">
        <f>T_Stocks[[#This Row],[Ticker]] &amp; "-" &amp; DATE(YEAR(T_Stocks[[#This Row],[Fecha]]),MONTH(T_Stocks[[#This Row],[Fecha]]),DAY(T_Stocks[[#This Row],[Fecha]]))</f>
        <v>MSFT-43703</v>
      </c>
    </row>
    <row r="3797" spans="1:4" ht="14.65" thickBot="1" x14ac:dyDescent="0.5">
      <c r="A3797" s="17">
        <v>43704.666666666664</v>
      </c>
      <c r="B3797" s="19">
        <v>135.74</v>
      </c>
      <c r="C3797" t="s">
        <v>41</v>
      </c>
      <c r="D3797" t="str">
        <f>T_Stocks[[#This Row],[Ticker]] &amp; "-" &amp; DATE(YEAR(T_Stocks[[#This Row],[Fecha]]),MONTH(T_Stocks[[#This Row],[Fecha]]),DAY(T_Stocks[[#This Row],[Fecha]]))</f>
        <v>MSFT-43704</v>
      </c>
    </row>
    <row r="3798" spans="1:4" ht="14.65" thickBot="1" x14ac:dyDescent="0.5">
      <c r="A3798" s="17">
        <v>43705.666666666664</v>
      </c>
      <c r="B3798" s="19">
        <v>135.56</v>
      </c>
      <c r="C3798" t="s">
        <v>41</v>
      </c>
      <c r="D3798" t="str">
        <f>T_Stocks[[#This Row],[Ticker]] &amp; "-" &amp; DATE(YEAR(T_Stocks[[#This Row],[Fecha]]),MONTH(T_Stocks[[#This Row],[Fecha]]),DAY(T_Stocks[[#This Row],[Fecha]]))</f>
        <v>MSFT-43705</v>
      </c>
    </row>
    <row r="3799" spans="1:4" ht="14.65" thickBot="1" x14ac:dyDescent="0.5">
      <c r="A3799" s="17">
        <v>43706.666666666664</v>
      </c>
      <c r="B3799" s="19">
        <v>138.12</v>
      </c>
      <c r="C3799" t="s">
        <v>41</v>
      </c>
      <c r="D3799" t="str">
        <f>T_Stocks[[#This Row],[Ticker]] &amp; "-" &amp; DATE(YEAR(T_Stocks[[#This Row],[Fecha]]),MONTH(T_Stocks[[#This Row],[Fecha]]),DAY(T_Stocks[[#This Row],[Fecha]]))</f>
        <v>MSFT-43706</v>
      </c>
    </row>
    <row r="3800" spans="1:4" ht="14.65" thickBot="1" x14ac:dyDescent="0.5">
      <c r="A3800" s="17">
        <v>43707.666666666664</v>
      </c>
      <c r="B3800" s="19">
        <v>137.86000000000001</v>
      </c>
      <c r="C3800" t="s">
        <v>41</v>
      </c>
      <c r="D3800" t="str">
        <f>T_Stocks[[#This Row],[Ticker]] &amp; "-" &amp; DATE(YEAR(T_Stocks[[#This Row],[Fecha]]),MONTH(T_Stocks[[#This Row],[Fecha]]),DAY(T_Stocks[[#This Row],[Fecha]]))</f>
        <v>MSFT-43707</v>
      </c>
    </row>
    <row r="3801" spans="1:4" ht="14.65" thickBot="1" x14ac:dyDescent="0.5">
      <c r="A3801" s="17">
        <v>43711.666666666664</v>
      </c>
      <c r="B3801" s="19">
        <v>136.04</v>
      </c>
      <c r="C3801" t="s">
        <v>41</v>
      </c>
      <c r="D3801" t="str">
        <f>T_Stocks[[#This Row],[Ticker]] &amp; "-" &amp; DATE(YEAR(T_Stocks[[#This Row],[Fecha]]),MONTH(T_Stocks[[#This Row],[Fecha]]),DAY(T_Stocks[[#This Row],[Fecha]]))</f>
        <v>MSFT-43711</v>
      </c>
    </row>
    <row r="3802" spans="1:4" ht="14.65" thickBot="1" x14ac:dyDescent="0.5">
      <c r="A3802" s="17">
        <v>43712.666666666664</v>
      </c>
      <c r="B3802" s="19">
        <v>137.63</v>
      </c>
      <c r="C3802" t="s">
        <v>41</v>
      </c>
      <c r="D3802" t="str">
        <f>T_Stocks[[#This Row],[Ticker]] &amp; "-" &amp; DATE(YEAR(T_Stocks[[#This Row],[Fecha]]),MONTH(T_Stocks[[#This Row],[Fecha]]),DAY(T_Stocks[[#This Row],[Fecha]]))</f>
        <v>MSFT-43712</v>
      </c>
    </row>
    <row r="3803" spans="1:4" ht="14.65" thickBot="1" x14ac:dyDescent="0.5">
      <c r="A3803" s="17">
        <v>43713.666666666664</v>
      </c>
      <c r="B3803" s="19">
        <v>140.05000000000001</v>
      </c>
      <c r="C3803" t="s">
        <v>41</v>
      </c>
      <c r="D3803" t="str">
        <f>T_Stocks[[#This Row],[Ticker]] &amp; "-" &amp; DATE(YEAR(T_Stocks[[#This Row],[Fecha]]),MONTH(T_Stocks[[#This Row],[Fecha]]),DAY(T_Stocks[[#This Row],[Fecha]]))</f>
        <v>MSFT-43713</v>
      </c>
    </row>
    <row r="3804" spans="1:4" ht="14.65" thickBot="1" x14ac:dyDescent="0.5">
      <c r="A3804" s="17">
        <v>43714.666666666664</v>
      </c>
      <c r="B3804" s="19">
        <v>139.1</v>
      </c>
      <c r="C3804" t="s">
        <v>41</v>
      </c>
      <c r="D3804" t="str">
        <f>T_Stocks[[#This Row],[Ticker]] &amp; "-" &amp; DATE(YEAR(T_Stocks[[#This Row],[Fecha]]),MONTH(T_Stocks[[#This Row],[Fecha]]),DAY(T_Stocks[[#This Row],[Fecha]]))</f>
        <v>MSFT-43714</v>
      </c>
    </row>
    <row r="3805" spans="1:4" ht="14.65" thickBot="1" x14ac:dyDescent="0.5">
      <c r="A3805" s="17">
        <v>43717.666666666664</v>
      </c>
      <c r="B3805" s="19">
        <v>137.52000000000001</v>
      </c>
      <c r="C3805" t="s">
        <v>41</v>
      </c>
      <c r="D3805" t="str">
        <f>T_Stocks[[#This Row],[Ticker]] &amp; "-" &amp; DATE(YEAR(T_Stocks[[#This Row],[Fecha]]),MONTH(T_Stocks[[#This Row],[Fecha]]),DAY(T_Stocks[[#This Row],[Fecha]]))</f>
        <v>MSFT-43717</v>
      </c>
    </row>
    <row r="3806" spans="1:4" ht="14.65" thickBot="1" x14ac:dyDescent="0.5">
      <c r="A3806" s="17">
        <v>43718.666666666664</v>
      </c>
      <c r="B3806" s="19">
        <v>136.08000000000001</v>
      </c>
      <c r="C3806" t="s">
        <v>41</v>
      </c>
      <c r="D3806" t="str">
        <f>T_Stocks[[#This Row],[Ticker]] &amp; "-" &amp; DATE(YEAR(T_Stocks[[#This Row],[Fecha]]),MONTH(T_Stocks[[#This Row],[Fecha]]),DAY(T_Stocks[[#This Row],[Fecha]]))</f>
        <v>MSFT-43718</v>
      </c>
    </row>
    <row r="3807" spans="1:4" ht="14.65" thickBot="1" x14ac:dyDescent="0.5">
      <c r="A3807" s="17">
        <v>43719.666666666664</v>
      </c>
      <c r="B3807" s="19">
        <v>136.12</v>
      </c>
      <c r="C3807" t="s">
        <v>41</v>
      </c>
      <c r="D3807" t="str">
        <f>T_Stocks[[#This Row],[Ticker]] &amp; "-" &amp; DATE(YEAR(T_Stocks[[#This Row],[Fecha]]),MONTH(T_Stocks[[#This Row],[Fecha]]),DAY(T_Stocks[[#This Row],[Fecha]]))</f>
        <v>MSFT-43719</v>
      </c>
    </row>
    <row r="3808" spans="1:4" ht="14.65" thickBot="1" x14ac:dyDescent="0.5">
      <c r="A3808" s="17">
        <v>43720.666666666664</v>
      </c>
      <c r="B3808" s="19">
        <v>137.52000000000001</v>
      </c>
      <c r="C3808" t="s">
        <v>41</v>
      </c>
      <c r="D3808" t="str">
        <f>T_Stocks[[#This Row],[Ticker]] &amp; "-" &amp; DATE(YEAR(T_Stocks[[#This Row],[Fecha]]),MONTH(T_Stocks[[#This Row],[Fecha]]),DAY(T_Stocks[[#This Row],[Fecha]]))</f>
        <v>MSFT-43720</v>
      </c>
    </row>
    <row r="3809" spans="1:4" ht="14.65" thickBot="1" x14ac:dyDescent="0.5">
      <c r="A3809" s="17">
        <v>43721.666666666664</v>
      </c>
      <c r="B3809" s="19">
        <v>137.32</v>
      </c>
      <c r="C3809" t="s">
        <v>41</v>
      </c>
      <c r="D3809" t="str">
        <f>T_Stocks[[#This Row],[Ticker]] &amp; "-" &amp; DATE(YEAR(T_Stocks[[#This Row],[Fecha]]),MONTH(T_Stocks[[#This Row],[Fecha]]),DAY(T_Stocks[[#This Row],[Fecha]]))</f>
        <v>MSFT-43721</v>
      </c>
    </row>
    <row r="3810" spans="1:4" ht="14.65" thickBot="1" x14ac:dyDescent="0.5">
      <c r="A3810" s="17">
        <v>43724.666666666664</v>
      </c>
      <c r="B3810" s="19">
        <v>136.33000000000001</v>
      </c>
      <c r="C3810" t="s">
        <v>41</v>
      </c>
      <c r="D3810" t="str">
        <f>T_Stocks[[#This Row],[Ticker]] &amp; "-" &amp; DATE(YEAR(T_Stocks[[#This Row],[Fecha]]),MONTH(T_Stocks[[#This Row],[Fecha]]),DAY(T_Stocks[[#This Row],[Fecha]]))</f>
        <v>MSFT-43724</v>
      </c>
    </row>
    <row r="3811" spans="1:4" ht="14.65" thickBot="1" x14ac:dyDescent="0.5">
      <c r="A3811" s="17">
        <v>43725.666666666664</v>
      </c>
      <c r="B3811" s="19">
        <v>137.38999999999999</v>
      </c>
      <c r="C3811" t="s">
        <v>41</v>
      </c>
      <c r="D3811" t="str">
        <f>T_Stocks[[#This Row],[Ticker]] &amp; "-" &amp; DATE(YEAR(T_Stocks[[#This Row],[Fecha]]),MONTH(T_Stocks[[#This Row],[Fecha]]),DAY(T_Stocks[[#This Row],[Fecha]]))</f>
        <v>MSFT-43725</v>
      </c>
    </row>
    <row r="3812" spans="1:4" ht="14.65" thickBot="1" x14ac:dyDescent="0.5">
      <c r="A3812" s="17">
        <v>43726.666666666664</v>
      </c>
      <c r="B3812" s="19">
        <v>138.52000000000001</v>
      </c>
      <c r="C3812" t="s">
        <v>41</v>
      </c>
      <c r="D3812" t="str">
        <f>T_Stocks[[#This Row],[Ticker]] &amp; "-" &amp; DATE(YEAR(T_Stocks[[#This Row],[Fecha]]),MONTH(T_Stocks[[#This Row],[Fecha]]),DAY(T_Stocks[[#This Row],[Fecha]]))</f>
        <v>MSFT-43726</v>
      </c>
    </row>
    <row r="3813" spans="1:4" ht="14.65" thickBot="1" x14ac:dyDescent="0.5">
      <c r="A3813" s="17">
        <v>43727.666666666664</v>
      </c>
      <c r="B3813" s="19">
        <v>141.07</v>
      </c>
      <c r="C3813" t="s">
        <v>41</v>
      </c>
      <c r="D3813" t="str">
        <f>T_Stocks[[#This Row],[Ticker]] &amp; "-" &amp; DATE(YEAR(T_Stocks[[#This Row],[Fecha]]),MONTH(T_Stocks[[#This Row],[Fecha]]),DAY(T_Stocks[[#This Row],[Fecha]]))</f>
        <v>MSFT-43727</v>
      </c>
    </row>
    <row r="3814" spans="1:4" ht="14.65" thickBot="1" x14ac:dyDescent="0.5">
      <c r="A3814" s="17">
        <v>43728.666666666664</v>
      </c>
      <c r="B3814" s="19">
        <v>139.44</v>
      </c>
      <c r="C3814" t="s">
        <v>41</v>
      </c>
      <c r="D3814" t="str">
        <f>T_Stocks[[#This Row],[Ticker]] &amp; "-" &amp; DATE(YEAR(T_Stocks[[#This Row],[Fecha]]),MONTH(T_Stocks[[#This Row],[Fecha]]),DAY(T_Stocks[[#This Row],[Fecha]]))</f>
        <v>MSFT-43728</v>
      </c>
    </row>
    <row r="3815" spans="1:4" ht="14.65" thickBot="1" x14ac:dyDescent="0.5">
      <c r="A3815" s="17">
        <v>43731.666666666664</v>
      </c>
      <c r="B3815" s="19">
        <v>139.13999999999999</v>
      </c>
      <c r="C3815" t="s">
        <v>41</v>
      </c>
      <c r="D3815" t="str">
        <f>T_Stocks[[#This Row],[Ticker]] &amp; "-" &amp; DATE(YEAR(T_Stocks[[#This Row],[Fecha]]),MONTH(T_Stocks[[#This Row],[Fecha]]),DAY(T_Stocks[[#This Row],[Fecha]]))</f>
        <v>MSFT-43731</v>
      </c>
    </row>
    <row r="3816" spans="1:4" ht="14.65" thickBot="1" x14ac:dyDescent="0.5">
      <c r="A3816" s="17">
        <v>43732.666666666664</v>
      </c>
      <c r="B3816" s="19">
        <v>137.38</v>
      </c>
      <c r="C3816" t="s">
        <v>41</v>
      </c>
      <c r="D3816" t="str">
        <f>T_Stocks[[#This Row],[Ticker]] &amp; "-" &amp; DATE(YEAR(T_Stocks[[#This Row],[Fecha]]),MONTH(T_Stocks[[#This Row],[Fecha]]),DAY(T_Stocks[[#This Row],[Fecha]]))</f>
        <v>MSFT-43732</v>
      </c>
    </row>
    <row r="3817" spans="1:4" ht="14.65" thickBot="1" x14ac:dyDescent="0.5">
      <c r="A3817" s="17">
        <v>43733.666666666664</v>
      </c>
      <c r="B3817" s="19">
        <v>139.36000000000001</v>
      </c>
      <c r="C3817" t="s">
        <v>41</v>
      </c>
      <c r="D3817" t="str">
        <f>T_Stocks[[#This Row],[Ticker]] &amp; "-" &amp; DATE(YEAR(T_Stocks[[#This Row],[Fecha]]),MONTH(T_Stocks[[#This Row],[Fecha]]),DAY(T_Stocks[[#This Row],[Fecha]]))</f>
        <v>MSFT-43733</v>
      </c>
    </row>
    <row r="3818" spans="1:4" ht="14.65" thickBot="1" x14ac:dyDescent="0.5">
      <c r="A3818" s="17">
        <v>43734.666666666664</v>
      </c>
      <c r="B3818" s="19">
        <v>139.54</v>
      </c>
      <c r="C3818" t="s">
        <v>41</v>
      </c>
      <c r="D3818" t="str">
        <f>T_Stocks[[#This Row],[Ticker]] &amp; "-" &amp; DATE(YEAR(T_Stocks[[#This Row],[Fecha]]),MONTH(T_Stocks[[#This Row],[Fecha]]),DAY(T_Stocks[[#This Row],[Fecha]]))</f>
        <v>MSFT-43734</v>
      </c>
    </row>
    <row r="3819" spans="1:4" ht="14.65" thickBot="1" x14ac:dyDescent="0.5">
      <c r="A3819" s="17">
        <v>43735.666666666664</v>
      </c>
      <c r="B3819" s="19">
        <v>137.72999999999999</v>
      </c>
      <c r="C3819" t="s">
        <v>41</v>
      </c>
      <c r="D3819" t="str">
        <f>T_Stocks[[#This Row],[Ticker]] &amp; "-" &amp; DATE(YEAR(T_Stocks[[#This Row],[Fecha]]),MONTH(T_Stocks[[#This Row],[Fecha]]),DAY(T_Stocks[[#This Row],[Fecha]]))</f>
        <v>MSFT-43735</v>
      </c>
    </row>
    <row r="3820" spans="1:4" ht="14.65" thickBot="1" x14ac:dyDescent="0.5">
      <c r="A3820" s="17">
        <v>43738.666666666664</v>
      </c>
      <c r="B3820" s="19">
        <v>139.03</v>
      </c>
      <c r="C3820" t="s">
        <v>41</v>
      </c>
      <c r="D3820" t="str">
        <f>T_Stocks[[#This Row],[Ticker]] &amp; "-" &amp; DATE(YEAR(T_Stocks[[#This Row],[Fecha]]),MONTH(T_Stocks[[#This Row],[Fecha]]),DAY(T_Stocks[[#This Row],[Fecha]]))</f>
        <v>MSFT-43738</v>
      </c>
    </row>
    <row r="3821" spans="1:4" ht="14.65" thickBot="1" x14ac:dyDescent="0.5">
      <c r="A3821" s="17">
        <v>43739.666666666664</v>
      </c>
      <c r="B3821" s="19">
        <v>137.07</v>
      </c>
      <c r="C3821" t="s">
        <v>41</v>
      </c>
      <c r="D3821" t="str">
        <f>T_Stocks[[#This Row],[Ticker]] &amp; "-" &amp; DATE(YEAR(T_Stocks[[#This Row],[Fecha]]),MONTH(T_Stocks[[#This Row],[Fecha]]),DAY(T_Stocks[[#This Row],[Fecha]]))</f>
        <v>MSFT-43739</v>
      </c>
    </row>
    <row r="3822" spans="1:4" ht="14.65" thickBot="1" x14ac:dyDescent="0.5">
      <c r="A3822" s="17">
        <v>43740.666666666664</v>
      </c>
      <c r="B3822" s="19">
        <v>134.65</v>
      </c>
      <c r="C3822" t="s">
        <v>41</v>
      </c>
      <c r="D3822" t="str">
        <f>T_Stocks[[#This Row],[Ticker]] &amp; "-" &amp; DATE(YEAR(T_Stocks[[#This Row],[Fecha]]),MONTH(T_Stocks[[#This Row],[Fecha]]),DAY(T_Stocks[[#This Row],[Fecha]]))</f>
        <v>MSFT-43740</v>
      </c>
    </row>
    <row r="3823" spans="1:4" ht="14.65" thickBot="1" x14ac:dyDescent="0.5">
      <c r="A3823" s="17">
        <v>43741.666666666664</v>
      </c>
      <c r="B3823" s="19">
        <v>136.28</v>
      </c>
      <c r="C3823" t="s">
        <v>41</v>
      </c>
      <c r="D3823" t="str">
        <f>T_Stocks[[#This Row],[Ticker]] &amp; "-" &amp; DATE(YEAR(T_Stocks[[#This Row],[Fecha]]),MONTH(T_Stocks[[#This Row],[Fecha]]),DAY(T_Stocks[[#This Row],[Fecha]]))</f>
        <v>MSFT-43741</v>
      </c>
    </row>
    <row r="3824" spans="1:4" ht="14.65" thickBot="1" x14ac:dyDescent="0.5">
      <c r="A3824" s="17">
        <v>43742.666666666664</v>
      </c>
      <c r="B3824" s="19">
        <v>138.12</v>
      </c>
      <c r="C3824" t="s">
        <v>41</v>
      </c>
      <c r="D3824" t="str">
        <f>T_Stocks[[#This Row],[Ticker]] &amp; "-" &amp; DATE(YEAR(T_Stocks[[#This Row],[Fecha]]),MONTH(T_Stocks[[#This Row],[Fecha]]),DAY(T_Stocks[[#This Row],[Fecha]]))</f>
        <v>MSFT-43742</v>
      </c>
    </row>
    <row r="3825" spans="1:4" ht="14.65" thickBot="1" x14ac:dyDescent="0.5">
      <c r="A3825" s="17">
        <v>43745.666666666664</v>
      </c>
      <c r="B3825" s="19">
        <v>137.12</v>
      </c>
      <c r="C3825" t="s">
        <v>41</v>
      </c>
      <c r="D3825" t="str">
        <f>T_Stocks[[#This Row],[Ticker]] &amp; "-" &amp; DATE(YEAR(T_Stocks[[#This Row],[Fecha]]),MONTH(T_Stocks[[#This Row],[Fecha]]),DAY(T_Stocks[[#This Row],[Fecha]]))</f>
        <v>MSFT-43745</v>
      </c>
    </row>
    <row r="3826" spans="1:4" ht="14.65" thickBot="1" x14ac:dyDescent="0.5">
      <c r="A3826" s="17">
        <v>43746.666666666664</v>
      </c>
      <c r="B3826" s="19">
        <v>135.66999999999999</v>
      </c>
      <c r="C3826" t="s">
        <v>41</v>
      </c>
      <c r="D3826" t="str">
        <f>T_Stocks[[#This Row],[Ticker]] &amp; "-" &amp; DATE(YEAR(T_Stocks[[#This Row],[Fecha]]),MONTH(T_Stocks[[#This Row],[Fecha]]),DAY(T_Stocks[[#This Row],[Fecha]]))</f>
        <v>MSFT-43746</v>
      </c>
    </row>
    <row r="3827" spans="1:4" ht="14.65" thickBot="1" x14ac:dyDescent="0.5">
      <c r="A3827" s="17">
        <v>43747.666666666664</v>
      </c>
      <c r="B3827" s="19">
        <v>138.24</v>
      </c>
      <c r="C3827" t="s">
        <v>41</v>
      </c>
      <c r="D3827" t="str">
        <f>T_Stocks[[#This Row],[Ticker]] &amp; "-" &amp; DATE(YEAR(T_Stocks[[#This Row],[Fecha]]),MONTH(T_Stocks[[#This Row],[Fecha]]),DAY(T_Stocks[[#This Row],[Fecha]]))</f>
        <v>MSFT-43747</v>
      </c>
    </row>
    <row r="3828" spans="1:4" ht="14.65" thickBot="1" x14ac:dyDescent="0.5">
      <c r="A3828" s="17">
        <v>43748.666666666664</v>
      </c>
      <c r="B3828" s="19">
        <v>139.1</v>
      </c>
      <c r="C3828" t="s">
        <v>41</v>
      </c>
      <c r="D3828" t="str">
        <f>T_Stocks[[#This Row],[Ticker]] &amp; "-" &amp; DATE(YEAR(T_Stocks[[#This Row],[Fecha]]),MONTH(T_Stocks[[#This Row],[Fecha]]),DAY(T_Stocks[[#This Row],[Fecha]]))</f>
        <v>MSFT-43748</v>
      </c>
    </row>
    <row r="3829" spans="1:4" ht="14.65" thickBot="1" x14ac:dyDescent="0.5">
      <c r="A3829" s="17">
        <v>43749.666666666664</v>
      </c>
      <c r="B3829" s="19">
        <v>139.68</v>
      </c>
      <c r="C3829" t="s">
        <v>41</v>
      </c>
      <c r="D3829" t="str">
        <f>T_Stocks[[#This Row],[Ticker]] &amp; "-" &amp; DATE(YEAR(T_Stocks[[#This Row],[Fecha]]),MONTH(T_Stocks[[#This Row],[Fecha]]),DAY(T_Stocks[[#This Row],[Fecha]]))</f>
        <v>MSFT-43749</v>
      </c>
    </row>
    <row r="3830" spans="1:4" ht="14.65" thickBot="1" x14ac:dyDescent="0.5">
      <c r="A3830" s="17">
        <v>43752.666666666664</v>
      </c>
      <c r="B3830" s="19">
        <v>139.55000000000001</v>
      </c>
      <c r="C3830" t="s">
        <v>41</v>
      </c>
      <c r="D3830" t="str">
        <f>T_Stocks[[#This Row],[Ticker]] &amp; "-" &amp; DATE(YEAR(T_Stocks[[#This Row],[Fecha]]),MONTH(T_Stocks[[#This Row],[Fecha]]),DAY(T_Stocks[[#This Row],[Fecha]]))</f>
        <v>MSFT-43752</v>
      </c>
    </row>
    <row r="3831" spans="1:4" ht="14.65" thickBot="1" x14ac:dyDescent="0.5">
      <c r="A3831" s="17">
        <v>43753.666666666664</v>
      </c>
      <c r="B3831" s="19">
        <v>141.57</v>
      </c>
      <c r="C3831" t="s">
        <v>41</v>
      </c>
      <c r="D3831" t="str">
        <f>T_Stocks[[#This Row],[Ticker]] &amp; "-" &amp; DATE(YEAR(T_Stocks[[#This Row],[Fecha]]),MONTH(T_Stocks[[#This Row],[Fecha]]),DAY(T_Stocks[[#This Row],[Fecha]]))</f>
        <v>MSFT-43753</v>
      </c>
    </row>
    <row r="3832" spans="1:4" ht="14.65" thickBot="1" x14ac:dyDescent="0.5">
      <c r="A3832" s="17">
        <v>43754.666666666664</v>
      </c>
      <c r="B3832" s="19">
        <v>140.41</v>
      </c>
      <c r="C3832" t="s">
        <v>41</v>
      </c>
      <c r="D3832" t="str">
        <f>T_Stocks[[#This Row],[Ticker]] &amp; "-" &amp; DATE(YEAR(T_Stocks[[#This Row],[Fecha]]),MONTH(T_Stocks[[#This Row],[Fecha]]),DAY(T_Stocks[[#This Row],[Fecha]]))</f>
        <v>MSFT-43754</v>
      </c>
    </row>
    <row r="3833" spans="1:4" ht="14.65" thickBot="1" x14ac:dyDescent="0.5">
      <c r="A3833" s="17">
        <v>43755.666666666664</v>
      </c>
      <c r="B3833" s="19">
        <v>139.69</v>
      </c>
      <c r="C3833" t="s">
        <v>41</v>
      </c>
      <c r="D3833" t="str">
        <f>T_Stocks[[#This Row],[Ticker]] &amp; "-" &amp; DATE(YEAR(T_Stocks[[#This Row],[Fecha]]),MONTH(T_Stocks[[#This Row],[Fecha]]),DAY(T_Stocks[[#This Row],[Fecha]]))</f>
        <v>MSFT-43755</v>
      </c>
    </row>
    <row r="3834" spans="1:4" ht="14.65" thickBot="1" x14ac:dyDescent="0.5">
      <c r="A3834" s="17">
        <v>43756.666666666664</v>
      </c>
      <c r="B3834" s="19">
        <v>137.41</v>
      </c>
      <c r="C3834" t="s">
        <v>41</v>
      </c>
      <c r="D3834" t="str">
        <f>T_Stocks[[#This Row],[Ticker]] &amp; "-" &amp; DATE(YEAR(T_Stocks[[#This Row],[Fecha]]),MONTH(T_Stocks[[#This Row],[Fecha]]),DAY(T_Stocks[[#This Row],[Fecha]]))</f>
        <v>MSFT-43756</v>
      </c>
    </row>
    <row r="3835" spans="1:4" ht="14.65" thickBot="1" x14ac:dyDescent="0.5">
      <c r="A3835" s="17">
        <v>43759.666666666664</v>
      </c>
      <c r="B3835" s="19">
        <v>138.43</v>
      </c>
      <c r="C3835" t="s">
        <v>41</v>
      </c>
      <c r="D3835" t="str">
        <f>T_Stocks[[#This Row],[Ticker]] &amp; "-" &amp; DATE(YEAR(T_Stocks[[#This Row],[Fecha]]),MONTH(T_Stocks[[#This Row],[Fecha]]),DAY(T_Stocks[[#This Row],[Fecha]]))</f>
        <v>MSFT-43759</v>
      </c>
    </row>
    <row r="3836" spans="1:4" ht="14.65" thickBot="1" x14ac:dyDescent="0.5">
      <c r="A3836" s="17">
        <v>43760.666666666664</v>
      </c>
      <c r="B3836" s="19">
        <v>136.37</v>
      </c>
      <c r="C3836" t="s">
        <v>41</v>
      </c>
      <c r="D3836" t="str">
        <f>T_Stocks[[#This Row],[Ticker]] &amp; "-" &amp; DATE(YEAR(T_Stocks[[#This Row],[Fecha]]),MONTH(T_Stocks[[#This Row],[Fecha]]),DAY(T_Stocks[[#This Row],[Fecha]]))</f>
        <v>MSFT-43760</v>
      </c>
    </row>
    <row r="3837" spans="1:4" ht="14.65" thickBot="1" x14ac:dyDescent="0.5">
      <c r="A3837" s="17">
        <v>43761.666666666664</v>
      </c>
      <c r="B3837" s="19">
        <v>137.24</v>
      </c>
      <c r="C3837" t="s">
        <v>41</v>
      </c>
      <c r="D3837" t="str">
        <f>T_Stocks[[#This Row],[Ticker]] &amp; "-" &amp; DATE(YEAR(T_Stocks[[#This Row],[Fecha]]),MONTH(T_Stocks[[#This Row],[Fecha]]),DAY(T_Stocks[[#This Row],[Fecha]]))</f>
        <v>MSFT-43761</v>
      </c>
    </row>
    <row r="3838" spans="1:4" ht="14.65" thickBot="1" x14ac:dyDescent="0.5">
      <c r="A3838" s="17">
        <v>43762.666666666664</v>
      </c>
      <c r="B3838" s="19">
        <v>139.94</v>
      </c>
      <c r="C3838" t="s">
        <v>41</v>
      </c>
      <c r="D3838" t="str">
        <f>T_Stocks[[#This Row],[Ticker]] &amp; "-" &amp; DATE(YEAR(T_Stocks[[#This Row],[Fecha]]),MONTH(T_Stocks[[#This Row],[Fecha]]),DAY(T_Stocks[[#This Row],[Fecha]]))</f>
        <v>MSFT-43762</v>
      </c>
    </row>
    <row r="3839" spans="1:4" ht="14.65" thickBot="1" x14ac:dyDescent="0.5">
      <c r="A3839" s="17">
        <v>43763.666666666664</v>
      </c>
      <c r="B3839" s="19">
        <v>140.72999999999999</v>
      </c>
      <c r="C3839" t="s">
        <v>41</v>
      </c>
      <c r="D3839" t="str">
        <f>T_Stocks[[#This Row],[Ticker]] &amp; "-" &amp; DATE(YEAR(T_Stocks[[#This Row],[Fecha]]),MONTH(T_Stocks[[#This Row],[Fecha]]),DAY(T_Stocks[[#This Row],[Fecha]]))</f>
        <v>MSFT-43763</v>
      </c>
    </row>
    <row r="3840" spans="1:4" ht="14.65" thickBot="1" x14ac:dyDescent="0.5">
      <c r="A3840" s="17">
        <v>43766.666666666664</v>
      </c>
      <c r="B3840" s="19">
        <v>144.19</v>
      </c>
      <c r="C3840" t="s">
        <v>41</v>
      </c>
      <c r="D3840" t="str">
        <f>T_Stocks[[#This Row],[Ticker]] &amp; "-" &amp; DATE(YEAR(T_Stocks[[#This Row],[Fecha]]),MONTH(T_Stocks[[#This Row],[Fecha]]),DAY(T_Stocks[[#This Row],[Fecha]]))</f>
        <v>MSFT-43766</v>
      </c>
    </row>
    <row r="3841" spans="1:4" ht="14.65" thickBot="1" x14ac:dyDescent="0.5">
      <c r="A3841" s="17">
        <v>43767.666666666664</v>
      </c>
      <c r="B3841" s="19">
        <v>142.83000000000001</v>
      </c>
      <c r="C3841" t="s">
        <v>41</v>
      </c>
      <c r="D3841" t="str">
        <f>T_Stocks[[#This Row],[Ticker]] &amp; "-" &amp; DATE(YEAR(T_Stocks[[#This Row],[Fecha]]),MONTH(T_Stocks[[#This Row],[Fecha]]),DAY(T_Stocks[[#This Row],[Fecha]]))</f>
        <v>MSFT-43767</v>
      </c>
    </row>
    <row r="3842" spans="1:4" ht="14.65" thickBot="1" x14ac:dyDescent="0.5">
      <c r="A3842" s="17">
        <v>43768.666666666664</v>
      </c>
      <c r="B3842" s="19">
        <v>144.61000000000001</v>
      </c>
      <c r="C3842" t="s">
        <v>41</v>
      </c>
      <c r="D3842" t="str">
        <f>T_Stocks[[#This Row],[Ticker]] &amp; "-" &amp; DATE(YEAR(T_Stocks[[#This Row],[Fecha]]),MONTH(T_Stocks[[#This Row],[Fecha]]),DAY(T_Stocks[[#This Row],[Fecha]]))</f>
        <v>MSFT-43768</v>
      </c>
    </row>
    <row r="3843" spans="1:4" ht="14.65" thickBot="1" x14ac:dyDescent="0.5">
      <c r="A3843" s="17">
        <v>43769.666666666664</v>
      </c>
      <c r="B3843" s="19">
        <v>143.37</v>
      </c>
      <c r="C3843" t="s">
        <v>41</v>
      </c>
      <c r="D3843" t="str">
        <f>T_Stocks[[#This Row],[Ticker]] &amp; "-" &amp; DATE(YEAR(T_Stocks[[#This Row],[Fecha]]),MONTH(T_Stocks[[#This Row],[Fecha]]),DAY(T_Stocks[[#This Row],[Fecha]]))</f>
        <v>MSFT-43769</v>
      </c>
    </row>
    <row r="3844" spans="1:4" ht="14.65" thickBot="1" x14ac:dyDescent="0.5">
      <c r="A3844" s="17">
        <v>43770.666666666664</v>
      </c>
      <c r="B3844" s="19">
        <v>143.72</v>
      </c>
      <c r="C3844" t="s">
        <v>41</v>
      </c>
      <c r="D3844" t="str">
        <f>T_Stocks[[#This Row],[Ticker]] &amp; "-" &amp; DATE(YEAR(T_Stocks[[#This Row],[Fecha]]),MONTH(T_Stocks[[#This Row],[Fecha]]),DAY(T_Stocks[[#This Row],[Fecha]]))</f>
        <v>MSFT-43770</v>
      </c>
    </row>
    <row r="3845" spans="1:4" ht="14.65" thickBot="1" x14ac:dyDescent="0.5">
      <c r="A3845" s="17">
        <v>43773.666666666664</v>
      </c>
      <c r="B3845" s="19">
        <v>144.55000000000001</v>
      </c>
      <c r="C3845" t="s">
        <v>41</v>
      </c>
      <c r="D3845" t="str">
        <f>T_Stocks[[#This Row],[Ticker]] &amp; "-" &amp; DATE(YEAR(T_Stocks[[#This Row],[Fecha]]),MONTH(T_Stocks[[#This Row],[Fecha]]),DAY(T_Stocks[[#This Row],[Fecha]]))</f>
        <v>MSFT-43773</v>
      </c>
    </row>
    <row r="3846" spans="1:4" ht="14.65" thickBot="1" x14ac:dyDescent="0.5">
      <c r="A3846" s="17">
        <v>43774.666666666664</v>
      </c>
      <c r="B3846" s="19">
        <v>144.46</v>
      </c>
      <c r="C3846" t="s">
        <v>41</v>
      </c>
      <c r="D3846" t="str">
        <f>T_Stocks[[#This Row],[Ticker]] &amp; "-" &amp; DATE(YEAR(T_Stocks[[#This Row],[Fecha]]),MONTH(T_Stocks[[#This Row],[Fecha]]),DAY(T_Stocks[[#This Row],[Fecha]]))</f>
        <v>MSFT-43774</v>
      </c>
    </row>
    <row r="3847" spans="1:4" ht="14.65" thickBot="1" x14ac:dyDescent="0.5">
      <c r="A3847" s="17">
        <v>43775.666666666664</v>
      </c>
      <c r="B3847" s="19">
        <v>144.06</v>
      </c>
      <c r="C3847" t="s">
        <v>41</v>
      </c>
      <c r="D3847" t="str">
        <f>T_Stocks[[#This Row],[Ticker]] &amp; "-" &amp; DATE(YEAR(T_Stocks[[#This Row],[Fecha]]),MONTH(T_Stocks[[#This Row],[Fecha]]),DAY(T_Stocks[[#This Row],[Fecha]]))</f>
        <v>MSFT-43775</v>
      </c>
    </row>
    <row r="3848" spans="1:4" ht="14.65" thickBot="1" x14ac:dyDescent="0.5">
      <c r="A3848" s="17">
        <v>43776.666666666664</v>
      </c>
      <c r="B3848" s="19">
        <v>144.26</v>
      </c>
      <c r="C3848" t="s">
        <v>41</v>
      </c>
      <c r="D3848" t="str">
        <f>T_Stocks[[#This Row],[Ticker]] &amp; "-" &amp; DATE(YEAR(T_Stocks[[#This Row],[Fecha]]),MONTH(T_Stocks[[#This Row],[Fecha]]),DAY(T_Stocks[[#This Row],[Fecha]]))</f>
        <v>MSFT-43776</v>
      </c>
    </row>
    <row r="3849" spans="1:4" ht="14.65" thickBot="1" x14ac:dyDescent="0.5">
      <c r="A3849" s="17">
        <v>43777.666666666664</v>
      </c>
      <c r="B3849" s="19">
        <v>145.96</v>
      </c>
      <c r="C3849" t="s">
        <v>41</v>
      </c>
      <c r="D3849" t="str">
        <f>T_Stocks[[#This Row],[Ticker]] &amp; "-" &amp; DATE(YEAR(T_Stocks[[#This Row],[Fecha]]),MONTH(T_Stocks[[#This Row],[Fecha]]),DAY(T_Stocks[[#This Row],[Fecha]]))</f>
        <v>MSFT-43777</v>
      </c>
    </row>
    <row r="3850" spans="1:4" ht="14.65" thickBot="1" x14ac:dyDescent="0.5">
      <c r="A3850" s="17">
        <v>43780.666666666664</v>
      </c>
      <c r="B3850" s="19">
        <v>146.11000000000001</v>
      </c>
      <c r="C3850" t="s">
        <v>41</v>
      </c>
      <c r="D3850" t="str">
        <f>T_Stocks[[#This Row],[Ticker]] &amp; "-" &amp; DATE(YEAR(T_Stocks[[#This Row],[Fecha]]),MONTH(T_Stocks[[#This Row],[Fecha]]),DAY(T_Stocks[[#This Row],[Fecha]]))</f>
        <v>MSFT-43780</v>
      </c>
    </row>
    <row r="3851" spans="1:4" ht="14.65" thickBot="1" x14ac:dyDescent="0.5">
      <c r="A3851" s="17">
        <v>43781.666666666664</v>
      </c>
      <c r="B3851" s="19">
        <v>147.07</v>
      </c>
      <c r="C3851" t="s">
        <v>41</v>
      </c>
      <c r="D3851" t="str">
        <f>T_Stocks[[#This Row],[Ticker]] &amp; "-" &amp; DATE(YEAR(T_Stocks[[#This Row],[Fecha]]),MONTH(T_Stocks[[#This Row],[Fecha]]),DAY(T_Stocks[[#This Row],[Fecha]]))</f>
        <v>MSFT-43781</v>
      </c>
    </row>
    <row r="3852" spans="1:4" ht="14.65" thickBot="1" x14ac:dyDescent="0.5">
      <c r="A3852" s="17">
        <v>43782.666666666664</v>
      </c>
      <c r="B3852" s="19">
        <v>147.31</v>
      </c>
      <c r="C3852" t="s">
        <v>41</v>
      </c>
      <c r="D3852" t="str">
        <f>T_Stocks[[#This Row],[Ticker]] &amp; "-" &amp; DATE(YEAR(T_Stocks[[#This Row],[Fecha]]),MONTH(T_Stocks[[#This Row],[Fecha]]),DAY(T_Stocks[[#This Row],[Fecha]]))</f>
        <v>MSFT-43782</v>
      </c>
    </row>
    <row r="3853" spans="1:4" ht="14.65" thickBot="1" x14ac:dyDescent="0.5">
      <c r="A3853" s="17">
        <v>43783.666666666664</v>
      </c>
      <c r="B3853" s="19">
        <v>148.06</v>
      </c>
      <c r="C3853" t="s">
        <v>41</v>
      </c>
      <c r="D3853" t="str">
        <f>T_Stocks[[#This Row],[Ticker]] &amp; "-" &amp; DATE(YEAR(T_Stocks[[#This Row],[Fecha]]),MONTH(T_Stocks[[#This Row],[Fecha]]),DAY(T_Stocks[[#This Row],[Fecha]]))</f>
        <v>MSFT-43783</v>
      </c>
    </row>
    <row r="3854" spans="1:4" ht="14.65" thickBot="1" x14ac:dyDescent="0.5">
      <c r="A3854" s="17">
        <v>43784.666666666664</v>
      </c>
      <c r="B3854" s="19">
        <v>149.97</v>
      </c>
      <c r="C3854" t="s">
        <v>41</v>
      </c>
      <c r="D3854" t="str">
        <f>T_Stocks[[#This Row],[Ticker]] &amp; "-" &amp; DATE(YEAR(T_Stocks[[#This Row],[Fecha]]),MONTH(T_Stocks[[#This Row],[Fecha]]),DAY(T_Stocks[[#This Row],[Fecha]]))</f>
        <v>MSFT-43784</v>
      </c>
    </row>
    <row r="3855" spans="1:4" ht="14.65" thickBot="1" x14ac:dyDescent="0.5">
      <c r="A3855" s="17">
        <v>43787.666666666664</v>
      </c>
      <c r="B3855" s="19">
        <v>150.34</v>
      </c>
      <c r="C3855" t="s">
        <v>41</v>
      </c>
      <c r="D3855" t="str">
        <f>T_Stocks[[#This Row],[Ticker]] &amp; "-" &amp; DATE(YEAR(T_Stocks[[#This Row],[Fecha]]),MONTH(T_Stocks[[#This Row],[Fecha]]),DAY(T_Stocks[[#This Row],[Fecha]]))</f>
        <v>MSFT-43787</v>
      </c>
    </row>
    <row r="3856" spans="1:4" ht="14.65" thickBot="1" x14ac:dyDescent="0.5">
      <c r="A3856" s="17">
        <v>43788.666666666664</v>
      </c>
      <c r="B3856" s="19">
        <v>150.38999999999999</v>
      </c>
      <c r="C3856" t="s">
        <v>41</v>
      </c>
      <c r="D3856" t="str">
        <f>T_Stocks[[#This Row],[Ticker]] &amp; "-" &amp; DATE(YEAR(T_Stocks[[#This Row],[Fecha]]),MONTH(T_Stocks[[#This Row],[Fecha]]),DAY(T_Stocks[[#This Row],[Fecha]]))</f>
        <v>MSFT-43788</v>
      </c>
    </row>
    <row r="3857" spans="1:4" ht="14.65" thickBot="1" x14ac:dyDescent="0.5">
      <c r="A3857" s="17">
        <v>43789.666666666664</v>
      </c>
      <c r="B3857" s="19">
        <v>149.62</v>
      </c>
      <c r="C3857" t="s">
        <v>41</v>
      </c>
      <c r="D3857" t="str">
        <f>T_Stocks[[#This Row],[Ticker]] &amp; "-" &amp; DATE(YEAR(T_Stocks[[#This Row],[Fecha]]),MONTH(T_Stocks[[#This Row],[Fecha]]),DAY(T_Stocks[[#This Row],[Fecha]]))</f>
        <v>MSFT-43789</v>
      </c>
    </row>
    <row r="3858" spans="1:4" ht="14.65" thickBot="1" x14ac:dyDescent="0.5">
      <c r="A3858" s="17">
        <v>43790.666666666664</v>
      </c>
      <c r="B3858" s="19">
        <v>149.47999999999999</v>
      </c>
      <c r="C3858" t="s">
        <v>41</v>
      </c>
      <c r="D3858" t="str">
        <f>T_Stocks[[#This Row],[Ticker]] &amp; "-" &amp; DATE(YEAR(T_Stocks[[#This Row],[Fecha]]),MONTH(T_Stocks[[#This Row],[Fecha]]),DAY(T_Stocks[[#This Row],[Fecha]]))</f>
        <v>MSFT-43790</v>
      </c>
    </row>
    <row r="3859" spans="1:4" ht="14.65" thickBot="1" x14ac:dyDescent="0.5">
      <c r="A3859" s="17">
        <v>43791.666666666664</v>
      </c>
      <c r="B3859" s="19">
        <v>149.59</v>
      </c>
      <c r="C3859" t="s">
        <v>41</v>
      </c>
      <c r="D3859" t="str">
        <f>T_Stocks[[#This Row],[Ticker]] &amp; "-" &amp; DATE(YEAR(T_Stocks[[#This Row],[Fecha]]),MONTH(T_Stocks[[#This Row],[Fecha]]),DAY(T_Stocks[[#This Row],[Fecha]]))</f>
        <v>MSFT-43791</v>
      </c>
    </row>
    <row r="3860" spans="1:4" ht="14.65" thickBot="1" x14ac:dyDescent="0.5">
      <c r="A3860" s="17">
        <v>43794.666666666664</v>
      </c>
      <c r="B3860" s="19">
        <v>151.22999999999999</v>
      </c>
      <c r="C3860" t="s">
        <v>41</v>
      </c>
      <c r="D3860" t="str">
        <f>T_Stocks[[#This Row],[Ticker]] &amp; "-" &amp; DATE(YEAR(T_Stocks[[#This Row],[Fecha]]),MONTH(T_Stocks[[#This Row],[Fecha]]),DAY(T_Stocks[[#This Row],[Fecha]]))</f>
        <v>MSFT-43794</v>
      </c>
    </row>
    <row r="3861" spans="1:4" ht="14.65" thickBot="1" x14ac:dyDescent="0.5">
      <c r="A3861" s="17">
        <v>43795.666666666664</v>
      </c>
      <c r="B3861" s="19">
        <v>152.03</v>
      </c>
      <c r="C3861" t="s">
        <v>41</v>
      </c>
      <c r="D3861" t="str">
        <f>T_Stocks[[#This Row],[Ticker]] &amp; "-" &amp; DATE(YEAR(T_Stocks[[#This Row],[Fecha]]),MONTH(T_Stocks[[#This Row],[Fecha]]),DAY(T_Stocks[[#This Row],[Fecha]]))</f>
        <v>MSFT-43795</v>
      </c>
    </row>
    <row r="3862" spans="1:4" ht="14.65" thickBot="1" x14ac:dyDescent="0.5">
      <c r="A3862" s="17">
        <v>43796.666666666664</v>
      </c>
      <c r="B3862" s="19">
        <v>152.32</v>
      </c>
      <c r="C3862" t="s">
        <v>41</v>
      </c>
      <c r="D3862" t="str">
        <f>T_Stocks[[#This Row],[Ticker]] &amp; "-" &amp; DATE(YEAR(T_Stocks[[#This Row],[Fecha]]),MONTH(T_Stocks[[#This Row],[Fecha]]),DAY(T_Stocks[[#This Row],[Fecha]]))</f>
        <v>MSFT-43796</v>
      </c>
    </row>
    <row r="3863" spans="1:4" ht="14.65" thickBot="1" x14ac:dyDescent="0.5">
      <c r="A3863" s="17">
        <v>43798.541666666664</v>
      </c>
      <c r="B3863" s="19">
        <v>151.38</v>
      </c>
      <c r="C3863" t="s">
        <v>41</v>
      </c>
      <c r="D3863" t="str">
        <f>T_Stocks[[#This Row],[Ticker]] &amp; "-" &amp; DATE(YEAR(T_Stocks[[#This Row],[Fecha]]),MONTH(T_Stocks[[#This Row],[Fecha]]),DAY(T_Stocks[[#This Row],[Fecha]]))</f>
        <v>MSFT-43798</v>
      </c>
    </row>
    <row r="3864" spans="1:4" ht="14.65" thickBot="1" x14ac:dyDescent="0.5">
      <c r="A3864" s="17">
        <v>43801.666666666664</v>
      </c>
      <c r="B3864" s="19">
        <v>149.55000000000001</v>
      </c>
      <c r="C3864" t="s">
        <v>41</v>
      </c>
      <c r="D3864" t="str">
        <f>T_Stocks[[#This Row],[Ticker]] &amp; "-" &amp; DATE(YEAR(T_Stocks[[#This Row],[Fecha]]),MONTH(T_Stocks[[#This Row],[Fecha]]),DAY(T_Stocks[[#This Row],[Fecha]]))</f>
        <v>MSFT-43801</v>
      </c>
    </row>
    <row r="3865" spans="1:4" ht="14.65" thickBot="1" x14ac:dyDescent="0.5">
      <c r="A3865" s="17">
        <v>43802.666666666664</v>
      </c>
      <c r="B3865" s="19">
        <v>149.31</v>
      </c>
      <c r="C3865" t="s">
        <v>41</v>
      </c>
      <c r="D3865" t="str">
        <f>T_Stocks[[#This Row],[Ticker]] &amp; "-" &amp; DATE(YEAR(T_Stocks[[#This Row],[Fecha]]),MONTH(T_Stocks[[#This Row],[Fecha]]),DAY(T_Stocks[[#This Row],[Fecha]]))</f>
        <v>MSFT-43802</v>
      </c>
    </row>
    <row r="3866" spans="1:4" ht="14.65" thickBot="1" x14ac:dyDescent="0.5">
      <c r="A3866" s="17">
        <v>43803.666666666664</v>
      </c>
      <c r="B3866" s="19">
        <v>149.85</v>
      </c>
      <c r="C3866" t="s">
        <v>41</v>
      </c>
      <c r="D3866" t="str">
        <f>T_Stocks[[#This Row],[Ticker]] &amp; "-" &amp; DATE(YEAR(T_Stocks[[#This Row],[Fecha]]),MONTH(T_Stocks[[#This Row],[Fecha]]),DAY(T_Stocks[[#This Row],[Fecha]]))</f>
        <v>MSFT-43803</v>
      </c>
    </row>
    <row r="3867" spans="1:4" ht="14.65" thickBot="1" x14ac:dyDescent="0.5">
      <c r="A3867" s="17">
        <v>43804.666666666664</v>
      </c>
      <c r="B3867" s="19">
        <v>149.93</v>
      </c>
      <c r="C3867" t="s">
        <v>41</v>
      </c>
      <c r="D3867" t="str">
        <f>T_Stocks[[#This Row],[Ticker]] &amp; "-" &amp; DATE(YEAR(T_Stocks[[#This Row],[Fecha]]),MONTH(T_Stocks[[#This Row],[Fecha]]),DAY(T_Stocks[[#This Row],[Fecha]]))</f>
        <v>MSFT-43804</v>
      </c>
    </row>
    <row r="3868" spans="1:4" ht="14.65" thickBot="1" x14ac:dyDescent="0.5">
      <c r="A3868" s="17">
        <v>43805.666666666664</v>
      </c>
      <c r="B3868" s="19">
        <v>151.75</v>
      </c>
      <c r="C3868" t="s">
        <v>41</v>
      </c>
      <c r="D3868" t="str">
        <f>T_Stocks[[#This Row],[Ticker]] &amp; "-" &amp; DATE(YEAR(T_Stocks[[#This Row],[Fecha]]),MONTH(T_Stocks[[#This Row],[Fecha]]),DAY(T_Stocks[[#This Row],[Fecha]]))</f>
        <v>MSFT-43805</v>
      </c>
    </row>
    <row r="3869" spans="1:4" ht="14.65" thickBot="1" x14ac:dyDescent="0.5">
      <c r="A3869" s="17">
        <v>43808.666666666664</v>
      </c>
      <c r="B3869" s="19">
        <v>151.75</v>
      </c>
      <c r="C3869" t="s">
        <v>41</v>
      </c>
      <c r="D3869" t="str">
        <f>T_Stocks[[#This Row],[Ticker]] &amp; "-" &amp; DATE(YEAR(T_Stocks[[#This Row],[Fecha]]),MONTH(T_Stocks[[#This Row],[Fecha]]),DAY(T_Stocks[[#This Row],[Fecha]]))</f>
        <v>MSFT-43808</v>
      </c>
    </row>
    <row r="3870" spans="1:4" ht="14.65" thickBot="1" x14ac:dyDescent="0.5">
      <c r="A3870" s="17">
        <v>43809.666666666664</v>
      </c>
      <c r="B3870" s="19">
        <v>151.13</v>
      </c>
      <c r="C3870" t="s">
        <v>41</v>
      </c>
      <c r="D3870" t="str">
        <f>T_Stocks[[#This Row],[Ticker]] &amp; "-" &amp; DATE(YEAR(T_Stocks[[#This Row],[Fecha]]),MONTH(T_Stocks[[#This Row],[Fecha]]),DAY(T_Stocks[[#This Row],[Fecha]]))</f>
        <v>MSFT-43809</v>
      </c>
    </row>
    <row r="3871" spans="1:4" ht="14.65" thickBot="1" x14ac:dyDescent="0.5">
      <c r="A3871" s="17">
        <v>43810.666666666664</v>
      </c>
      <c r="B3871" s="19">
        <v>151.69999999999999</v>
      </c>
      <c r="C3871" t="s">
        <v>41</v>
      </c>
      <c r="D3871" t="str">
        <f>T_Stocks[[#This Row],[Ticker]] &amp; "-" &amp; DATE(YEAR(T_Stocks[[#This Row],[Fecha]]),MONTH(T_Stocks[[#This Row],[Fecha]]),DAY(T_Stocks[[#This Row],[Fecha]]))</f>
        <v>MSFT-43810</v>
      </c>
    </row>
    <row r="3872" spans="1:4" ht="14.65" thickBot="1" x14ac:dyDescent="0.5">
      <c r="A3872" s="17">
        <v>43811.666666666664</v>
      </c>
      <c r="B3872" s="19">
        <v>153.24</v>
      </c>
      <c r="C3872" t="s">
        <v>41</v>
      </c>
      <c r="D3872" t="str">
        <f>T_Stocks[[#This Row],[Ticker]] &amp; "-" &amp; DATE(YEAR(T_Stocks[[#This Row],[Fecha]]),MONTH(T_Stocks[[#This Row],[Fecha]]),DAY(T_Stocks[[#This Row],[Fecha]]))</f>
        <v>MSFT-43811</v>
      </c>
    </row>
    <row r="3873" spans="1:4" ht="14.65" thickBot="1" x14ac:dyDescent="0.5">
      <c r="A3873" s="17">
        <v>43812.666666666664</v>
      </c>
      <c r="B3873" s="19">
        <v>154.53</v>
      </c>
      <c r="C3873" t="s">
        <v>41</v>
      </c>
      <c r="D3873" t="str">
        <f>T_Stocks[[#This Row],[Ticker]] &amp; "-" &amp; DATE(YEAR(T_Stocks[[#This Row],[Fecha]]),MONTH(T_Stocks[[#This Row],[Fecha]]),DAY(T_Stocks[[#This Row],[Fecha]]))</f>
        <v>MSFT-43812</v>
      </c>
    </row>
    <row r="3874" spans="1:4" ht="14.65" thickBot="1" x14ac:dyDescent="0.5">
      <c r="A3874" s="17">
        <v>43815.666666666664</v>
      </c>
      <c r="B3874" s="19">
        <v>155.53</v>
      </c>
      <c r="C3874" t="s">
        <v>41</v>
      </c>
      <c r="D3874" t="str">
        <f>T_Stocks[[#This Row],[Ticker]] &amp; "-" &amp; DATE(YEAR(T_Stocks[[#This Row],[Fecha]]),MONTH(T_Stocks[[#This Row],[Fecha]]),DAY(T_Stocks[[#This Row],[Fecha]]))</f>
        <v>MSFT-43815</v>
      </c>
    </row>
    <row r="3875" spans="1:4" ht="14.65" thickBot="1" x14ac:dyDescent="0.5">
      <c r="A3875" s="17">
        <v>43816.666666666664</v>
      </c>
      <c r="B3875" s="19">
        <v>154.69</v>
      </c>
      <c r="C3875" t="s">
        <v>41</v>
      </c>
      <c r="D3875" t="str">
        <f>T_Stocks[[#This Row],[Ticker]] &amp; "-" &amp; DATE(YEAR(T_Stocks[[#This Row],[Fecha]]),MONTH(T_Stocks[[#This Row],[Fecha]]),DAY(T_Stocks[[#This Row],[Fecha]]))</f>
        <v>MSFT-43816</v>
      </c>
    </row>
    <row r="3876" spans="1:4" ht="14.65" thickBot="1" x14ac:dyDescent="0.5">
      <c r="A3876" s="17">
        <v>43817.666666666664</v>
      </c>
      <c r="B3876" s="19">
        <v>154.37</v>
      </c>
      <c r="C3876" t="s">
        <v>41</v>
      </c>
      <c r="D3876" t="str">
        <f>T_Stocks[[#This Row],[Ticker]] &amp; "-" &amp; DATE(YEAR(T_Stocks[[#This Row],[Fecha]]),MONTH(T_Stocks[[#This Row],[Fecha]]),DAY(T_Stocks[[#This Row],[Fecha]]))</f>
        <v>MSFT-43817</v>
      </c>
    </row>
    <row r="3877" spans="1:4" ht="14.65" thickBot="1" x14ac:dyDescent="0.5">
      <c r="A3877" s="17">
        <v>43818.666666666664</v>
      </c>
      <c r="B3877" s="19">
        <v>155.71</v>
      </c>
      <c r="C3877" t="s">
        <v>41</v>
      </c>
      <c r="D3877" t="str">
        <f>T_Stocks[[#This Row],[Ticker]] &amp; "-" &amp; DATE(YEAR(T_Stocks[[#This Row],[Fecha]]),MONTH(T_Stocks[[#This Row],[Fecha]]),DAY(T_Stocks[[#This Row],[Fecha]]))</f>
        <v>MSFT-43818</v>
      </c>
    </row>
    <row r="3878" spans="1:4" ht="14.65" thickBot="1" x14ac:dyDescent="0.5">
      <c r="A3878" s="17">
        <v>43819.666666666664</v>
      </c>
      <c r="B3878" s="19">
        <v>157.41</v>
      </c>
      <c r="C3878" t="s">
        <v>41</v>
      </c>
      <c r="D3878" t="str">
        <f>T_Stocks[[#This Row],[Ticker]] &amp; "-" &amp; DATE(YEAR(T_Stocks[[#This Row],[Fecha]]),MONTH(T_Stocks[[#This Row],[Fecha]]),DAY(T_Stocks[[#This Row],[Fecha]]))</f>
        <v>MSFT-43819</v>
      </c>
    </row>
    <row r="3879" spans="1:4" ht="14.65" thickBot="1" x14ac:dyDescent="0.5">
      <c r="A3879" s="17">
        <v>43822.666666666664</v>
      </c>
      <c r="B3879" s="19">
        <v>157.41</v>
      </c>
      <c r="C3879" t="s">
        <v>41</v>
      </c>
      <c r="D3879" t="str">
        <f>T_Stocks[[#This Row],[Ticker]] &amp; "-" &amp; DATE(YEAR(T_Stocks[[#This Row],[Fecha]]),MONTH(T_Stocks[[#This Row],[Fecha]]),DAY(T_Stocks[[#This Row],[Fecha]]))</f>
        <v>MSFT-43822</v>
      </c>
    </row>
    <row r="3880" spans="1:4" ht="14.65" thickBot="1" x14ac:dyDescent="0.5">
      <c r="A3880" s="17">
        <v>43823.541666666664</v>
      </c>
      <c r="B3880" s="19">
        <v>157.38</v>
      </c>
      <c r="C3880" t="s">
        <v>41</v>
      </c>
      <c r="D3880" t="str">
        <f>T_Stocks[[#This Row],[Ticker]] &amp; "-" &amp; DATE(YEAR(T_Stocks[[#This Row],[Fecha]]),MONTH(T_Stocks[[#This Row],[Fecha]]),DAY(T_Stocks[[#This Row],[Fecha]]))</f>
        <v>MSFT-43823</v>
      </c>
    </row>
    <row r="3881" spans="1:4" ht="14.65" thickBot="1" x14ac:dyDescent="0.5">
      <c r="A3881" s="17">
        <v>43825.666666666664</v>
      </c>
      <c r="B3881" s="19">
        <v>158.66999999999999</v>
      </c>
      <c r="C3881" t="s">
        <v>41</v>
      </c>
      <c r="D3881" t="str">
        <f>T_Stocks[[#This Row],[Ticker]] &amp; "-" &amp; DATE(YEAR(T_Stocks[[#This Row],[Fecha]]),MONTH(T_Stocks[[#This Row],[Fecha]]),DAY(T_Stocks[[#This Row],[Fecha]]))</f>
        <v>MSFT-43825</v>
      </c>
    </row>
    <row r="3882" spans="1:4" ht="14.65" thickBot="1" x14ac:dyDescent="0.5">
      <c r="A3882" s="17">
        <v>43826.666666666664</v>
      </c>
      <c r="B3882" s="19">
        <v>158.96</v>
      </c>
      <c r="C3882" t="s">
        <v>41</v>
      </c>
      <c r="D3882" t="str">
        <f>T_Stocks[[#This Row],[Ticker]] &amp; "-" &amp; DATE(YEAR(T_Stocks[[#This Row],[Fecha]]),MONTH(T_Stocks[[#This Row],[Fecha]]),DAY(T_Stocks[[#This Row],[Fecha]]))</f>
        <v>MSFT-43826</v>
      </c>
    </row>
    <row r="3883" spans="1:4" ht="14.65" thickBot="1" x14ac:dyDescent="0.5">
      <c r="A3883" s="17">
        <v>43829.666666666664</v>
      </c>
      <c r="B3883" s="19">
        <v>157.59</v>
      </c>
      <c r="C3883" t="s">
        <v>41</v>
      </c>
      <c r="D3883" t="str">
        <f>T_Stocks[[#This Row],[Ticker]] &amp; "-" &amp; DATE(YEAR(T_Stocks[[#This Row],[Fecha]]),MONTH(T_Stocks[[#This Row],[Fecha]]),DAY(T_Stocks[[#This Row],[Fecha]]))</f>
        <v>MSFT-43829</v>
      </c>
    </row>
    <row r="3884" spans="1:4" ht="14.65" thickBot="1" x14ac:dyDescent="0.5">
      <c r="A3884" s="17">
        <v>43830.666666666664</v>
      </c>
      <c r="B3884" s="19">
        <v>157.69999999999999</v>
      </c>
      <c r="C3884" t="s">
        <v>41</v>
      </c>
      <c r="D3884" t="str">
        <f>T_Stocks[[#This Row],[Ticker]] &amp; "-" &amp; DATE(YEAR(T_Stocks[[#This Row],[Fecha]]),MONTH(T_Stocks[[#This Row],[Fecha]]),DAY(T_Stocks[[#This Row],[Fecha]]))</f>
        <v>MSFT-43830</v>
      </c>
    </row>
    <row r="3885" spans="1:4" ht="14.65" thickBot="1" x14ac:dyDescent="0.5">
      <c r="A3885" s="17">
        <v>43832.666666666664</v>
      </c>
      <c r="B3885" s="19">
        <v>160.62</v>
      </c>
      <c r="C3885" t="s">
        <v>41</v>
      </c>
      <c r="D3885" t="str">
        <f>T_Stocks[[#This Row],[Ticker]] &amp; "-" &amp; DATE(YEAR(T_Stocks[[#This Row],[Fecha]]),MONTH(T_Stocks[[#This Row],[Fecha]]),DAY(T_Stocks[[#This Row],[Fecha]]))</f>
        <v>MSFT-43832</v>
      </c>
    </row>
    <row r="3886" spans="1:4" ht="14.65" thickBot="1" x14ac:dyDescent="0.5">
      <c r="A3886" s="17">
        <v>43833.666666666664</v>
      </c>
      <c r="B3886" s="19">
        <v>158.62</v>
      </c>
      <c r="C3886" t="s">
        <v>41</v>
      </c>
      <c r="D3886" t="str">
        <f>T_Stocks[[#This Row],[Ticker]] &amp; "-" &amp; DATE(YEAR(T_Stocks[[#This Row],[Fecha]]),MONTH(T_Stocks[[#This Row],[Fecha]]),DAY(T_Stocks[[#This Row],[Fecha]]))</f>
        <v>MSFT-43833</v>
      </c>
    </row>
    <row r="3887" spans="1:4" ht="14.65" thickBot="1" x14ac:dyDescent="0.5">
      <c r="A3887" s="17">
        <v>43836.666666666664</v>
      </c>
      <c r="B3887" s="19">
        <v>159.03</v>
      </c>
      <c r="C3887" t="s">
        <v>41</v>
      </c>
      <c r="D3887" t="str">
        <f>T_Stocks[[#This Row],[Ticker]] &amp; "-" &amp; DATE(YEAR(T_Stocks[[#This Row],[Fecha]]),MONTH(T_Stocks[[#This Row],[Fecha]]),DAY(T_Stocks[[#This Row],[Fecha]]))</f>
        <v>MSFT-43836</v>
      </c>
    </row>
    <row r="3888" spans="1:4" ht="14.65" thickBot="1" x14ac:dyDescent="0.5">
      <c r="A3888" s="17">
        <v>43837.666666666664</v>
      </c>
      <c r="B3888" s="19">
        <v>157.58000000000001</v>
      </c>
      <c r="C3888" t="s">
        <v>41</v>
      </c>
      <c r="D3888" t="str">
        <f>T_Stocks[[#This Row],[Ticker]] &amp; "-" &amp; DATE(YEAR(T_Stocks[[#This Row],[Fecha]]),MONTH(T_Stocks[[#This Row],[Fecha]]),DAY(T_Stocks[[#This Row],[Fecha]]))</f>
        <v>MSFT-43837</v>
      </c>
    </row>
    <row r="3889" spans="1:4" ht="14.65" thickBot="1" x14ac:dyDescent="0.5">
      <c r="A3889" s="17">
        <v>43838.666666666664</v>
      </c>
      <c r="B3889" s="19">
        <v>160.09</v>
      </c>
      <c r="C3889" t="s">
        <v>41</v>
      </c>
      <c r="D3889" t="str">
        <f>T_Stocks[[#This Row],[Ticker]] &amp; "-" &amp; DATE(YEAR(T_Stocks[[#This Row],[Fecha]]),MONTH(T_Stocks[[#This Row],[Fecha]]),DAY(T_Stocks[[#This Row],[Fecha]]))</f>
        <v>MSFT-43838</v>
      </c>
    </row>
    <row r="3890" spans="1:4" ht="14.65" thickBot="1" x14ac:dyDescent="0.5">
      <c r="A3890" s="17">
        <v>43839.666666666664</v>
      </c>
      <c r="B3890" s="19">
        <v>162.09</v>
      </c>
      <c r="C3890" t="s">
        <v>41</v>
      </c>
      <c r="D3890" t="str">
        <f>T_Stocks[[#This Row],[Ticker]] &amp; "-" &amp; DATE(YEAR(T_Stocks[[#This Row],[Fecha]]),MONTH(T_Stocks[[#This Row],[Fecha]]),DAY(T_Stocks[[#This Row],[Fecha]]))</f>
        <v>MSFT-43839</v>
      </c>
    </row>
    <row r="3891" spans="1:4" ht="14.65" thickBot="1" x14ac:dyDescent="0.5">
      <c r="A3891" s="17">
        <v>43840.666666666664</v>
      </c>
      <c r="B3891" s="19">
        <v>161.34</v>
      </c>
      <c r="C3891" t="s">
        <v>41</v>
      </c>
      <c r="D3891" t="str">
        <f>T_Stocks[[#This Row],[Ticker]] &amp; "-" &amp; DATE(YEAR(T_Stocks[[#This Row],[Fecha]]),MONTH(T_Stocks[[#This Row],[Fecha]]),DAY(T_Stocks[[#This Row],[Fecha]]))</f>
        <v>MSFT-43840</v>
      </c>
    </row>
    <row r="3892" spans="1:4" ht="14.65" thickBot="1" x14ac:dyDescent="0.5">
      <c r="A3892" s="17">
        <v>43843.666666666664</v>
      </c>
      <c r="B3892" s="19">
        <v>163.28</v>
      </c>
      <c r="C3892" t="s">
        <v>41</v>
      </c>
      <c r="D3892" t="str">
        <f>T_Stocks[[#This Row],[Ticker]] &amp; "-" &amp; DATE(YEAR(T_Stocks[[#This Row],[Fecha]]),MONTH(T_Stocks[[#This Row],[Fecha]]),DAY(T_Stocks[[#This Row],[Fecha]]))</f>
        <v>MSFT-43843</v>
      </c>
    </row>
    <row r="3893" spans="1:4" ht="14.65" thickBot="1" x14ac:dyDescent="0.5">
      <c r="A3893" s="17">
        <v>43844.666666666664</v>
      </c>
      <c r="B3893" s="19">
        <v>162.13</v>
      </c>
      <c r="C3893" t="s">
        <v>41</v>
      </c>
      <c r="D3893" t="str">
        <f>T_Stocks[[#This Row],[Ticker]] &amp; "-" &amp; DATE(YEAR(T_Stocks[[#This Row],[Fecha]]),MONTH(T_Stocks[[#This Row],[Fecha]]),DAY(T_Stocks[[#This Row],[Fecha]]))</f>
        <v>MSFT-43844</v>
      </c>
    </row>
    <row r="3894" spans="1:4" ht="14.65" thickBot="1" x14ac:dyDescent="0.5">
      <c r="A3894" s="17">
        <v>43845.666666666664</v>
      </c>
      <c r="B3894" s="19">
        <v>163.18</v>
      </c>
      <c r="C3894" t="s">
        <v>41</v>
      </c>
      <c r="D3894" t="str">
        <f>T_Stocks[[#This Row],[Ticker]] &amp; "-" &amp; DATE(YEAR(T_Stocks[[#This Row],[Fecha]]),MONTH(T_Stocks[[#This Row],[Fecha]]),DAY(T_Stocks[[#This Row],[Fecha]]))</f>
        <v>MSFT-43845</v>
      </c>
    </row>
    <row r="3895" spans="1:4" ht="14.65" thickBot="1" x14ac:dyDescent="0.5">
      <c r="A3895" s="17">
        <v>43846.666666666664</v>
      </c>
      <c r="B3895" s="19">
        <v>166.17</v>
      </c>
      <c r="C3895" t="s">
        <v>41</v>
      </c>
      <c r="D3895" t="str">
        <f>T_Stocks[[#This Row],[Ticker]] &amp; "-" &amp; DATE(YEAR(T_Stocks[[#This Row],[Fecha]]),MONTH(T_Stocks[[#This Row],[Fecha]]),DAY(T_Stocks[[#This Row],[Fecha]]))</f>
        <v>MSFT-43846</v>
      </c>
    </row>
    <row r="3896" spans="1:4" ht="14.65" thickBot="1" x14ac:dyDescent="0.5">
      <c r="A3896" s="17">
        <v>43847.666666666664</v>
      </c>
      <c r="B3896" s="19">
        <v>167.1</v>
      </c>
      <c r="C3896" t="s">
        <v>41</v>
      </c>
      <c r="D3896" t="str">
        <f>T_Stocks[[#This Row],[Ticker]] &amp; "-" &amp; DATE(YEAR(T_Stocks[[#This Row],[Fecha]]),MONTH(T_Stocks[[#This Row],[Fecha]]),DAY(T_Stocks[[#This Row],[Fecha]]))</f>
        <v>MSFT-43847</v>
      </c>
    </row>
    <row r="3897" spans="1:4" ht="14.65" thickBot="1" x14ac:dyDescent="0.5">
      <c r="A3897" s="17">
        <v>43851.666666666664</v>
      </c>
      <c r="B3897" s="19">
        <v>166.5</v>
      </c>
      <c r="C3897" t="s">
        <v>41</v>
      </c>
      <c r="D3897" t="str">
        <f>T_Stocks[[#This Row],[Ticker]] &amp; "-" &amp; DATE(YEAR(T_Stocks[[#This Row],[Fecha]]),MONTH(T_Stocks[[#This Row],[Fecha]]),DAY(T_Stocks[[#This Row],[Fecha]]))</f>
        <v>MSFT-43851</v>
      </c>
    </row>
    <row r="3898" spans="1:4" ht="14.65" thickBot="1" x14ac:dyDescent="0.5">
      <c r="A3898" s="17">
        <v>43852.666666666664</v>
      </c>
      <c r="B3898" s="19">
        <v>165.7</v>
      </c>
      <c r="C3898" t="s">
        <v>41</v>
      </c>
      <c r="D3898" t="str">
        <f>T_Stocks[[#This Row],[Ticker]] &amp; "-" &amp; DATE(YEAR(T_Stocks[[#This Row],[Fecha]]),MONTH(T_Stocks[[#This Row],[Fecha]]),DAY(T_Stocks[[#This Row],[Fecha]]))</f>
        <v>MSFT-43852</v>
      </c>
    </row>
    <row r="3899" spans="1:4" ht="14.65" thickBot="1" x14ac:dyDescent="0.5">
      <c r="A3899" s="17">
        <v>43853.666666666664</v>
      </c>
      <c r="B3899" s="19">
        <v>166.72</v>
      </c>
      <c r="C3899" t="s">
        <v>41</v>
      </c>
      <c r="D3899" t="str">
        <f>T_Stocks[[#This Row],[Ticker]] &amp; "-" &amp; DATE(YEAR(T_Stocks[[#This Row],[Fecha]]),MONTH(T_Stocks[[#This Row],[Fecha]]),DAY(T_Stocks[[#This Row],[Fecha]]))</f>
        <v>MSFT-43853</v>
      </c>
    </row>
    <row r="3900" spans="1:4" ht="14.65" thickBot="1" x14ac:dyDescent="0.5">
      <c r="A3900" s="17">
        <v>43854.666666666664</v>
      </c>
      <c r="B3900" s="19">
        <v>165.04</v>
      </c>
      <c r="C3900" t="s">
        <v>41</v>
      </c>
      <c r="D3900" t="str">
        <f>T_Stocks[[#This Row],[Ticker]] &amp; "-" &amp; DATE(YEAR(T_Stocks[[#This Row],[Fecha]]),MONTH(T_Stocks[[#This Row],[Fecha]]),DAY(T_Stocks[[#This Row],[Fecha]]))</f>
        <v>MSFT-43854</v>
      </c>
    </row>
    <row r="3901" spans="1:4" ht="14.65" thickBot="1" x14ac:dyDescent="0.5">
      <c r="A3901" s="17">
        <v>43857.666666666664</v>
      </c>
      <c r="B3901" s="19">
        <v>162.28</v>
      </c>
      <c r="C3901" t="s">
        <v>41</v>
      </c>
      <c r="D3901" t="str">
        <f>T_Stocks[[#This Row],[Ticker]] &amp; "-" &amp; DATE(YEAR(T_Stocks[[#This Row],[Fecha]]),MONTH(T_Stocks[[#This Row],[Fecha]]),DAY(T_Stocks[[#This Row],[Fecha]]))</f>
        <v>MSFT-43857</v>
      </c>
    </row>
    <row r="3902" spans="1:4" ht="14.65" thickBot="1" x14ac:dyDescent="0.5">
      <c r="A3902" s="17">
        <v>43858.666666666664</v>
      </c>
      <c r="B3902" s="19">
        <v>165.46</v>
      </c>
      <c r="C3902" t="s">
        <v>41</v>
      </c>
      <c r="D3902" t="str">
        <f>T_Stocks[[#This Row],[Ticker]] &amp; "-" &amp; DATE(YEAR(T_Stocks[[#This Row],[Fecha]]),MONTH(T_Stocks[[#This Row],[Fecha]]),DAY(T_Stocks[[#This Row],[Fecha]]))</f>
        <v>MSFT-43858</v>
      </c>
    </row>
    <row r="3903" spans="1:4" ht="14.65" thickBot="1" x14ac:dyDescent="0.5">
      <c r="A3903" s="17">
        <v>43859.666666666664</v>
      </c>
      <c r="B3903" s="19">
        <v>168.04</v>
      </c>
      <c r="C3903" t="s">
        <v>41</v>
      </c>
      <c r="D3903" t="str">
        <f>T_Stocks[[#This Row],[Ticker]] &amp; "-" &amp; DATE(YEAR(T_Stocks[[#This Row],[Fecha]]),MONTH(T_Stocks[[#This Row],[Fecha]]),DAY(T_Stocks[[#This Row],[Fecha]]))</f>
        <v>MSFT-43859</v>
      </c>
    </row>
    <row r="3904" spans="1:4" ht="14.65" thickBot="1" x14ac:dyDescent="0.5">
      <c r="A3904" s="17">
        <v>43860.666666666664</v>
      </c>
      <c r="B3904" s="19">
        <v>172.78</v>
      </c>
      <c r="C3904" t="s">
        <v>41</v>
      </c>
      <c r="D3904" t="str">
        <f>T_Stocks[[#This Row],[Ticker]] &amp; "-" &amp; DATE(YEAR(T_Stocks[[#This Row],[Fecha]]),MONTH(T_Stocks[[#This Row],[Fecha]]),DAY(T_Stocks[[#This Row],[Fecha]]))</f>
        <v>MSFT-43860</v>
      </c>
    </row>
    <row r="3905" spans="1:4" ht="14.65" thickBot="1" x14ac:dyDescent="0.5">
      <c r="A3905" s="17">
        <v>43861.666666666664</v>
      </c>
      <c r="B3905" s="19">
        <v>170.23</v>
      </c>
      <c r="C3905" t="s">
        <v>41</v>
      </c>
      <c r="D3905" t="str">
        <f>T_Stocks[[#This Row],[Ticker]] &amp; "-" &amp; DATE(YEAR(T_Stocks[[#This Row],[Fecha]]),MONTH(T_Stocks[[#This Row],[Fecha]]),DAY(T_Stocks[[#This Row],[Fecha]]))</f>
        <v>MSFT-43861</v>
      </c>
    </row>
    <row r="3906" spans="1:4" ht="14.65" thickBot="1" x14ac:dyDescent="0.5">
      <c r="A3906" s="17">
        <v>43864.666666666664</v>
      </c>
      <c r="B3906" s="19">
        <v>174.38</v>
      </c>
      <c r="C3906" t="s">
        <v>41</v>
      </c>
      <c r="D3906" t="str">
        <f>T_Stocks[[#This Row],[Ticker]] &amp; "-" &amp; DATE(YEAR(T_Stocks[[#This Row],[Fecha]]),MONTH(T_Stocks[[#This Row],[Fecha]]),DAY(T_Stocks[[#This Row],[Fecha]]))</f>
        <v>MSFT-43864</v>
      </c>
    </row>
    <row r="3907" spans="1:4" ht="14.65" thickBot="1" x14ac:dyDescent="0.5">
      <c r="A3907" s="17">
        <v>43865.666666666664</v>
      </c>
      <c r="B3907" s="19">
        <v>180.12</v>
      </c>
      <c r="C3907" t="s">
        <v>41</v>
      </c>
      <c r="D3907" t="str">
        <f>T_Stocks[[#This Row],[Ticker]] &amp; "-" &amp; DATE(YEAR(T_Stocks[[#This Row],[Fecha]]),MONTH(T_Stocks[[#This Row],[Fecha]]),DAY(T_Stocks[[#This Row],[Fecha]]))</f>
        <v>MSFT-43865</v>
      </c>
    </row>
    <row r="3908" spans="1:4" ht="14.65" thickBot="1" x14ac:dyDescent="0.5">
      <c r="A3908" s="17">
        <v>43866.666666666664</v>
      </c>
      <c r="B3908" s="19">
        <v>179.9</v>
      </c>
      <c r="C3908" t="s">
        <v>41</v>
      </c>
      <c r="D3908" t="str">
        <f>T_Stocks[[#This Row],[Ticker]] &amp; "-" &amp; DATE(YEAR(T_Stocks[[#This Row],[Fecha]]),MONTH(T_Stocks[[#This Row],[Fecha]]),DAY(T_Stocks[[#This Row],[Fecha]]))</f>
        <v>MSFT-43866</v>
      </c>
    </row>
    <row r="3909" spans="1:4" ht="14.65" thickBot="1" x14ac:dyDescent="0.5">
      <c r="A3909" s="17">
        <v>43867.666666666664</v>
      </c>
      <c r="B3909" s="19">
        <v>183.63</v>
      </c>
      <c r="C3909" t="s">
        <v>41</v>
      </c>
      <c r="D3909" t="str">
        <f>T_Stocks[[#This Row],[Ticker]] &amp; "-" &amp; DATE(YEAR(T_Stocks[[#This Row],[Fecha]]),MONTH(T_Stocks[[#This Row],[Fecha]]),DAY(T_Stocks[[#This Row],[Fecha]]))</f>
        <v>MSFT-43867</v>
      </c>
    </row>
    <row r="3910" spans="1:4" ht="14.65" thickBot="1" x14ac:dyDescent="0.5">
      <c r="A3910" s="17">
        <v>43868.666666666664</v>
      </c>
      <c r="B3910" s="19">
        <v>183.89</v>
      </c>
      <c r="C3910" t="s">
        <v>41</v>
      </c>
      <c r="D3910" t="str">
        <f>T_Stocks[[#This Row],[Ticker]] &amp; "-" &amp; DATE(YEAR(T_Stocks[[#This Row],[Fecha]]),MONTH(T_Stocks[[#This Row],[Fecha]]),DAY(T_Stocks[[#This Row],[Fecha]]))</f>
        <v>MSFT-43868</v>
      </c>
    </row>
    <row r="3911" spans="1:4" ht="14.65" thickBot="1" x14ac:dyDescent="0.5">
      <c r="A3911" s="17">
        <v>43871.666666666664</v>
      </c>
      <c r="B3911" s="19">
        <v>188.7</v>
      </c>
      <c r="C3911" t="s">
        <v>41</v>
      </c>
      <c r="D3911" t="str">
        <f>T_Stocks[[#This Row],[Ticker]] &amp; "-" &amp; DATE(YEAR(T_Stocks[[#This Row],[Fecha]]),MONTH(T_Stocks[[#This Row],[Fecha]]),DAY(T_Stocks[[#This Row],[Fecha]]))</f>
        <v>MSFT-43871</v>
      </c>
    </row>
    <row r="3912" spans="1:4" ht="14.65" thickBot="1" x14ac:dyDescent="0.5">
      <c r="A3912" s="17">
        <v>43872.666666666664</v>
      </c>
      <c r="B3912" s="19">
        <v>184.44</v>
      </c>
      <c r="C3912" t="s">
        <v>41</v>
      </c>
      <c r="D3912" t="str">
        <f>T_Stocks[[#This Row],[Ticker]] &amp; "-" &amp; DATE(YEAR(T_Stocks[[#This Row],[Fecha]]),MONTH(T_Stocks[[#This Row],[Fecha]]),DAY(T_Stocks[[#This Row],[Fecha]]))</f>
        <v>MSFT-43872</v>
      </c>
    </row>
    <row r="3913" spans="1:4" ht="14.65" thickBot="1" x14ac:dyDescent="0.5">
      <c r="A3913" s="17">
        <v>43873.666666666664</v>
      </c>
      <c r="B3913" s="19">
        <v>184.71</v>
      </c>
      <c r="C3913" t="s">
        <v>41</v>
      </c>
      <c r="D3913" t="str">
        <f>T_Stocks[[#This Row],[Ticker]] &amp; "-" &amp; DATE(YEAR(T_Stocks[[#This Row],[Fecha]]),MONTH(T_Stocks[[#This Row],[Fecha]]),DAY(T_Stocks[[#This Row],[Fecha]]))</f>
        <v>MSFT-43873</v>
      </c>
    </row>
    <row r="3914" spans="1:4" ht="14.65" thickBot="1" x14ac:dyDescent="0.5">
      <c r="A3914" s="17">
        <v>43874.666666666664</v>
      </c>
      <c r="B3914" s="19">
        <v>183.71</v>
      </c>
      <c r="C3914" t="s">
        <v>41</v>
      </c>
      <c r="D3914" t="str">
        <f>T_Stocks[[#This Row],[Ticker]] &amp; "-" &amp; DATE(YEAR(T_Stocks[[#This Row],[Fecha]]),MONTH(T_Stocks[[#This Row],[Fecha]]),DAY(T_Stocks[[#This Row],[Fecha]]))</f>
        <v>MSFT-43874</v>
      </c>
    </row>
    <row r="3915" spans="1:4" ht="14.65" thickBot="1" x14ac:dyDescent="0.5">
      <c r="A3915" s="17">
        <v>43875.666666666664</v>
      </c>
      <c r="B3915" s="19">
        <v>185.35</v>
      </c>
      <c r="C3915" t="s">
        <v>41</v>
      </c>
      <c r="D3915" t="str">
        <f>T_Stocks[[#This Row],[Ticker]] &amp; "-" &amp; DATE(YEAR(T_Stocks[[#This Row],[Fecha]]),MONTH(T_Stocks[[#This Row],[Fecha]]),DAY(T_Stocks[[#This Row],[Fecha]]))</f>
        <v>MSFT-43875</v>
      </c>
    </row>
    <row r="3916" spans="1:4" ht="14.65" thickBot="1" x14ac:dyDescent="0.5">
      <c r="A3916" s="17">
        <v>43879.666666666664</v>
      </c>
      <c r="B3916" s="19">
        <v>187.23</v>
      </c>
      <c r="C3916" t="s">
        <v>41</v>
      </c>
      <c r="D3916" t="str">
        <f>T_Stocks[[#This Row],[Ticker]] &amp; "-" &amp; DATE(YEAR(T_Stocks[[#This Row],[Fecha]]),MONTH(T_Stocks[[#This Row],[Fecha]]),DAY(T_Stocks[[#This Row],[Fecha]]))</f>
        <v>MSFT-43879</v>
      </c>
    </row>
    <row r="3917" spans="1:4" ht="14.65" thickBot="1" x14ac:dyDescent="0.5">
      <c r="A3917" s="17">
        <v>43880.666666666664</v>
      </c>
      <c r="B3917" s="19">
        <v>187.28</v>
      </c>
      <c r="C3917" t="s">
        <v>41</v>
      </c>
      <c r="D3917" t="str">
        <f>T_Stocks[[#This Row],[Ticker]] &amp; "-" &amp; DATE(YEAR(T_Stocks[[#This Row],[Fecha]]),MONTH(T_Stocks[[#This Row],[Fecha]]),DAY(T_Stocks[[#This Row],[Fecha]]))</f>
        <v>MSFT-43880</v>
      </c>
    </row>
    <row r="3918" spans="1:4" ht="14.65" thickBot="1" x14ac:dyDescent="0.5">
      <c r="A3918" s="17">
        <v>43881.666666666664</v>
      </c>
      <c r="B3918" s="19">
        <v>184.42</v>
      </c>
      <c r="C3918" t="s">
        <v>41</v>
      </c>
      <c r="D3918" t="str">
        <f>T_Stocks[[#This Row],[Ticker]] &amp; "-" &amp; DATE(YEAR(T_Stocks[[#This Row],[Fecha]]),MONTH(T_Stocks[[#This Row],[Fecha]]),DAY(T_Stocks[[#This Row],[Fecha]]))</f>
        <v>MSFT-43881</v>
      </c>
    </row>
    <row r="3919" spans="1:4" ht="14.65" thickBot="1" x14ac:dyDescent="0.5">
      <c r="A3919" s="17">
        <v>43882.666666666664</v>
      </c>
      <c r="B3919" s="19">
        <v>178.59</v>
      </c>
      <c r="C3919" t="s">
        <v>41</v>
      </c>
      <c r="D3919" t="str">
        <f>T_Stocks[[#This Row],[Ticker]] &amp; "-" &amp; DATE(YEAR(T_Stocks[[#This Row],[Fecha]]),MONTH(T_Stocks[[#This Row],[Fecha]]),DAY(T_Stocks[[#This Row],[Fecha]]))</f>
        <v>MSFT-43882</v>
      </c>
    </row>
    <row r="3920" spans="1:4" ht="14.65" thickBot="1" x14ac:dyDescent="0.5">
      <c r="A3920" s="17">
        <v>43885.666666666664</v>
      </c>
      <c r="B3920" s="19">
        <v>170.89</v>
      </c>
      <c r="C3920" t="s">
        <v>41</v>
      </c>
      <c r="D3920" t="str">
        <f>T_Stocks[[#This Row],[Ticker]] &amp; "-" &amp; DATE(YEAR(T_Stocks[[#This Row],[Fecha]]),MONTH(T_Stocks[[#This Row],[Fecha]]),DAY(T_Stocks[[#This Row],[Fecha]]))</f>
        <v>MSFT-43885</v>
      </c>
    </row>
    <row r="3921" spans="1:4" ht="14.65" thickBot="1" x14ac:dyDescent="0.5">
      <c r="A3921" s="17">
        <v>43886.666666666664</v>
      </c>
      <c r="B3921" s="19">
        <v>168.07</v>
      </c>
      <c r="C3921" t="s">
        <v>41</v>
      </c>
      <c r="D3921" t="str">
        <f>T_Stocks[[#This Row],[Ticker]] &amp; "-" &amp; DATE(YEAR(T_Stocks[[#This Row],[Fecha]]),MONTH(T_Stocks[[#This Row],[Fecha]]),DAY(T_Stocks[[#This Row],[Fecha]]))</f>
        <v>MSFT-43886</v>
      </c>
    </row>
    <row r="3922" spans="1:4" ht="14.65" thickBot="1" x14ac:dyDescent="0.5">
      <c r="A3922" s="17">
        <v>43887.666666666664</v>
      </c>
      <c r="B3922" s="19">
        <v>170.17</v>
      </c>
      <c r="C3922" t="s">
        <v>41</v>
      </c>
      <c r="D3922" t="str">
        <f>T_Stocks[[#This Row],[Ticker]] &amp; "-" &amp; DATE(YEAR(T_Stocks[[#This Row],[Fecha]]),MONTH(T_Stocks[[#This Row],[Fecha]]),DAY(T_Stocks[[#This Row],[Fecha]]))</f>
        <v>MSFT-43887</v>
      </c>
    </row>
    <row r="3923" spans="1:4" ht="14.65" thickBot="1" x14ac:dyDescent="0.5">
      <c r="A3923" s="17">
        <v>43888.666666666664</v>
      </c>
      <c r="B3923" s="19">
        <v>158.18</v>
      </c>
      <c r="C3923" t="s">
        <v>41</v>
      </c>
      <c r="D3923" t="str">
        <f>T_Stocks[[#This Row],[Ticker]] &amp; "-" &amp; DATE(YEAR(T_Stocks[[#This Row],[Fecha]]),MONTH(T_Stocks[[#This Row],[Fecha]]),DAY(T_Stocks[[#This Row],[Fecha]]))</f>
        <v>MSFT-43888</v>
      </c>
    </row>
    <row r="3924" spans="1:4" ht="14.65" thickBot="1" x14ac:dyDescent="0.5">
      <c r="A3924" s="17">
        <v>43889.666666666664</v>
      </c>
      <c r="B3924" s="19">
        <v>162.01</v>
      </c>
      <c r="C3924" t="s">
        <v>41</v>
      </c>
      <c r="D3924" t="str">
        <f>T_Stocks[[#This Row],[Ticker]] &amp; "-" &amp; DATE(YEAR(T_Stocks[[#This Row],[Fecha]]),MONTH(T_Stocks[[#This Row],[Fecha]]),DAY(T_Stocks[[#This Row],[Fecha]]))</f>
        <v>MSFT-43889</v>
      </c>
    </row>
    <row r="3925" spans="1:4" ht="14.65" thickBot="1" x14ac:dyDescent="0.5">
      <c r="A3925" s="17">
        <v>43892.666666666664</v>
      </c>
      <c r="B3925" s="19">
        <v>172.79</v>
      </c>
      <c r="C3925" t="s">
        <v>41</v>
      </c>
      <c r="D3925" t="str">
        <f>T_Stocks[[#This Row],[Ticker]] &amp; "-" &amp; DATE(YEAR(T_Stocks[[#This Row],[Fecha]]),MONTH(T_Stocks[[#This Row],[Fecha]]),DAY(T_Stocks[[#This Row],[Fecha]]))</f>
        <v>MSFT-43892</v>
      </c>
    </row>
    <row r="3926" spans="1:4" ht="14.65" thickBot="1" x14ac:dyDescent="0.5">
      <c r="A3926" s="17">
        <v>43893.666666666664</v>
      </c>
      <c r="B3926" s="19">
        <v>164.51</v>
      </c>
      <c r="C3926" t="s">
        <v>41</v>
      </c>
      <c r="D3926" t="str">
        <f>T_Stocks[[#This Row],[Ticker]] &amp; "-" &amp; DATE(YEAR(T_Stocks[[#This Row],[Fecha]]),MONTH(T_Stocks[[#This Row],[Fecha]]),DAY(T_Stocks[[#This Row],[Fecha]]))</f>
        <v>MSFT-43893</v>
      </c>
    </row>
    <row r="3927" spans="1:4" ht="14.65" thickBot="1" x14ac:dyDescent="0.5">
      <c r="A3927" s="17">
        <v>43894.666666666664</v>
      </c>
      <c r="B3927" s="19">
        <v>170.55</v>
      </c>
      <c r="C3927" t="s">
        <v>41</v>
      </c>
      <c r="D3927" t="str">
        <f>T_Stocks[[#This Row],[Ticker]] &amp; "-" &amp; DATE(YEAR(T_Stocks[[#This Row],[Fecha]]),MONTH(T_Stocks[[#This Row],[Fecha]]),DAY(T_Stocks[[#This Row],[Fecha]]))</f>
        <v>MSFT-43894</v>
      </c>
    </row>
    <row r="3928" spans="1:4" ht="14.65" thickBot="1" x14ac:dyDescent="0.5">
      <c r="A3928" s="17">
        <v>43895.666666666664</v>
      </c>
      <c r="B3928" s="19">
        <v>166.27</v>
      </c>
      <c r="C3928" t="s">
        <v>41</v>
      </c>
      <c r="D3928" t="str">
        <f>T_Stocks[[#This Row],[Ticker]] &amp; "-" &amp; DATE(YEAR(T_Stocks[[#This Row],[Fecha]]),MONTH(T_Stocks[[#This Row],[Fecha]]),DAY(T_Stocks[[#This Row],[Fecha]]))</f>
        <v>MSFT-43895</v>
      </c>
    </row>
    <row r="3929" spans="1:4" ht="14.65" thickBot="1" x14ac:dyDescent="0.5">
      <c r="A3929" s="17">
        <v>43896.666666666664</v>
      </c>
      <c r="B3929" s="19">
        <v>161.57</v>
      </c>
      <c r="C3929" t="s">
        <v>41</v>
      </c>
      <c r="D3929" t="str">
        <f>T_Stocks[[#This Row],[Ticker]] &amp; "-" &amp; DATE(YEAR(T_Stocks[[#This Row],[Fecha]]),MONTH(T_Stocks[[#This Row],[Fecha]]),DAY(T_Stocks[[#This Row],[Fecha]]))</f>
        <v>MSFT-43896</v>
      </c>
    </row>
    <row r="3930" spans="1:4" ht="14.65" thickBot="1" x14ac:dyDescent="0.5">
      <c r="A3930" s="17">
        <v>43899.666666666664</v>
      </c>
      <c r="B3930" s="19">
        <v>150.62</v>
      </c>
      <c r="C3930" t="s">
        <v>41</v>
      </c>
      <c r="D3930" t="str">
        <f>T_Stocks[[#This Row],[Ticker]] &amp; "-" &amp; DATE(YEAR(T_Stocks[[#This Row],[Fecha]]),MONTH(T_Stocks[[#This Row],[Fecha]]),DAY(T_Stocks[[#This Row],[Fecha]]))</f>
        <v>MSFT-43899</v>
      </c>
    </row>
    <row r="3931" spans="1:4" ht="14.65" thickBot="1" x14ac:dyDescent="0.5">
      <c r="A3931" s="17">
        <v>43900.666666666664</v>
      </c>
      <c r="B3931" s="19">
        <v>160.91999999999999</v>
      </c>
      <c r="C3931" t="s">
        <v>41</v>
      </c>
      <c r="D3931" t="str">
        <f>T_Stocks[[#This Row],[Ticker]] &amp; "-" &amp; DATE(YEAR(T_Stocks[[#This Row],[Fecha]]),MONTH(T_Stocks[[#This Row],[Fecha]]),DAY(T_Stocks[[#This Row],[Fecha]]))</f>
        <v>MSFT-43900</v>
      </c>
    </row>
    <row r="3932" spans="1:4" ht="14.65" thickBot="1" x14ac:dyDescent="0.5">
      <c r="A3932" s="17">
        <v>43901.666666666664</v>
      </c>
      <c r="B3932" s="19">
        <v>153.63</v>
      </c>
      <c r="C3932" t="s">
        <v>41</v>
      </c>
      <c r="D3932" t="str">
        <f>T_Stocks[[#This Row],[Ticker]] &amp; "-" &amp; DATE(YEAR(T_Stocks[[#This Row],[Fecha]]),MONTH(T_Stocks[[#This Row],[Fecha]]),DAY(T_Stocks[[#This Row],[Fecha]]))</f>
        <v>MSFT-43901</v>
      </c>
    </row>
    <row r="3933" spans="1:4" ht="14.65" thickBot="1" x14ac:dyDescent="0.5">
      <c r="A3933" s="17">
        <v>43902.666666666664</v>
      </c>
      <c r="B3933" s="19">
        <v>139.06</v>
      </c>
      <c r="C3933" t="s">
        <v>41</v>
      </c>
      <c r="D3933" t="str">
        <f>T_Stocks[[#This Row],[Ticker]] &amp; "-" &amp; DATE(YEAR(T_Stocks[[#This Row],[Fecha]]),MONTH(T_Stocks[[#This Row],[Fecha]]),DAY(T_Stocks[[#This Row],[Fecha]]))</f>
        <v>MSFT-43902</v>
      </c>
    </row>
    <row r="3934" spans="1:4" ht="14.65" thickBot="1" x14ac:dyDescent="0.5">
      <c r="A3934" s="17">
        <v>43903.666666666664</v>
      </c>
      <c r="B3934" s="19">
        <v>158.83000000000001</v>
      </c>
      <c r="C3934" t="s">
        <v>41</v>
      </c>
      <c r="D3934" t="str">
        <f>T_Stocks[[#This Row],[Ticker]] &amp; "-" &amp; DATE(YEAR(T_Stocks[[#This Row],[Fecha]]),MONTH(T_Stocks[[#This Row],[Fecha]]),DAY(T_Stocks[[#This Row],[Fecha]]))</f>
        <v>MSFT-43903</v>
      </c>
    </row>
    <row r="3935" spans="1:4" ht="14.65" thickBot="1" x14ac:dyDescent="0.5">
      <c r="A3935" s="17">
        <v>43906.666666666664</v>
      </c>
      <c r="B3935" s="19">
        <v>135.41999999999999</v>
      </c>
      <c r="C3935" t="s">
        <v>41</v>
      </c>
      <c r="D3935" t="str">
        <f>T_Stocks[[#This Row],[Ticker]] &amp; "-" &amp; DATE(YEAR(T_Stocks[[#This Row],[Fecha]]),MONTH(T_Stocks[[#This Row],[Fecha]]),DAY(T_Stocks[[#This Row],[Fecha]]))</f>
        <v>MSFT-43906</v>
      </c>
    </row>
    <row r="3936" spans="1:4" ht="14.65" thickBot="1" x14ac:dyDescent="0.5">
      <c r="A3936" s="17">
        <v>43907.666666666664</v>
      </c>
      <c r="B3936" s="19">
        <v>146.57</v>
      </c>
      <c r="C3936" t="s">
        <v>41</v>
      </c>
      <c r="D3936" t="str">
        <f>T_Stocks[[#This Row],[Ticker]] &amp; "-" &amp; DATE(YEAR(T_Stocks[[#This Row],[Fecha]]),MONTH(T_Stocks[[#This Row],[Fecha]]),DAY(T_Stocks[[#This Row],[Fecha]]))</f>
        <v>MSFT-43907</v>
      </c>
    </row>
    <row r="3937" spans="1:4" ht="14.65" thickBot="1" x14ac:dyDescent="0.5">
      <c r="A3937" s="17">
        <v>43908.666666666664</v>
      </c>
      <c r="B3937" s="19">
        <v>140.4</v>
      </c>
      <c r="C3937" t="s">
        <v>41</v>
      </c>
      <c r="D3937" t="str">
        <f>T_Stocks[[#This Row],[Ticker]] &amp; "-" &amp; DATE(YEAR(T_Stocks[[#This Row],[Fecha]]),MONTH(T_Stocks[[#This Row],[Fecha]]),DAY(T_Stocks[[#This Row],[Fecha]]))</f>
        <v>MSFT-43908</v>
      </c>
    </row>
    <row r="3938" spans="1:4" ht="14.65" thickBot="1" x14ac:dyDescent="0.5">
      <c r="A3938" s="17">
        <v>43909.666666666664</v>
      </c>
      <c r="B3938" s="19">
        <v>142.71</v>
      </c>
      <c r="C3938" t="s">
        <v>41</v>
      </c>
      <c r="D3938" t="str">
        <f>T_Stocks[[#This Row],[Ticker]] &amp; "-" &amp; DATE(YEAR(T_Stocks[[#This Row],[Fecha]]),MONTH(T_Stocks[[#This Row],[Fecha]]),DAY(T_Stocks[[#This Row],[Fecha]]))</f>
        <v>MSFT-43909</v>
      </c>
    </row>
    <row r="3939" spans="1:4" ht="14.65" thickBot="1" x14ac:dyDescent="0.5">
      <c r="A3939" s="17">
        <v>43910.666666666664</v>
      </c>
      <c r="B3939" s="19">
        <v>137.35</v>
      </c>
      <c r="C3939" t="s">
        <v>41</v>
      </c>
      <c r="D3939" t="str">
        <f>T_Stocks[[#This Row],[Ticker]] &amp; "-" &amp; DATE(YEAR(T_Stocks[[#This Row],[Fecha]]),MONTH(T_Stocks[[#This Row],[Fecha]]),DAY(T_Stocks[[#This Row],[Fecha]]))</f>
        <v>MSFT-43910</v>
      </c>
    </row>
    <row r="3940" spans="1:4" ht="14.65" thickBot="1" x14ac:dyDescent="0.5">
      <c r="A3940" s="17">
        <v>43913.666666666664</v>
      </c>
      <c r="B3940" s="19">
        <v>135.97999999999999</v>
      </c>
      <c r="C3940" t="s">
        <v>41</v>
      </c>
      <c r="D3940" t="str">
        <f>T_Stocks[[#This Row],[Ticker]] &amp; "-" &amp; DATE(YEAR(T_Stocks[[#This Row],[Fecha]]),MONTH(T_Stocks[[#This Row],[Fecha]]),DAY(T_Stocks[[#This Row],[Fecha]]))</f>
        <v>MSFT-43913</v>
      </c>
    </row>
    <row r="3941" spans="1:4" ht="14.65" thickBot="1" x14ac:dyDescent="0.5">
      <c r="A3941" s="17">
        <v>43914.666666666664</v>
      </c>
      <c r="B3941" s="19">
        <v>148.34</v>
      </c>
      <c r="C3941" t="s">
        <v>41</v>
      </c>
      <c r="D3941" t="str">
        <f>T_Stocks[[#This Row],[Ticker]] &amp; "-" &amp; DATE(YEAR(T_Stocks[[#This Row],[Fecha]]),MONTH(T_Stocks[[#This Row],[Fecha]]),DAY(T_Stocks[[#This Row],[Fecha]]))</f>
        <v>MSFT-43914</v>
      </c>
    </row>
    <row r="3942" spans="1:4" ht="14.65" thickBot="1" x14ac:dyDescent="0.5">
      <c r="A3942" s="17">
        <v>43915.666666666664</v>
      </c>
      <c r="B3942" s="19">
        <v>146.91999999999999</v>
      </c>
      <c r="C3942" t="s">
        <v>41</v>
      </c>
      <c r="D3942" t="str">
        <f>T_Stocks[[#This Row],[Ticker]] &amp; "-" &amp; DATE(YEAR(T_Stocks[[#This Row],[Fecha]]),MONTH(T_Stocks[[#This Row],[Fecha]]),DAY(T_Stocks[[#This Row],[Fecha]]))</f>
        <v>MSFT-43915</v>
      </c>
    </row>
    <row r="3943" spans="1:4" ht="14.65" thickBot="1" x14ac:dyDescent="0.5">
      <c r="A3943" s="17">
        <v>43916.666666666664</v>
      </c>
      <c r="B3943" s="19">
        <v>156.11000000000001</v>
      </c>
      <c r="C3943" t="s">
        <v>41</v>
      </c>
      <c r="D3943" t="str">
        <f>T_Stocks[[#This Row],[Ticker]] &amp; "-" &amp; DATE(YEAR(T_Stocks[[#This Row],[Fecha]]),MONTH(T_Stocks[[#This Row],[Fecha]]),DAY(T_Stocks[[#This Row],[Fecha]]))</f>
        <v>MSFT-43916</v>
      </c>
    </row>
    <row r="3944" spans="1:4" ht="14.65" thickBot="1" x14ac:dyDescent="0.5">
      <c r="A3944" s="17">
        <v>43917.666666666664</v>
      </c>
      <c r="B3944" s="19">
        <v>149.69999999999999</v>
      </c>
      <c r="C3944" t="s">
        <v>41</v>
      </c>
      <c r="D3944" t="str">
        <f>T_Stocks[[#This Row],[Ticker]] &amp; "-" &amp; DATE(YEAR(T_Stocks[[#This Row],[Fecha]]),MONTH(T_Stocks[[#This Row],[Fecha]]),DAY(T_Stocks[[#This Row],[Fecha]]))</f>
        <v>MSFT-43917</v>
      </c>
    </row>
    <row r="3945" spans="1:4" ht="14.65" thickBot="1" x14ac:dyDescent="0.5">
      <c r="A3945" s="17">
        <v>43920.666666666664</v>
      </c>
      <c r="B3945" s="19">
        <v>160.22999999999999</v>
      </c>
      <c r="C3945" t="s">
        <v>41</v>
      </c>
      <c r="D3945" t="str">
        <f>T_Stocks[[#This Row],[Ticker]] &amp; "-" &amp; DATE(YEAR(T_Stocks[[#This Row],[Fecha]]),MONTH(T_Stocks[[#This Row],[Fecha]]),DAY(T_Stocks[[#This Row],[Fecha]]))</f>
        <v>MSFT-43920</v>
      </c>
    </row>
    <row r="3946" spans="1:4" ht="14.65" thickBot="1" x14ac:dyDescent="0.5">
      <c r="A3946" s="17">
        <v>43921.666666666664</v>
      </c>
      <c r="B3946" s="19">
        <v>157.71</v>
      </c>
      <c r="C3946" t="s">
        <v>41</v>
      </c>
      <c r="D3946" t="str">
        <f>T_Stocks[[#This Row],[Ticker]] &amp; "-" &amp; DATE(YEAR(T_Stocks[[#This Row],[Fecha]]),MONTH(T_Stocks[[#This Row],[Fecha]]),DAY(T_Stocks[[#This Row],[Fecha]]))</f>
        <v>MSFT-43921</v>
      </c>
    </row>
    <row r="3947" spans="1:4" ht="14.65" thickBot="1" x14ac:dyDescent="0.5">
      <c r="A3947" s="17">
        <v>43922.666666666664</v>
      </c>
      <c r="B3947" s="19">
        <v>152.11000000000001</v>
      </c>
      <c r="C3947" t="s">
        <v>41</v>
      </c>
      <c r="D3947" t="str">
        <f>T_Stocks[[#This Row],[Ticker]] &amp; "-" &amp; DATE(YEAR(T_Stocks[[#This Row],[Fecha]]),MONTH(T_Stocks[[#This Row],[Fecha]]),DAY(T_Stocks[[#This Row],[Fecha]]))</f>
        <v>MSFT-43922</v>
      </c>
    </row>
    <row r="3948" spans="1:4" ht="14.65" thickBot="1" x14ac:dyDescent="0.5">
      <c r="A3948" s="17">
        <v>43923.666666666664</v>
      </c>
      <c r="B3948" s="19">
        <v>155.26</v>
      </c>
      <c r="C3948" t="s">
        <v>41</v>
      </c>
      <c r="D3948" t="str">
        <f>T_Stocks[[#This Row],[Ticker]] &amp; "-" &amp; DATE(YEAR(T_Stocks[[#This Row],[Fecha]]),MONTH(T_Stocks[[#This Row],[Fecha]]),DAY(T_Stocks[[#This Row],[Fecha]]))</f>
        <v>MSFT-43923</v>
      </c>
    </row>
    <row r="3949" spans="1:4" ht="14.65" thickBot="1" x14ac:dyDescent="0.5">
      <c r="A3949" s="17">
        <v>43924.666666666664</v>
      </c>
      <c r="B3949" s="19">
        <v>153.83000000000001</v>
      </c>
      <c r="C3949" t="s">
        <v>41</v>
      </c>
      <c r="D3949" t="str">
        <f>T_Stocks[[#This Row],[Ticker]] &amp; "-" &amp; DATE(YEAR(T_Stocks[[#This Row],[Fecha]]),MONTH(T_Stocks[[#This Row],[Fecha]]),DAY(T_Stocks[[#This Row],[Fecha]]))</f>
        <v>MSFT-43924</v>
      </c>
    </row>
    <row r="3950" spans="1:4" ht="14.65" thickBot="1" x14ac:dyDescent="0.5">
      <c r="A3950" s="17">
        <v>43927.666666666664</v>
      </c>
      <c r="B3950" s="19">
        <v>165.27</v>
      </c>
      <c r="C3950" t="s">
        <v>41</v>
      </c>
      <c r="D3950" t="str">
        <f>T_Stocks[[#This Row],[Ticker]] &amp; "-" &amp; DATE(YEAR(T_Stocks[[#This Row],[Fecha]]),MONTH(T_Stocks[[#This Row],[Fecha]]),DAY(T_Stocks[[#This Row],[Fecha]]))</f>
        <v>MSFT-43927</v>
      </c>
    </row>
    <row r="3951" spans="1:4" ht="14.65" thickBot="1" x14ac:dyDescent="0.5">
      <c r="A3951" s="17">
        <v>43928.666666666664</v>
      </c>
      <c r="B3951" s="19">
        <v>163.49</v>
      </c>
      <c r="C3951" t="s">
        <v>41</v>
      </c>
      <c r="D3951" t="str">
        <f>T_Stocks[[#This Row],[Ticker]] &amp; "-" &amp; DATE(YEAR(T_Stocks[[#This Row],[Fecha]]),MONTH(T_Stocks[[#This Row],[Fecha]]),DAY(T_Stocks[[#This Row],[Fecha]]))</f>
        <v>MSFT-43928</v>
      </c>
    </row>
    <row r="3952" spans="1:4" ht="14.65" thickBot="1" x14ac:dyDescent="0.5">
      <c r="A3952" s="17">
        <v>43929.666666666664</v>
      </c>
      <c r="B3952" s="19">
        <v>165.13</v>
      </c>
      <c r="C3952" t="s">
        <v>41</v>
      </c>
      <c r="D3952" t="str">
        <f>T_Stocks[[#This Row],[Ticker]] &amp; "-" &amp; DATE(YEAR(T_Stocks[[#This Row],[Fecha]]),MONTH(T_Stocks[[#This Row],[Fecha]]),DAY(T_Stocks[[#This Row],[Fecha]]))</f>
        <v>MSFT-43929</v>
      </c>
    </row>
    <row r="3953" spans="1:4" ht="14.65" thickBot="1" x14ac:dyDescent="0.5">
      <c r="A3953" s="17">
        <v>43930.666666666664</v>
      </c>
      <c r="B3953" s="19">
        <v>165.14</v>
      </c>
      <c r="C3953" t="s">
        <v>41</v>
      </c>
      <c r="D3953" t="str">
        <f>T_Stocks[[#This Row],[Ticker]] &amp; "-" &amp; DATE(YEAR(T_Stocks[[#This Row],[Fecha]]),MONTH(T_Stocks[[#This Row],[Fecha]]),DAY(T_Stocks[[#This Row],[Fecha]]))</f>
        <v>MSFT-43930</v>
      </c>
    </row>
    <row r="3954" spans="1:4" ht="14.65" thickBot="1" x14ac:dyDescent="0.5">
      <c r="A3954" s="17">
        <v>43934.666666666664</v>
      </c>
      <c r="B3954" s="19">
        <v>165.51</v>
      </c>
      <c r="C3954" t="s">
        <v>41</v>
      </c>
      <c r="D3954" t="str">
        <f>T_Stocks[[#This Row],[Ticker]] &amp; "-" &amp; DATE(YEAR(T_Stocks[[#This Row],[Fecha]]),MONTH(T_Stocks[[#This Row],[Fecha]]),DAY(T_Stocks[[#This Row],[Fecha]]))</f>
        <v>MSFT-43934</v>
      </c>
    </row>
    <row r="3955" spans="1:4" ht="14.65" thickBot="1" x14ac:dyDescent="0.5">
      <c r="A3955" s="17">
        <v>43935.666666666664</v>
      </c>
      <c r="B3955" s="19">
        <v>173.7</v>
      </c>
      <c r="C3955" t="s">
        <v>41</v>
      </c>
      <c r="D3955" t="str">
        <f>T_Stocks[[#This Row],[Ticker]] &amp; "-" &amp; DATE(YEAR(T_Stocks[[#This Row],[Fecha]]),MONTH(T_Stocks[[#This Row],[Fecha]]),DAY(T_Stocks[[#This Row],[Fecha]]))</f>
        <v>MSFT-43935</v>
      </c>
    </row>
    <row r="3956" spans="1:4" ht="14.65" thickBot="1" x14ac:dyDescent="0.5">
      <c r="A3956" s="17">
        <v>43936.666666666664</v>
      </c>
      <c r="B3956" s="19">
        <v>171.88</v>
      </c>
      <c r="C3956" t="s">
        <v>41</v>
      </c>
      <c r="D3956" t="str">
        <f>T_Stocks[[#This Row],[Ticker]] &amp; "-" &amp; DATE(YEAR(T_Stocks[[#This Row],[Fecha]]),MONTH(T_Stocks[[#This Row],[Fecha]]),DAY(T_Stocks[[#This Row],[Fecha]]))</f>
        <v>MSFT-43936</v>
      </c>
    </row>
    <row r="3957" spans="1:4" ht="14.65" thickBot="1" x14ac:dyDescent="0.5">
      <c r="A3957" s="17">
        <v>43937.666666666664</v>
      </c>
      <c r="B3957" s="19">
        <v>177.04</v>
      </c>
      <c r="C3957" t="s">
        <v>41</v>
      </c>
      <c r="D3957" t="str">
        <f>T_Stocks[[#This Row],[Ticker]] &amp; "-" &amp; DATE(YEAR(T_Stocks[[#This Row],[Fecha]]),MONTH(T_Stocks[[#This Row],[Fecha]]),DAY(T_Stocks[[#This Row],[Fecha]]))</f>
        <v>MSFT-43937</v>
      </c>
    </row>
    <row r="3958" spans="1:4" ht="14.65" thickBot="1" x14ac:dyDescent="0.5">
      <c r="A3958" s="17">
        <v>43938.666666666664</v>
      </c>
      <c r="B3958" s="19">
        <v>178.6</v>
      </c>
      <c r="C3958" t="s">
        <v>41</v>
      </c>
      <c r="D3958" t="str">
        <f>T_Stocks[[#This Row],[Ticker]] &amp; "-" &amp; DATE(YEAR(T_Stocks[[#This Row],[Fecha]]),MONTH(T_Stocks[[#This Row],[Fecha]]),DAY(T_Stocks[[#This Row],[Fecha]]))</f>
        <v>MSFT-43938</v>
      </c>
    </row>
    <row r="3959" spans="1:4" ht="14.65" thickBot="1" x14ac:dyDescent="0.5">
      <c r="A3959" s="17">
        <v>43941.666666666664</v>
      </c>
      <c r="B3959" s="19">
        <v>175.06</v>
      </c>
      <c r="C3959" t="s">
        <v>41</v>
      </c>
      <c r="D3959" t="str">
        <f>T_Stocks[[#This Row],[Ticker]] &amp; "-" &amp; DATE(YEAR(T_Stocks[[#This Row],[Fecha]]),MONTH(T_Stocks[[#This Row],[Fecha]]),DAY(T_Stocks[[#This Row],[Fecha]]))</f>
        <v>MSFT-43941</v>
      </c>
    </row>
    <row r="3960" spans="1:4" ht="14.65" thickBot="1" x14ac:dyDescent="0.5">
      <c r="A3960" s="17">
        <v>43942.666666666664</v>
      </c>
      <c r="B3960" s="19">
        <v>167.82</v>
      </c>
      <c r="C3960" t="s">
        <v>41</v>
      </c>
      <c r="D3960" t="str">
        <f>T_Stocks[[#This Row],[Ticker]] &amp; "-" &amp; DATE(YEAR(T_Stocks[[#This Row],[Fecha]]),MONTH(T_Stocks[[#This Row],[Fecha]]),DAY(T_Stocks[[#This Row],[Fecha]]))</f>
        <v>MSFT-43942</v>
      </c>
    </row>
    <row r="3961" spans="1:4" ht="14.65" thickBot="1" x14ac:dyDescent="0.5">
      <c r="A3961" s="17">
        <v>43943.666666666664</v>
      </c>
      <c r="B3961" s="19">
        <v>173.52</v>
      </c>
      <c r="C3961" t="s">
        <v>41</v>
      </c>
      <c r="D3961" t="str">
        <f>T_Stocks[[#This Row],[Ticker]] &amp; "-" &amp; DATE(YEAR(T_Stocks[[#This Row],[Fecha]]),MONTH(T_Stocks[[#This Row],[Fecha]]),DAY(T_Stocks[[#This Row],[Fecha]]))</f>
        <v>MSFT-43943</v>
      </c>
    </row>
    <row r="3962" spans="1:4" ht="14.65" thickBot="1" x14ac:dyDescent="0.5">
      <c r="A3962" s="17">
        <v>43944.666666666664</v>
      </c>
      <c r="B3962" s="19">
        <v>171.42</v>
      </c>
      <c r="C3962" t="s">
        <v>41</v>
      </c>
      <c r="D3962" t="str">
        <f>T_Stocks[[#This Row],[Ticker]] &amp; "-" &amp; DATE(YEAR(T_Stocks[[#This Row],[Fecha]]),MONTH(T_Stocks[[#This Row],[Fecha]]),DAY(T_Stocks[[#This Row],[Fecha]]))</f>
        <v>MSFT-43944</v>
      </c>
    </row>
    <row r="3963" spans="1:4" ht="14.65" thickBot="1" x14ac:dyDescent="0.5">
      <c r="A3963" s="17">
        <v>43945.666666666664</v>
      </c>
      <c r="B3963" s="19">
        <v>174.55</v>
      </c>
      <c r="C3963" t="s">
        <v>41</v>
      </c>
      <c r="D3963" t="str">
        <f>T_Stocks[[#This Row],[Ticker]] &amp; "-" &amp; DATE(YEAR(T_Stocks[[#This Row],[Fecha]]),MONTH(T_Stocks[[#This Row],[Fecha]]),DAY(T_Stocks[[#This Row],[Fecha]]))</f>
        <v>MSFT-43945</v>
      </c>
    </row>
    <row r="3964" spans="1:4" ht="14.65" thickBot="1" x14ac:dyDescent="0.5">
      <c r="A3964" s="17">
        <v>43948.666666666664</v>
      </c>
      <c r="B3964" s="19">
        <v>174.05</v>
      </c>
      <c r="C3964" t="s">
        <v>41</v>
      </c>
      <c r="D3964" t="str">
        <f>T_Stocks[[#This Row],[Ticker]] &amp; "-" &amp; DATE(YEAR(T_Stocks[[#This Row],[Fecha]]),MONTH(T_Stocks[[#This Row],[Fecha]]),DAY(T_Stocks[[#This Row],[Fecha]]))</f>
        <v>MSFT-43948</v>
      </c>
    </row>
    <row r="3965" spans="1:4" ht="14.65" thickBot="1" x14ac:dyDescent="0.5">
      <c r="A3965" s="17">
        <v>43949.666666666664</v>
      </c>
      <c r="B3965" s="19">
        <v>169.81</v>
      </c>
      <c r="C3965" t="s">
        <v>41</v>
      </c>
      <c r="D3965" t="str">
        <f>T_Stocks[[#This Row],[Ticker]] &amp; "-" &amp; DATE(YEAR(T_Stocks[[#This Row],[Fecha]]),MONTH(T_Stocks[[#This Row],[Fecha]]),DAY(T_Stocks[[#This Row],[Fecha]]))</f>
        <v>MSFT-43949</v>
      </c>
    </row>
    <row r="3966" spans="1:4" ht="14.65" thickBot="1" x14ac:dyDescent="0.5">
      <c r="A3966" s="17">
        <v>43950.666666666664</v>
      </c>
      <c r="B3966" s="19">
        <v>177.43</v>
      </c>
      <c r="C3966" t="s">
        <v>41</v>
      </c>
      <c r="D3966" t="str">
        <f>T_Stocks[[#This Row],[Ticker]] &amp; "-" &amp; DATE(YEAR(T_Stocks[[#This Row],[Fecha]]),MONTH(T_Stocks[[#This Row],[Fecha]]),DAY(T_Stocks[[#This Row],[Fecha]]))</f>
        <v>MSFT-43950</v>
      </c>
    </row>
    <row r="3967" spans="1:4" ht="14.65" thickBot="1" x14ac:dyDescent="0.5">
      <c r="A3967" s="17">
        <v>43951.666666666664</v>
      </c>
      <c r="B3967" s="19">
        <v>179.21</v>
      </c>
      <c r="C3967" t="s">
        <v>41</v>
      </c>
      <c r="D3967" t="str">
        <f>T_Stocks[[#This Row],[Ticker]] &amp; "-" &amp; DATE(YEAR(T_Stocks[[#This Row],[Fecha]]),MONTH(T_Stocks[[#This Row],[Fecha]]),DAY(T_Stocks[[#This Row],[Fecha]]))</f>
        <v>MSFT-43951</v>
      </c>
    </row>
    <row r="3968" spans="1:4" ht="14.65" thickBot="1" x14ac:dyDescent="0.5">
      <c r="A3968" s="17">
        <v>43952.666666666664</v>
      </c>
      <c r="B3968" s="19">
        <v>174.57</v>
      </c>
      <c r="C3968" t="s">
        <v>41</v>
      </c>
      <c r="D3968" t="str">
        <f>T_Stocks[[#This Row],[Ticker]] &amp; "-" &amp; DATE(YEAR(T_Stocks[[#This Row],[Fecha]]),MONTH(T_Stocks[[#This Row],[Fecha]]),DAY(T_Stocks[[#This Row],[Fecha]]))</f>
        <v>MSFT-43952</v>
      </c>
    </row>
    <row r="3969" spans="1:4" ht="14.65" thickBot="1" x14ac:dyDescent="0.5">
      <c r="A3969" s="17">
        <v>43955.666666666664</v>
      </c>
      <c r="B3969" s="19">
        <v>178.84</v>
      </c>
      <c r="C3969" t="s">
        <v>41</v>
      </c>
      <c r="D3969" t="str">
        <f>T_Stocks[[#This Row],[Ticker]] &amp; "-" &amp; DATE(YEAR(T_Stocks[[#This Row],[Fecha]]),MONTH(T_Stocks[[#This Row],[Fecha]]),DAY(T_Stocks[[#This Row],[Fecha]]))</f>
        <v>MSFT-43955</v>
      </c>
    </row>
    <row r="3970" spans="1:4" ht="14.65" thickBot="1" x14ac:dyDescent="0.5">
      <c r="A3970" s="17">
        <v>43956.666666666664</v>
      </c>
      <c r="B3970" s="19">
        <v>180.76</v>
      </c>
      <c r="C3970" t="s">
        <v>41</v>
      </c>
      <c r="D3970" t="str">
        <f>T_Stocks[[#This Row],[Ticker]] &amp; "-" &amp; DATE(YEAR(T_Stocks[[#This Row],[Fecha]]),MONTH(T_Stocks[[#This Row],[Fecha]]),DAY(T_Stocks[[#This Row],[Fecha]]))</f>
        <v>MSFT-43956</v>
      </c>
    </row>
    <row r="3971" spans="1:4" ht="14.65" thickBot="1" x14ac:dyDescent="0.5">
      <c r="A3971" s="17">
        <v>43957.666666666664</v>
      </c>
      <c r="B3971" s="19">
        <v>182.54</v>
      </c>
      <c r="C3971" t="s">
        <v>41</v>
      </c>
      <c r="D3971" t="str">
        <f>T_Stocks[[#This Row],[Ticker]] &amp; "-" &amp; DATE(YEAR(T_Stocks[[#This Row],[Fecha]]),MONTH(T_Stocks[[#This Row],[Fecha]]),DAY(T_Stocks[[#This Row],[Fecha]]))</f>
        <v>MSFT-43957</v>
      </c>
    </row>
    <row r="3972" spans="1:4" ht="14.65" thickBot="1" x14ac:dyDescent="0.5">
      <c r="A3972" s="17">
        <v>43958.666666666664</v>
      </c>
      <c r="B3972" s="19">
        <v>183.6</v>
      </c>
      <c r="C3972" t="s">
        <v>41</v>
      </c>
      <c r="D3972" t="str">
        <f>T_Stocks[[#This Row],[Ticker]] &amp; "-" &amp; DATE(YEAR(T_Stocks[[#This Row],[Fecha]]),MONTH(T_Stocks[[#This Row],[Fecha]]),DAY(T_Stocks[[#This Row],[Fecha]]))</f>
        <v>MSFT-43958</v>
      </c>
    </row>
    <row r="3973" spans="1:4" ht="14.65" thickBot="1" x14ac:dyDescent="0.5">
      <c r="A3973" s="17">
        <v>43959.666666666664</v>
      </c>
      <c r="B3973" s="19">
        <v>184.68</v>
      </c>
      <c r="C3973" t="s">
        <v>41</v>
      </c>
      <c r="D3973" t="str">
        <f>T_Stocks[[#This Row],[Ticker]] &amp; "-" &amp; DATE(YEAR(T_Stocks[[#This Row],[Fecha]]),MONTH(T_Stocks[[#This Row],[Fecha]]),DAY(T_Stocks[[#This Row],[Fecha]]))</f>
        <v>MSFT-43959</v>
      </c>
    </row>
    <row r="3974" spans="1:4" ht="14.65" thickBot="1" x14ac:dyDescent="0.5">
      <c r="A3974" s="17">
        <v>43962.666666666664</v>
      </c>
      <c r="B3974" s="19">
        <v>186.74</v>
      </c>
      <c r="C3974" t="s">
        <v>41</v>
      </c>
      <c r="D3974" t="str">
        <f>T_Stocks[[#This Row],[Ticker]] &amp; "-" &amp; DATE(YEAR(T_Stocks[[#This Row],[Fecha]]),MONTH(T_Stocks[[#This Row],[Fecha]]),DAY(T_Stocks[[#This Row],[Fecha]]))</f>
        <v>MSFT-43962</v>
      </c>
    </row>
    <row r="3975" spans="1:4" ht="14.65" thickBot="1" x14ac:dyDescent="0.5">
      <c r="A3975" s="17">
        <v>43963.666666666664</v>
      </c>
      <c r="B3975" s="19">
        <v>182.51</v>
      </c>
      <c r="C3975" t="s">
        <v>41</v>
      </c>
      <c r="D3975" t="str">
        <f>T_Stocks[[#This Row],[Ticker]] &amp; "-" &amp; DATE(YEAR(T_Stocks[[#This Row],[Fecha]]),MONTH(T_Stocks[[#This Row],[Fecha]]),DAY(T_Stocks[[#This Row],[Fecha]]))</f>
        <v>MSFT-43963</v>
      </c>
    </row>
    <row r="3976" spans="1:4" ht="14.65" thickBot="1" x14ac:dyDescent="0.5">
      <c r="A3976" s="17">
        <v>43964.666666666664</v>
      </c>
      <c r="B3976" s="19">
        <v>179.75</v>
      </c>
      <c r="C3976" t="s">
        <v>41</v>
      </c>
      <c r="D3976" t="str">
        <f>T_Stocks[[#This Row],[Ticker]] &amp; "-" &amp; DATE(YEAR(T_Stocks[[#This Row],[Fecha]]),MONTH(T_Stocks[[#This Row],[Fecha]]),DAY(T_Stocks[[#This Row],[Fecha]]))</f>
        <v>MSFT-43964</v>
      </c>
    </row>
    <row r="3977" spans="1:4" ht="14.65" thickBot="1" x14ac:dyDescent="0.5">
      <c r="A3977" s="17">
        <v>43965.666666666664</v>
      </c>
      <c r="B3977" s="19">
        <v>180.53</v>
      </c>
      <c r="C3977" t="s">
        <v>41</v>
      </c>
      <c r="D3977" t="str">
        <f>T_Stocks[[#This Row],[Ticker]] &amp; "-" &amp; DATE(YEAR(T_Stocks[[#This Row],[Fecha]]),MONTH(T_Stocks[[#This Row],[Fecha]]),DAY(T_Stocks[[#This Row],[Fecha]]))</f>
        <v>MSFT-43965</v>
      </c>
    </row>
    <row r="3978" spans="1:4" ht="14.65" thickBot="1" x14ac:dyDescent="0.5">
      <c r="A3978" s="17">
        <v>43966.666666666664</v>
      </c>
      <c r="B3978" s="19">
        <v>183.16</v>
      </c>
      <c r="C3978" t="s">
        <v>41</v>
      </c>
      <c r="D3978" t="str">
        <f>T_Stocks[[#This Row],[Ticker]] &amp; "-" &amp; DATE(YEAR(T_Stocks[[#This Row],[Fecha]]),MONTH(T_Stocks[[#This Row],[Fecha]]),DAY(T_Stocks[[#This Row],[Fecha]]))</f>
        <v>MSFT-43966</v>
      </c>
    </row>
    <row r="3979" spans="1:4" ht="14.65" thickBot="1" x14ac:dyDescent="0.5">
      <c r="A3979" s="17">
        <v>43969.666666666664</v>
      </c>
      <c r="B3979" s="19">
        <v>184.91</v>
      </c>
      <c r="C3979" t="s">
        <v>41</v>
      </c>
      <c r="D3979" t="str">
        <f>T_Stocks[[#This Row],[Ticker]] &amp; "-" &amp; DATE(YEAR(T_Stocks[[#This Row],[Fecha]]),MONTH(T_Stocks[[#This Row],[Fecha]]),DAY(T_Stocks[[#This Row],[Fecha]]))</f>
        <v>MSFT-43969</v>
      </c>
    </row>
    <row r="3980" spans="1:4" ht="14.65" thickBot="1" x14ac:dyDescent="0.5">
      <c r="A3980" s="17">
        <v>43970.666666666664</v>
      </c>
      <c r="B3980" s="19">
        <v>183.63</v>
      </c>
      <c r="C3980" t="s">
        <v>41</v>
      </c>
      <c r="D3980" t="str">
        <f>T_Stocks[[#This Row],[Ticker]] &amp; "-" &amp; DATE(YEAR(T_Stocks[[#This Row],[Fecha]]),MONTH(T_Stocks[[#This Row],[Fecha]]),DAY(T_Stocks[[#This Row],[Fecha]]))</f>
        <v>MSFT-43970</v>
      </c>
    </row>
    <row r="3981" spans="1:4" ht="14.65" thickBot="1" x14ac:dyDescent="0.5">
      <c r="A3981" s="17">
        <v>43971.666666666664</v>
      </c>
      <c r="B3981" s="19">
        <v>185.66</v>
      </c>
      <c r="C3981" t="s">
        <v>41</v>
      </c>
      <c r="D3981" t="str">
        <f>T_Stocks[[#This Row],[Ticker]] &amp; "-" &amp; DATE(YEAR(T_Stocks[[#This Row],[Fecha]]),MONTH(T_Stocks[[#This Row],[Fecha]]),DAY(T_Stocks[[#This Row],[Fecha]]))</f>
        <v>MSFT-43971</v>
      </c>
    </row>
    <row r="3982" spans="1:4" ht="14.65" thickBot="1" x14ac:dyDescent="0.5">
      <c r="A3982" s="17">
        <v>43972.666666666664</v>
      </c>
      <c r="B3982" s="19">
        <v>183.43</v>
      </c>
      <c r="C3982" t="s">
        <v>41</v>
      </c>
      <c r="D3982" t="str">
        <f>T_Stocks[[#This Row],[Ticker]] &amp; "-" &amp; DATE(YEAR(T_Stocks[[#This Row],[Fecha]]),MONTH(T_Stocks[[#This Row],[Fecha]]),DAY(T_Stocks[[#This Row],[Fecha]]))</f>
        <v>MSFT-43972</v>
      </c>
    </row>
    <row r="3983" spans="1:4" ht="14.65" thickBot="1" x14ac:dyDescent="0.5">
      <c r="A3983" s="17">
        <v>43973.666666666664</v>
      </c>
      <c r="B3983" s="19">
        <v>183.51</v>
      </c>
      <c r="C3983" t="s">
        <v>41</v>
      </c>
      <c r="D3983" t="str">
        <f>T_Stocks[[#This Row],[Ticker]] &amp; "-" &amp; DATE(YEAR(T_Stocks[[#This Row],[Fecha]]),MONTH(T_Stocks[[#This Row],[Fecha]]),DAY(T_Stocks[[#This Row],[Fecha]]))</f>
        <v>MSFT-43973</v>
      </c>
    </row>
    <row r="3984" spans="1:4" ht="14.65" thickBot="1" x14ac:dyDescent="0.5">
      <c r="A3984" s="17">
        <v>43977.666666666664</v>
      </c>
      <c r="B3984" s="19">
        <v>181.57</v>
      </c>
      <c r="C3984" t="s">
        <v>41</v>
      </c>
      <c r="D3984" t="str">
        <f>T_Stocks[[#This Row],[Ticker]] &amp; "-" &amp; DATE(YEAR(T_Stocks[[#This Row],[Fecha]]),MONTH(T_Stocks[[#This Row],[Fecha]]),DAY(T_Stocks[[#This Row],[Fecha]]))</f>
        <v>MSFT-43977</v>
      </c>
    </row>
    <row r="3985" spans="1:4" ht="14.65" thickBot="1" x14ac:dyDescent="0.5">
      <c r="A3985" s="17">
        <v>43978.666666666664</v>
      </c>
      <c r="B3985" s="19">
        <v>181.81</v>
      </c>
      <c r="C3985" t="s">
        <v>41</v>
      </c>
      <c r="D3985" t="str">
        <f>T_Stocks[[#This Row],[Ticker]] &amp; "-" &amp; DATE(YEAR(T_Stocks[[#This Row],[Fecha]]),MONTH(T_Stocks[[#This Row],[Fecha]]),DAY(T_Stocks[[#This Row],[Fecha]]))</f>
        <v>MSFT-43978</v>
      </c>
    </row>
    <row r="3986" spans="1:4" ht="14.65" thickBot="1" x14ac:dyDescent="0.5">
      <c r="A3986" s="17">
        <v>43979.666666666664</v>
      </c>
      <c r="B3986" s="19">
        <v>181.4</v>
      </c>
      <c r="C3986" t="s">
        <v>41</v>
      </c>
      <c r="D3986" t="str">
        <f>T_Stocks[[#This Row],[Ticker]] &amp; "-" &amp; DATE(YEAR(T_Stocks[[#This Row],[Fecha]]),MONTH(T_Stocks[[#This Row],[Fecha]]),DAY(T_Stocks[[#This Row],[Fecha]]))</f>
        <v>MSFT-43979</v>
      </c>
    </row>
    <row r="3987" spans="1:4" ht="14.65" thickBot="1" x14ac:dyDescent="0.5">
      <c r="A3987" s="17">
        <v>43980.666666666664</v>
      </c>
      <c r="B3987" s="19">
        <v>183.25</v>
      </c>
      <c r="C3987" t="s">
        <v>41</v>
      </c>
      <c r="D3987" t="str">
        <f>T_Stocks[[#This Row],[Ticker]] &amp; "-" &amp; DATE(YEAR(T_Stocks[[#This Row],[Fecha]]),MONTH(T_Stocks[[#This Row],[Fecha]]),DAY(T_Stocks[[#This Row],[Fecha]]))</f>
        <v>MSFT-43980</v>
      </c>
    </row>
    <row r="3988" spans="1:4" ht="14.65" thickBot="1" x14ac:dyDescent="0.5">
      <c r="A3988" s="17">
        <v>43983.666666666664</v>
      </c>
      <c r="B3988" s="19">
        <v>182.83</v>
      </c>
      <c r="C3988" t="s">
        <v>41</v>
      </c>
      <c r="D3988" t="str">
        <f>T_Stocks[[#This Row],[Ticker]] &amp; "-" &amp; DATE(YEAR(T_Stocks[[#This Row],[Fecha]]),MONTH(T_Stocks[[#This Row],[Fecha]]),DAY(T_Stocks[[#This Row],[Fecha]]))</f>
        <v>MSFT-43983</v>
      </c>
    </row>
    <row r="3989" spans="1:4" ht="14.65" thickBot="1" x14ac:dyDescent="0.5">
      <c r="A3989" s="17">
        <v>43984.666666666664</v>
      </c>
      <c r="B3989" s="19">
        <v>184.91</v>
      </c>
      <c r="C3989" t="s">
        <v>41</v>
      </c>
      <c r="D3989" t="str">
        <f>T_Stocks[[#This Row],[Ticker]] &amp; "-" &amp; DATE(YEAR(T_Stocks[[#This Row],[Fecha]]),MONTH(T_Stocks[[#This Row],[Fecha]]),DAY(T_Stocks[[#This Row],[Fecha]]))</f>
        <v>MSFT-43984</v>
      </c>
    </row>
    <row r="3990" spans="1:4" ht="14.65" thickBot="1" x14ac:dyDescent="0.5">
      <c r="A3990" s="17">
        <v>43985.666666666664</v>
      </c>
      <c r="B3990" s="19">
        <v>185.36</v>
      </c>
      <c r="C3990" t="s">
        <v>41</v>
      </c>
      <c r="D3990" t="str">
        <f>T_Stocks[[#This Row],[Ticker]] &amp; "-" &amp; DATE(YEAR(T_Stocks[[#This Row],[Fecha]]),MONTH(T_Stocks[[#This Row],[Fecha]]),DAY(T_Stocks[[#This Row],[Fecha]]))</f>
        <v>MSFT-43985</v>
      </c>
    </row>
    <row r="3991" spans="1:4" ht="14.65" thickBot="1" x14ac:dyDescent="0.5">
      <c r="A3991" s="17">
        <v>43986.666666666664</v>
      </c>
      <c r="B3991" s="19">
        <v>182.92</v>
      </c>
      <c r="C3991" t="s">
        <v>41</v>
      </c>
      <c r="D3991" t="str">
        <f>T_Stocks[[#This Row],[Ticker]] &amp; "-" &amp; DATE(YEAR(T_Stocks[[#This Row],[Fecha]]),MONTH(T_Stocks[[#This Row],[Fecha]]),DAY(T_Stocks[[#This Row],[Fecha]]))</f>
        <v>MSFT-43986</v>
      </c>
    </row>
    <row r="3992" spans="1:4" ht="14.65" thickBot="1" x14ac:dyDescent="0.5">
      <c r="A3992" s="17">
        <v>43987.666666666664</v>
      </c>
      <c r="B3992" s="19">
        <v>187.2</v>
      </c>
      <c r="C3992" t="s">
        <v>41</v>
      </c>
      <c r="D3992" t="str">
        <f>T_Stocks[[#This Row],[Ticker]] &amp; "-" &amp; DATE(YEAR(T_Stocks[[#This Row],[Fecha]]),MONTH(T_Stocks[[#This Row],[Fecha]]),DAY(T_Stocks[[#This Row],[Fecha]]))</f>
        <v>MSFT-43987</v>
      </c>
    </row>
    <row r="3993" spans="1:4" ht="14.65" thickBot="1" x14ac:dyDescent="0.5">
      <c r="A3993" s="17">
        <v>43990.666666666664</v>
      </c>
      <c r="B3993" s="19">
        <v>188.36</v>
      </c>
      <c r="C3993" t="s">
        <v>41</v>
      </c>
      <c r="D3993" t="str">
        <f>T_Stocks[[#This Row],[Ticker]] &amp; "-" &amp; DATE(YEAR(T_Stocks[[#This Row],[Fecha]]),MONTH(T_Stocks[[#This Row],[Fecha]]),DAY(T_Stocks[[#This Row],[Fecha]]))</f>
        <v>MSFT-43990</v>
      </c>
    </row>
    <row r="3994" spans="1:4" ht="14.65" thickBot="1" x14ac:dyDescent="0.5">
      <c r="A3994" s="17">
        <v>43991.666666666664</v>
      </c>
      <c r="B3994" s="19">
        <v>189.8</v>
      </c>
      <c r="C3994" t="s">
        <v>41</v>
      </c>
      <c r="D3994" t="str">
        <f>T_Stocks[[#This Row],[Ticker]] &amp; "-" &amp; DATE(YEAR(T_Stocks[[#This Row],[Fecha]]),MONTH(T_Stocks[[#This Row],[Fecha]]),DAY(T_Stocks[[#This Row],[Fecha]]))</f>
        <v>MSFT-43991</v>
      </c>
    </row>
    <row r="3995" spans="1:4" ht="14.65" thickBot="1" x14ac:dyDescent="0.5">
      <c r="A3995" s="17">
        <v>43992.666666666664</v>
      </c>
      <c r="B3995" s="19">
        <v>196.84</v>
      </c>
      <c r="C3995" t="s">
        <v>41</v>
      </c>
      <c r="D3995" t="str">
        <f>T_Stocks[[#This Row],[Ticker]] &amp; "-" &amp; DATE(YEAR(T_Stocks[[#This Row],[Fecha]]),MONTH(T_Stocks[[#This Row],[Fecha]]),DAY(T_Stocks[[#This Row],[Fecha]]))</f>
        <v>MSFT-43992</v>
      </c>
    </row>
    <row r="3996" spans="1:4" ht="14.65" thickBot="1" x14ac:dyDescent="0.5">
      <c r="A3996" s="17">
        <v>43993.666666666664</v>
      </c>
      <c r="B3996" s="19">
        <v>186.27</v>
      </c>
      <c r="C3996" t="s">
        <v>41</v>
      </c>
      <c r="D3996" t="str">
        <f>T_Stocks[[#This Row],[Ticker]] &amp; "-" &amp; DATE(YEAR(T_Stocks[[#This Row],[Fecha]]),MONTH(T_Stocks[[#This Row],[Fecha]]),DAY(T_Stocks[[#This Row],[Fecha]]))</f>
        <v>MSFT-43993</v>
      </c>
    </row>
    <row r="3997" spans="1:4" ht="14.65" thickBot="1" x14ac:dyDescent="0.5">
      <c r="A3997" s="17">
        <v>43994.666666666664</v>
      </c>
      <c r="B3997" s="19">
        <v>187.74</v>
      </c>
      <c r="C3997" t="s">
        <v>41</v>
      </c>
      <c r="D3997" t="str">
        <f>T_Stocks[[#This Row],[Ticker]] &amp; "-" &amp; DATE(YEAR(T_Stocks[[#This Row],[Fecha]]),MONTH(T_Stocks[[#This Row],[Fecha]]),DAY(T_Stocks[[#This Row],[Fecha]]))</f>
        <v>MSFT-43994</v>
      </c>
    </row>
    <row r="3998" spans="1:4" ht="14.65" thickBot="1" x14ac:dyDescent="0.5">
      <c r="A3998" s="17">
        <v>43997.666666666664</v>
      </c>
      <c r="B3998" s="19">
        <v>188.94</v>
      </c>
      <c r="C3998" t="s">
        <v>41</v>
      </c>
      <c r="D3998" t="str">
        <f>T_Stocks[[#This Row],[Ticker]] &amp; "-" &amp; DATE(YEAR(T_Stocks[[#This Row],[Fecha]]),MONTH(T_Stocks[[#This Row],[Fecha]]),DAY(T_Stocks[[#This Row],[Fecha]]))</f>
        <v>MSFT-43997</v>
      </c>
    </row>
    <row r="3999" spans="1:4" ht="14.65" thickBot="1" x14ac:dyDescent="0.5">
      <c r="A3999" s="17">
        <v>43998.666666666664</v>
      </c>
      <c r="B3999" s="19">
        <v>193.57</v>
      </c>
      <c r="C3999" t="s">
        <v>41</v>
      </c>
      <c r="D3999" t="str">
        <f>T_Stocks[[#This Row],[Ticker]] &amp; "-" &amp; DATE(YEAR(T_Stocks[[#This Row],[Fecha]]),MONTH(T_Stocks[[#This Row],[Fecha]]),DAY(T_Stocks[[#This Row],[Fecha]]))</f>
        <v>MSFT-43998</v>
      </c>
    </row>
    <row r="4000" spans="1:4" ht="14.65" thickBot="1" x14ac:dyDescent="0.5">
      <c r="A4000" s="17">
        <v>43999.666666666664</v>
      </c>
      <c r="B4000" s="19">
        <v>194.24</v>
      </c>
      <c r="C4000" t="s">
        <v>41</v>
      </c>
      <c r="D4000" t="str">
        <f>T_Stocks[[#This Row],[Ticker]] &amp; "-" &amp; DATE(YEAR(T_Stocks[[#This Row],[Fecha]]),MONTH(T_Stocks[[#This Row],[Fecha]]),DAY(T_Stocks[[#This Row],[Fecha]]))</f>
        <v>MSFT-43999</v>
      </c>
    </row>
    <row r="4001" spans="1:4" ht="14.65" thickBot="1" x14ac:dyDescent="0.5">
      <c r="A4001" s="17">
        <v>44000.666666666664</v>
      </c>
      <c r="B4001" s="19">
        <v>196.32</v>
      </c>
      <c r="C4001" t="s">
        <v>41</v>
      </c>
      <c r="D4001" t="str">
        <f>T_Stocks[[#This Row],[Ticker]] &amp; "-" &amp; DATE(YEAR(T_Stocks[[#This Row],[Fecha]]),MONTH(T_Stocks[[#This Row],[Fecha]]),DAY(T_Stocks[[#This Row],[Fecha]]))</f>
        <v>MSFT-44000</v>
      </c>
    </row>
    <row r="4002" spans="1:4" ht="14.65" thickBot="1" x14ac:dyDescent="0.5">
      <c r="A4002" s="17">
        <v>44001.666666666664</v>
      </c>
      <c r="B4002" s="19">
        <v>195.15</v>
      </c>
      <c r="C4002" t="s">
        <v>41</v>
      </c>
      <c r="D4002" t="str">
        <f>T_Stocks[[#This Row],[Ticker]] &amp; "-" &amp; DATE(YEAR(T_Stocks[[#This Row],[Fecha]]),MONTH(T_Stocks[[#This Row],[Fecha]]),DAY(T_Stocks[[#This Row],[Fecha]]))</f>
        <v>MSFT-44001</v>
      </c>
    </row>
    <row r="4003" spans="1:4" ht="14.65" thickBot="1" x14ac:dyDescent="0.5">
      <c r="A4003" s="17">
        <v>44004.666666666664</v>
      </c>
      <c r="B4003" s="19">
        <v>200.57</v>
      </c>
      <c r="C4003" t="s">
        <v>41</v>
      </c>
      <c r="D4003" t="str">
        <f>T_Stocks[[#This Row],[Ticker]] &amp; "-" &amp; DATE(YEAR(T_Stocks[[#This Row],[Fecha]]),MONTH(T_Stocks[[#This Row],[Fecha]]),DAY(T_Stocks[[#This Row],[Fecha]]))</f>
        <v>MSFT-44004</v>
      </c>
    </row>
    <row r="4004" spans="1:4" ht="14.65" thickBot="1" x14ac:dyDescent="0.5">
      <c r="A4004" s="17">
        <v>44005.666666666664</v>
      </c>
      <c r="B4004" s="19">
        <v>201.91</v>
      </c>
      <c r="C4004" t="s">
        <v>41</v>
      </c>
      <c r="D4004" t="str">
        <f>T_Stocks[[#This Row],[Ticker]] &amp; "-" &amp; DATE(YEAR(T_Stocks[[#This Row],[Fecha]]),MONTH(T_Stocks[[#This Row],[Fecha]]),DAY(T_Stocks[[#This Row],[Fecha]]))</f>
        <v>MSFT-44005</v>
      </c>
    </row>
    <row r="4005" spans="1:4" ht="14.65" thickBot="1" x14ac:dyDescent="0.5">
      <c r="A4005" s="17">
        <v>44006.666666666664</v>
      </c>
      <c r="B4005" s="19">
        <v>197.84</v>
      </c>
      <c r="C4005" t="s">
        <v>41</v>
      </c>
      <c r="D4005" t="str">
        <f>T_Stocks[[#This Row],[Ticker]] &amp; "-" &amp; DATE(YEAR(T_Stocks[[#This Row],[Fecha]]),MONTH(T_Stocks[[#This Row],[Fecha]]),DAY(T_Stocks[[#This Row],[Fecha]]))</f>
        <v>MSFT-44006</v>
      </c>
    </row>
    <row r="4006" spans="1:4" ht="14.65" thickBot="1" x14ac:dyDescent="0.5">
      <c r="A4006" s="17">
        <v>44007.666666666664</v>
      </c>
      <c r="B4006" s="19">
        <v>200.34</v>
      </c>
      <c r="C4006" t="s">
        <v>41</v>
      </c>
      <c r="D4006" t="str">
        <f>T_Stocks[[#This Row],[Ticker]] &amp; "-" &amp; DATE(YEAR(T_Stocks[[#This Row],[Fecha]]),MONTH(T_Stocks[[#This Row],[Fecha]]),DAY(T_Stocks[[#This Row],[Fecha]]))</f>
        <v>MSFT-44007</v>
      </c>
    </row>
    <row r="4007" spans="1:4" ht="14.65" thickBot="1" x14ac:dyDescent="0.5">
      <c r="A4007" s="17">
        <v>44008.666666666664</v>
      </c>
      <c r="B4007" s="19">
        <v>196.33</v>
      </c>
      <c r="C4007" t="s">
        <v>41</v>
      </c>
      <c r="D4007" t="str">
        <f>T_Stocks[[#This Row],[Ticker]] &amp; "-" &amp; DATE(YEAR(T_Stocks[[#This Row],[Fecha]]),MONTH(T_Stocks[[#This Row],[Fecha]]),DAY(T_Stocks[[#This Row],[Fecha]]))</f>
        <v>MSFT-44008</v>
      </c>
    </row>
    <row r="4008" spans="1:4" ht="14.65" thickBot="1" x14ac:dyDescent="0.5">
      <c r="A4008" s="17">
        <v>44011.666666666664</v>
      </c>
      <c r="B4008" s="19">
        <v>198.44</v>
      </c>
      <c r="C4008" t="s">
        <v>41</v>
      </c>
      <c r="D4008" t="str">
        <f>T_Stocks[[#This Row],[Ticker]] &amp; "-" &amp; DATE(YEAR(T_Stocks[[#This Row],[Fecha]]),MONTH(T_Stocks[[#This Row],[Fecha]]),DAY(T_Stocks[[#This Row],[Fecha]]))</f>
        <v>MSFT-44011</v>
      </c>
    </row>
    <row r="4009" spans="1:4" ht="14.65" thickBot="1" x14ac:dyDescent="0.5">
      <c r="A4009" s="17">
        <v>44012.666666666664</v>
      </c>
      <c r="B4009" s="19">
        <v>203.51</v>
      </c>
      <c r="C4009" t="s">
        <v>41</v>
      </c>
      <c r="D4009" t="str">
        <f>T_Stocks[[#This Row],[Ticker]] &amp; "-" &amp; DATE(YEAR(T_Stocks[[#This Row],[Fecha]]),MONTH(T_Stocks[[#This Row],[Fecha]]),DAY(T_Stocks[[#This Row],[Fecha]]))</f>
        <v>MSFT-44012</v>
      </c>
    </row>
    <row r="4010" spans="1:4" ht="14.65" thickBot="1" x14ac:dyDescent="0.5">
      <c r="A4010" s="17">
        <v>44013.666666666664</v>
      </c>
      <c r="B4010" s="19">
        <v>204.7</v>
      </c>
      <c r="C4010" t="s">
        <v>41</v>
      </c>
      <c r="D4010" t="str">
        <f>T_Stocks[[#This Row],[Ticker]] &amp; "-" &amp; DATE(YEAR(T_Stocks[[#This Row],[Fecha]]),MONTH(T_Stocks[[#This Row],[Fecha]]),DAY(T_Stocks[[#This Row],[Fecha]]))</f>
        <v>MSFT-44013</v>
      </c>
    </row>
    <row r="4011" spans="1:4" ht="14.65" thickBot="1" x14ac:dyDescent="0.5">
      <c r="A4011" s="17">
        <v>44014.666666666664</v>
      </c>
      <c r="B4011" s="19">
        <v>206.26</v>
      </c>
      <c r="C4011" t="s">
        <v>41</v>
      </c>
      <c r="D4011" t="str">
        <f>T_Stocks[[#This Row],[Ticker]] &amp; "-" &amp; DATE(YEAR(T_Stocks[[#This Row],[Fecha]]),MONTH(T_Stocks[[#This Row],[Fecha]]),DAY(T_Stocks[[#This Row],[Fecha]]))</f>
        <v>MSFT-44014</v>
      </c>
    </row>
    <row r="4012" spans="1:4" ht="14.65" thickBot="1" x14ac:dyDescent="0.5">
      <c r="A4012" s="17">
        <v>44018.666666666664</v>
      </c>
      <c r="B4012" s="19">
        <v>210.7</v>
      </c>
      <c r="C4012" t="s">
        <v>41</v>
      </c>
      <c r="D4012" t="str">
        <f>T_Stocks[[#This Row],[Ticker]] &amp; "-" &amp; DATE(YEAR(T_Stocks[[#This Row],[Fecha]]),MONTH(T_Stocks[[#This Row],[Fecha]]),DAY(T_Stocks[[#This Row],[Fecha]]))</f>
        <v>MSFT-44018</v>
      </c>
    </row>
    <row r="4013" spans="1:4" ht="14.65" thickBot="1" x14ac:dyDescent="0.5">
      <c r="A4013" s="17">
        <v>44019.666666666664</v>
      </c>
      <c r="B4013" s="19">
        <v>208.25</v>
      </c>
      <c r="C4013" t="s">
        <v>41</v>
      </c>
      <c r="D4013" t="str">
        <f>T_Stocks[[#This Row],[Ticker]] &amp; "-" &amp; DATE(YEAR(T_Stocks[[#This Row],[Fecha]]),MONTH(T_Stocks[[#This Row],[Fecha]]),DAY(T_Stocks[[#This Row],[Fecha]]))</f>
        <v>MSFT-44019</v>
      </c>
    </row>
    <row r="4014" spans="1:4" ht="14.65" thickBot="1" x14ac:dyDescent="0.5">
      <c r="A4014" s="17">
        <v>44020.666666666664</v>
      </c>
      <c r="B4014" s="19">
        <v>212.83</v>
      </c>
      <c r="C4014" t="s">
        <v>41</v>
      </c>
      <c r="D4014" t="str">
        <f>T_Stocks[[#This Row],[Ticker]] &amp; "-" &amp; DATE(YEAR(T_Stocks[[#This Row],[Fecha]]),MONTH(T_Stocks[[#This Row],[Fecha]]),DAY(T_Stocks[[#This Row],[Fecha]]))</f>
        <v>MSFT-44020</v>
      </c>
    </row>
    <row r="4015" spans="1:4" ht="14.65" thickBot="1" x14ac:dyDescent="0.5">
      <c r="A4015" s="17">
        <v>44021.666666666664</v>
      </c>
      <c r="B4015" s="19">
        <v>214.32</v>
      </c>
      <c r="C4015" t="s">
        <v>41</v>
      </c>
      <c r="D4015" t="str">
        <f>T_Stocks[[#This Row],[Ticker]] &amp; "-" &amp; DATE(YEAR(T_Stocks[[#This Row],[Fecha]]),MONTH(T_Stocks[[#This Row],[Fecha]]),DAY(T_Stocks[[#This Row],[Fecha]]))</f>
        <v>MSFT-44021</v>
      </c>
    </row>
    <row r="4016" spans="1:4" ht="14.65" thickBot="1" x14ac:dyDescent="0.5">
      <c r="A4016" s="17">
        <v>44022.666666666664</v>
      </c>
      <c r="B4016" s="19">
        <v>213.67</v>
      </c>
      <c r="C4016" t="s">
        <v>41</v>
      </c>
      <c r="D4016" t="str">
        <f>T_Stocks[[#This Row],[Ticker]] &amp; "-" &amp; DATE(YEAR(T_Stocks[[#This Row],[Fecha]]),MONTH(T_Stocks[[#This Row],[Fecha]]),DAY(T_Stocks[[#This Row],[Fecha]]))</f>
        <v>MSFT-44022</v>
      </c>
    </row>
    <row r="4017" spans="1:4" ht="14.65" thickBot="1" x14ac:dyDescent="0.5">
      <c r="A4017" s="17">
        <v>44025.666666666664</v>
      </c>
      <c r="B4017" s="19">
        <v>207.07</v>
      </c>
      <c r="C4017" t="s">
        <v>41</v>
      </c>
      <c r="D4017" t="str">
        <f>T_Stocks[[#This Row],[Ticker]] &amp; "-" &amp; DATE(YEAR(T_Stocks[[#This Row],[Fecha]]),MONTH(T_Stocks[[#This Row],[Fecha]]),DAY(T_Stocks[[#This Row],[Fecha]]))</f>
        <v>MSFT-44025</v>
      </c>
    </row>
    <row r="4018" spans="1:4" ht="14.65" thickBot="1" x14ac:dyDescent="0.5">
      <c r="A4018" s="17">
        <v>44026.666666666664</v>
      </c>
      <c r="B4018" s="19">
        <v>208.35</v>
      </c>
      <c r="C4018" t="s">
        <v>41</v>
      </c>
      <c r="D4018" t="str">
        <f>T_Stocks[[#This Row],[Ticker]] &amp; "-" &amp; DATE(YEAR(T_Stocks[[#This Row],[Fecha]]),MONTH(T_Stocks[[#This Row],[Fecha]]),DAY(T_Stocks[[#This Row],[Fecha]]))</f>
        <v>MSFT-44026</v>
      </c>
    </row>
    <row r="4019" spans="1:4" ht="14.65" thickBot="1" x14ac:dyDescent="0.5">
      <c r="A4019" s="17">
        <v>44027.666666666664</v>
      </c>
      <c r="B4019" s="19">
        <v>208.04</v>
      </c>
      <c r="C4019" t="s">
        <v>41</v>
      </c>
      <c r="D4019" t="str">
        <f>T_Stocks[[#This Row],[Ticker]] &amp; "-" &amp; DATE(YEAR(T_Stocks[[#This Row],[Fecha]]),MONTH(T_Stocks[[#This Row],[Fecha]]),DAY(T_Stocks[[#This Row],[Fecha]]))</f>
        <v>MSFT-44027</v>
      </c>
    </row>
    <row r="4020" spans="1:4" ht="14.65" thickBot="1" x14ac:dyDescent="0.5">
      <c r="A4020" s="17">
        <v>44028.666666666664</v>
      </c>
      <c r="B4020" s="19">
        <v>203.92</v>
      </c>
      <c r="C4020" t="s">
        <v>41</v>
      </c>
      <c r="D4020" t="str">
        <f>T_Stocks[[#This Row],[Ticker]] &amp; "-" &amp; DATE(YEAR(T_Stocks[[#This Row],[Fecha]]),MONTH(T_Stocks[[#This Row],[Fecha]]),DAY(T_Stocks[[#This Row],[Fecha]]))</f>
        <v>MSFT-44028</v>
      </c>
    </row>
    <row r="4021" spans="1:4" ht="14.65" thickBot="1" x14ac:dyDescent="0.5">
      <c r="A4021" s="17">
        <v>44029.666666666664</v>
      </c>
      <c r="B4021" s="19">
        <v>202.88</v>
      </c>
      <c r="C4021" t="s">
        <v>41</v>
      </c>
      <c r="D4021" t="str">
        <f>T_Stocks[[#This Row],[Ticker]] &amp; "-" &amp; DATE(YEAR(T_Stocks[[#This Row],[Fecha]]),MONTH(T_Stocks[[#This Row],[Fecha]]),DAY(T_Stocks[[#This Row],[Fecha]]))</f>
        <v>MSFT-44029</v>
      </c>
    </row>
    <row r="4022" spans="1:4" ht="14.65" thickBot="1" x14ac:dyDescent="0.5">
      <c r="A4022" s="17">
        <v>44032.666666666664</v>
      </c>
      <c r="B4022" s="19">
        <v>211.6</v>
      </c>
      <c r="C4022" t="s">
        <v>41</v>
      </c>
      <c r="D4022" t="str">
        <f>T_Stocks[[#This Row],[Ticker]] &amp; "-" &amp; DATE(YEAR(T_Stocks[[#This Row],[Fecha]]),MONTH(T_Stocks[[#This Row],[Fecha]]),DAY(T_Stocks[[#This Row],[Fecha]]))</f>
        <v>MSFT-44032</v>
      </c>
    </row>
    <row r="4023" spans="1:4" ht="14.65" thickBot="1" x14ac:dyDescent="0.5">
      <c r="A4023" s="17">
        <v>44033.666666666664</v>
      </c>
      <c r="B4023" s="19">
        <v>208.75</v>
      </c>
      <c r="C4023" t="s">
        <v>41</v>
      </c>
      <c r="D4023" t="str">
        <f>T_Stocks[[#This Row],[Ticker]] &amp; "-" &amp; DATE(YEAR(T_Stocks[[#This Row],[Fecha]]),MONTH(T_Stocks[[#This Row],[Fecha]]),DAY(T_Stocks[[#This Row],[Fecha]]))</f>
        <v>MSFT-44033</v>
      </c>
    </row>
    <row r="4024" spans="1:4" ht="14.65" thickBot="1" x14ac:dyDescent="0.5">
      <c r="A4024" s="17">
        <v>44034.666666666664</v>
      </c>
      <c r="B4024" s="19">
        <v>211.75</v>
      </c>
      <c r="C4024" t="s">
        <v>41</v>
      </c>
      <c r="D4024" t="str">
        <f>T_Stocks[[#This Row],[Ticker]] &amp; "-" &amp; DATE(YEAR(T_Stocks[[#This Row],[Fecha]]),MONTH(T_Stocks[[#This Row],[Fecha]]),DAY(T_Stocks[[#This Row],[Fecha]]))</f>
        <v>MSFT-44034</v>
      </c>
    </row>
    <row r="4025" spans="1:4" ht="14.65" thickBot="1" x14ac:dyDescent="0.5">
      <c r="A4025" s="17">
        <v>44035.666666666664</v>
      </c>
      <c r="B4025" s="19">
        <v>202.54</v>
      </c>
      <c r="C4025" t="s">
        <v>41</v>
      </c>
      <c r="D4025" t="str">
        <f>T_Stocks[[#This Row],[Ticker]] &amp; "-" &amp; DATE(YEAR(T_Stocks[[#This Row],[Fecha]]),MONTH(T_Stocks[[#This Row],[Fecha]]),DAY(T_Stocks[[#This Row],[Fecha]]))</f>
        <v>MSFT-44035</v>
      </c>
    </row>
    <row r="4026" spans="1:4" ht="14.65" thickBot="1" x14ac:dyDescent="0.5">
      <c r="A4026" s="17">
        <v>44036.666666666664</v>
      </c>
      <c r="B4026" s="19">
        <v>201.3</v>
      </c>
      <c r="C4026" t="s">
        <v>41</v>
      </c>
      <c r="D4026" t="str">
        <f>T_Stocks[[#This Row],[Ticker]] &amp; "-" &amp; DATE(YEAR(T_Stocks[[#This Row],[Fecha]]),MONTH(T_Stocks[[#This Row],[Fecha]]),DAY(T_Stocks[[#This Row],[Fecha]]))</f>
        <v>MSFT-44036</v>
      </c>
    </row>
    <row r="4027" spans="1:4" ht="14.65" thickBot="1" x14ac:dyDescent="0.5">
      <c r="A4027" s="17">
        <v>44039.666666666664</v>
      </c>
      <c r="B4027" s="19">
        <v>203.85</v>
      </c>
      <c r="C4027" t="s">
        <v>41</v>
      </c>
      <c r="D4027" t="str">
        <f>T_Stocks[[#This Row],[Ticker]] &amp; "-" &amp; DATE(YEAR(T_Stocks[[#This Row],[Fecha]]),MONTH(T_Stocks[[#This Row],[Fecha]]),DAY(T_Stocks[[#This Row],[Fecha]]))</f>
        <v>MSFT-44039</v>
      </c>
    </row>
    <row r="4028" spans="1:4" ht="14.65" thickBot="1" x14ac:dyDescent="0.5">
      <c r="A4028" s="17">
        <v>44040.666666666664</v>
      </c>
      <c r="B4028" s="19">
        <v>202.02</v>
      </c>
      <c r="C4028" t="s">
        <v>41</v>
      </c>
      <c r="D4028" t="str">
        <f>T_Stocks[[#This Row],[Ticker]] &amp; "-" &amp; DATE(YEAR(T_Stocks[[#This Row],[Fecha]]),MONTH(T_Stocks[[#This Row],[Fecha]]),DAY(T_Stocks[[#This Row],[Fecha]]))</f>
        <v>MSFT-44040</v>
      </c>
    </row>
    <row r="4029" spans="1:4" ht="14.65" thickBot="1" x14ac:dyDescent="0.5">
      <c r="A4029" s="17">
        <v>44041.666666666664</v>
      </c>
      <c r="B4029" s="19">
        <v>204.06</v>
      </c>
      <c r="C4029" t="s">
        <v>41</v>
      </c>
      <c r="D4029" t="str">
        <f>T_Stocks[[#This Row],[Ticker]] &amp; "-" &amp; DATE(YEAR(T_Stocks[[#This Row],[Fecha]]),MONTH(T_Stocks[[#This Row],[Fecha]]),DAY(T_Stocks[[#This Row],[Fecha]]))</f>
        <v>MSFT-44041</v>
      </c>
    </row>
    <row r="4030" spans="1:4" ht="14.65" thickBot="1" x14ac:dyDescent="0.5">
      <c r="A4030" s="17">
        <v>44042.666666666664</v>
      </c>
      <c r="B4030" s="19">
        <v>203.9</v>
      </c>
      <c r="C4030" t="s">
        <v>41</v>
      </c>
      <c r="D4030" t="str">
        <f>T_Stocks[[#This Row],[Ticker]] &amp; "-" &amp; DATE(YEAR(T_Stocks[[#This Row],[Fecha]]),MONTH(T_Stocks[[#This Row],[Fecha]]),DAY(T_Stocks[[#This Row],[Fecha]]))</f>
        <v>MSFT-44042</v>
      </c>
    </row>
    <row r="4031" spans="1:4" ht="14.65" thickBot="1" x14ac:dyDescent="0.5">
      <c r="A4031" s="17">
        <v>44043.666666666664</v>
      </c>
      <c r="B4031" s="19">
        <v>205.01</v>
      </c>
      <c r="C4031" t="s">
        <v>41</v>
      </c>
      <c r="D4031" t="str">
        <f>T_Stocks[[#This Row],[Ticker]] &amp; "-" &amp; DATE(YEAR(T_Stocks[[#This Row],[Fecha]]),MONTH(T_Stocks[[#This Row],[Fecha]]),DAY(T_Stocks[[#This Row],[Fecha]]))</f>
        <v>MSFT-44043</v>
      </c>
    </row>
    <row r="4032" spans="1:4" ht="14.65" thickBot="1" x14ac:dyDescent="0.5">
      <c r="A4032" s="17">
        <v>44046.666666666664</v>
      </c>
      <c r="B4032" s="19">
        <v>216.54</v>
      </c>
      <c r="C4032" t="s">
        <v>41</v>
      </c>
      <c r="D4032" t="str">
        <f>T_Stocks[[#This Row],[Ticker]] &amp; "-" &amp; DATE(YEAR(T_Stocks[[#This Row],[Fecha]]),MONTH(T_Stocks[[#This Row],[Fecha]]),DAY(T_Stocks[[#This Row],[Fecha]]))</f>
        <v>MSFT-44046</v>
      </c>
    </row>
    <row r="4033" spans="1:4" ht="14.65" thickBot="1" x14ac:dyDescent="0.5">
      <c r="A4033" s="17">
        <v>44047.666666666664</v>
      </c>
      <c r="B4033" s="19">
        <v>213.29</v>
      </c>
      <c r="C4033" t="s">
        <v>41</v>
      </c>
      <c r="D4033" t="str">
        <f>T_Stocks[[#This Row],[Ticker]] &amp; "-" &amp; DATE(YEAR(T_Stocks[[#This Row],[Fecha]]),MONTH(T_Stocks[[#This Row],[Fecha]]),DAY(T_Stocks[[#This Row],[Fecha]]))</f>
        <v>MSFT-44047</v>
      </c>
    </row>
    <row r="4034" spans="1:4" ht="14.65" thickBot="1" x14ac:dyDescent="0.5">
      <c r="A4034" s="17">
        <v>44048.666666666664</v>
      </c>
      <c r="B4034" s="19">
        <v>212.94</v>
      </c>
      <c r="C4034" t="s">
        <v>41</v>
      </c>
      <c r="D4034" t="str">
        <f>T_Stocks[[#This Row],[Ticker]] &amp; "-" &amp; DATE(YEAR(T_Stocks[[#This Row],[Fecha]]),MONTH(T_Stocks[[#This Row],[Fecha]]),DAY(T_Stocks[[#This Row],[Fecha]]))</f>
        <v>MSFT-44048</v>
      </c>
    </row>
    <row r="4035" spans="1:4" ht="14.65" thickBot="1" x14ac:dyDescent="0.5">
      <c r="A4035" s="17">
        <v>44049.666666666664</v>
      </c>
      <c r="B4035" s="19">
        <v>216.35</v>
      </c>
      <c r="C4035" t="s">
        <v>41</v>
      </c>
      <c r="D4035" t="str">
        <f>T_Stocks[[#This Row],[Ticker]] &amp; "-" &amp; DATE(YEAR(T_Stocks[[#This Row],[Fecha]]),MONTH(T_Stocks[[#This Row],[Fecha]]),DAY(T_Stocks[[#This Row],[Fecha]]))</f>
        <v>MSFT-44049</v>
      </c>
    </row>
    <row r="4036" spans="1:4" ht="14.65" thickBot="1" x14ac:dyDescent="0.5">
      <c r="A4036" s="17">
        <v>44050.666666666664</v>
      </c>
      <c r="B4036" s="19">
        <v>212.48</v>
      </c>
      <c r="C4036" t="s">
        <v>41</v>
      </c>
      <c r="D4036" t="str">
        <f>T_Stocks[[#This Row],[Ticker]] &amp; "-" &amp; DATE(YEAR(T_Stocks[[#This Row],[Fecha]]),MONTH(T_Stocks[[#This Row],[Fecha]]),DAY(T_Stocks[[#This Row],[Fecha]]))</f>
        <v>MSFT-44050</v>
      </c>
    </row>
    <row r="4037" spans="1:4" ht="14.65" thickBot="1" x14ac:dyDescent="0.5">
      <c r="A4037" s="17">
        <v>44053.666666666664</v>
      </c>
      <c r="B4037" s="19">
        <v>208.25</v>
      </c>
      <c r="C4037" t="s">
        <v>41</v>
      </c>
      <c r="D4037" t="str">
        <f>T_Stocks[[#This Row],[Ticker]] &amp; "-" &amp; DATE(YEAR(T_Stocks[[#This Row],[Fecha]]),MONTH(T_Stocks[[#This Row],[Fecha]]),DAY(T_Stocks[[#This Row],[Fecha]]))</f>
        <v>MSFT-44053</v>
      </c>
    </row>
    <row r="4038" spans="1:4" ht="14.65" thickBot="1" x14ac:dyDescent="0.5">
      <c r="A4038" s="17">
        <v>44054.666666666664</v>
      </c>
      <c r="B4038" s="19">
        <v>203.38</v>
      </c>
      <c r="C4038" t="s">
        <v>41</v>
      </c>
      <c r="D4038" t="str">
        <f>T_Stocks[[#This Row],[Ticker]] &amp; "-" &amp; DATE(YEAR(T_Stocks[[#This Row],[Fecha]]),MONTH(T_Stocks[[#This Row],[Fecha]]),DAY(T_Stocks[[#This Row],[Fecha]]))</f>
        <v>MSFT-44054</v>
      </c>
    </row>
    <row r="4039" spans="1:4" ht="14.65" thickBot="1" x14ac:dyDescent="0.5">
      <c r="A4039" s="17">
        <v>44055.666666666664</v>
      </c>
      <c r="B4039" s="19">
        <v>209.19</v>
      </c>
      <c r="C4039" t="s">
        <v>41</v>
      </c>
      <c r="D4039" t="str">
        <f>T_Stocks[[#This Row],[Ticker]] &amp; "-" &amp; DATE(YEAR(T_Stocks[[#This Row],[Fecha]]),MONTH(T_Stocks[[#This Row],[Fecha]]),DAY(T_Stocks[[#This Row],[Fecha]]))</f>
        <v>MSFT-44055</v>
      </c>
    </row>
    <row r="4040" spans="1:4" ht="14.65" thickBot="1" x14ac:dyDescent="0.5">
      <c r="A4040" s="17">
        <v>44056.666666666664</v>
      </c>
      <c r="B4040" s="19">
        <v>208.7</v>
      </c>
      <c r="C4040" t="s">
        <v>41</v>
      </c>
      <c r="D4040" t="str">
        <f>T_Stocks[[#This Row],[Ticker]] &amp; "-" &amp; DATE(YEAR(T_Stocks[[#This Row],[Fecha]]),MONTH(T_Stocks[[#This Row],[Fecha]]),DAY(T_Stocks[[#This Row],[Fecha]]))</f>
        <v>MSFT-44056</v>
      </c>
    </row>
    <row r="4041" spans="1:4" ht="14.65" thickBot="1" x14ac:dyDescent="0.5">
      <c r="A4041" s="17">
        <v>44057.666666666664</v>
      </c>
      <c r="B4041" s="19">
        <v>208.9</v>
      </c>
      <c r="C4041" t="s">
        <v>41</v>
      </c>
      <c r="D4041" t="str">
        <f>T_Stocks[[#This Row],[Ticker]] &amp; "-" &amp; DATE(YEAR(T_Stocks[[#This Row],[Fecha]]),MONTH(T_Stocks[[#This Row],[Fecha]]),DAY(T_Stocks[[#This Row],[Fecha]]))</f>
        <v>MSFT-44057</v>
      </c>
    </row>
    <row r="4042" spans="1:4" ht="14.65" thickBot="1" x14ac:dyDescent="0.5">
      <c r="A4042" s="17">
        <v>44060.666666666664</v>
      </c>
      <c r="B4042" s="19">
        <v>210.28</v>
      </c>
      <c r="C4042" t="s">
        <v>41</v>
      </c>
      <c r="D4042" t="str">
        <f>T_Stocks[[#This Row],[Ticker]] &amp; "-" &amp; DATE(YEAR(T_Stocks[[#This Row],[Fecha]]),MONTH(T_Stocks[[#This Row],[Fecha]]),DAY(T_Stocks[[#This Row],[Fecha]]))</f>
        <v>MSFT-44060</v>
      </c>
    </row>
    <row r="4043" spans="1:4" ht="14.65" thickBot="1" x14ac:dyDescent="0.5">
      <c r="A4043" s="17">
        <v>44061.666666666664</v>
      </c>
      <c r="B4043" s="19">
        <v>211.49</v>
      </c>
      <c r="C4043" t="s">
        <v>41</v>
      </c>
      <c r="D4043" t="str">
        <f>T_Stocks[[#This Row],[Ticker]] &amp; "-" &amp; DATE(YEAR(T_Stocks[[#This Row],[Fecha]]),MONTH(T_Stocks[[#This Row],[Fecha]]),DAY(T_Stocks[[#This Row],[Fecha]]))</f>
        <v>MSFT-44061</v>
      </c>
    </row>
    <row r="4044" spans="1:4" ht="14.65" thickBot="1" x14ac:dyDescent="0.5">
      <c r="A4044" s="17">
        <v>44062.666666666664</v>
      </c>
      <c r="B4044" s="19">
        <v>209.7</v>
      </c>
      <c r="C4044" t="s">
        <v>41</v>
      </c>
      <c r="D4044" t="str">
        <f>T_Stocks[[#This Row],[Ticker]] &amp; "-" &amp; DATE(YEAR(T_Stocks[[#This Row],[Fecha]]),MONTH(T_Stocks[[#This Row],[Fecha]]),DAY(T_Stocks[[#This Row],[Fecha]]))</f>
        <v>MSFT-44062</v>
      </c>
    </row>
    <row r="4045" spans="1:4" ht="14.65" thickBot="1" x14ac:dyDescent="0.5">
      <c r="A4045" s="17">
        <v>44063.666666666664</v>
      </c>
      <c r="B4045" s="19">
        <v>214.58</v>
      </c>
      <c r="C4045" t="s">
        <v>41</v>
      </c>
      <c r="D4045" t="str">
        <f>T_Stocks[[#This Row],[Ticker]] &amp; "-" &amp; DATE(YEAR(T_Stocks[[#This Row],[Fecha]]),MONTH(T_Stocks[[#This Row],[Fecha]]),DAY(T_Stocks[[#This Row],[Fecha]]))</f>
        <v>MSFT-44063</v>
      </c>
    </row>
    <row r="4046" spans="1:4" ht="14.65" thickBot="1" x14ac:dyDescent="0.5">
      <c r="A4046" s="17">
        <v>44064.666666666664</v>
      </c>
      <c r="B4046" s="19">
        <v>213.02</v>
      </c>
      <c r="C4046" t="s">
        <v>41</v>
      </c>
      <c r="D4046" t="str">
        <f>T_Stocks[[#This Row],[Ticker]] &amp; "-" &amp; DATE(YEAR(T_Stocks[[#This Row],[Fecha]]),MONTH(T_Stocks[[#This Row],[Fecha]]),DAY(T_Stocks[[#This Row],[Fecha]]))</f>
        <v>MSFT-44064</v>
      </c>
    </row>
    <row r="4047" spans="1:4" ht="14.65" thickBot="1" x14ac:dyDescent="0.5">
      <c r="A4047" s="17">
        <v>44067.666666666664</v>
      </c>
      <c r="B4047" s="19">
        <v>213.69</v>
      </c>
      <c r="C4047" t="s">
        <v>41</v>
      </c>
      <c r="D4047" t="str">
        <f>T_Stocks[[#This Row],[Ticker]] &amp; "-" &amp; DATE(YEAR(T_Stocks[[#This Row],[Fecha]]),MONTH(T_Stocks[[#This Row],[Fecha]]),DAY(T_Stocks[[#This Row],[Fecha]]))</f>
        <v>MSFT-44067</v>
      </c>
    </row>
    <row r="4048" spans="1:4" ht="14.65" thickBot="1" x14ac:dyDescent="0.5">
      <c r="A4048" s="17">
        <v>44068.666666666664</v>
      </c>
      <c r="B4048" s="19">
        <v>216.47</v>
      </c>
      <c r="C4048" t="s">
        <v>41</v>
      </c>
      <c r="D4048" t="str">
        <f>T_Stocks[[#This Row],[Ticker]] &amp; "-" &amp; DATE(YEAR(T_Stocks[[#This Row],[Fecha]]),MONTH(T_Stocks[[#This Row],[Fecha]]),DAY(T_Stocks[[#This Row],[Fecha]]))</f>
        <v>MSFT-44068</v>
      </c>
    </row>
    <row r="4049" spans="1:4" ht="14.65" thickBot="1" x14ac:dyDescent="0.5">
      <c r="A4049" s="17">
        <v>44069.666666666664</v>
      </c>
      <c r="B4049" s="19">
        <v>221.15</v>
      </c>
      <c r="C4049" t="s">
        <v>41</v>
      </c>
      <c r="D4049" t="str">
        <f>T_Stocks[[#This Row],[Ticker]] &amp; "-" &amp; DATE(YEAR(T_Stocks[[#This Row],[Fecha]]),MONTH(T_Stocks[[#This Row],[Fecha]]),DAY(T_Stocks[[#This Row],[Fecha]]))</f>
        <v>MSFT-44069</v>
      </c>
    </row>
    <row r="4050" spans="1:4" ht="14.65" thickBot="1" x14ac:dyDescent="0.5">
      <c r="A4050" s="17">
        <v>44070.666666666664</v>
      </c>
      <c r="B4050" s="19">
        <v>226.58</v>
      </c>
      <c r="C4050" t="s">
        <v>41</v>
      </c>
      <c r="D4050" t="str">
        <f>T_Stocks[[#This Row],[Ticker]] &amp; "-" &amp; DATE(YEAR(T_Stocks[[#This Row],[Fecha]]),MONTH(T_Stocks[[#This Row],[Fecha]]),DAY(T_Stocks[[#This Row],[Fecha]]))</f>
        <v>MSFT-44070</v>
      </c>
    </row>
    <row r="4051" spans="1:4" ht="14.65" thickBot="1" x14ac:dyDescent="0.5">
      <c r="A4051" s="17">
        <v>44071.666666666664</v>
      </c>
      <c r="B4051" s="19">
        <v>228.91</v>
      </c>
      <c r="C4051" t="s">
        <v>41</v>
      </c>
      <c r="D4051" t="str">
        <f>T_Stocks[[#This Row],[Ticker]] &amp; "-" &amp; DATE(YEAR(T_Stocks[[#This Row],[Fecha]]),MONTH(T_Stocks[[#This Row],[Fecha]]),DAY(T_Stocks[[#This Row],[Fecha]]))</f>
        <v>MSFT-44071</v>
      </c>
    </row>
    <row r="4052" spans="1:4" ht="14.65" thickBot="1" x14ac:dyDescent="0.5">
      <c r="A4052" s="17">
        <v>44074.666666666664</v>
      </c>
      <c r="B4052" s="19">
        <v>225.53</v>
      </c>
      <c r="C4052" t="s">
        <v>41</v>
      </c>
      <c r="D4052" t="str">
        <f>T_Stocks[[#This Row],[Ticker]] &amp; "-" &amp; DATE(YEAR(T_Stocks[[#This Row],[Fecha]]),MONTH(T_Stocks[[#This Row],[Fecha]]),DAY(T_Stocks[[#This Row],[Fecha]]))</f>
        <v>MSFT-44074</v>
      </c>
    </row>
    <row r="4053" spans="1:4" ht="14.65" thickBot="1" x14ac:dyDescent="0.5">
      <c r="A4053" s="17">
        <v>44075.666666666664</v>
      </c>
      <c r="B4053" s="19">
        <v>227.27</v>
      </c>
      <c r="C4053" t="s">
        <v>41</v>
      </c>
      <c r="D4053" t="str">
        <f>T_Stocks[[#This Row],[Ticker]] &amp; "-" &amp; DATE(YEAR(T_Stocks[[#This Row],[Fecha]]),MONTH(T_Stocks[[#This Row],[Fecha]]),DAY(T_Stocks[[#This Row],[Fecha]]))</f>
        <v>MSFT-44075</v>
      </c>
    </row>
    <row r="4054" spans="1:4" ht="14.65" thickBot="1" x14ac:dyDescent="0.5">
      <c r="A4054" s="17">
        <v>44076.666666666664</v>
      </c>
      <c r="B4054" s="19">
        <v>231.65</v>
      </c>
      <c r="C4054" t="s">
        <v>41</v>
      </c>
      <c r="D4054" t="str">
        <f>T_Stocks[[#This Row],[Ticker]] &amp; "-" &amp; DATE(YEAR(T_Stocks[[#This Row],[Fecha]]),MONTH(T_Stocks[[#This Row],[Fecha]]),DAY(T_Stocks[[#This Row],[Fecha]]))</f>
        <v>MSFT-44076</v>
      </c>
    </row>
    <row r="4055" spans="1:4" ht="14.65" thickBot="1" x14ac:dyDescent="0.5">
      <c r="A4055" s="17">
        <v>44077.666666666664</v>
      </c>
      <c r="B4055" s="19">
        <v>217.3</v>
      </c>
      <c r="C4055" t="s">
        <v>41</v>
      </c>
      <c r="D4055" t="str">
        <f>T_Stocks[[#This Row],[Ticker]] &amp; "-" &amp; DATE(YEAR(T_Stocks[[#This Row],[Fecha]]),MONTH(T_Stocks[[#This Row],[Fecha]]),DAY(T_Stocks[[#This Row],[Fecha]]))</f>
        <v>MSFT-44077</v>
      </c>
    </row>
    <row r="4056" spans="1:4" ht="14.65" thickBot="1" x14ac:dyDescent="0.5">
      <c r="A4056" s="17">
        <v>44078.666666666664</v>
      </c>
      <c r="B4056" s="19">
        <v>214.25</v>
      </c>
      <c r="C4056" t="s">
        <v>41</v>
      </c>
      <c r="D4056" t="str">
        <f>T_Stocks[[#This Row],[Ticker]] &amp; "-" &amp; DATE(YEAR(T_Stocks[[#This Row],[Fecha]]),MONTH(T_Stocks[[#This Row],[Fecha]]),DAY(T_Stocks[[#This Row],[Fecha]]))</f>
        <v>MSFT-44078</v>
      </c>
    </row>
    <row r="4057" spans="1:4" ht="14.65" thickBot="1" x14ac:dyDescent="0.5">
      <c r="A4057" s="17">
        <v>44082.666666666664</v>
      </c>
      <c r="B4057" s="19">
        <v>202.66</v>
      </c>
      <c r="C4057" t="s">
        <v>41</v>
      </c>
      <c r="D4057" t="str">
        <f>T_Stocks[[#This Row],[Ticker]] &amp; "-" &amp; DATE(YEAR(T_Stocks[[#This Row],[Fecha]]),MONTH(T_Stocks[[#This Row],[Fecha]]),DAY(T_Stocks[[#This Row],[Fecha]]))</f>
        <v>MSFT-44082</v>
      </c>
    </row>
    <row r="4058" spans="1:4" ht="14.65" thickBot="1" x14ac:dyDescent="0.5">
      <c r="A4058" s="17">
        <v>44083.666666666664</v>
      </c>
      <c r="B4058" s="19">
        <v>211.29</v>
      </c>
      <c r="C4058" t="s">
        <v>41</v>
      </c>
      <c r="D4058" t="str">
        <f>T_Stocks[[#This Row],[Ticker]] &amp; "-" &amp; DATE(YEAR(T_Stocks[[#This Row],[Fecha]]),MONTH(T_Stocks[[#This Row],[Fecha]]),DAY(T_Stocks[[#This Row],[Fecha]]))</f>
        <v>MSFT-44083</v>
      </c>
    </row>
    <row r="4059" spans="1:4" ht="14.65" thickBot="1" x14ac:dyDescent="0.5">
      <c r="A4059" s="17">
        <v>44084.666666666664</v>
      </c>
      <c r="B4059" s="19">
        <v>205.37</v>
      </c>
      <c r="C4059" t="s">
        <v>41</v>
      </c>
      <c r="D4059" t="str">
        <f>T_Stocks[[#This Row],[Ticker]] &amp; "-" &amp; DATE(YEAR(T_Stocks[[#This Row],[Fecha]]),MONTH(T_Stocks[[#This Row],[Fecha]]),DAY(T_Stocks[[#This Row],[Fecha]]))</f>
        <v>MSFT-44084</v>
      </c>
    </row>
    <row r="4060" spans="1:4" ht="14.65" thickBot="1" x14ac:dyDescent="0.5">
      <c r="A4060" s="17">
        <v>44085.666666666664</v>
      </c>
      <c r="B4060" s="19">
        <v>204.03</v>
      </c>
      <c r="C4060" t="s">
        <v>41</v>
      </c>
      <c r="D4060" t="str">
        <f>T_Stocks[[#This Row],[Ticker]] &amp; "-" &amp; DATE(YEAR(T_Stocks[[#This Row],[Fecha]]),MONTH(T_Stocks[[#This Row],[Fecha]]),DAY(T_Stocks[[#This Row],[Fecha]]))</f>
        <v>MSFT-44085</v>
      </c>
    </row>
    <row r="4061" spans="1:4" ht="14.65" thickBot="1" x14ac:dyDescent="0.5">
      <c r="A4061" s="17">
        <v>44088.666666666664</v>
      </c>
      <c r="B4061" s="19">
        <v>205.41</v>
      </c>
      <c r="C4061" t="s">
        <v>41</v>
      </c>
      <c r="D4061" t="str">
        <f>T_Stocks[[#This Row],[Ticker]] &amp; "-" &amp; DATE(YEAR(T_Stocks[[#This Row],[Fecha]]),MONTH(T_Stocks[[#This Row],[Fecha]]),DAY(T_Stocks[[#This Row],[Fecha]]))</f>
        <v>MSFT-44088</v>
      </c>
    </row>
    <row r="4062" spans="1:4" ht="14.65" thickBot="1" x14ac:dyDescent="0.5">
      <c r="A4062" s="17">
        <v>44089.666666666664</v>
      </c>
      <c r="B4062" s="19">
        <v>208.78</v>
      </c>
      <c r="C4062" t="s">
        <v>41</v>
      </c>
      <c r="D4062" t="str">
        <f>T_Stocks[[#This Row],[Ticker]] &amp; "-" &amp; DATE(YEAR(T_Stocks[[#This Row],[Fecha]]),MONTH(T_Stocks[[#This Row],[Fecha]]),DAY(T_Stocks[[#This Row],[Fecha]]))</f>
        <v>MSFT-44089</v>
      </c>
    </row>
    <row r="4063" spans="1:4" ht="14.65" thickBot="1" x14ac:dyDescent="0.5">
      <c r="A4063" s="17">
        <v>44090.666666666664</v>
      </c>
      <c r="B4063" s="19">
        <v>205.05</v>
      </c>
      <c r="C4063" t="s">
        <v>41</v>
      </c>
      <c r="D4063" t="str">
        <f>T_Stocks[[#This Row],[Ticker]] &amp; "-" &amp; DATE(YEAR(T_Stocks[[#This Row],[Fecha]]),MONTH(T_Stocks[[#This Row],[Fecha]]),DAY(T_Stocks[[#This Row],[Fecha]]))</f>
        <v>MSFT-44090</v>
      </c>
    </row>
    <row r="4064" spans="1:4" ht="14.65" thickBot="1" x14ac:dyDescent="0.5">
      <c r="A4064" s="17">
        <v>44091.666666666664</v>
      </c>
      <c r="B4064" s="19">
        <v>202.91</v>
      </c>
      <c r="C4064" t="s">
        <v>41</v>
      </c>
      <c r="D4064" t="str">
        <f>T_Stocks[[#This Row],[Ticker]] &amp; "-" &amp; DATE(YEAR(T_Stocks[[#This Row],[Fecha]]),MONTH(T_Stocks[[#This Row],[Fecha]]),DAY(T_Stocks[[#This Row],[Fecha]]))</f>
        <v>MSFT-44091</v>
      </c>
    </row>
    <row r="4065" spans="1:4" ht="14.65" thickBot="1" x14ac:dyDescent="0.5">
      <c r="A4065" s="17">
        <v>44092.666666666664</v>
      </c>
      <c r="B4065" s="19">
        <v>200.39</v>
      </c>
      <c r="C4065" t="s">
        <v>41</v>
      </c>
      <c r="D4065" t="str">
        <f>T_Stocks[[#This Row],[Ticker]] &amp; "-" &amp; DATE(YEAR(T_Stocks[[#This Row],[Fecha]]),MONTH(T_Stocks[[#This Row],[Fecha]]),DAY(T_Stocks[[#This Row],[Fecha]]))</f>
        <v>MSFT-44092</v>
      </c>
    </row>
    <row r="4066" spans="1:4" ht="14.65" thickBot="1" x14ac:dyDescent="0.5">
      <c r="A4066" s="17">
        <v>44095.666666666664</v>
      </c>
      <c r="B4066" s="19">
        <v>202.54</v>
      </c>
      <c r="C4066" t="s">
        <v>41</v>
      </c>
      <c r="D4066" t="str">
        <f>T_Stocks[[#This Row],[Ticker]] &amp; "-" &amp; DATE(YEAR(T_Stocks[[#This Row],[Fecha]]),MONTH(T_Stocks[[#This Row],[Fecha]]),DAY(T_Stocks[[#This Row],[Fecha]]))</f>
        <v>MSFT-44095</v>
      </c>
    </row>
    <row r="4067" spans="1:4" ht="14.65" thickBot="1" x14ac:dyDescent="0.5">
      <c r="A4067" s="17">
        <v>44096.666666666664</v>
      </c>
      <c r="B4067" s="19">
        <v>207.42</v>
      </c>
      <c r="C4067" t="s">
        <v>41</v>
      </c>
      <c r="D4067" t="str">
        <f>T_Stocks[[#This Row],[Ticker]] &amp; "-" &amp; DATE(YEAR(T_Stocks[[#This Row],[Fecha]]),MONTH(T_Stocks[[#This Row],[Fecha]]),DAY(T_Stocks[[#This Row],[Fecha]]))</f>
        <v>MSFT-44096</v>
      </c>
    </row>
    <row r="4068" spans="1:4" ht="14.65" thickBot="1" x14ac:dyDescent="0.5">
      <c r="A4068" s="17">
        <v>44097.666666666664</v>
      </c>
      <c r="B4068" s="19">
        <v>200.59</v>
      </c>
      <c r="C4068" t="s">
        <v>41</v>
      </c>
      <c r="D4068" t="str">
        <f>T_Stocks[[#This Row],[Ticker]] &amp; "-" &amp; DATE(YEAR(T_Stocks[[#This Row],[Fecha]]),MONTH(T_Stocks[[#This Row],[Fecha]]),DAY(T_Stocks[[#This Row],[Fecha]]))</f>
        <v>MSFT-44097</v>
      </c>
    </row>
    <row r="4069" spans="1:4" ht="14.65" thickBot="1" x14ac:dyDescent="0.5">
      <c r="A4069" s="17">
        <v>44098.666666666664</v>
      </c>
      <c r="B4069" s="19">
        <v>203.19</v>
      </c>
      <c r="C4069" t="s">
        <v>41</v>
      </c>
      <c r="D4069" t="str">
        <f>T_Stocks[[#This Row],[Ticker]] &amp; "-" &amp; DATE(YEAR(T_Stocks[[#This Row],[Fecha]]),MONTH(T_Stocks[[#This Row],[Fecha]]),DAY(T_Stocks[[#This Row],[Fecha]]))</f>
        <v>MSFT-44098</v>
      </c>
    </row>
    <row r="4070" spans="1:4" ht="14.65" thickBot="1" x14ac:dyDescent="0.5">
      <c r="A4070" s="17">
        <v>44099.666666666664</v>
      </c>
      <c r="B4070" s="19">
        <v>207.82</v>
      </c>
      <c r="C4070" t="s">
        <v>41</v>
      </c>
      <c r="D4070" t="str">
        <f>T_Stocks[[#This Row],[Ticker]] &amp; "-" &amp; DATE(YEAR(T_Stocks[[#This Row],[Fecha]]),MONTH(T_Stocks[[#This Row],[Fecha]]),DAY(T_Stocks[[#This Row],[Fecha]]))</f>
        <v>MSFT-44099</v>
      </c>
    </row>
    <row r="4071" spans="1:4" ht="14.65" thickBot="1" x14ac:dyDescent="0.5">
      <c r="A4071" s="17">
        <v>44102.666666666664</v>
      </c>
      <c r="B4071" s="19">
        <v>209.44</v>
      </c>
      <c r="C4071" t="s">
        <v>41</v>
      </c>
      <c r="D4071" t="str">
        <f>T_Stocks[[#This Row],[Ticker]] &amp; "-" &amp; DATE(YEAR(T_Stocks[[#This Row],[Fecha]]),MONTH(T_Stocks[[#This Row],[Fecha]]),DAY(T_Stocks[[#This Row],[Fecha]]))</f>
        <v>MSFT-44102</v>
      </c>
    </row>
    <row r="4072" spans="1:4" ht="14.65" thickBot="1" x14ac:dyDescent="0.5">
      <c r="A4072" s="17">
        <v>44103.666666666664</v>
      </c>
      <c r="B4072" s="19">
        <v>207.26</v>
      </c>
      <c r="C4072" t="s">
        <v>41</v>
      </c>
      <c r="D4072" t="str">
        <f>T_Stocks[[#This Row],[Ticker]] &amp; "-" &amp; DATE(YEAR(T_Stocks[[#This Row],[Fecha]]),MONTH(T_Stocks[[#This Row],[Fecha]]),DAY(T_Stocks[[#This Row],[Fecha]]))</f>
        <v>MSFT-44103</v>
      </c>
    </row>
    <row r="4073" spans="1:4" ht="14.65" thickBot="1" x14ac:dyDescent="0.5">
      <c r="A4073" s="17">
        <v>44104.666666666664</v>
      </c>
      <c r="B4073" s="19">
        <v>210.33</v>
      </c>
      <c r="C4073" t="s">
        <v>41</v>
      </c>
      <c r="D4073" t="str">
        <f>T_Stocks[[#This Row],[Ticker]] &amp; "-" &amp; DATE(YEAR(T_Stocks[[#This Row],[Fecha]]),MONTH(T_Stocks[[#This Row],[Fecha]]),DAY(T_Stocks[[#This Row],[Fecha]]))</f>
        <v>MSFT-44104</v>
      </c>
    </row>
    <row r="4074" spans="1:4" ht="14.65" thickBot="1" x14ac:dyDescent="0.5">
      <c r="A4074" s="17">
        <v>44105.666666666664</v>
      </c>
      <c r="B4074" s="19">
        <v>212.46</v>
      </c>
      <c r="C4074" t="s">
        <v>41</v>
      </c>
      <c r="D4074" t="str">
        <f>T_Stocks[[#This Row],[Ticker]] &amp; "-" &amp; DATE(YEAR(T_Stocks[[#This Row],[Fecha]]),MONTH(T_Stocks[[#This Row],[Fecha]]),DAY(T_Stocks[[#This Row],[Fecha]]))</f>
        <v>MSFT-44105</v>
      </c>
    </row>
    <row r="4075" spans="1:4" ht="14.65" thickBot="1" x14ac:dyDescent="0.5">
      <c r="A4075" s="17">
        <v>44106.666666666664</v>
      </c>
      <c r="B4075" s="19">
        <v>206.19</v>
      </c>
      <c r="C4075" t="s">
        <v>41</v>
      </c>
      <c r="D4075" t="str">
        <f>T_Stocks[[#This Row],[Ticker]] &amp; "-" &amp; DATE(YEAR(T_Stocks[[#This Row],[Fecha]]),MONTH(T_Stocks[[#This Row],[Fecha]]),DAY(T_Stocks[[#This Row],[Fecha]]))</f>
        <v>MSFT-44106</v>
      </c>
    </row>
    <row r="4076" spans="1:4" ht="14.65" thickBot="1" x14ac:dyDescent="0.5">
      <c r="A4076" s="17">
        <v>44109.666666666664</v>
      </c>
      <c r="B4076" s="19">
        <v>210.38</v>
      </c>
      <c r="C4076" t="s">
        <v>41</v>
      </c>
      <c r="D4076" t="str">
        <f>T_Stocks[[#This Row],[Ticker]] &amp; "-" &amp; DATE(YEAR(T_Stocks[[#This Row],[Fecha]]),MONTH(T_Stocks[[#This Row],[Fecha]]),DAY(T_Stocks[[#This Row],[Fecha]]))</f>
        <v>MSFT-44109</v>
      </c>
    </row>
    <row r="4077" spans="1:4" ht="14.65" thickBot="1" x14ac:dyDescent="0.5">
      <c r="A4077" s="17">
        <v>44110.666666666664</v>
      </c>
      <c r="B4077" s="19">
        <v>205.91</v>
      </c>
      <c r="C4077" t="s">
        <v>41</v>
      </c>
      <c r="D4077" t="str">
        <f>T_Stocks[[#This Row],[Ticker]] &amp; "-" &amp; DATE(YEAR(T_Stocks[[#This Row],[Fecha]]),MONTH(T_Stocks[[#This Row],[Fecha]]),DAY(T_Stocks[[#This Row],[Fecha]]))</f>
        <v>MSFT-44110</v>
      </c>
    </row>
    <row r="4078" spans="1:4" ht="14.65" thickBot="1" x14ac:dyDescent="0.5">
      <c r="A4078" s="17">
        <v>44111.666666666664</v>
      </c>
      <c r="B4078" s="19">
        <v>209.83</v>
      </c>
      <c r="C4078" t="s">
        <v>41</v>
      </c>
      <c r="D4078" t="str">
        <f>T_Stocks[[#This Row],[Ticker]] &amp; "-" &amp; DATE(YEAR(T_Stocks[[#This Row],[Fecha]]),MONTH(T_Stocks[[#This Row],[Fecha]]),DAY(T_Stocks[[#This Row],[Fecha]]))</f>
        <v>MSFT-44111</v>
      </c>
    </row>
    <row r="4079" spans="1:4" ht="14.65" thickBot="1" x14ac:dyDescent="0.5">
      <c r="A4079" s="17">
        <v>44112.666666666664</v>
      </c>
      <c r="B4079" s="19">
        <v>210.58</v>
      </c>
      <c r="C4079" t="s">
        <v>41</v>
      </c>
      <c r="D4079" t="str">
        <f>T_Stocks[[#This Row],[Ticker]] &amp; "-" &amp; DATE(YEAR(T_Stocks[[#This Row],[Fecha]]),MONTH(T_Stocks[[#This Row],[Fecha]]),DAY(T_Stocks[[#This Row],[Fecha]]))</f>
        <v>MSFT-44112</v>
      </c>
    </row>
    <row r="4080" spans="1:4" ht="14.65" thickBot="1" x14ac:dyDescent="0.5">
      <c r="A4080" s="17">
        <v>44113.666666666664</v>
      </c>
      <c r="B4080" s="19">
        <v>215.81</v>
      </c>
      <c r="C4080" t="s">
        <v>41</v>
      </c>
      <c r="D4080" t="str">
        <f>T_Stocks[[#This Row],[Ticker]] &amp; "-" &amp; DATE(YEAR(T_Stocks[[#This Row],[Fecha]]),MONTH(T_Stocks[[#This Row],[Fecha]]),DAY(T_Stocks[[#This Row],[Fecha]]))</f>
        <v>MSFT-44113</v>
      </c>
    </row>
    <row r="4081" spans="1:4" ht="14.65" thickBot="1" x14ac:dyDescent="0.5">
      <c r="A4081" s="17">
        <v>44116.666666666664</v>
      </c>
      <c r="B4081" s="19">
        <v>221.4</v>
      </c>
      <c r="C4081" t="s">
        <v>41</v>
      </c>
      <c r="D4081" t="str">
        <f>T_Stocks[[#This Row],[Ticker]] &amp; "-" &amp; DATE(YEAR(T_Stocks[[#This Row],[Fecha]]),MONTH(T_Stocks[[#This Row],[Fecha]]),DAY(T_Stocks[[#This Row],[Fecha]]))</f>
        <v>MSFT-44116</v>
      </c>
    </row>
    <row r="4082" spans="1:4" ht="14.65" thickBot="1" x14ac:dyDescent="0.5">
      <c r="A4082" s="17">
        <v>44117.666666666664</v>
      </c>
      <c r="B4082" s="19">
        <v>222.86</v>
      </c>
      <c r="C4082" t="s">
        <v>41</v>
      </c>
      <c r="D4082" t="str">
        <f>T_Stocks[[#This Row],[Ticker]] &amp; "-" &amp; DATE(YEAR(T_Stocks[[#This Row],[Fecha]]),MONTH(T_Stocks[[#This Row],[Fecha]]),DAY(T_Stocks[[#This Row],[Fecha]]))</f>
        <v>MSFT-44117</v>
      </c>
    </row>
    <row r="4083" spans="1:4" ht="14.65" thickBot="1" x14ac:dyDescent="0.5">
      <c r="A4083" s="17">
        <v>44118.666666666664</v>
      </c>
      <c r="B4083" s="19">
        <v>220.86</v>
      </c>
      <c r="C4083" t="s">
        <v>41</v>
      </c>
      <c r="D4083" t="str">
        <f>T_Stocks[[#This Row],[Ticker]] &amp; "-" &amp; DATE(YEAR(T_Stocks[[#This Row],[Fecha]]),MONTH(T_Stocks[[#This Row],[Fecha]]),DAY(T_Stocks[[#This Row],[Fecha]]))</f>
        <v>MSFT-44118</v>
      </c>
    </row>
    <row r="4084" spans="1:4" ht="14.65" thickBot="1" x14ac:dyDescent="0.5">
      <c r="A4084" s="17">
        <v>44119.666666666664</v>
      </c>
      <c r="B4084" s="19">
        <v>219.66</v>
      </c>
      <c r="C4084" t="s">
        <v>41</v>
      </c>
      <c r="D4084" t="str">
        <f>T_Stocks[[#This Row],[Ticker]] &amp; "-" &amp; DATE(YEAR(T_Stocks[[#This Row],[Fecha]]),MONTH(T_Stocks[[#This Row],[Fecha]]),DAY(T_Stocks[[#This Row],[Fecha]]))</f>
        <v>MSFT-44119</v>
      </c>
    </row>
    <row r="4085" spans="1:4" ht="14.65" thickBot="1" x14ac:dyDescent="0.5">
      <c r="A4085" s="17">
        <v>44120.666666666664</v>
      </c>
      <c r="B4085" s="19">
        <v>219.66</v>
      </c>
      <c r="C4085" t="s">
        <v>41</v>
      </c>
      <c r="D4085" t="str">
        <f>T_Stocks[[#This Row],[Ticker]] &amp; "-" &amp; DATE(YEAR(T_Stocks[[#This Row],[Fecha]]),MONTH(T_Stocks[[#This Row],[Fecha]]),DAY(T_Stocks[[#This Row],[Fecha]]))</f>
        <v>MSFT-44120</v>
      </c>
    </row>
    <row r="4086" spans="1:4" ht="14.65" thickBot="1" x14ac:dyDescent="0.5">
      <c r="A4086" s="17">
        <v>44123.666666666664</v>
      </c>
      <c r="B4086" s="19">
        <v>214.22</v>
      </c>
      <c r="C4086" t="s">
        <v>41</v>
      </c>
      <c r="D4086" t="str">
        <f>T_Stocks[[#This Row],[Ticker]] &amp; "-" &amp; DATE(YEAR(T_Stocks[[#This Row],[Fecha]]),MONTH(T_Stocks[[#This Row],[Fecha]]),DAY(T_Stocks[[#This Row],[Fecha]]))</f>
        <v>MSFT-44123</v>
      </c>
    </row>
    <row r="4087" spans="1:4" ht="14.65" thickBot="1" x14ac:dyDescent="0.5">
      <c r="A4087" s="17">
        <v>44124.666666666664</v>
      </c>
      <c r="B4087" s="19">
        <v>214.65</v>
      </c>
      <c r="C4087" t="s">
        <v>41</v>
      </c>
      <c r="D4087" t="str">
        <f>T_Stocks[[#This Row],[Ticker]] &amp; "-" &amp; DATE(YEAR(T_Stocks[[#This Row],[Fecha]]),MONTH(T_Stocks[[#This Row],[Fecha]]),DAY(T_Stocks[[#This Row],[Fecha]]))</f>
        <v>MSFT-44124</v>
      </c>
    </row>
    <row r="4088" spans="1:4" ht="14.65" thickBot="1" x14ac:dyDescent="0.5">
      <c r="A4088" s="17">
        <v>44125.666666666664</v>
      </c>
      <c r="B4088" s="19">
        <v>214.8</v>
      </c>
      <c r="C4088" t="s">
        <v>41</v>
      </c>
      <c r="D4088" t="str">
        <f>T_Stocks[[#This Row],[Ticker]] &amp; "-" &amp; DATE(YEAR(T_Stocks[[#This Row],[Fecha]]),MONTH(T_Stocks[[#This Row],[Fecha]]),DAY(T_Stocks[[#This Row],[Fecha]]))</f>
        <v>MSFT-44125</v>
      </c>
    </row>
    <row r="4089" spans="1:4" ht="14.65" thickBot="1" x14ac:dyDescent="0.5">
      <c r="A4089" s="17">
        <v>44126.666666666664</v>
      </c>
      <c r="B4089" s="19">
        <v>214.89</v>
      </c>
      <c r="C4089" t="s">
        <v>41</v>
      </c>
      <c r="D4089" t="str">
        <f>T_Stocks[[#This Row],[Ticker]] &amp; "-" &amp; DATE(YEAR(T_Stocks[[#This Row],[Fecha]]),MONTH(T_Stocks[[#This Row],[Fecha]]),DAY(T_Stocks[[#This Row],[Fecha]]))</f>
        <v>MSFT-44126</v>
      </c>
    </row>
    <row r="4090" spans="1:4" ht="14.65" thickBot="1" x14ac:dyDescent="0.5">
      <c r="A4090" s="17">
        <v>44127.666666666664</v>
      </c>
      <c r="B4090" s="19">
        <v>216.23</v>
      </c>
      <c r="C4090" t="s">
        <v>41</v>
      </c>
      <c r="D4090" t="str">
        <f>T_Stocks[[#This Row],[Ticker]] &amp; "-" &amp; DATE(YEAR(T_Stocks[[#This Row],[Fecha]]),MONTH(T_Stocks[[#This Row],[Fecha]]),DAY(T_Stocks[[#This Row],[Fecha]]))</f>
        <v>MSFT-44127</v>
      </c>
    </row>
    <row r="4091" spans="1:4" ht="14.65" thickBot="1" x14ac:dyDescent="0.5">
      <c r="A4091" s="17">
        <v>44130.666666666664</v>
      </c>
      <c r="B4091" s="19">
        <v>210.08</v>
      </c>
      <c r="C4091" t="s">
        <v>41</v>
      </c>
      <c r="D4091" t="str">
        <f>T_Stocks[[#This Row],[Ticker]] &amp; "-" &amp; DATE(YEAR(T_Stocks[[#This Row],[Fecha]]),MONTH(T_Stocks[[#This Row],[Fecha]]),DAY(T_Stocks[[#This Row],[Fecha]]))</f>
        <v>MSFT-44130</v>
      </c>
    </row>
    <row r="4092" spans="1:4" ht="14.65" thickBot="1" x14ac:dyDescent="0.5">
      <c r="A4092" s="17">
        <v>44131.666666666664</v>
      </c>
      <c r="B4092" s="19">
        <v>213.25</v>
      </c>
      <c r="C4092" t="s">
        <v>41</v>
      </c>
      <c r="D4092" t="str">
        <f>T_Stocks[[#This Row],[Ticker]] &amp; "-" &amp; DATE(YEAR(T_Stocks[[#This Row],[Fecha]]),MONTH(T_Stocks[[#This Row],[Fecha]]),DAY(T_Stocks[[#This Row],[Fecha]]))</f>
        <v>MSFT-44131</v>
      </c>
    </row>
    <row r="4093" spans="1:4" ht="14.65" thickBot="1" x14ac:dyDescent="0.5">
      <c r="A4093" s="17">
        <v>44132.666666666664</v>
      </c>
      <c r="B4093" s="19">
        <v>202.68</v>
      </c>
      <c r="C4093" t="s">
        <v>41</v>
      </c>
      <c r="D4093" t="str">
        <f>T_Stocks[[#This Row],[Ticker]] &amp; "-" &amp; DATE(YEAR(T_Stocks[[#This Row],[Fecha]]),MONTH(T_Stocks[[#This Row],[Fecha]]),DAY(T_Stocks[[#This Row],[Fecha]]))</f>
        <v>MSFT-44132</v>
      </c>
    </row>
    <row r="4094" spans="1:4" ht="14.65" thickBot="1" x14ac:dyDescent="0.5">
      <c r="A4094" s="17">
        <v>44133.666666666664</v>
      </c>
      <c r="B4094" s="19">
        <v>204.72</v>
      </c>
      <c r="C4094" t="s">
        <v>41</v>
      </c>
      <c r="D4094" t="str">
        <f>T_Stocks[[#This Row],[Ticker]] &amp; "-" &amp; DATE(YEAR(T_Stocks[[#This Row],[Fecha]]),MONTH(T_Stocks[[#This Row],[Fecha]]),DAY(T_Stocks[[#This Row],[Fecha]]))</f>
        <v>MSFT-44133</v>
      </c>
    </row>
    <row r="4095" spans="1:4" ht="14.65" thickBot="1" x14ac:dyDescent="0.5">
      <c r="A4095" s="17">
        <v>44134.666666666664</v>
      </c>
      <c r="B4095" s="19">
        <v>202.47</v>
      </c>
      <c r="C4095" t="s">
        <v>41</v>
      </c>
      <c r="D4095" t="str">
        <f>T_Stocks[[#This Row],[Ticker]] &amp; "-" &amp; DATE(YEAR(T_Stocks[[#This Row],[Fecha]]),MONTH(T_Stocks[[#This Row],[Fecha]]),DAY(T_Stocks[[#This Row],[Fecha]]))</f>
        <v>MSFT-44134</v>
      </c>
    </row>
    <row r="4096" spans="1:4" ht="14.65" thickBot="1" x14ac:dyDescent="0.5">
      <c r="A4096" s="17">
        <v>44137.666666666664</v>
      </c>
      <c r="B4096" s="19">
        <v>202.33</v>
      </c>
      <c r="C4096" t="s">
        <v>41</v>
      </c>
      <c r="D4096" t="str">
        <f>T_Stocks[[#This Row],[Ticker]] &amp; "-" &amp; DATE(YEAR(T_Stocks[[#This Row],[Fecha]]),MONTH(T_Stocks[[#This Row],[Fecha]]),DAY(T_Stocks[[#This Row],[Fecha]]))</f>
        <v>MSFT-44137</v>
      </c>
    </row>
    <row r="4097" spans="1:4" ht="14.65" thickBot="1" x14ac:dyDescent="0.5">
      <c r="A4097" s="17">
        <v>44138.666666666664</v>
      </c>
      <c r="B4097" s="19">
        <v>206.43</v>
      </c>
      <c r="C4097" t="s">
        <v>41</v>
      </c>
      <c r="D4097" t="str">
        <f>T_Stocks[[#This Row],[Ticker]] &amp; "-" &amp; DATE(YEAR(T_Stocks[[#This Row],[Fecha]]),MONTH(T_Stocks[[#This Row],[Fecha]]),DAY(T_Stocks[[#This Row],[Fecha]]))</f>
        <v>MSFT-44138</v>
      </c>
    </row>
    <row r="4098" spans="1:4" ht="14.65" thickBot="1" x14ac:dyDescent="0.5">
      <c r="A4098" s="17">
        <v>44139.666666666664</v>
      </c>
      <c r="B4098" s="19">
        <v>216.39</v>
      </c>
      <c r="C4098" t="s">
        <v>41</v>
      </c>
      <c r="D4098" t="str">
        <f>T_Stocks[[#This Row],[Ticker]] &amp; "-" &amp; DATE(YEAR(T_Stocks[[#This Row],[Fecha]]),MONTH(T_Stocks[[#This Row],[Fecha]]),DAY(T_Stocks[[#This Row],[Fecha]]))</f>
        <v>MSFT-44139</v>
      </c>
    </row>
    <row r="4099" spans="1:4" ht="14.65" thickBot="1" x14ac:dyDescent="0.5">
      <c r="A4099" s="17">
        <v>44140.666666666664</v>
      </c>
      <c r="B4099" s="19">
        <v>223.29</v>
      </c>
      <c r="C4099" t="s">
        <v>41</v>
      </c>
      <c r="D4099" t="str">
        <f>T_Stocks[[#This Row],[Ticker]] &amp; "-" &amp; DATE(YEAR(T_Stocks[[#This Row],[Fecha]]),MONTH(T_Stocks[[#This Row],[Fecha]]),DAY(T_Stocks[[#This Row],[Fecha]]))</f>
        <v>MSFT-44140</v>
      </c>
    </row>
    <row r="4100" spans="1:4" ht="14.65" thickBot="1" x14ac:dyDescent="0.5">
      <c r="A4100" s="17">
        <v>44141.666666666664</v>
      </c>
      <c r="B4100" s="19">
        <v>223.72</v>
      </c>
      <c r="C4100" t="s">
        <v>41</v>
      </c>
      <c r="D4100" t="str">
        <f>T_Stocks[[#This Row],[Ticker]] &amp; "-" &amp; DATE(YEAR(T_Stocks[[#This Row],[Fecha]]),MONTH(T_Stocks[[#This Row],[Fecha]]),DAY(T_Stocks[[#This Row],[Fecha]]))</f>
        <v>MSFT-44141</v>
      </c>
    </row>
    <row r="4101" spans="1:4" ht="14.65" thickBot="1" x14ac:dyDescent="0.5">
      <c r="A4101" s="17">
        <v>44144.666666666664</v>
      </c>
      <c r="B4101" s="19">
        <v>218.39</v>
      </c>
      <c r="C4101" t="s">
        <v>41</v>
      </c>
      <c r="D4101" t="str">
        <f>T_Stocks[[#This Row],[Ticker]] &amp; "-" &amp; DATE(YEAR(T_Stocks[[#This Row],[Fecha]]),MONTH(T_Stocks[[#This Row],[Fecha]]),DAY(T_Stocks[[#This Row],[Fecha]]))</f>
        <v>MSFT-44144</v>
      </c>
    </row>
    <row r="4102" spans="1:4" ht="14.65" thickBot="1" x14ac:dyDescent="0.5">
      <c r="A4102" s="17">
        <v>44145.666666666664</v>
      </c>
      <c r="B4102" s="19">
        <v>211.01</v>
      </c>
      <c r="C4102" t="s">
        <v>41</v>
      </c>
      <c r="D4102" t="str">
        <f>T_Stocks[[#This Row],[Ticker]] &amp; "-" &amp; DATE(YEAR(T_Stocks[[#This Row],[Fecha]]),MONTH(T_Stocks[[#This Row],[Fecha]]),DAY(T_Stocks[[#This Row],[Fecha]]))</f>
        <v>MSFT-44145</v>
      </c>
    </row>
    <row r="4103" spans="1:4" ht="14.65" thickBot="1" x14ac:dyDescent="0.5">
      <c r="A4103" s="17">
        <v>44146.666666666664</v>
      </c>
      <c r="B4103" s="19">
        <v>216.55</v>
      </c>
      <c r="C4103" t="s">
        <v>41</v>
      </c>
      <c r="D4103" t="str">
        <f>T_Stocks[[#This Row],[Ticker]] &amp; "-" &amp; DATE(YEAR(T_Stocks[[#This Row],[Fecha]]),MONTH(T_Stocks[[#This Row],[Fecha]]),DAY(T_Stocks[[#This Row],[Fecha]]))</f>
        <v>MSFT-44146</v>
      </c>
    </row>
    <row r="4104" spans="1:4" ht="14.65" thickBot="1" x14ac:dyDescent="0.5">
      <c r="A4104" s="17">
        <v>44147.666666666664</v>
      </c>
      <c r="B4104" s="19">
        <v>215.44</v>
      </c>
      <c r="C4104" t="s">
        <v>41</v>
      </c>
      <c r="D4104" t="str">
        <f>T_Stocks[[#This Row],[Ticker]] &amp; "-" &amp; DATE(YEAR(T_Stocks[[#This Row],[Fecha]]),MONTH(T_Stocks[[#This Row],[Fecha]]),DAY(T_Stocks[[#This Row],[Fecha]]))</f>
        <v>MSFT-44147</v>
      </c>
    </row>
    <row r="4105" spans="1:4" ht="14.65" thickBot="1" x14ac:dyDescent="0.5">
      <c r="A4105" s="17">
        <v>44148.666666666664</v>
      </c>
      <c r="B4105" s="19">
        <v>216.51</v>
      </c>
      <c r="C4105" t="s">
        <v>41</v>
      </c>
      <c r="D4105" t="str">
        <f>T_Stocks[[#This Row],[Ticker]] &amp; "-" &amp; DATE(YEAR(T_Stocks[[#This Row],[Fecha]]),MONTH(T_Stocks[[#This Row],[Fecha]]),DAY(T_Stocks[[#This Row],[Fecha]]))</f>
        <v>MSFT-44148</v>
      </c>
    </row>
    <row r="4106" spans="1:4" ht="14.65" thickBot="1" x14ac:dyDescent="0.5">
      <c r="A4106" s="17">
        <v>44151.666666666664</v>
      </c>
      <c r="B4106" s="19">
        <v>217.23</v>
      </c>
      <c r="C4106" t="s">
        <v>41</v>
      </c>
      <c r="D4106" t="str">
        <f>T_Stocks[[#This Row],[Ticker]] &amp; "-" &amp; DATE(YEAR(T_Stocks[[#This Row],[Fecha]]),MONTH(T_Stocks[[#This Row],[Fecha]]),DAY(T_Stocks[[#This Row],[Fecha]]))</f>
        <v>MSFT-44151</v>
      </c>
    </row>
    <row r="4107" spans="1:4" ht="14.65" thickBot="1" x14ac:dyDescent="0.5">
      <c r="A4107" s="17">
        <v>44152.666666666664</v>
      </c>
      <c r="B4107" s="19">
        <v>214.46</v>
      </c>
      <c r="C4107" t="s">
        <v>41</v>
      </c>
      <c r="D4107" t="str">
        <f>T_Stocks[[#This Row],[Ticker]] &amp; "-" &amp; DATE(YEAR(T_Stocks[[#This Row],[Fecha]]),MONTH(T_Stocks[[#This Row],[Fecha]]),DAY(T_Stocks[[#This Row],[Fecha]]))</f>
        <v>MSFT-44152</v>
      </c>
    </row>
    <row r="4108" spans="1:4" ht="14.65" thickBot="1" x14ac:dyDescent="0.5">
      <c r="A4108" s="17">
        <v>44153.666666666664</v>
      </c>
      <c r="B4108" s="19">
        <v>211.08</v>
      </c>
      <c r="C4108" t="s">
        <v>41</v>
      </c>
      <c r="D4108" t="str">
        <f>T_Stocks[[#This Row],[Ticker]] &amp; "-" &amp; DATE(YEAR(T_Stocks[[#This Row],[Fecha]]),MONTH(T_Stocks[[#This Row],[Fecha]]),DAY(T_Stocks[[#This Row],[Fecha]]))</f>
        <v>MSFT-44153</v>
      </c>
    </row>
    <row r="4109" spans="1:4" ht="14.65" thickBot="1" x14ac:dyDescent="0.5">
      <c r="A4109" s="17">
        <v>44154.666666666664</v>
      </c>
      <c r="B4109" s="19">
        <v>212.42</v>
      </c>
      <c r="C4109" t="s">
        <v>41</v>
      </c>
      <c r="D4109" t="str">
        <f>T_Stocks[[#This Row],[Ticker]] &amp; "-" &amp; DATE(YEAR(T_Stocks[[#This Row],[Fecha]]),MONTH(T_Stocks[[#This Row],[Fecha]]),DAY(T_Stocks[[#This Row],[Fecha]]))</f>
        <v>MSFT-44154</v>
      </c>
    </row>
    <row r="4110" spans="1:4" ht="14.65" thickBot="1" x14ac:dyDescent="0.5">
      <c r="A4110" s="17">
        <v>44155.666666666664</v>
      </c>
      <c r="B4110" s="19">
        <v>210.39</v>
      </c>
      <c r="C4110" t="s">
        <v>41</v>
      </c>
      <c r="D4110" t="str">
        <f>T_Stocks[[#This Row],[Ticker]] &amp; "-" &amp; DATE(YEAR(T_Stocks[[#This Row],[Fecha]]),MONTH(T_Stocks[[#This Row],[Fecha]]),DAY(T_Stocks[[#This Row],[Fecha]]))</f>
        <v>MSFT-44155</v>
      </c>
    </row>
    <row r="4111" spans="1:4" ht="14.65" thickBot="1" x14ac:dyDescent="0.5">
      <c r="A4111" s="17">
        <v>44158.666666666664</v>
      </c>
      <c r="B4111" s="19">
        <v>210.11</v>
      </c>
      <c r="C4111" t="s">
        <v>41</v>
      </c>
      <c r="D4111" t="str">
        <f>T_Stocks[[#This Row],[Ticker]] &amp; "-" &amp; DATE(YEAR(T_Stocks[[#This Row],[Fecha]]),MONTH(T_Stocks[[#This Row],[Fecha]]),DAY(T_Stocks[[#This Row],[Fecha]]))</f>
        <v>MSFT-44158</v>
      </c>
    </row>
    <row r="4112" spans="1:4" ht="14.65" thickBot="1" x14ac:dyDescent="0.5">
      <c r="A4112" s="17">
        <v>44159.666666666664</v>
      </c>
      <c r="B4112" s="19">
        <v>213.86</v>
      </c>
      <c r="C4112" t="s">
        <v>41</v>
      </c>
      <c r="D4112" t="str">
        <f>T_Stocks[[#This Row],[Ticker]] &amp; "-" &amp; DATE(YEAR(T_Stocks[[#This Row],[Fecha]]),MONTH(T_Stocks[[#This Row],[Fecha]]),DAY(T_Stocks[[#This Row],[Fecha]]))</f>
        <v>MSFT-44159</v>
      </c>
    </row>
    <row r="4113" spans="1:4" ht="14.65" thickBot="1" x14ac:dyDescent="0.5">
      <c r="A4113" s="17">
        <v>44160.666666666664</v>
      </c>
      <c r="B4113" s="19">
        <v>213.87</v>
      </c>
      <c r="C4113" t="s">
        <v>41</v>
      </c>
      <c r="D4113" t="str">
        <f>T_Stocks[[#This Row],[Ticker]] &amp; "-" &amp; DATE(YEAR(T_Stocks[[#This Row],[Fecha]]),MONTH(T_Stocks[[#This Row],[Fecha]]),DAY(T_Stocks[[#This Row],[Fecha]]))</f>
        <v>MSFT-44160</v>
      </c>
    </row>
    <row r="4114" spans="1:4" ht="14.65" thickBot="1" x14ac:dyDescent="0.5">
      <c r="A4114" s="17">
        <v>44162.541666666664</v>
      </c>
      <c r="B4114" s="19">
        <v>215.23</v>
      </c>
      <c r="C4114" t="s">
        <v>41</v>
      </c>
      <c r="D4114" t="str">
        <f>T_Stocks[[#This Row],[Ticker]] &amp; "-" &amp; DATE(YEAR(T_Stocks[[#This Row],[Fecha]]),MONTH(T_Stocks[[#This Row],[Fecha]]),DAY(T_Stocks[[#This Row],[Fecha]]))</f>
        <v>MSFT-44162</v>
      </c>
    </row>
    <row r="4115" spans="1:4" ht="14.65" thickBot="1" x14ac:dyDescent="0.5">
      <c r="A4115" s="17">
        <v>44165.666666666664</v>
      </c>
      <c r="B4115" s="19">
        <v>214.07</v>
      </c>
      <c r="C4115" t="s">
        <v>41</v>
      </c>
      <c r="D4115" t="str">
        <f>T_Stocks[[#This Row],[Ticker]] &amp; "-" &amp; DATE(YEAR(T_Stocks[[#This Row],[Fecha]]),MONTH(T_Stocks[[#This Row],[Fecha]]),DAY(T_Stocks[[#This Row],[Fecha]]))</f>
        <v>MSFT-44165</v>
      </c>
    </row>
    <row r="4116" spans="1:4" ht="14.65" thickBot="1" x14ac:dyDescent="0.5">
      <c r="A4116" s="17">
        <v>44166.666666666664</v>
      </c>
      <c r="B4116" s="19">
        <v>216.21</v>
      </c>
      <c r="C4116" t="s">
        <v>41</v>
      </c>
      <c r="D4116" t="str">
        <f>T_Stocks[[#This Row],[Ticker]] &amp; "-" &amp; DATE(YEAR(T_Stocks[[#This Row],[Fecha]]),MONTH(T_Stocks[[#This Row],[Fecha]]),DAY(T_Stocks[[#This Row],[Fecha]]))</f>
        <v>MSFT-44166</v>
      </c>
    </row>
    <row r="4117" spans="1:4" ht="14.65" thickBot="1" x14ac:dyDescent="0.5">
      <c r="A4117" s="17">
        <v>44167.666666666664</v>
      </c>
      <c r="B4117" s="19">
        <v>215.37</v>
      </c>
      <c r="C4117" t="s">
        <v>41</v>
      </c>
      <c r="D4117" t="str">
        <f>T_Stocks[[#This Row],[Ticker]] &amp; "-" &amp; DATE(YEAR(T_Stocks[[#This Row],[Fecha]]),MONTH(T_Stocks[[#This Row],[Fecha]]),DAY(T_Stocks[[#This Row],[Fecha]]))</f>
        <v>MSFT-44167</v>
      </c>
    </row>
    <row r="4118" spans="1:4" ht="14.65" thickBot="1" x14ac:dyDescent="0.5">
      <c r="A4118" s="17">
        <v>44168.666666666664</v>
      </c>
      <c r="B4118" s="19">
        <v>214.24</v>
      </c>
      <c r="C4118" t="s">
        <v>41</v>
      </c>
      <c r="D4118" t="str">
        <f>T_Stocks[[#This Row],[Ticker]] &amp; "-" &amp; DATE(YEAR(T_Stocks[[#This Row],[Fecha]]),MONTH(T_Stocks[[#This Row],[Fecha]]),DAY(T_Stocks[[#This Row],[Fecha]]))</f>
        <v>MSFT-44168</v>
      </c>
    </row>
    <row r="4119" spans="1:4" ht="14.65" thickBot="1" x14ac:dyDescent="0.5">
      <c r="A4119" s="17">
        <v>44169.666666666664</v>
      </c>
      <c r="B4119" s="19">
        <v>214.36</v>
      </c>
      <c r="C4119" t="s">
        <v>41</v>
      </c>
      <c r="D4119" t="str">
        <f>T_Stocks[[#This Row],[Ticker]] &amp; "-" &amp; DATE(YEAR(T_Stocks[[#This Row],[Fecha]]),MONTH(T_Stocks[[#This Row],[Fecha]]),DAY(T_Stocks[[#This Row],[Fecha]]))</f>
        <v>MSFT-44169</v>
      </c>
    </row>
    <row r="4120" spans="1:4" ht="14.65" thickBot="1" x14ac:dyDescent="0.5">
      <c r="A4120" s="17">
        <v>44172.666666666664</v>
      </c>
      <c r="B4120" s="19">
        <v>214.29</v>
      </c>
      <c r="C4120" t="s">
        <v>41</v>
      </c>
      <c r="D4120" t="str">
        <f>T_Stocks[[#This Row],[Ticker]] &amp; "-" &amp; DATE(YEAR(T_Stocks[[#This Row],[Fecha]]),MONTH(T_Stocks[[#This Row],[Fecha]]),DAY(T_Stocks[[#This Row],[Fecha]]))</f>
        <v>MSFT-44172</v>
      </c>
    </row>
    <row r="4121" spans="1:4" ht="14.65" thickBot="1" x14ac:dyDescent="0.5">
      <c r="A4121" s="17">
        <v>44173.666666666664</v>
      </c>
      <c r="B4121" s="19">
        <v>216.01</v>
      </c>
      <c r="C4121" t="s">
        <v>41</v>
      </c>
      <c r="D4121" t="str">
        <f>T_Stocks[[#This Row],[Ticker]] &amp; "-" &amp; DATE(YEAR(T_Stocks[[#This Row],[Fecha]]),MONTH(T_Stocks[[#This Row],[Fecha]]),DAY(T_Stocks[[#This Row],[Fecha]]))</f>
        <v>MSFT-44173</v>
      </c>
    </row>
    <row r="4122" spans="1:4" ht="14.65" thickBot="1" x14ac:dyDescent="0.5">
      <c r="A4122" s="17">
        <v>44174.666666666664</v>
      </c>
      <c r="B4122" s="19">
        <v>211.8</v>
      </c>
      <c r="C4122" t="s">
        <v>41</v>
      </c>
      <c r="D4122" t="str">
        <f>T_Stocks[[#This Row],[Ticker]] &amp; "-" &amp; DATE(YEAR(T_Stocks[[#This Row],[Fecha]]),MONTH(T_Stocks[[#This Row],[Fecha]]),DAY(T_Stocks[[#This Row],[Fecha]]))</f>
        <v>MSFT-44174</v>
      </c>
    </row>
    <row r="4123" spans="1:4" ht="14.65" thickBot="1" x14ac:dyDescent="0.5">
      <c r="A4123" s="17">
        <v>44175.666666666664</v>
      </c>
      <c r="B4123" s="19">
        <v>210.52</v>
      </c>
      <c r="C4123" t="s">
        <v>41</v>
      </c>
      <c r="D4123" t="str">
        <f>T_Stocks[[#This Row],[Ticker]] &amp; "-" &amp; DATE(YEAR(T_Stocks[[#This Row],[Fecha]]),MONTH(T_Stocks[[#This Row],[Fecha]]),DAY(T_Stocks[[#This Row],[Fecha]]))</f>
        <v>MSFT-44175</v>
      </c>
    </row>
    <row r="4124" spans="1:4" ht="14.65" thickBot="1" x14ac:dyDescent="0.5">
      <c r="A4124" s="17">
        <v>44176.666666666664</v>
      </c>
      <c r="B4124" s="19">
        <v>213.26</v>
      </c>
      <c r="C4124" t="s">
        <v>41</v>
      </c>
      <c r="D4124" t="str">
        <f>T_Stocks[[#This Row],[Ticker]] &amp; "-" &amp; DATE(YEAR(T_Stocks[[#This Row],[Fecha]]),MONTH(T_Stocks[[#This Row],[Fecha]]),DAY(T_Stocks[[#This Row],[Fecha]]))</f>
        <v>MSFT-44176</v>
      </c>
    </row>
    <row r="4125" spans="1:4" ht="14.65" thickBot="1" x14ac:dyDescent="0.5">
      <c r="A4125" s="17">
        <v>44179.666666666664</v>
      </c>
      <c r="B4125" s="19">
        <v>214.2</v>
      </c>
      <c r="C4125" t="s">
        <v>41</v>
      </c>
      <c r="D4125" t="str">
        <f>T_Stocks[[#This Row],[Ticker]] &amp; "-" &amp; DATE(YEAR(T_Stocks[[#This Row],[Fecha]]),MONTH(T_Stocks[[#This Row],[Fecha]]),DAY(T_Stocks[[#This Row],[Fecha]]))</f>
        <v>MSFT-44179</v>
      </c>
    </row>
    <row r="4126" spans="1:4" ht="14.65" thickBot="1" x14ac:dyDescent="0.5">
      <c r="A4126" s="17">
        <v>44180.666666666664</v>
      </c>
      <c r="B4126" s="19">
        <v>214.13</v>
      </c>
      <c r="C4126" t="s">
        <v>41</v>
      </c>
      <c r="D4126" t="str">
        <f>T_Stocks[[#This Row],[Ticker]] &amp; "-" &amp; DATE(YEAR(T_Stocks[[#This Row],[Fecha]]),MONTH(T_Stocks[[#This Row],[Fecha]]),DAY(T_Stocks[[#This Row],[Fecha]]))</f>
        <v>MSFT-44180</v>
      </c>
    </row>
    <row r="4127" spans="1:4" ht="14.65" thickBot="1" x14ac:dyDescent="0.5">
      <c r="A4127" s="17">
        <v>44181.666666666664</v>
      </c>
      <c r="B4127" s="19">
        <v>219.28</v>
      </c>
      <c r="C4127" t="s">
        <v>41</v>
      </c>
      <c r="D4127" t="str">
        <f>T_Stocks[[#This Row],[Ticker]] &amp; "-" &amp; DATE(YEAR(T_Stocks[[#This Row],[Fecha]]),MONTH(T_Stocks[[#This Row],[Fecha]]),DAY(T_Stocks[[#This Row],[Fecha]]))</f>
        <v>MSFT-44181</v>
      </c>
    </row>
    <row r="4128" spans="1:4" ht="14.65" thickBot="1" x14ac:dyDescent="0.5">
      <c r="A4128" s="17">
        <v>44182.666666666664</v>
      </c>
      <c r="B4128" s="19">
        <v>219.42</v>
      </c>
      <c r="C4128" t="s">
        <v>41</v>
      </c>
      <c r="D4128" t="str">
        <f>T_Stocks[[#This Row],[Ticker]] &amp; "-" &amp; DATE(YEAR(T_Stocks[[#This Row],[Fecha]]),MONTH(T_Stocks[[#This Row],[Fecha]]),DAY(T_Stocks[[#This Row],[Fecha]]))</f>
        <v>MSFT-44182</v>
      </c>
    </row>
    <row r="4129" spans="1:4" ht="14.65" thickBot="1" x14ac:dyDescent="0.5">
      <c r="A4129" s="17">
        <v>44183.666666666664</v>
      </c>
      <c r="B4129" s="19">
        <v>218.59</v>
      </c>
      <c r="C4129" t="s">
        <v>41</v>
      </c>
      <c r="D4129" t="str">
        <f>T_Stocks[[#This Row],[Ticker]] &amp; "-" &amp; DATE(YEAR(T_Stocks[[#This Row],[Fecha]]),MONTH(T_Stocks[[#This Row],[Fecha]]),DAY(T_Stocks[[#This Row],[Fecha]]))</f>
        <v>MSFT-44183</v>
      </c>
    </row>
    <row r="4130" spans="1:4" ht="14.65" thickBot="1" x14ac:dyDescent="0.5">
      <c r="A4130" s="17">
        <v>44186.666666666664</v>
      </c>
      <c r="B4130" s="19">
        <v>222.59</v>
      </c>
      <c r="C4130" t="s">
        <v>41</v>
      </c>
      <c r="D4130" t="str">
        <f>T_Stocks[[#This Row],[Ticker]] &amp; "-" &amp; DATE(YEAR(T_Stocks[[#This Row],[Fecha]]),MONTH(T_Stocks[[#This Row],[Fecha]]),DAY(T_Stocks[[#This Row],[Fecha]]))</f>
        <v>MSFT-44186</v>
      </c>
    </row>
    <row r="4131" spans="1:4" ht="14.65" thickBot="1" x14ac:dyDescent="0.5">
      <c r="A4131" s="17">
        <v>44187.666666666664</v>
      </c>
      <c r="B4131" s="19">
        <v>223.94</v>
      </c>
      <c r="C4131" t="s">
        <v>41</v>
      </c>
      <c r="D4131" t="str">
        <f>T_Stocks[[#This Row],[Ticker]] &amp; "-" &amp; DATE(YEAR(T_Stocks[[#This Row],[Fecha]]),MONTH(T_Stocks[[#This Row],[Fecha]]),DAY(T_Stocks[[#This Row],[Fecha]]))</f>
        <v>MSFT-44187</v>
      </c>
    </row>
    <row r="4132" spans="1:4" ht="14.65" thickBot="1" x14ac:dyDescent="0.5">
      <c r="A4132" s="17">
        <v>44188.666666666664</v>
      </c>
      <c r="B4132" s="19">
        <v>221.02</v>
      </c>
      <c r="C4132" t="s">
        <v>41</v>
      </c>
      <c r="D4132" t="str">
        <f>T_Stocks[[#This Row],[Ticker]] &amp; "-" &amp; DATE(YEAR(T_Stocks[[#This Row],[Fecha]]),MONTH(T_Stocks[[#This Row],[Fecha]]),DAY(T_Stocks[[#This Row],[Fecha]]))</f>
        <v>MSFT-44188</v>
      </c>
    </row>
    <row r="4133" spans="1:4" ht="14.65" thickBot="1" x14ac:dyDescent="0.5">
      <c r="A4133" s="17">
        <v>44189.541666666664</v>
      </c>
      <c r="B4133" s="19">
        <v>222.75</v>
      </c>
      <c r="C4133" t="s">
        <v>41</v>
      </c>
      <c r="D4133" t="str">
        <f>T_Stocks[[#This Row],[Ticker]] &amp; "-" &amp; DATE(YEAR(T_Stocks[[#This Row],[Fecha]]),MONTH(T_Stocks[[#This Row],[Fecha]]),DAY(T_Stocks[[#This Row],[Fecha]]))</f>
        <v>MSFT-44189</v>
      </c>
    </row>
    <row r="4134" spans="1:4" ht="14.65" thickBot="1" x14ac:dyDescent="0.5">
      <c r="A4134" s="17">
        <v>44193.666666666664</v>
      </c>
      <c r="B4134" s="19">
        <v>224.96</v>
      </c>
      <c r="C4134" t="s">
        <v>41</v>
      </c>
      <c r="D4134" t="str">
        <f>T_Stocks[[#This Row],[Ticker]] &amp; "-" &amp; DATE(YEAR(T_Stocks[[#This Row],[Fecha]]),MONTH(T_Stocks[[#This Row],[Fecha]]),DAY(T_Stocks[[#This Row],[Fecha]]))</f>
        <v>MSFT-44193</v>
      </c>
    </row>
    <row r="4135" spans="1:4" ht="14.65" thickBot="1" x14ac:dyDescent="0.5">
      <c r="A4135" s="17">
        <v>44194.666666666664</v>
      </c>
      <c r="B4135" s="19">
        <v>224.15</v>
      </c>
      <c r="C4135" t="s">
        <v>41</v>
      </c>
      <c r="D4135" t="str">
        <f>T_Stocks[[#This Row],[Ticker]] &amp; "-" &amp; DATE(YEAR(T_Stocks[[#This Row],[Fecha]]),MONTH(T_Stocks[[#This Row],[Fecha]]),DAY(T_Stocks[[#This Row],[Fecha]]))</f>
        <v>MSFT-44194</v>
      </c>
    </row>
    <row r="4136" spans="1:4" ht="14.65" thickBot="1" x14ac:dyDescent="0.5">
      <c r="A4136" s="17">
        <v>44195.666666666664</v>
      </c>
      <c r="B4136" s="19">
        <v>221.68</v>
      </c>
      <c r="C4136" t="s">
        <v>41</v>
      </c>
      <c r="D4136" t="str">
        <f>T_Stocks[[#This Row],[Ticker]] &amp; "-" &amp; DATE(YEAR(T_Stocks[[#This Row],[Fecha]]),MONTH(T_Stocks[[#This Row],[Fecha]]),DAY(T_Stocks[[#This Row],[Fecha]]))</f>
        <v>MSFT-44195</v>
      </c>
    </row>
    <row r="4137" spans="1:4" ht="14.65" thickBot="1" x14ac:dyDescent="0.5">
      <c r="A4137" s="17">
        <v>44196.666666666664</v>
      </c>
      <c r="B4137" s="19">
        <v>222.42</v>
      </c>
      <c r="C4137" t="s">
        <v>41</v>
      </c>
      <c r="D4137" t="str">
        <f>T_Stocks[[#This Row],[Ticker]] &amp; "-" &amp; DATE(YEAR(T_Stocks[[#This Row],[Fecha]]),MONTH(T_Stocks[[#This Row],[Fecha]]),DAY(T_Stocks[[#This Row],[Fecha]]))</f>
        <v>MSFT-44196</v>
      </c>
    </row>
    <row r="4138" spans="1:4" ht="14.65" thickBot="1" x14ac:dyDescent="0.5">
      <c r="A4138" s="17">
        <v>44200.666666666664</v>
      </c>
      <c r="B4138" s="19">
        <v>217.69</v>
      </c>
      <c r="C4138" t="s">
        <v>41</v>
      </c>
      <c r="D4138" t="str">
        <f>T_Stocks[[#This Row],[Ticker]] &amp; "-" &amp; DATE(YEAR(T_Stocks[[#This Row],[Fecha]]),MONTH(T_Stocks[[#This Row],[Fecha]]),DAY(T_Stocks[[#This Row],[Fecha]]))</f>
        <v>MSFT-44200</v>
      </c>
    </row>
    <row r="4139" spans="1:4" ht="14.65" thickBot="1" x14ac:dyDescent="0.5">
      <c r="A4139" s="17">
        <v>44201.666666666664</v>
      </c>
      <c r="B4139" s="19">
        <v>217.9</v>
      </c>
      <c r="C4139" t="s">
        <v>41</v>
      </c>
      <c r="D4139" t="str">
        <f>T_Stocks[[#This Row],[Ticker]] &amp; "-" &amp; DATE(YEAR(T_Stocks[[#This Row],[Fecha]]),MONTH(T_Stocks[[#This Row],[Fecha]]),DAY(T_Stocks[[#This Row],[Fecha]]))</f>
        <v>MSFT-44201</v>
      </c>
    </row>
    <row r="4140" spans="1:4" ht="14.65" thickBot="1" x14ac:dyDescent="0.5">
      <c r="A4140" s="17">
        <v>44202.666666666664</v>
      </c>
      <c r="B4140" s="19">
        <v>212.25</v>
      </c>
      <c r="C4140" t="s">
        <v>41</v>
      </c>
      <c r="D4140" t="str">
        <f>T_Stocks[[#This Row],[Ticker]] &amp; "-" &amp; DATE(YEAR(T_Stocks[[#This Row],[Fecha]]),MONTH(T_Stocks[[#This Row],[Fecha]]),DAY(T_Stocks[[#This Row],[Fecha]]))</f>
        <v>MSFT-44202</v>
      </c>
    </row>
    <row r="4141" spans="1:4" ht="14.65" thickBot="1" x14ac:dyDescent="0.5">
      <c r="A4141" s="17">
        <v>44203.666666666664</v>
      </c>
      <c r="B4141" s="19">
        <v>218.29</v>
      </c>
      <c r="C4141" t="s">
        <v>41</v>
      </c>
      <c r="D4141" t="str">
        <f>T_Stocks[[#This Row],[Ticker]] &amp; "-" &amp; DATE(YEAR(T_Stocks[[#This Row],[Fecha]]),MONTH(T_Stocks[[#This Row],[Fecha]]),DAY(T_Stocks[[#This Row],[Fecha]]))</f>
        <v>MSFT-44203</v>
      </c>
    </row>
    <row r="4142" spans="1:4" ht="14.65" thickBot="1" x14ac:dyDescent="0.5">
      <c r="A4142" s="17">
        <v>44204.666666666664</v>
      </c>
      <c r="B4142" s="19">
        <v>219.62</v>
      </c>
      <c r="C4142" t="s">
        <v>41</v>
      </c>
      <c r="D4142" t="str">
        <f>T_Stocks[[#This Row],[Ticker]] &amp; "-" &amp; DATE(YEAR(T_Stocks[[#This Row],[Fecha]]),MONTH(T_Stocks[[#This Row],[Fecha]]),DAY(T_Stocks[[#This Row],[Fecha]]))</f>
        <v>MSFT-44204</v>
      </c>
    </row>
    <row r="4143" spans="1:4" ht="14.65" thickBot="1" x14ac:dyDescent="0.5">
      <c r="A4143" s="17">
        <v>44207.666666666664</v>
      </c>
      <c r="B4143" s="19">
        <v>217.49</v>
      </c>
      <c r="C4143" t="s">
        <v>41</v>
      </c>
      <c r="D4143" t="str">
        <f>T_Stocks[[#This Row],[Ticker]] &amp; "-" &amp; DATE(YEAR(T_Stocks[[#This Row],[Fecha]]),MONTH(T_Stocks[[#This Row],[Fecha]]),DAY(T_Stocks[[#This Row],[Fecha]]))</f>
        <v>MSFT-44207</v>
      </c>
    </row>
    <row r="4144" spans="1:4" ht="14.65" thickBot="1" x14ac:dyDescent="0.5">
      <c r="A4144" s="17">
        <v>44208.666666666664</v>
      </c>
      <c r="B4144" s="19">
        <v>214.93</v>
      </c>
      <c r="C4144" t="s">
        <v>41</v>
      </c>
      <c r="D4144" t="str">
        <f>T_Stocks[[#This Row],[Ticker]] &amp; "-" &amp; DATE(YEAR(T_Stocks[[#This Row],[Fecha]]),MONTH(T_Stocks[[#This Row],[Fecha]]),DAY(T_Stocks[[#This Row],[Fecha]]))</f>
        <v>MSFT-44208</v>
      </c>
    </row>
    <row r="4145" spans="1:4" ht="14.65" thickBot="1" x14ac:dyDescent="0.5">
      <c r="A4145" s="17">
        <v>44209.666666666664</v>
      </c>
      <c r="B4145" s="19">
        <v>216.34</v>
      </c>
      <c r="C4145" t="s">
        <v>41</v>
      </c>
      <c r="D4145" t="str">
        <f>T_Stocks[[#This Row],[Ticker]] &amp; "-" &amp; DATE(YEAR(T_Stocks[[#This Row],[Fecha]]),MONTH(T_Stocks[[#This Row],[Fecha]]),DAY(T_Stocks[[#This Row],[Fecha]]))</f>
        <v>MSFT-44209</v>
      </c>
    </row>
    <row r="4146" spans="1:4" ht="14.65" thickBot="1" x14ac:dyDescent="0.5">
      <c r="A4146" s="17">
        <v>44210.666666666664</v>
      </c>
      <c r="B4146" s="19">
        <v>213.02</v>
      </c>
      <c r="C4146" t="s">
        <v>41</v>
      </c>
      <c r="D4146" t="str">
        <f>T_Stocks[[#This Row],[Ticker]] &amp; "-" &amp; DATE(YEAR(T_Stocks[[#This Row],[Fecha]]),MONTH(T_Stocks[[#This Row],[Fecha]]),DAY(T_Stocks[[#This Row],[Fecha]]))</f>
        <v>MSFT-44210</v>
      </c>
    </row>
    <row r="4147" spans="1:4" ht="14.65" thickBot="1" x14ac:dyDescent="0.5">
      <c r="A4147" s="17">
        <v>44211.666666666664</v>
      </c>
      <c r="B4147" s="19">
        <v>212.65</v>
      </c>
      <c r="C4147" t="s">
        <v>41</v>
      </c>
      <c r="D4147" t="str">
        <f>T_Stocks[[#This Row],[Ticker]] &amp; "-" &amp; DATE(YEAR(T_Stocks[[#This Row],[Fecha]]),MONTH(T_Stocks[[#This Row],[Fecha]]),DAY(T_Stocks[[#This Row],[Fecha]]))</f>
        <v>MSFT-44211</v>
      </c>
    </row>
    <row r="4148" spans="1:4" ht="14.65" thickBot="1" x14ac:dyDescent="0.5">
      <c r="A4148" s="17">
        <v>44215.666666666664</v>
      </c>
      <c r="B4148" s="19">
        <v>216.44</v>
      </c>
      <c r="C4148" t="s">
        <v>41</v>
      </c>
      <c r="D4148" t="str">
        <f>T_Stocks[[#This Row],[Ticker]] &amp; "-" &amp; DATE(YEAR(T_Stocks[[#This Row],[Fecha]]),MONTH(T_Stocks[[#This Row],[Fecha]]),DAY(T_Stocks[[#This Row],[Fecha]]))</f>
        <v>MSFT-44215</v>
      </c>
    </row>
    <row r="4149" spans="1:4" ht="14.65" thickBot="1" x14ac:dyDescent="0.5">
      <c r="A4149" s="17">
        <v>44216.666666666664</v>
      </c>
      <c r="B4149" s="19">
        <v>224.34</v>
      </c>
      <c r="C4149" t="s">
        <v>41</v>
      </c>
      <c r="D4149" t="str">
        <f>T_Stocks[[#This Row],[Ticker]] &amp; "-" &amp; DATE(YEAR(T_Stocks[[#This Row],[Fecha]]),MONTH(T_Stocks[[#This Row],[Fecha]]),DAY(T_Stocks[[#This Row],[Fecha]]))</f>
        <v>MSFT-44216</v>
      </c>
    </row>
    <row r="4150" spans="1:4" ht="14.65" thickBot="1" x14ac:dyDescent="0.5">
      <c r="A4150" s="17">
        <v>44217.666666666664</v>
      </c>
      <c r="B4150" s="19">
        <v>224.97</v>
      </c>
      <c r="C4150" t="s">
        <v>41</v>
      </c>
      <c r="D4150" t="str">
        <f>T_Stocks[[#This Row],[Ticker]] &amp; "-" &amp; DATE(YEAR(T_Stocks[[#This Row],[Fecha]]),MONTH(T_Stocks[[#This Row],[Fecha]]),DAY(T_Stocks[[#This Row],[Fecha]]))</f>
        <v>MSFT-44217</v>
      </c>
    </row>
    <row r="4151" spans="1:4" ht="14.65" thickBot="1" x14ac:dyDescent="0.5">
      <c r="A4151" s="17">
        <v>44218.666666666664</v>
      </c>
      <c r="B4151" s="19">
        <v>225.95</v>
      </c>
      <c r="C4151" t="s">
        <v>41</v>
      </c>
      <c r="D4151" t="str">
        <f>T_Stocks[[#This Row],[Ticker]] &amp; "-" &amp; DATE(YEAR(T_Stocks[[#This Row],[Fecha]]),MONTH(T_Stocks[[#This Row],[Fecha]]),DAY(T_Stocks[[#This Row],[Fecha]]))</f>
        <v>MSFT-44218</v>
      </c>
    </row>
    <row r="4152" spans="1:4" ht="14.65" thickBot="1" x14ac:dyDescent="0.5">
      <c r="A4152" s="17">
        <v>44221.666666666664</v>
      </c>
      <c r="B4152" s="19">
        <v>229.53</v>
      </c>
      <c r="C4152" t="s">
        <v>41</v>
      </c>
      <c r="D4152" t="str">
        <f>T_Stocks[[#This Row],[Ticker]] &amp; "-" &amp; DATE(YEAR(T_Stocks[[#This Row],[Fecha]]),MONTH(T_Stocks[[#This Row],[Fecha]]),DAY(T_Stocks[[#This Row],[Fecha]]))</f>
        <v>MSFT-44221</v>
      </c>
    </row>
    <row r="4153" spans="1:4" ht="14.65" thickBot="1" x14ac:dyDescent="0.5">
      <c r="A4153" s="17">
        <v>44222.666666666664</v>
      </c>
      <c r="B4153" s="19">
        <v>232.33</v>
      </c>
      <c r="C4153" t="s">
        <v>41</v>
      </c>
      <c r="D4153" t="str">
        <f>T_Stocks[[#This Row],[Ticker]] &amp; "-" &amp; DATE(YEAR(T_Stocks[[#This Row],[Fecha]]),MONTH(T_Stocks[[#This Row],[Fecha]]),DAY(T_Stocks[[#This Row],[Fecha]]))</f>
        <v>MSFT-44222</v>
      </c>
    </row>
    <row r="4154" spans="1:4" ht="14.65" thickBot="1" x14ac:dyDescent="0.5">
      <c r="A4154" s="17">
        <v>44223.666666666664</v>
      </c>
      <c r="B4154" s="19">
        <v>232.9</v>
      </c>
      <c r="C4154" t="s">
        <v>41</v>
      </c>
      <c r="D4154" t="str">
        <f>T_Stocks[[#This Row],[Ticker]] &amp; "-" &amp; DATE(YEAR(T_Stocks[[#This Row],[Fecha]]),MONTH(T_Stocks[[#This Row],[Fecha]]),DAY(T_Stocks[[#This Row],[Fecha]]))</f>
        <v>MSFT-44223</v>
      </c>
    </row>
    <row r="4155" spans="1:4" ht="14.65" thickBot="1" x14ac:dyDescent="0.5">
      <c r="A4155" s="17">
        <v>44224.666666666664</v>
      </c>
      <c r="B4155" s="19">
        <v>238.93</v>
      </c>
      <c r="C4155" t="s">
        <v>41</v>
      </c>
      <c r="D4155" t="str">
        <f>T_Stocks[[#This Row],[Ticker]] &amp; "-" &amp; DATE(YEAR(T_Stocks[[#This Row],[Fecha]]),MONTH(T_Stocks[[#This Row],[Fecha]]),DAY(T_Stocks[[#This Row],[Fecha]]))</f>
        <v>MSFT-44224</v>
      </c>
    </row>
    <row r="4156" spans="1:4" ht="14.65" thickBot="1" x14ac:dyDescent="0.5">
      <c r="A4156" s="17">
        <v>44225.666666666664</v>
      </c>
      <c r="B4156" s="19">
        <v>231.96</v>
      </c>
      <c r="C4156" t="s">
        <v>41</v>
      </c>
      <c r="D4156" t="str">
        <f>T_Stocks[[#This Row],[Ticker]] &amp; "-" &amp; DATE(YEAR(T_Stocks[[#This Row],[Fecha]]),MONTH(T_Stocks[[#This Row],[Fecha]]),DAY(T_Stocks[[#This Row],[Fecha]]))</f>
        <v>MSFT-44225</v>
      </c>
    </row>
    <row r="4157" spans="1:4" ht="14.65" thickBot="1" x14ac:dyDescent="0.5">
      <c r="A4157" s="17">
        <v>44228.666666666664</v>
      </c>
      <c r="B4157" s="19">
        <v>239.65</v>
      </c>
      <c r="C4157" t="s">
        <v>41</v>
      </c>
      <c r="D4157" t="str">
        <f>T_Stocks[[#This Row],[Ticker]] &amp; "-" &amp; DATE(YEAR(T_Stocks[[#This Row],[Fecha]]),MONTH(T_Stocks[[#This Row],[Fecha]]),DAY(T_Stocks[[#This Row],[Fecha]]))</f>
        <v>MSFT-44228</v>
      </c>
    </row>
    <row r="4158" spans="1:4" ht="14.65" thickBot="1" x14ac:dyDescent="0.5">
      <c r="A4158" s="17">
        <v>44229.666666666664</v>
      </c>
      <c r="B4158" s="19">
        <v>239.51</v>
      </c>
      <c r="C4158" t="s">
        <v>41</v>
      </c>
      <c r="D4158" t="str">
        <f>T_Stocks[[#This Row],[Ticker]] &amp; "-" &amp; DATE(YEAR(T_Stocks[[#This Row],[Fecha]]),MONTH(T_Stocks[[#This Row],[Fecha]]),DAY(T_Stocks[[#This Row],[Fecha]]))</f>
        <v>MSFT-44229</v>
      </c>
    </row>
    <row r="4159" spans="1:4" ht="14.65" thickBot="1" x14ac:dyDescent="0.5">
      <c r="A4159" s="17">
        <v>44230.666666666664</v>
      </c>
      <c r="B4159" s="19">
        <v>243</v>
      </c>
      <c r="C4159" t="s">
        <v>41</v>
      </c>
      <c r="D4159" t="str">
        <f>T_Stocks[[#This Row],[Ticker]] &amp; "-" &amp; DATE(YEAR(T_Stocks[[#This Row],[Fecha]]),MONTH(T_Stocks[[#This Row],[Fecha]]),DAY(T_Stocks[[#This Row],[Fecha]]))</f>
        <v>MSFT-44230</v>
      </c>
    </row>
    <row r="4160" spans="1:4" ht="14.65" thickBot="1" x14ac:dyDescent="0.5">
      <c r="A4160" s="17">
        <v>44231.666666666664</v>
      </c>
      <c r="B4160" s="19">
        <v>242.01</v>
      </c>
      <c r="C4160" t="s">
        <v>41</v>
      </c>
      <c r="D4160" t="str">
        <f>T_Stocks[[#This Row],[Ticker]] &amp; "-" &amp; DATE(YEAR(T_Stocks[[#This Row],[Fecha]]),MONTH(T_Stocks[[#This Row],[Fecha]]),DAY(T_Stocks[[#This Row],[Fecha]]))</f>
        <v>MSFT-44231</v>
      </c>
    </row>
    <row r="4161" spans="1:4" ht="14.65" thickBot="1" x14ac:dyDescent="0.5">
      <c r="A4161" s="17">
        <v>44232.666666666664</v>
      </c>
      <c r="B4161" s="19">
        <v>242.2</v>
      </c>
      <c r="C4161" t="s">
        <v>41</v>
      </c>
      <c r="D4161" t="str">
        <f>T_Stocks[[#This Row],[Ticker]] &amp; "-" &amp; DATE(YEAR(T_Stocks[[#This Row],[Fecha]]),MONTH(T_Stocks[[#This Row],[Fecha]]),DAY(T_Stocks[[#This Row],[Fecha]]))</f>
        <v>MSFT-44232</v>
      </c>
    </row>
    <row r="4162" spans="1:4" ht="14.65" thickBot="1" x14ac:dyDescent="0.5">
      <c r="A4162" s="17">
        <v>44235.666666666664</v>
      </c>
      <c r="B4162" s="19">
        <v>242.47</v>
      </c>
      <c r="C4162" t="s">
        <v>41</v>
      </c>
      <c r="D4162" t="str">
        <f>T_Stocks[[#This Row],[Ticker]] &amp; "-" &amp; DATE(YEAR(T_Stocks[[#This Row],[Fecha]]),MONTH(T_Stocks[[#This Row],[Fecha]]),DAY(T_Stocks[[#This Row],[Fecha]]))</f>
        <v>MSFT-44235</v>
      </c>
    </row>
    <row r="4163" spans="1:4" ht="14.65" thickBot="1" x14ac:dyDescent="0.5">
      <c r="A4163" s="17">
        <v>44236.666666666664</v>
      </c>
      <c r="B4163" s="19">
        <v>243.77</v>
      </c>
      <c r="C4163" t="s">
        <v>41</v>
      </c>
      <c r="D4163" t="str">
        <f>T_Stocks[[#This Row],[Ticker]] &amp; "-" &amp; DATE(YEAR(T_Stocks[[#This Row],[Fecha]]),MONTH(T_Stocks[[#This Row],[Fecha]]),DAY(T_Stocks[[#This Row],[Fecha]]))</f>
        <v>MSFT-44236</v>
      </c>
    </row>
    <row r="4164" spans="1:4" ht="14.65" thickBot="1" x14ac:dyDescent="0.5">
      <c r="A4164" s="17">
        <v>44237.666666666664</v>
      </c>
      <c r="B4164" s="19">
        <v>242.82</v>
      </c>
      <c r="C4164" t="s">
        <v>41</v>
      </c>
      <c r="D4164" t="str">
        <f>T_Stocks[[#This Row],[Ticker]] &amp; "-" &amp; DATE(YEAR(T_Stocks[[#This Row],[Fecha]]),MONTH(T_Stocks[[#This Row],[Fecha]]),DAY(T_Stocks[[#This Row],[Fecha]]))</f>
        <v>MSFT-44237</v>
      </c>
    </row>
    <row r="4165" spans="1:4" ht="14.65" thickBot="1" x14ac:dyDescent="0.5">
      <c r="A4165" s="17">
        <v>44238.666666666664</v>
      </c>
      <c r="B4165" s="19">
        <v>244.49</v>
      </c>
      <c r="C4165" t="s">
        <v>41</v>
      </c>
      <c r="D4165" t="str">
        <f>T_Stocks[[#This Row],[Ticker]] &amp; "-" &amp; DATE(YEAR(T_Stocks[[#This Row],[Fecha]]),MONTH(T_Stocks[[#This Row],[Fecha]]),DAY(T_Stocks[[#This Row],[Fecha]]))</f>
        <v>MSFT-44238</v>
      </c>
    </row>
    <row r="4166" spans="1:4" ht="14.65" thickBot="1" x14ac:dyDescent="0.5">
      <c r="A4166" s="17">
        <v>44239.666666666664</v>
      </c>
      <c r="B4166" s="19">
        <v>244.99</v>
      </c>
      <c r="C4166" t="s">
        <v>41</v>
      </c>
      <c r="D4166" t="str">
        <f>T_Stocks[[#This Row],[Ticker]] &amp; "-" &amp; DATE(YEAR(T_Stocks[[#This Row],[Fecha]]),MONTH(T_Stocks[[#This Row],[Fecha]]),DAY(T_Stocks[[#This Row],[Fecha]]))</f>
        <v>MSFT-44239</v>
      </c>
    </row>
    <row r="4167" spans="1:4" ht="14.65" thickBot="1" x14ac:dyDescent="0.5">
      <c r="A4167" s="17">
        <v>44243.666666666664</v>
      </c>
      <c r="B4167" s="19">
        <v>243.7</v>
      </c>
      <c r="C4167" t="s">
        <v>41</v>
      </c>
      <c r="D4167" t="str">
        <f>T_Stocks[[#This Row],[Ticker]] &amp; "-" &amp; DATE(YEAR(T_Stocks[[#This Row],[Fecha]]),MONTH(T_Stocks[[#This Row],[Fecha]]),DAY(T_Stocks[[#This Row],[Fecha]]))</f>
        <v>MSFT-44243</v>
      </c>
    </row>
    <row r="4168" spans="1:4" ht="14.65" thickBot="1" x14ac:dyDescent="0.5">
      <c r="A4168" s="17">
        <v>44244.666666666664</v>
      </c>
      <c r="B4168" s="19">
        <v>244.2</v>
      </c>
      <c r="C4168" t="s">
        <v>41</v>
      </c>
      <c r="D4168" t="str">
        <f>T_Stocks[[#This Row],[Ticker]] &amp; "-" &amp; DATE(YEAR(T_Stocks[[#This Row],[Fecha]]),MONTH(T_Stocks[[#This Row],[Fecha]]),DAY(T_Stocks[[#This Row],[Fecha]]))</f>
        <v>MSFT-44244</v>
      </c>
    </row>
    <row r="4169" spans="1:4" ht="14.65" thickBot="1" x14ac:dyDescent="0.5">
      <c r="A4169" s="17">
        <v>44245.666666666664</v>
      </c>
      <c r="B4169" s="19">
        <v>243.79</v>
      </c>
      <c r="C4169" t="s">
        <v>41</v>
      </c>
      <c r="D4169" t="str">
        <f>T_Stocks[[#This Row],[Ticker]] &amp; "-" &amp; DATE(YEAR(T_Stocks[[#This Row],[Fecha]]),MONTH(T_Stocks[[#This Row],[Fecha]]),DAY(T_Stocks[[#This Row],[Fecha]]))</f>
        <v>MSFT-44245</v>
      </c>
    </row>
    <row r="4170" spans="1:4" ht="14.65" thickBot="1" x14ac:dyDescent="0.5">
      <c r="A4170" s="17">
        <v>44246.666666666664</v>
      </c>
      <c r="B4170" s="19">
        <v>240.97</v>
      </c>
      <c r="C4170" t="s">
        <v>41</v>
      </c>
      <c r="D4170" t="str">
        <f>T_Stocks[[#This Row],[Ticker]] &amp; "-" &amp; DATE(YEAR(T_Stocks[[#This Row],[Fecha]]),MONTH(T_Stocks[[#This Row],[Fecha]]),DAY(T_Stocks[[#This Row],[Fecha]]))</f>
        <v>MSFT-44246</v>
      </c>
    </row>
    <row r="4171" spans="1:4" ht="14.65" thickBot="1" x14ac:dyDescent="0.5">
      <c r="A4171" s="17">
        <v>44249.666666666664</v>
      </c>
      <c r="B4171" s="19">
        <v>234.51</v>
      </c>
      <c r="C4171" t="s">
        <v>41</v>
      </c>
      <c r="D4171" t="str">
        <f>T_Stocks[[#This Row],[Ticker]] &amp; "-" &amp; DATE(YEAR(T_Stocks[[#This Row],[Fecha]]),MONTH(T_Stocks[[#This Row],[Fecha]]),DAY(T_Stocks[[#This Row],[Fecha]]))</f>
        <v>MSFT-44249</v>
      </c>
    </row>
    <row r="4172" spans="1:4" ht="14.65" thickBot="1" x14ac:dyDescent="0.5">
      <c r="A4172" s="17">
        <v>44250.666666666664</v>
      </c>
      <c r="B4172" s="19">
        <v>233.27</v>
      </c>
      <c r="C4172" t="s">
        <v>41</v>
      </c>
      <c r="D4172" t="str">
        <f>T_Stocks[[#This Row],[Ticker]] &amp; "-" &amp; DATE(YEAR(T_Stocks[[#This Row],[Fecha]]),MONTH(T_Stocks[[#This Row],[Fecha]]),DAY(T_Stocks[[#This Row],[Fecha]]))</f>
        <v>MSFT-44250</v>
      </c>
    </row>
    <row r="4173" spans="1:4" ht="14.65" thickBot="1" x14ac:dyDescent="0.5">
      <c r="A4173" s="17">
        <v>44251.666666666664</v>
      </c>
      <c r="B4173" s="19">
        <v>234.55</v>
      </c>
      <c r="C4173" t="s">
        <v>41</v>
      </c>
      <c r="D4173" t="str">
        <f>T_Stocks[[#This Row],[Ticker]] &amp; "-" &amp; DATE(YEAR(T_Stocks[[#This Row],[Fecha]]),MONTH(T_Stocks[[#This Row],[Fecha]]),DAY(T_Stocks[[#This Row],[Fecha]]))</f>
        <v>MSFT-44251</v>
      </c>
    </row>
    <row r="4174" spans="1:4" ht="14.65" thickBot="1" x14ac:dyDescent="0.5">
      <c r="A4174" s="17">
        <v>44252.666666666664</v>
      </c>
      <c r="B4174" s="19">
        <v>228.99</v>
      </c>
      <c r="C4174" t="s">
        <v>41</v>
      </c>
      <c r="D4174" t="str">
        <f>T_Stocks[[#This Row],[Ticker]] &amp; "-" &amp; DATE(YEAR(T_Stocks[[#This Row],[Fecha]]),MONTH(T_Stocks[[#This Row],[Fecha]]),DAY(T_Stocks[[#This Row],[Fecha]]))</f>
        <v>MSFT-44252</v>
      </c>
    </row>
    <row r="4175" spans="1:4" ht="14.65" thickBot="1" x14ac:dyDescent="0.5">
      <c r="A4175" s="17">
        <v>44253.666666666664</v>
      </c>
      <c r="B4175" s="19">
        <v>232.38</v>
      </c>
      <c r="C4175" t="s">
        <v>41</v>
      </c>
      <c r="D4175" t="str">
        <f>T_Stocks[[#This Row],[Ticker]] &amp; "-" &amp; DATE(YEAR(T_Stocks[[#This Row],[Fecha]]),MONTH(T_Stocks[[#This Row],[Fecha]]),DAY(T_Stocks[[#This Row],[Fecha]]))</f>
        <v>MSFT-44253</v>
      </c>
    </row>
    <row r="4176" spans="1:4" ht="14.65" thickBot="1" x14ac:dyDescent="0.5">
      <c r="A4176" s="17">
        <v>44256.666666666664</v>
      </c>
      <c r="B4176" s="19">
        <v>236.94</v>
      </c>
      <c r="C4176" t="s">
        <v>41</v>
      </c>
      <c r="D4176" t="str">
        <f>T_Stocks[[#This Row],[Ticker]] &amp; "-" &amp; DATE(YEAR(T_Stocks[[#This Row],[Fecha]]),MONTH(T_Stocks[[#This Row],[Fecha]]),DAY(T_Stocks[[#This Row],[Fecha]]))</f>
        <v>MSFT-44256</v>
      </c>
    </row>
    <row r="4177" spans="1:4" ht="14.65" thickBot="1" x14ac:dyDescent="0.5">
      <c r="A4177" s="17">
        <v>44257.666666666664</v>
      </c>
      <c r="B4177" s="19">
        <v>233.87</v>
      </c>
      <c r="C4177" t="s">
        <v>41</v>
      </c>
      <c r="D4177" t="str">
        <f>T_Stocks[[#This Row],[Ticker]] &amp; "-" &amp; DATE(YEAR(T_Stocks[[#This Row],[Fecha]]),MONTH(T_Stocks[[#This Row],[Fecha]]),DAY(T_Stocks[[#This Row],[Fecha]]))</f>
        <v>MSFT-44257</v>
      </c>
    </row>
    <row r="4178" spans="1:4" ht="14.65" thickBot="1" x14ac:dyDescent="0.5">
      <c r="A4178" s="17">
        <v>44258.666666666664</v>
      </c>
      <c r="B4178" s="19">
        <v>227.56</v>
      </c>
      <c r="C4178" t="s">
        <v>41</v>
      </c>
      <c r="D4178" t="str">
        <f>T_Stocks[[#This Row],[Ticker]] &amp; "-" &amp; DATE(YEAR(T_Stocks[[#This Row],[Fecha]]),MONTH(T_Stocks[[#This Row],[Fecha]]),DAY(T_Stocks[[#This Row],[Fecha]]))</f>
        <v>MSFT-44258</v>
      </c>
    </row>
    <row r="4179" spans="1:4" ht="14.65" thickBot="1" x14ac:dyDescent="0.5">
      <c r="A4179" s="17">
        <v>44259.666666666664</v>
      </c>
      <c r="B4179" s="19">
        <v>226.73</v>
      </c>
      <c r="C4179" t="s">
        <v>41</v>
      </c>
      <c r="D4179" t="str">
        <f>T_Stocks[[#This Row],[Ticker]] &amp; "-" &amp; DATE(YEAR(T_Stocks[[#This Row],[Fecha]]),MONTH(T_Stocks[[#This Row],[Fecha]]),DAY(T_Stocks[[#This Row],[Fecha]]))</f>
        <v>MSFT-44259</v>
      </c>
    </row>
    <row r="4180" spans="1:4" ht="14.65" thickBot="1" x14ac:dyDescent="0.5">
      <c r="A4180" s="17">
        <v>44260.666666666664</v>
      </c>
      <c r="B4180" s="19">
        <v>231.6</v>
      </c>
      <c r="C4180" t="s">
        <v>41</v>
      </c>
      <c r="D4180" t="str">
        <f>T_Stocks[[#This Row],[Ticker]] &amp; "-" &amp; DATE(YEAR(T_Stocks[[#This Row],[Fecha]]),MONTH(T_Stocks[[#This Row],[Fecha]]),DAY(T_Stocks[[#This Row],[Fecha]]))</f>
        <v>MSFT-44260</v>
      </c>
    </row>
    <row r="4181" spans="1:4" ht="14.65" thickBot="1" x14ac:dyDescent="0.5">
      <c r="A4181" s="17">
        <v>44263.666666666664</v>
      </c>
      <c r="B4181" s="19">
        <v>227.39</v>
      </c>
      <c r="C4181" t="s">
        <v>41</v>
      </c>
      <c r="D4181" t="str">
        <f>T_Stocks[[#This Row],[Ticker]] &amp; "-" &amp; DATE(YEAR(T_Stocks[[#This Row],[Fecha]]),MONTH(T_Stocks[[#This Row],[Fecha]]),DAY(T_Stocks[[#This Row],[Fecha]]))</f>
        <v>MSFT-44263</v>
      </c>
    </row>
    <row r="4182" spans="1:4" ht="14.65" thickBot="1" x14ac:dyDescent="0.5">
      <c r="A4182" s="17">
        <v>44264.666666666664</v>
      </c>
      <c r="B4182" s="19">
        <v>233.78</v>
      </c>
      <c r="C4182" t="s">
        <v>41</v>
      </c>
      <c r="D4182" t="str">
        <f>T_Stocks[[#This Row],[Ticker]] &amp; "-" &amp; DATE(YEAR(T_Stocks[[#This Row],[Fecha]]),MONTH(T_Stocks[[#This Row],[Fecha]]),DAY(T_Stocks[[#This Row],[Fecha]]))</f>
        <v>MSFT-44264</v>
      </c>
    </row>
    <row r="4183" spans="1:4" ht="14.65" thickBot="1" x14ac:dyDescent="0.5">
      <c r="A4183" s="17">
        <v>44265.666666666664</v>
      </c>
      <c r="B4183" s="19">
        <v>232.42</v>
      </c>
      <c r="C4183" t="s">
        <v>41</v>
      </c>
      <c r="D4183" t="str">
        <f>T_Stocks[[#This Row],[Ticker]] &amp; "-" &amp; DATE(YEAR(T_Stocks[[#This Row],[Fecha]]),MONTH(T_Stocks[[#This Row],[Fecha]]),DAY(T_Stocks[[#This Row],[Fecha]]))</f>
        <v>MSFT-44265</v>
      </c>
    </row>
    <row r="4184" spans="1:4" ht="14.65" thickBot="1" x14ac:dyDescent="0.5">
      <c r="A4184" s="17">
        <v>44266.666666666664</v>
      </c>
      <c r="B4184" s="19">
        <v>237.13</v>
      </c>
      <c r="C4184" t="s">
        <v>41</v>
      </c>
      <c r="D4184" t="str">
        <f>T_Stocks[[#This Row],[Ticker]] &amp; "-" &amp; DATE(YEAR(T_Stocks[[#This Row],[Fecha]]),MONTH(T_Stocks[[#This Row],[Fecha]]),DAY(T_Stocks[[#This Row],[Fecha]]))</f>
        <v>MSFT-44266</v>
      </c>
    </row>
    <row r="4185" spans="1:4" ht="14.65" thickBot="1" x14ac:dyDescent="0.5">
      <c r="A4185" s="17">
        <v>44267.666666666664</v>
      </c>
      <c r="B4185" s="19">
        <v>235.75</v>
      </c>
      <c r="C4185" t="s">
        <v>41</v>
      </c>
      <c r="D4185" t="str">
        <f>T_Stocks[[#This Row],[Ticker]] &amp; "-" &amp; DATE(YEAR(T_Stocks[[#This Row],[Fecha]]),MONTH(T_Stocks[[#This Row],[Fecha]]),DAY(T_Stocks[[#This Row],[Fecha]]))</f>
        <v>MSFT-44267</v>
      </c>
    </row>
    <row r="4186" spans="1:4" ht="14.65" thickBot="1" x14ac:dyDescent="0.5">
      <c r="A4186" s="17">
        <v>44270.666666666664</v>
      </c>
      <c r="B4186" s="19">
        <v>234.81</v>
      </c>
      <c r="C4186" t="s">
        <v>41</v>
      </c>
      <c r="D4186" t="str">
        <f>T_Stocks[[#This Row],[Ticker]] &amp; "-" &amp; DATE(YEAR(T_Stocks[[#This Row],[Fecha]]),MONTH(T_Stocks[[#This Row],[Fecha]]),DAY(T_Stocks[[#This Row],[Fecha]]))</f>
        <v>MSFT-44270</v>
      </c>
    </row>
    <row r="4187" spans="1:4" ht="14.65" thickBot="1" x14ac:dyDescent="0.5">
      <c r="A4187" s="17">
        <v>44271.666666666664</v>
      </c>
      <c r="B4187" s="19">
        <v>237.71</v>
      </c>
      <c r="C4187" t="s">
        <v>41</v>
      </c>
      <c r="D4187" t="str">
        <f>T_Stocks[[#This Row],[Ticker]] &amp; "-" &amp; DATE(YEAR(T_Stocks[[#This Row],[Fecha]]),MONTH(T_Stocks[[#This Row],[Fecha]]),DAY(T_Stocks[[#This Row],[Fecha]]))</f>
        <v>MSFT-44271</v>
      </c>
    </row>
    <row r="4188" spans="1:4" ht="14.65" thickBot="1" x14ac:dyDescent="0.5">
      <c r="A4188" s="17">
        <v>44272.666666666664</v>
      </c>
      <c r="B4188" s="19">
        <v>237.04</v>
      </c>
      <c r="C4188" t="s">
        <v>41</v>
      </c>
      <c r="D4188" t="str">
        <f>T_Stocks[[#This Row],[Ticker]] &amp; "-" &amp; DATE(YEAR(T_Stocks[[#This Row],[Fecha]]),MONTH(T_Stocks[[#This Row],[Fecha]]),DAY(T_Stocks[[#This Row],[Fecha]]))</f>
        <v>MSFT-44272</v>
      </c>
    </row>
    <row r="4189" spans="1:4" ht="14.65" thickBot="1" x14ac:dyDescent="0.5">
      <c r="A4189" s="17">
        <v>44273.666666666664</v>
      </c>
      <c r="B4189" s="19">
        <v>230.72</v>
      </c>
      <c r="C4189" t="s">
        <v>41</v>
      </c>
      <c r="D4189" t="str">
        <f>T_Stocks[[#This Row],[Ticker]] &amp; "-" &amp; DATE(YEAR(T_Stocks[[#This Row],[Fecha]]),MONTH(T_Stocks[[#This Row],[Fecha]]),DAY(T_Stocks[[#This Row],[Fecha]]))</f>
        <v>MSFT-44273</v>
      </c>
    </row>
    <row r="4190" spans="1:4" ht="14.65" thickBot="1" x14ac:dyDescent="0.5">
      <c r="A4190" s="17">
        <v>44274.666666666664</v>
      </c>
      <c r="B4190" s="19">
        <v>230.35</v>
      </c>
      <c r="C4190" t="s">
        <v>41</v>
      </c>
      <c r="D4190" t="str">
        <f>T_Stocks[[#This Row],[Ticker]] &amp; "-" &amp; DATE(YEAR(T_Stocks[[#This Row],[Fecha]]),MONTH(T_Stocks[[#This Row],[Fecha]]),DAY(T_Stocks[[#This Row],[Fecha]]))</f>
        <v>MSFT-44274</v>
      </c>
    </row>
    <row r="4191" spans="1:4" ht="14.65" thickBot="1" x14ac:dyDescent="0.5">
      <c r="A4191" s="17">
        <v>44277.666666666664</v>
      </c>
      <c r="B4191" s="19">
        <v>235.99</v>
      </c>
      <c r="C4191" t="s">
        <v>41</v>
      </c>
      <c r="D4191" t="str">
        <f>T_Stocks[[#This Row],[Ticker]] &amp; "-" &amp; DATE(YEAR(T_Stocks[[#This Row],[Fecha]]),MONTH(T_Stocks[[#This Row],[Fecha]]),DAY(T_Stocks[[#This Row],[Fecha]]))</f>
        <v>MSFT-44277</v>
      </c>
    </row>
    <row r="4192" spans="1:4" ht="14.65" thickBot="1" x14ac:dyDescent="0.5">
      <c r="A4192" s="17">
        <v>44278.666666666664</v>
      </c>
      <c r="B4192" s="19">
        <v>237.58</v>
      </c>
      <c r="C4192" t="s">
        <v>41</v>
      </c>
      <c r="D4192" t="str">
        <f>T_Stocks[[#This Row],[Ticker]] &amp; "-" &amp; DATE(YEAR(T_Stocks[[#This Row],[Fecha]]),MONTH(T_Stocks[[#This Row],[Fecha]]),DAY(T_Stocks[[#This Row],[Fecha]]))</f>
        <v>MSFT-44278</v>
      </c>
    </row>
    <row r="4193" spans="1:4" ht="14.65" thickBot="1" x14ac:dyDescent="0.5">
      <c r="A4193" s="17">
        <v>44279.666666666664</v>
      </c>
      <c r="B4193" s="19">
        <v>235.46</v>
      </c>
      <c r="C4193" t="s">
        <v>41</v>
      </c>
      <c r="D4193" t="str">
        <f>T_Stocks[[#This Row],[Ticker]] &amp; "-" &amp; DATE(YEAR(T_Stocks[[#This Row],[Fecha]]),MONTH(T_Stocks[[#This Row],[Fecha]]),DAY(T_Stocks[[#This Row],[Fecha]]))</f>
        <v>MSFT-44279</v>
      </c>
    </row>
    <row r="4194" spans="1:4" ht="14.65" thickBot="1" x14ac:dyDescent="0.5">
      <c r="A4194" s="17">
        <v>44280.666666666664</v>
      </c>
      <c r="B4194" s="19">
        <v>232.34</v>
      </c>
      <c r="C4194" t="s">
        <v>41</v>
      </c>
      <c r="D4194" t="str">
        <f>T_Stocks[[#This Row],[Ticker]] &amp; "-" &amp; DATE(YEAR(T_Stocks[[#This Row],[Fecha]]),MONTH(T_Stocks[[#This Row],[Fecha]]),DAY(T_Stocks[[#This Row],[Fecha]]))</f>
        <v>MSFT-44280</v>
      </c>
    </row>
    <row r="4195" spans="1:4" ht="14.65" thickBot="1" x14ac:dyDescent="0.5">
      <c r="A4195" s="17">
        <v>44281.666666666664</v>
      </c>
      <c r="B4195" s="19">
        <v>236.48</v>
      </c>
      <c r="C4195" t="s">
        <v>41</v>
      </c>
      <c r="D4195" t="str">
        <f>T_Stocks[[#This Row],[Ticker]] &amp; "-" &amp; DATE(YEAR(T_Stocks[[#This Row],[Fecha]]),MONTH(T_Stocks[[#This Row],[Fecha]]),DAY(T_Stocks[[#This Row],[Fecha]]))</f>
        <v>MSFT-44281</v>
      </c>
    </row>
    <row r="4196" spans="1:4" ht="14.65" thickBot="1" x14ac:dyDescent="0.5">
      <c r="A4196" s="17">
        <v>44284.666666666664</v>
      </c>
      <c r="B4196" s="19">
        <v>235.24</v>
      </c>
      <c r="C4196" t="s">
        <v>41</v>
      </c>
      <c r="D4196" t="str">
        <f>T_Stocks[[#This Row],[Ticker]] &amp; "-" &amp; DATE(YEAR(T_Stocks[[#This Row],[Fecha]]),MONTH(T_Stocks[[#This Row],[Fecha]]),DAY(T_Stocks[[#This Row],[Fecha]]))</f>
        <v>MSFT-44284</v>
      </c>
    </row>
    <row r="4197" spans="1:4" ht="14.65" thickBot="1" x14ac:dyDescent="0.5">
      <c r="A4197" s="17">
        <v>44285.666666666664</v>
      </c>
      <c r="B4197" s="19">
        <v>231.85</v>
      </c>
      <c r="C4197" t="s">
        <v>41</v>
      </c>
      <c r="D4197" t="str">
        <f>T_Stocks[[#This Row],[Ticker]] &amp; "-" &amp; DATE(YEAR(T_Stocks[[#This Row],[Fecha]]),MONTH(T_Stocks[[#This Row],[Fecha]]),DAY(T_Stocks[[#This Row],[Fecha]]))</f>
        <v>MSFT-44285</v>
      </c>
    </row>
    <row r="4198" spans="1:4" ht="14.65" thickBot="1" x14ac:dyDescent="0.5">
      <c r="A4198" s="17">
        <v>44286.666666666664</v>
      </c>
      <c r="B4198" s="19">
        <v>235.77</v>
      </c>
      <c r="C4198" t="s">
        <v>41</v>
      </c>
      <c r="D4198" t="str">
        <f>T_Stocks[[#This Row],[Ticker]] &amp; "-" &amp; DATE(YEAR(T_Stocks[[#This Row],[Fecha]]),MONTH(T_Stocks[[#This Row],[Fecha]]),DAY(T_Stocks[[#This Row],[Fecha]]))</f>
        <v>MSFT-44286</v>
      </c>
    </row>
    <row r="4199" spans="1:4" ht="14.65" thickBot="1" x14ac:dyDescent="0.5">
      <c r="A4199" s="17">
        <v>44287.666666666664</v>
      </c>
      <c r="B4199" s="19">
        <v>242.35</v>
      </c>
      <c r="C4199" t="s">
        <v>41</v>
      </c>
      <c r="D4199" t="str">
        <f>T_Stocks[[#This Row],[Ticker]] &amp; "-" &amp; DATE(YEAR(T_Stocks[[#This Row],[Fecha]]),MONTH(T_Stocks[[#This Row],[Fecha]]),DAY(T_Stocks[[#This Row],[Fecha]]))</f>
        <v>MSFT-44287</v>
      </c>
    </row>
    <row r="4200" spans="1:4" ht="14.65" thickBot="1" x14ac:dyDescent="0.5">
      <c r="A4200" s="17">
        <v>44291.666666666664</v>
      </c>
      <c r="B4200" s="19">
        <v>249.07</v>
      </c>
      <c r="C4200" t="s">
        <v>41</v>
      </c>
      <c r="D4200" t="str">
        <f>T_Stocks[[#This Row],[Ticker]] &amp; "-" &amp; DATE(YEAR(T_Stocks[[#This Row],[Fecha]]),MONTH(T_Stocks[[#This Row],[Fecha]]),DAY(T_Stocks[[#This Row],[Fecha]]))</f>
        <v>MSFT-44291</v>
      </c>
    </row>
    <row r="4201" spans="1:4" ht="14.65" thickBot="1" x14ac:dyDescent="0.5">
      <c r="A4201" s="17">
        <v>44292.666666666664</v>
      </c>
      <c r="B4201" s="19">
        <v>247.86</v>
      </c>
      <c r="C4201" t="s">
        <v>41</v>
      </c>
      <c r="D4201" t="str">
        <f>T_Stocks[[#This Row],[Ticker]] &amp; "-" &amp; DATE(YEAR(T_Stocks[[#This Row],[Fecha]]),MONTH(T_Stocks[[#This Row],[Fecha]]),DAY(T_Stocks[[#This Row],[Fecha]]))</f>
        <v>MSFT-44292</v>
      </c>
    </row>
    <row r="4202" spans="1:4" ht="14.65" thickBot="1" x14ac:dyDescent="0.5">
      <c r="A4202" s="17">
        <v>44293.666666666664</v>
      </c>
      <c r="B4202" s="19">
        <v>249.9</v>
      </c>
      <c r="C4202" t="s">
        <v>41</v>
      </c>
      <c r="D4202" t="str">
        <f>T_Stocks[[#This Row],[Ticker]] &amp; "-" &amp; DATE(YEAR(T_Stocks[[#This Row],[Fecha]]),MONTH(T_Stocks[[#This Row],[Fecha]]),DAY(T_Stocks[[#This Row],[Fecha]]))</f>
        <v>MSFT-44293</v>
      </c>
    </row>
    <row r="4203" spans="1:4" ht="14.65" thickBot="1" x14ac:dyDescent="0.5">
      <c r="A4203" s="17">
        <v>44294.666666666664</v>
      </c>
      <c r="B4203" s="19">
        <v>253.25</v>
      </c>
      <c r="C4203" t="s">
        <v>41</v>
      </c>
      <c r="D4203" t="str">
        <f>T_Stocks[[#This Row],[Ticker]] &amp; "-" &amp; DATE(YEAR(T_Stocks[[#This Row],[Fecha]]),MONTH(T_Stocks[[#This Row],[Fecha]]),DAY(T_Stocks[[#This Row],[Fecha]]))</f>
        <v>MSFT-44294</v>
      </c>
    </row>
    <row r="4204" spans="1:4" ht="14.65" thickBot="1" x14ac:dyDescent="0.5">
      <c r="A4204" s="17">
        <v>44295.666666666664</v>
      </c>
      <c r="B4204" s="19">
        <v>255.85</v>
      </c>
      <c r="C4204" t="s">
        <v>41</v>
      </c>
      <c r="D4204" t="str">
        <f>T_Stocks[[#This Row],[Ticker]] &amp; "-" &amp; DATE(YEAR(T_Stocks[[#This Row],[Fecha]]),MONTH(T_Stocks[[#This Row],[Fecha]]),DAY(T_Stocks[[#This Row],[Fecha]]))</f>
        <v>MSFT-44295</v>
      </c>
    </row>
    <row r="4205" spans="1:4" ht="14.65" thickBot="1" x14ac:dyDescent="0.5">
      <c r="A4205" s="17">
        <v>44298.666666666664</v>
      </c>
      <c r="B4205" s="19">
        <v>255.91</v>
      </c>
      <c r="C4205" t="s">
        <v>41</v>
      </c>
      <c r="D4205" t="str">
        <f>T_Stocks[[#This Row],[Ticker]] &amp; "-" &amp; DATE(YEAR(T_Stocks[[#This Row],[Fecha]]),MONTH(T_Stocks[[#This Row],[Fecha]]),DAY(T_Stocks[[#This Row],[Fecha]]))</f>
        <v>MSFT-44298</v>
      </c>
    </row>
    <row r="4206" spans="1:4" ht="14.65" thickBot="1" x14ac:dyDescent="0.5">
      <c r="A4206" s="17">
        <v>44299.666666666664</v>
      </c>
      <c r="B4206" s="19">
        <v>258.49</v>
      </c>
      <c r="C4206" t="s">
        <v>41</v>
      </c>
      <c r="D4206" t="str">
        <f>T_Stocks[[#This Row],[Ticker]] &amp; "-" &amp; DATE(YEAR(T_Stocks[[#This Row],[Fecha]]),MONTH(T_Stocks[[#This Row],[Fecha]]),DAY(T_Stocks[[#This Row],[Fecha]]))</f>
        <v>MSFT-44299</v>
      </c>
    </row>
    <row r="4207" spans="1:4" ht="14.65" thickBot="1" x14ac:dyDescent="0.5">
      <c r="A4207" s="17">
        <v>44300.666666666664</v>
      </c>
      <c r="B4207" s="19">
        <v>255.59</v>
      </c>
      <c r="C4207" t="s">
        <v>41</v>
      </c>
      <c r="D4207" t="str">
        <f>T_Stocks[[#This Row],[Ticker]] &amp; "-" &amp; DATE(YEAR(T_Stocks[[#This Row],[Fecha]]),MONTH(T_Stocks[[#This Row],[Fecha]]),DAY(T_Stocks[[#This Row],[Fecha]]))</f>
        <v>MSFT-44300</v>
      </c>
    </row>
    <row r="4208" spans="1:4" ht="14.65" thickBot="1" x14ac:dyDescent="0.5">
      <c r="A4208" s="17">
        <v>44301.666666666664</v>
      </c>
      <c r="B4208" s="19">
        <v>259.5</v>
      </c>
      <c r="C4208" t="s">
        <v>41</v>
      </c>
      <c r="D4208" t="str">
        <f>T_Stocks[[#This Row],[Ticker]] &amp; "-" &amp; DATE(YEAR(T_Stocks[[#This Row],[Fecha]]),MONTH(T_Stocks[[#This Row],[Fecha]]),DAY(T_Stocks[[#This Row],[Fecha]]))</f>
        <v>MSFT-44301</v>
      </c>
    </row>
    <row r="4209" spans="1:4" ht="14.65" thickBot="1" x14ac:dyDescent="0.5">
      <c r="A4209" s="17">
        <v>44302.666666666664</v>
      </c>
      <c r="B4209" s="19">
        <v>260.74</v>
      </c>
      <c r="C4209" t="s">
        <v>41</v>
      </c>
      <c r="D4209" t="str">
        <f>T_Stocks[[#This Row],[Ticker]] &amp; "-" &amp; DATE(YEAR(T_Stocks[[#This Row],[Fecha]]),MONTH(T_Stocks[[#This Row],[Fecha]]),DAY(T_Stocks[[#This Row],[Fecha]]))</f>
        <v>MSFT-44302</v>
      </c>
    </row>
    <row r="4210" spans="1:4" ht="14.65" thickBot="1" x14ac:dyDescent="0.5">
      <c r="A4210" s="17">
        <v>44305.666666666664</v>
      </c>
      <c r="B4210" s="19">
        <v>258.74</v>
      </c>
      <c r="C4210" t="s">
        <v>41</v>
      </c>
      <c r="D4210" t="str">
        <f>T_Stocks[[#This Row],[Ticker]] &amp; "-" &amp; DATE(YEAR(T_Stocks[[#This Row],[Fecha]]),MONTH(T_Stocks[[#This Row],[Fecha]]),DAY(T_Stocks[[#This Row],[Fecha]]))</f>
        <v>MSFT-44305</v>
      </c>
    </row>
    <row r="4211" spans="1:4" ht="14.65" thickBot="1" x14ac:dyDescent="0.5">
      <c r="A4211" s="17">
        <v>44306.666666666664</v>
      </c>
      <c r="B4211" s="19">
        <v>258.26</v>
      </c>
      <c r="C4211" t="s">
        <v>41</v>
      </c>
      <c r="D4211" t="str">
        <f>T_Stocks[[#This Row],[Ticker]] &amp; "-" &amp; DATE(YEAR(T_Stocks[[#This Row],[Fecha]]),MONTH(T_Stocks[[#This Row],[Fecha]]),DAY(T_Stocks[[#This Row],[Fecha]]))</f>
        <v>MSFT-44306</v>
      </c>
    </row>
    <row r="4212" spans="1:4" ht="14.65" thickBot="1" x14ac:dyDescent="0.5">
      <c r="A4212" s="17">
        <v>44307.666666666664</v>
      </c>
      <c r="B4212" s="19">
        <v>260.58</v>
      </c>
      <c r="C4212" t="s">
        <v>41</v>
      </c>
      <c r="D4212" t="str">
        <f>T_Stocks[[#This Row],[Ticker]] &amp; "-" &amp; DATE(YEAR(T_Stocks[[#This Row],[Fecha]]),MONTH(T_Stocks[[#This Row],[Fecha]]),DAY(T_Stocks[[#This Row],[Fecha]]))</f>
        <v>MSFT-44307</v>
      </c>
    </row>
    <row r="4213" spans="1:4" ht="14.65" thickBot="1" x14ac:dyDescent="0.5">
      <c r="A4213" s="17">
        <v>44308.666666666664</v>
      </c>
      <c r="B4213" s="19">
        <v>257.17</v>
      </c>
      <c r="C4213" t="s">
        <v>41</v>
      </c>
      <c r="D4213" t="str">
        <f>T_Stocks[[#This Row],[Ticker]] &amp; "-" &amp; DATE(YEAR(T_Stocks[[#This Row],[Fecha]]),MONTH(T_Stocks[[#This Row],[Fecha]]),DAY(T_Stocks[[#This Row],[Fecha]]))</f>
        <v>MSFT-44308</v>
      </c>
    </row>
    <row r="4214" spans="1:4" ht="14.65" thickBot="1" x14ac:dyDescent="0.5">
      <c r="A4214" s="17">
        <v>44309.666666666664</v>
      </c>
      <c r="B4214" s="19">
        <v>261.14999999999998</v>
      </c>
      <c r="C4214" t="s">
        <v>41</v>
      </c>
      <c r="D4214" t="str">
        <f>T_Stocks[[#This Row],[Ticker]] &amp; "-" &amp; DATE(YEAR(T_Stocks[[#This Row],[Fecha]]),MONTH(T_Stocks[[#This Row],[Fecha]]),DAY(T_Stocks[[#This Row],[Fecha]]))</f>
        <v>MSFT-44309</v>
      </c>
    </row>
    <row r="4215" spans="1:4" ht="14.65" thickBot="1" x14ac:dyDescent="0.5">
      <c r="A4215" s="17">
        <v>44312.666666666664</v>
      </c>
      <c r="B4215" s="19">
        <v>261.55</v>
      </c>
      <c r="C4215" t="s">
        <v>41</v>
      </c>
      <c r="D4215" t="str">
        <f>T_Stocks[[#This Row],[Ticker]] &amp; "-" &amp; DATE(YEAR(T_Stocks[[#This Row],[Fecha]]),MONTH(T_Stocks[[#This Row],[Fecha]]),DAY(T_Stocks[[#This Row],[Fecha]]))</f>
        <v>MSFT-44312</v>
      </c>
    </row>
    <row r="4216" spans="1:4" ht="14.65" thickBot="1" x14ac:dyDescent="0.5">
      <c r="A4216" s="17">
        <v>44313.666666666664</v>
      </c>
      <c r="B4216" s="19">
        <v>261.97000000000003</v>
      </c>
      <c r="C4216" t="s">
        <v>41</v>
      </c>
      <c r="D4216" t="str">
        <f>T_Stocks[[#This Row],[Ticker]] &amp; "-" &amp; DATE(YEAR(T_Stocks[[#This Row],[Fecha]]),MONTH(T_Stocks[[#This Row],[Fecha]]),DAY(T_Stocks[[#This Row],[Fecha]]))</f>
        <v>MSFT-44313</v>
      </c>
    </row>
    <row r="4217" spans="1:4" ht="14.65" thickBot="1" x14ac:dyDescent="0.5">
      <c r="A4217" s="17">
        <v>44314.666666666664</v>
      </c>
      <c r="B4217" s="19">
        <v>254.56</v>
      </c>
      <c r="C4217" t="s">
        <v>41</v>
      </c>
      <c r="D4217" t="str">
        <f>T_Stocks[[#This Row],[Ticker]] &amp; "-" &amp; DATE(YEAR(T_Stocks[[#This Row],[Fecha]]),MONTH(T_Stocks[[#This Row],[Fecha]]),DAY(T_Stocks[[#This Row],[Fecha]]))</f>
        <v>MSFT-44314</v>
      </c>
    </row>
    <row r="4218" spans="1:4" ht="14.65" thickBot="1" x14ac:dyDescent="0.5">
      <c r="A4218" s="17">
        <v>44315.666666666664</v>
      </c>
      <c r="B4218" s="19">
        <v>252.51</v>
      </c>
      <c r="C4218" t="s">
        <v>41</v>
      </c>
      <c r="D4218" t="str">
        <f>T_Stocks[[#This Row],[Ticker]] &amp; "-" &amp; DATE(YEAR(T_Stocks[[#This Row],[Fecha]]),MONTH(T_Stocks[[#This Row],[Fecha]]),DAY(T_Stocks[[#This Row],[Fecha]]))</f>
        <v>MSFT-44315</v>
      </c>
    </row>
    <row r="4219" spans="1:4" ht="14.65" thickBot="1" x14ac:dyDescent="0.5">
      <c r="A4219" s="17">
        <v>44316.666666666664</v>
      </c>
      <c r="B4219" s="19">
        <v>252.18</v>
      </c>
      <c r="C4219" t="s">
        <v>41</v>
      </c>
      <c r="D4219" t="str">
        <f>T_Stocks[[#This Row],[Ticker]] &amp; "-" &amp; DATE(YEAR(T_Stocks[[#This Row],[Fecha]]),MONTH(T_Stocks[[#This Row],[Fecha]]),DAY(T_Stocks[[#This Row],[Fecha]]))</f>
        <v>MSFT-44316</v>
      </c>
    </row>
    <row r="4220" spans="1:4" ht="14.65" thickBot="1" x14ac:dyDescent="0.5">
      <c r="A4220" s="17">
        <v>44319.666666666664</v>
      </c>
      <c r="B4220" s="19">
        <v>251.86</v>
      </c>
      <c r="C4220" t="s">
        <v>41</v>
      </c>
      <c r="D4220" t="str">
        <f>T_Stocks[[#This Row],[Ticker]] &amp; "-" &amp; DATE(YEAR(T_Stocks[[#This Row],[Fecha]]),MONTH(T_Stocks[[#This Row],[Fecha]]),DAY(T_Stocks[[#This Row],[Fecha]]))</f>
        <v>MSFT-44319</v>
      </c>
    </row>
    <row r="4221" spans="1:4" ht="14.65" thickBot="1" x14ac:dyDescent="0.5">
      <c r="A4221" s="17">
        <v>44320.666666666664</v>
      </c>
      <c r="B4221" s="19">
        <v>247.79</v>
      </c>
      <c r="C4221" t="s">
        <v>41</v>
      </c>
      <c r="D4221" t="str">
        <f>T_Stocks[[#This Row],[Ticker]] &amp; "-" &amp; DATE(YEAR(T_Stocks[[#This Row],[Fecha]]),MONTH(T_Stocks[[#This Row],[Fecha]]),DAY(T_Stocks[[#This Row],[Fecha]]))</f>
        <v>MSFT-44320</v>
      </c>
    </row>
    <row r="4222" spans="1:4" ht="14.65" thickBot="1" x14ac:dyDescent="0.5">
      <c r="A4222" s="17">
        <v>44321.666666666664</v>
      </c>
      <c r="B4222" s="19">
        <v>246.47</v>
      </c>
      <c r="C4222" t="s">
        <v>41</v>
      </c>
      <c r="D4222" t="str">
        <f>T_Stocks[[#This Row],[Ticker]] &amp; "-" &amp; DATE(YEAR(T_Stocks[[#This Row],[Fecha]]),MONTH(T_Stocks[[#This Row],[Fecha]]),DAY(T_Stocks[[#This Row],[Fecha]]))</f>
        <v>MSFT-44321</v>
      </c>
    </row>
    <row r="4223" spans="1:4" ht="14.65" thickBot="1" x14ac:dyDescent="0.5">
      <c r="A4223" s="17">
        <v>44322.666666666664</v>
      </c>
      <c r="B4223" s="19">
        <v>249.73</v>
      </c>
      <c r="C4223" t="s">
        <v>41</v>
      </c>
      <c r="D4223" t="str">
        <f>T_Stocks[[#This Row],[Ticker]] &amp; "-" &amp; DATE(YEAR(T_Stocks[[#This Row],[Fecha]]),MONTH(T_Stocks[[#This Row],[Fecha]]),DAY(T_Stocks[[#This Row],[Fecha]]))</f>
        <v>MSFT-44322</v>
      </c>
    </row>
    <row r="4224" spans="1:4" ht="14.65" thickBot="1" x14ac:dyDescent="0.5">
      <c r="A4224" s="17">
        <v>44323.666666666664</v>
      </c>
      <c r="B4224" s="19">
        <v>252.46</v>
      </c>
      <c r="C4224" t="s">
        <v>41</v>
      </c>
      <c r="D4224" t="str">
        <f>T_Stocks[[#This Row],[Ticker]] &amp; "-" &amp; DATE(YEAR(T_Stocks[[#This Row],[Fecha]]),MONTH(T_Stocks[[#This Row],[Fecha]]),DAY(T_Stocks[[#This Row],[Fecha]]))</f>
        <v>MSFT-44323</v>
      </c>
    </row>
    <row r="4225" spans="1:4" ht="14.65" thickBot="1" x14ac:dyDescent="0.5">
      <c r="A4225" s="17">
        <v>44326.666666666664</v>
      </c>
      <c r="B4225" s="19">
        <v>247.18</v>
      </c>
      <c r="C4225" t="s">
        <v>41</v>
      </c>
      <c r="D4225" t="str">
        <f>T_Stocks[[#This Row],[Ticker]] &amp; "-" &amp; DATE(YEAR(T_Stocks[[#This Row],[Fecha]]),MONTH(T_Stocks[[#This Row],[Fecha]]),DAY(T_Stocks[[#This Row],[Fecha]]))</f>
        <v>MSFT-44326</v>
      </c>
    </row>
    <row r="4226" spans="1:4" ht="14.65" thickBot="1" x14ac:dyDescent="0.5">
      <c r="A4226" s="17">
        <v>44327.666666666664</v>
      </c>
      <c r="B4226" s="19">
        <v>246.23</v>
      </c>
      <c r="C4226" t="s">
        <v>41</v>
      </c>
      <c r="D4226" t="str">
        <f>T_Stocks[[#This Row],[Ticker]] &amp; "-" &amp; DATE(YEAR(T_Stocks[[#This Row],[Fecha]]),MONTH(T_Stocks[[#This Row],[Fecha]]),DAY(T_Stocks[[#This Row],[Fecha]]))</f>
        <v>MSFT-44327</v>
      </c>
    </row>
    <row r="4227" spans="1:4" ht="14.65" thickBot="1" x14ac:dyDescent="0.5">
      <c r="A4227" s="17">
        <v>44328.666666666664</v>
      </c>
      <c r="B4227" s="19">
        <v>239</v>
      </c>
      <c r="C4227" t="s">
        <v>41</v>
      </c>
      <c r="D4227" t="str">
        <f>T_Stocks[[#This Row],[Ticker]] &amp; "-" &amp; DATE(YEAR(T_Stocks[[#This Row],[Fecha]]),MONTH(T_Stocks[[#This Row],[Fecha]]),DAY(T_Stocks[[#This Row],[Fecha]]))</f>
        <v>MSFT-44328</v>
      </c>
    </row>
    <row r="4228" spans="1:4" ht="14.65" thickBot="1" x14ac:dyDescent="0.5">
      <c r="A4228" s="17">
        <v>44329.666666666664</v>
      </c>
      <c r="B4228" s="19">
        <v>243.03</v>
      </c>
      <c r="C4228" t="s">
        <v>41</v>
      </c>
      <c r="D4228" t="str">
        <f>T_Stocks[[#This Row],[Ticker]] &amp; "-" &amp; DATE(YEAR(T_Stocks[[#This Row],[Fecha]]),MONTH(T_Stocks[[#This Row],[Fecha]]),DAY(T_Stocks[[#This Row],[Fecha]]))</f>
        <v>MSFT-44329</v>
      </c>
    </row>
    <row r="4229" spans="1:4" ht="14.65" thickBot="1" x14ac:dyDescent="0.5">
      <c r="A4229" s="17">
        <v>44330.666666666664</v>
      </c>
      <c r="B4229" s="19">
        <v>248.15</v>
      </c>
      <c r="C4229" t="s">
        <v>41</v>
      </c>
      <c r="D4229" t="str">
        <f>T_Stocks[[#This Row],[Ticker]] &amp; "-" &amp; DATE(YEAR(T_Stocks[[#This Row],[Fecha]]),MONTH(T_Stocks[[#This Row],[Fecha]]),DAY(T_Stocks[[#This Row],[Fecha]]))</f>
        <v>MSFT-44330</v>
      </c>
    </row>
    <row r="4230" spans="1:4" ht="14.65" thickBot="1" x14ac:dyDescent="0.5">
      <c r="A4230" s="17">
        <v>44333.666666666664</v>
      </c>
      <c r="B4230" s="19">
        <v>245.18</v>
      </c>
      <c r="C4230" t="s">
        <v>41</v>
      </c>
      <c r="D4230" t="str">
        <f>T_Stocks[[#This Row],[Ticker]] &amp; "-" &amp; DATE(YEAR(T_Stocks[[#This Row],[Fecha]]),MONTH(T_Stocks[[#This Row],[Fecha]]),DAY(T_Stocks[[#This Row],[Fecha]]))</f>
        <v>MSFT-44333</v>
      </c>
    </row>
    <row r="4231" spans="1:4" ht="14.65" thickBot="1" x14ac:dyDescent="0.5">
      <c r="A4231" s="17">
        <v>44334.666666666664</v>
      </c>
      <c r="B4231" s="19">
        <v>243.08</v>
      </c>
      <c r="C4231" t="s">
        <v>41</v>
      </c>
      <c r="D4231" t="str">
        <f>T_Stocks[[#This Row],[Ticker]] &amp; "-" &amp; DATE(YEAR(T_Stocks[[#This Row],[Fecha]]),MONTH(T_Stocks[[#This Row],[Fecha]]),DAY(T_Stocks[[#This Row],[Fecha]]))</f>
        <v>MSFT-44334</v>
      </c>
    </row>
    <row r="4232" spans="1:4" ht="14.65" thickBot="1" x14ac:dyDescent="0.5">
      <c r="A4232" s="17">
        <v>44335.666666666664</v>
      </c>
      <c r="B4232" s="19">
        <v>243.12</v>
      </c>
      <c r="C4232" t="s">
        <v>41</v>
      </c>
      <c r="D4232" t="str">
        <f>T_Stocks[[#This Row],[Ticker]] &amp; "-" &amp; DATE(YEAR(T_Stocks[[#This Row],[Fecha]]),MONTH(T_Stocks[[#This Row],[Fecha]]),DAY(T_Stocks[[#This Row],[Fecha]]))</f>
        <v>MSFT-44335</v>
      </c>
    </row>
    <row r="4233" spans="1:4" ht="14.65" thickBot="1" x14ac:dyDescent="0.5">
      <c r="A4233" s="17">
        <v>44336.666666666664</v>
      </c>
      <c r="B4233" s="19">
        <v>246.48</v>
      </c>
      <c r="C4233" t="s">
        <v>41</v>
      </c>
      <c r="D4233" t="str">
        <f>T_Stocks[[#This Row],[Ticker]] &amp; "-" &amp; DATE(YEAR(T_Stocks[[#This Row],[Fecha]]),MONTH(T_Stocks[[#This Row],[Fecha]]),DAY(T_Stocks[[#This Row],[Fecha]]))</f>
        <v>MSFT-44336</v>
      </c>
    </row>
    <row r="4234" spans="1:4" ht="14.65" thickBot="1" x14ac:dyDescent="0.5">
      <c r="A4234" s="17">
        <v>44337.666666666664</v>
      </c>
      <c r="B4234" s="19">
        <v>245.17</v>
      </c>
      <c r="C4234" t="s">
        <v>41</v>
      </c>
      <c r="D4234" t="str">
        <f>T_Stocks[[#This Row],[Ticker]] &amp; "-" &amp; DATE(YEAR(T_Stocks[[#This Row],[Fecha]]),MONTH(T_Stocks[[#This Row],[Fecha]]),DAY(T_Stocks[[#This Row],[Fecha]]))</f>
        <v>MSFT-44337</v>
      </c>
    </row>
    <row r="4235" spans="1:4" ht="14.65" thickBot="1" x14ac:dyDescent="0.5">
      <c r="A4235" s="17">
        <v>44340.666666666664</v>
      </c>
      <c r="B4235" s="19">
        <v>250.78</v>
      </c>
      <c r="C4235" t="s">
        <v>41</v>
      </c>
      <c r="D4235" t="str">
        <f>T_Stocks[[#This Row],[Ticker]] &amp; "-" &amp; DATE(YEAR(T_Stocks[[#This Row],[Fecha]]),MONTH(T_Stocks[[#This Row],[Fecha]]),DAY(T_Stocks[[#This Row],[Fecha]]))</f>
        <v>MSFT-44340</v>
      </c>
    </row>
    <row r="4236" spans="1:4" ht="14.65" thickBot="1" x14ac:dyDescent="0.5">
      <c r="A4236" s="17">
        <v>44341.666666666664</v>
      </c>
      <c r="B4236" s="19">
        <v>251.72</v>
      </c>
      <c r="C4236" t="s">
        <v>41</v>
      </c>
      <c r="D4236" t="str">
        <f>T_Stocks[[#This Row],[Ticker]] &amp; "-" &amp; DATE(YEAR(T_Stocks[[#This Row],[Fecha]]),MONTH(T_Stocks[[#This Row],[Fecha]]),DAY(T_Stocks[[#This Row],[Fecha]]))</f>
        <v>MSFT-44341</v>
      </c>
    </row>
    <row r="4237" spans="1:4" ht="14.65" thickBot="1" x14ac:dyDescent="0.5">
      <c r="A4237" s="17">
        <v>44342.666666666664</v>
      </c>
      <c r="B4237" s="19">
        <v>251.49</v>
      </c>
      <c r="C4237" t="s">
        <v>41</v>
      </c>
      <c r="D4237" t="str">
        <f>T_Stocks[[#This Row],[Ticker]] &amp; "-" &amp; DATE(YEAR(T_Stocks[[#This Row],[Fecha]]),MONTH(T_Stocks[[#This Row],[Fecha]]),DAY(T_Stocks[[#This Row],[Fecha]]))</f>
        <v>MSFT-44342</v>
      </c>
    </row>
    <row r="4238" spans="1:4" ht="14.65" thickBot="1" x14ac:dyDescent="0.5">
      <c r="A4238" s="17">
        <v>44343.666666666664</v>
      </c>
      <c r="B4238" s="19">
        <v>249.31</v>
      </c>
      <c r="C4238" t="s">
        <v>41</v>
      </c>
      <c r="D4238" t="str">
        <f>T_Stocks[[#This Row],[Ticker]] &amp; "-" &amp; DATE(YEAR(T_Stocks[[#This Row],[Fecha]]),MONTH(T_Stocks[[#This Row],[Fecha]]),DAY(T_Stocks[[#This Row],[Fecha]]))</f>
        <v>MSFT-44343</v>
      </c>
    </row>
    <row r="4239" spans="1:4" ht="14.65" thickBot="1" x14ac:dyDescent="0.5">
      <c r="A4239" s="17">
        <v>44344.666666666664</v>
      </c>
      <c r="B4239" s="19">
        <v>249.68</v>
      </c>
      <c r="C4239" t="s">
        <v>41</v>
      </c>
      <c r="D4239" t="str">
        <f>T_Stocks[[#This Row],[Ticker]] &amp; "-" &amp; DATE(YEAR(T_Stocks[[#This Row],[Fecha]]),MONTH(T_Stocks[[#This Row],[Fecha]]),DAY(T_Stocks[[#This Row],[Fecha]]))</f>
        <v>MSFT-44344</v>
      </c>
    </row>
    <row r="4240" spans="1:4" ht="14.65" thickBot="1" x14ac:dyDescent="0.5">
      <c r="A4240" s="17">
        <v>44348.666666666664</v>
      </c>
      <c r="B4240" s="19">
        <v>247.4</v>
      </c>
      <c r="C4240" t="s">
        <v>41</v>
      </c>
      <c r="D4240" t="str">
        <f>T_Stocks[[#This Row],[Ticker]] &amp; "-" &amp; DATE(YEAR(T_Stocks[[#This Row],[Fecha]]),MONTH(T_Stocks[[#This Row],[Fecha]]),DAY(T_Stocks[[#This Row],[Fecha]]))</f>
        <v>MSFT-44348</v>
      </c>
    </row>
    <row r="4241" spans="1:4" ht="14.65" thickBot="1" x14ac:dyDescent="0.5">
      <c r="A4241" s="17">
        <v>44349.666666666664</v>
      </c>
      <c r="B4241" s="19">
        <v>247.3</v>
      </c>
      <c r="C4241" t="s">
        <v>41</v>
      </c>
      <c r="D4241" t="str">
        <f>T_Stocks[[#This Row],[Ticker]] &amp; "-" &amp; DATE(YEAR(T_Stocks[[#This Row],[Fecha]]),MONTH(T_Stocks[[#This Row],[Fecha]]),DAY(T_Stocks[[#This Row],[Fecha]]))</f>
        <v>MSFT-44349</v>
      </c>
    </row>
    <row r="4242" spans="1:4" ht="14.65" thickBot="1" x14ac:dyDescent="0.5">
      <c r="A4242" s="17">
        <v>44350.666666666664</v>
      </c>
      <c r="B4242" s="19">
        <v>245.71</v>
      </c>
      <c r="C4242" t="s">
        <v>41</v>
      </c>
      <c r="D4242" t="str">
        <f>T_Stocks[[#This Row],[Ticker]] &amp; "-" &amp; DATE(YEAR(T_Stocks[[#This Row],[Fecha]]),MONTH(T_Stocks[[#This Row],[Fecha]]),DAY(T_Stocks[[#This Row],[Fecha]]))</f>
        <v>MSFT-44350</v>
      </c>
    </row>
    <row r="4243" spans="1:4" ht="14.65" thickBot="1" x14ac:dyDescent="0.5">
      <c r="A4243" s="17">
        <v>44351.666666666664</v>
      </c>
      <c r="B4243" s="19">
        <v>250.79</v>
      </c>
      <c r="C4243" t="s">
        <v>41</v>
      </c>
      <c r="D4243" t="str">
        <f>T_Stocks[[#This Row],[Ticker]] &amp; "-" &amp; DATE(YEAR(T_Stocks[[#This Row],[Fecha]]),MONTH(T_Stocks[[#This Row],[Fecha]]),DAY(T_Stocks[[#This Row],[Fecha]]))</f>
        <v>MSFT-44351</v>
      </c>
    </row>
    <row r="4244" spans="1:4" ht="14.65" thickBot="1" x14ac:dyDescent="0.5">
      <c r="A4244" s="17">
        <v>44354.666666666664</v>
      </c>
      <c r="B4244" s="19">
        <v>253.81</v>
      </c>
      <c r="C4244" t="s">
        <v>41</v>
      </c>
      <c r="D4244" t="str">
        <f>T_Stocks[[#This Row],[Ticker]] &amp; "-" &amp; DATE(YEAR(T_Stocks[[#This Row],[Fecha]]),MONTH(T_Stocks[[#This Row],[Fecha]]),DAY(T_Stocks[[#This Row],[Fecha]]))</f>
        <v>MSFT-44354</v>
      </c>
    </row>
    <row r="4245" spans="1:4" ht="14.65" thickBot="1" x14ac:dyDescent="0.5">
      <c r="A4245" s="17">
        <v>44355.666666666664</v>
      </c>
      <c r="B4245" s="19">
        <v>252.57</v>
      </c>
      <c r="C4245" t="s">
        <v>41</v>
      </c>
      <c r="D4245" t="str">
        <f>T_Stocks[[#This Row],[Ticker]] &amp; "-" &amp; DATE(YEAR(T_Stocks[[#This Row],[Fecha]]),MONTH(T_Stocks[[#This Row],[Fecha]]),DAY(T_Stocks[[#This Row],[Fecha]]))</f>
        <v>MSFT-44355</v>
      </c>
    </row>
    <row r="4246" spans="1:4" ht="14.65" thickBot="1" x14ac:dyDescent="0.5">
      <c r="A4246" s="17">
        <v>44356.666666666664</v>
      </c>
      <c r="B4246" s="19">
        <v>253.59</v>
      </c>
      <c r="C4246" t="s">
        <v>41</v>
      </c>
      <c r="D4246" t="str">
        <f>T_Stocks[[#This Row],[Ticker]] &amp; "-" &amp; DATE(YEAR(T_Stocks[[#This Row],[Fecha]]),MONTH(T_Stocks[[#This Row],[Fecha]]),DAY(T_Stocks[[#This Row],[Fecha]]))</f>
        <v>MSFT-44356</v>
      </c>
    </row>
    <row r="4247" spans="1:4" ht="14.65" thickBot="1" x14ac:dyDescent="0.5">
      <c r="A4247" s="17">
        <v>44357.666666666664</v>
      </c>
      <c r="B4247" s="19">
        <v>257.24</v>
      </c>
      <c r="C4247" t="s">
        <v>41</v>
      </c>
      <c r="D4247" t="str">
        <f>T_Stocks[[#This Row],[Ticker]] &amp; "-" &amp; DATE(YEAR(T_Stocks[[#This Row],[Fecha]]),MONTH(T_Stocks[[#This Row],[Fecha]]),DAY(T_Stocks[[#This Row],[Fecha]]))</f>
        <v>MSFT-44357</v>
      </c>
    </row>
    <row r="4248" spans="1:4" ht="14.65" thickBot="1" x14ac:dyDescent="0.5">
      <c r="A4248" s="17">
        <v>44358.666666666664</v>
      </c>
      <c r="B4248" s="19">
        <v>257.89</v>
      </c>
      <c r="C4248" t="s">
        <v>41</v>
      </c>
      <c r="D4248" t="str">
        <f>T_Stocks[[#This Row],[Ticker]] &amp; "-" &amp; DATE(YEAR(T_Stocks[[#This Row],[Fecha]]),MONTH(T_Stocks[[#This Row],[Fecha]]),DAY(T_Stocks[[#This Row],[Fecha]]))</f>
        <v>MSFT-44358</v>
      </c>
    </row>
    <row r="4249" spans="1:4" ht="14.65" thickBot="1" x14ac:dyDescent="0.5">
      <c r="A4249" s="17">
        <v>44361.666666666664</v>
      </c>
      <c r="B4249" s="19">
        <v>259.89</v>
      </c>
      <c r="C4249" t="s">
        <v>41</v>
      </c>
      <c r="D4249" t="str">
        <f>T_Stocks[[#This Row],[Ticker]] &amp; "-" &amp; DATE(YEAR(T_Stocks[[#This Row],[Fecha]]),MONTH(T_Stocks[[#This Row],[Fecha]]),DAY(T_Stocks[[#This Row],[Fecha]]))</f>
        <v>MSFT-44361</v>
      </c>
    </row>
    <row r="4250" spans="1:4" ht="14.65" thickBot="1" x14ac:dyDescent="0.5">
      <c r="A4250" s="17">
        <v>44362.666666666664</v>
      </c>
      <c r="B4250" s="19">
        <v>258.36</v>
      </c>
      <c r="C4250" t="s">
        <v>41</v>
      </c>
      <c r="D4250" t="str">
        <f>T_Stocks[[#This Row],[Ticker]] &amp; "-" &amp; DATE(YEAR(T_Stocks[[#This Row],[Fecha]]),MONTH(T_Stocks[[#This Row],[Fecha]]),DAY(T_Stocks[[#This Row],[Fecha]]))</f>
        <v>MSFT-44362</v>
      </c>
    </row>
    <row r="4251" spans="1:4" ht="14.65" thickBot="1" x14ac:dyDescent="0.5">
      <c r="A4251" s="17">
        <v>44363.666666666664</v>
      </c>
      <c r="B4251" s="19">
        <v>257.38</v>
      </c>
      <c r="C4251" t="s">
        <v>41</v>
      </c>
      <c r="D4251" t="str">
        <f>T_Stocks[[#This Row],[Ticker]] &amp; "-" &amp; DATE(YEAR(T_Stocks[[#This Row],[Fecha]]),MONTH(T_Stocks[[#This Row],[Fecha]]),DAY(T_Stocks[[#This Row],[Fecha]]))</f>
        <v>MSFT-44363</v>
      </c>
    </row>
    <row r="4252" spans="1:4" ht="14.65" thickBot="1" x14ac:dyDescent="0.5">
      <c r="A4252" s="17">
        <v>44364.666666666664</v>
      </c>
      <c r="B4252" s="19">
        <v>260.89999999999998</v>
      </c>
      <c r="C4252" t="s">
        <v>41</v>
      </c>
      <c r="D4252" t="str">
        <f>T_Stocks[[#This Row],[Ticker]] &amp; "-" &amp; DATE(YEAR(T_Stocks[[#This Row],[Fecha]]),MONTH(T_Stocks[[#This Row],[Fecha]]),DAY(T_Stocks[[#This Row],[Fecha]]))</f>
        <v>MSFT-44364</v>
      </c>
    </row>
    <row r="4253" spans="1:4" ht="14.65" thickBot="1" x14ac:dyDescent="0.5">
      <c r="A4253" s="17">
        <v>44365.666666666664</v>
      </c>
      <c r="B4253" s="19">
        <v>259.43</v>
      </c>
      <c r="C4253" t="s">
        <v>41</v>
      </c>
      <c r="D4253" t="str">
        <f>T_Stocks[[#This Row],[Ticker]] &amp; "-" &amp; DATE(YEAR(T_Stocks[[#This Row],[Fecha]]),MONTH(T_Stocks[[#This Row],[Fecha]]),DAY(T_Stocks[[#This Row],[Fecha]]))</f>
        <v>MSFT-44365</v>
      </c>
    </row>
    <row r="4254" spans="1:4" ht="14.65" thickBot="1" x14ac:dyDescent="0.5">
      <c r="A4254" s="17">
        <v>44368.666666666664</v>
      </c>
      <c r="B4254" s="19">
        <v>262.63</v>
      </c>
      <c r="C4254" t="s">
        <v>41</v>
      </c>
      <c r="D4254" t="str">
        <f>T_Stocks[[#This Row],[Ticker]] &amp; "-" &amp; DATE(YEAR(T_Stocks[[#This Row],[Fecha]]),MONTH(T_Stocks[[#This Row],[Fecha]]),DAY(T_Stocks[[#This Row],[Fecha]]))</f>
        <v>MSFT-44368</v>
      </c>
    </row>
    <row r="4255" spans="1:4" ht="14.65" thickBot="1" x14ac:dyDescent="0.5">
      <c r="A4255" s="17">
        <v>44369.666666666664</v>
      </c>
      <c r="B4255" s="19">
        <v>265.51</v>
      </c>
      <c r="C4255" t="s">
        <v>41</v>
      </c>
      <c r="D4255" t="str">
        <f>T_Stocks[[#This Row],[Ticker]] &amp; "-" &amp; DATE(YEAR(T_Stocks[[#This Row],[Fecha]]),MONTH(T_Stocks[[#This Row],[Fecha]]),DAY(T_Stocks[[#This Row],[Fecha]]))</f>
        <v>MSFT-44369</v>
      </c>
    </row>
    <row r="4256" spans="1:4" ht="14.65" thickBot="1" x14ac:dyDescent="0.5">
      <c r="A4256" s="17">
        <v>44370.666666666664</v>
      </c>
      <c r="B4256" s="19">
        <v>265.27</v>
      </c>
      <c r="C4256" t="s">
        <v>41</v>
      </c>
      <c r="D4256" t="str">
        <f>T_Stocks[[#This Row],[Ticker]] &amp; "-" &amp; DATE(YEAR(T_Stocks[[#This Row],[Fecha]]),MONTH(T_Stocks[[#This Row],[Fecha]]),DAY(T_Stocks[[#This Row],[Fecha]]))</f>
        <v>MSFT-44370</v>
      </c>
    </row>
    <row r="4257" spans="1:4" ht="14.65" thickBot="1" x14ac:dyDescent="0.5">
      <c r="A4257" s="17">
        <v>44371.666666666664</v>
      </c>
      <c r="B4257" s="19">
        <v>266.69</v>
      </c>
      <c r="C4257" t="s">
        <v>41</v>
      </c>
      <c r="D4257" t="str">
        <f>T_Stocks[[#This Row],[Ticker]] &amp; "-" &amp; DATE(YEAR(T_Stocks[[#This Row],[Fecha]]),MONTH(T_Stocks[[#This Row],[Fecha]]),DAY(T_Stocks[[#This Row],[Fecha]]))</f>
        <v>MSFT-44371</v>
      </c>
    </row>
    <row r="4258" spans="1:4" ht="14.65" thickBot="1" x14ac:dyDescent="0.5">
      <c r="A4258" s="17">
        <v>44372.666666666664</v>
      </c>
      <c r="B4258" s="19">
        <v>265.02</v>
      </c>
      <c r="C4258" t="s">
        <v>41</v>
      </c>
      <c r="D4258" t="str">
        <f>T_Stocks[[#This Row],[Ticker]] &amp; "-" &amp; DATE(YEAR(T_Stocks[[#This Row],[Fecha]]),MONTH(T_Stocks[[#This Row],[Fecha]]),DAY(T_Stocks[[#This Row],[Fecha]]))</f>
        <v>MSFT-44372</v>
      </c>
    </row>
    <row r="4259" spans="1:4" ht="14.65" thickBot="1" x14ac:dyDescent="0.5">
      <c r="A4259" s="17">
        <v>44375.666666666664</v>
      </c>
      <c r="B4259" s="19">
        <v>268.72000000000003</v>
      </c>
      <c r="C4259" t="s">
        <v>41</v>
      </c>
      <c r="D4259" t="str">
        <f>T_Stocks[[#This Row],[Ticker]] &amp; "-" &amp; DATE(YEAR(T_Stocks[[#This Row],[Fecha]]),MONTH(T_Stocks[[#This Row],[Fecha]]),DAY(T_Stocks[[#This Row],[Fecha]]))</f>
        <v>MSFT-44375</v>
      </c>
    </row>
    <row r="4260" spans="1:4" ht="14.65" thickBot="1" x14ac:dyDescent="0.5">
      <c r="A4260" s="17">
        <v>44376.666666666664</v>
      </c>
      <c r="B4260" s="19">
        <v>271.39999999999998</v>
      </c>
      <c r="C4260" t="s">
        <v>41</v>
      </c>
      <c r="D4260" t="str">
        <f>T_Stocks[[#This Row],[Ticker]] &amp; "-" &amp; DATE(YEAR(T_Stocks[[#This Row],[Fecha]]),MONTH(T_Stocks[[#This Row],[Fecha]]),DAY(T_Stocks[[#This Row],[Fecha]]))</f>
        <v>MSFT-44376</v>
      </c>
    </row>
    <row r="4261" spans="1:4" ht="14.65" thickBot="1" x14ac:dyDescent="0.5">
      <c r="A4261" s="17">
        <v>44377.666666666664</v>
      </c>
      <c r="B4261" s="19">
        <v>270.89999999999998</v>
      </c>
      <c r="C4261" t="s">
        <v>41</v>
      </c>
      <c r="D4261" t="str">
        <f>T_Stocks[[#This Row],[Ticker]] &amp; "-" &amp; DATE(YEAR(T_Stocks[[#This Row],[Fecha]]),MONTH(T_Stocks[[#This Row],[Fecha]]),DAY(T_Stocks[[#This Row],[Fecha]]))</f>
        <v>MSFT-44377</v>
      </c>
    </row>
    <row r="4262" spans="1:4" ht="14.65" thickBot="1" x14ac:dyDescent="0.5">
      <c r="A4262" s="17">
        <v>44378.666666666664</v>
      </c>
      <c r="B4262" s="19">
        <v>271.60000000000002</v>
      </c>
      <c r="C4262" t="s">
        <v>41</v>
      </c>
      <c r="D4262" t="str">
        <f>T_Stocks[[#This Row],[Ticker]] &amp; "-" &amp; DATE(YEAR(T_Stocks[[#This Row],[Fecha]]),MONTH(T_Stocks[[#This Row],[Fecha]]),DAY(T_Stocks[[#This Row],[Fecha]]))</f>
        <v>MSFT-44378</v>
      </c>
    </row>
    <row r="4263" spans="1:4" ht="14.65" thickBot="1" x14ac:dyDescent="0.5">
      <c r="A4263" s="17">
        <v>44379.666666666664</v>
      </c>
      <c r="B4263" s="19">
        <v>277.64999999999998</v>
      </c>
      <c r="C4263" t="s">
        <v>41</v>
      </c>
      <c r="D4263" t="str">
        <f>T_Stocks[[#This Row],[Ticker]] &amp; "-" &amp; DATE(YEAR(T_Stocks[[#This Row],[Fecha]]),MONTH(T_Stocks[[#This Row],[Fecha]]),DAY(T_Stocks[[#This Row],[Fecha]]))</f>
        <v>MSFT-44379</v>
      </c>
    </row>
    <row r="4264" spans="1:4" ht="14.65" thickBot="1" x14ac:dyDescent="0.5">
      <c r="A4264" s="17">
        <v>44383.666666666664</v>
      </c>
      <c r="B4264" s="19">
        <v>277.66000000000003</v>
      </c>
      <c r="C4264" t="s">
        <v>41</v>
      </c>
      <c r="D4264" t="str">
        <f>T_Stocks[[#This Row],[Ticker]] &amp; "-" &amp; DATE(YEAR(T_Stocks[[#This Row],[Fecha]]),MONTH(T_Stocks[[#This Row],[Fecha]]),DAY(T_Stocks[[#This Row],[Fecha]]))</f>
        <v>MSFT-44383</v>
      </c>
    </row>
    <row r="4265" spans="1:4" ht="14.65" thickBot="1" x14ac:dyDescent="0.5">
      <c r="A4265" s="17">
        <v>44384.666666666664</v>
      </c>
      <c r="B4265" s="19">
        <v>279.93</v>
      </c>
      <c r="C4265" t="s">
        <v>41</v>
      </c>
      <c r="D4265" t="str">
        <f>T_Stocks[[#This Row],[Ticker]] &amp; "-" &amp; DATE(YEAR(T_Stocks[[#This Row],[Fecha]]),MONTH(T_Stocks[[#This Row],[Fecha]]),DAY(T_Stocks[[#This Row],[Fecha]]))</f>
        <v>MSFT-44384</v>
      </c>
    </row>
    <row r="4266" spans="1:4" ht="14.65" thickBot="1" x14ac:dyDescent="0.5">
      <c r="A4266" s="17">
        <v>44385.666666666664</v>
      </c>
      <c r="B4266" s="19">
        <v>277.42</v>
      </c>
      <c r="C4266" t="s">
        <v>41</v>
      </c>
      <c r="D4266" t="str">
        <f>T_Stocks[[#This Row],[Ticker]] &amp; "-" &amp; DATE(YEAR(T_Stocks[[#This Row],[Fecha]]),MONTH(T_Stocks[[#This Row],[Fecha]]),DAY(T_Stocks[[#This Row],[Fecha]]))</f>
        <v>MSFT-44385</v>
      </c>
    </row>
    <row r="4267" spans="1:4" ht="14.65" thickBot="1" x14ac:dyDescent="0.5">
      <c r="A4267" s="17">
        <v>44386.666666666664</v>
      </c>
      <c r="B4267" s="19">
        <v>277.94</v>
      </c>
      <c r="C4267" t="s">
        <v>41</v>
      </c>
      <c r="D4267" t="str">
        <f>T_Stocks[[#This Row],[Ticker]] &amp; "-" &amp; DATE(YEAR(T_Stocks[[#This Row],[Fecha]]),MONTH(T_Stocks[[#This Row],[Fecha]]),DAY(T_Stocks[[#This Row],[Fecha]]))</f>
        <v>MSFT-44386</v>
      </c>
    </row>
    <row r="4268" spans="1:4" ht="14.65" thickBot="1" x14ac:dyDescent="0.5">
      <c r="A4268" s="17">
        <v>44389.666666666664</v>
      </c>
      <c r="B4268" s="19">
        <v>277.32</v>
      </c>
      <c r="C4268" t="s">
        <v>41</v>
      </c>
      <c r="D4268" t="str">
        <f>T_Stocks[[#This Row],[Ticker]] &amp; "-" &amp; DATE(YEAR(T_Stocks[[#This Row],[Fecha]]),MONTH(T_Stocks[[#This Row],[Fecha]]),DAY(T_Stocks[[#This Row],[Fecha]]))</f>
        <v>MSFT-44389</v>
      </c>
    </row>
    <row r="4269" spans="1:4" ht="14.65" thickBot="1" x14ac:dyDescent="0.5">
      <c r="A4269" s="17">
        <v>44390.666666666664</v>
      </c>
      <c r="B4269" s="19">
        <v>280.98</v>
      </c>
      <c r="C4269" t="s">
        <v>41</v>
      </c>
      <c r="D4269" t="str">
        <f>T_Stocks[[#This Row],[Ticker]] &amp; "-" &amp; DATE(YEAR(T_Stocks[[#This Row],[Fecha]]),MONTH(T_Stocks[[#This Row],[Fecha]]),DAY(T_Stocks[[#This Row],[Fecha]]))</f>
        <v>MSFT-44390</v>
      </c>
    </row>
    <row r="4270" spans="1:4" ht="14.65" thickBot="1" x14ac:dyDescent="0.5">
      <c r="A4270" s="17">
        <v>44391.666666666664</v>
      </c>
      <c r="B4270" s="19">
        <v>282.51</v>
      </c>
      <c r="C4270" t="s">
        <v>41</v>
      </c>
      <c r="D4270" t="str">
        <f>T_Stocks[[#This Row],[Ticker]] &amp; "-" &amp; DATE(YEAR(T_Stocks[[#This Row],[Fecha]]),MONTH(T_Stocks[[#This Row],[Fecha]]),DAY(T_Stocks[[#This Row],[Fecha]]))</f>
        <v>MSFT-44391</v>
      </c>
    </row>
    <row r="4271" spans="1:4" ht="14.65" thickBot="1" x14ac:dyDescent="0.5">
      <c r="A4271" s="17">
        <v>44392.666666666664</v>
      </c>
      <c r="B4271" s="19">
        <v>281.02999999999997</v>
      </c>
      <c r="C4271" t="s">
        <v>41</v>
      </c>
      <c r="D4271" t="str">
        <f>T_Stocks[[#This Row],[Ticker]] &amp; "-" &amp; DATE(YEAR(T_Stocks[[#This Row],[Fecha]]),MONTH(T_Stocks[[#This Row],[Fecha]]),DAY(T_Stocks[[#This Row],[Fecha]]))</f>
        <v>MSFT-44392</v>
      </c>
    </row>
    <row r="4272" spans="1:4" ht="14.65" thickBot="1" x14ac:dyDescent="0.5">
      <c r="A4272" s="17">
        <v>44393.666666666664</v>
      </c>
      <c r="B4272" s="19">
        <v>280.75</v>
      </c>
      <c r="C4272" t="s">
        <v>41</v>
      </c>
      <c r="D4272" t="str">
        <f>T_Stocks[[#This Row],[Ticker]] &amp; "-" &amp; DATE(YEAR(T_Stocks[[#This Row],[Fecha]]),MONTH(T_Stocks[[#This Row],[Fecha]]),DAY(T_Stocks[[#This Row],[Fecha]]))</f>
        <v>MSFT-44393</v>
      </c>
    </row>
    <row r="4273" spans="1:4" ht="14.65" thickBot="1" x14ac:dyDescent="0.5">
      <c r="A4273" s="17">
        <v>44396.666666666664</v>
      </c>
      <c r="B4273" s="19">
        <v>277.01</v>
      </c>
      <c r="C4273" t="s">
        <v>41</v>
      </c>
      <c r="D4273" t="str">
        <f>T_Stocks[[#This Row],[Ticker]] &amp; "-" &amp; DATE(YEAR(T_Stocks[[#This Row],[Fecha]]),MONTH(T_Stocks[[#This Row],[Fecha]]),DAY(T_Stocks[[#This Row],[Fecha]]))</f>
        <v>MSFT-44396</v>
      </c>
    </row>
    <row r="4274" spans="1:4" ht="14.65" thickBot="1" x14ac:dyDescent="0.5">
      <c r="A4274" s="17">
        <v>44397.666666666664</v>
      </c>
      <c r="B4274" s="19">
        <v>279.32</v>
      </c>
      <c r="C4274" t="s">
        <v>41</v>
      </c>
      <c r="D4274" t="str">
        <f>T_Stocks[[#This Row],[Ticker]] &amp; "-" &amp; DATE(YEAR(T_Stocks[[#This Row],[Fecha]]),MONTH(T_Stocks[[#This Row],[Fecha]]),DAY(T_Stocks[[#This Row],[Fecha]]))</f>
        <v>MSFT-44397</v>
      </c>
    </row>
    <row r="4275" spans="1:4" ht="14.65" thickBot="1" x14ac:dyDescent="0.5">
      <c r="A4275" s="17">
        <v>44398.666666666664</v>
      </c>
      <c r="B4275" s="19">
        <v>281.39999999999998</v>
      </c>
      <c r="C4275" t="s">
        <v>41</v>
      </c>
      <c r="D4275" t="str">
        <f>T_Stocks[[#This Row],[Ticker]] &amp; "-" &amp; DATE(YEAR(T_Stocks[[#This Row],[Fecha]]),MONTH(T_Stocks[[#This Row],[Fecha]]),DAY(T_Stocks[[#This Row],[Fecha]]))</f>
        <v>MSFT-44398</v>
      </c>
    </row>
    <row r="4276" spans="1:4" ht="14.65" thickBot="1" x14ac:dyDescent="0.5">
      <c r="A4276" s="17">
        <v>44399.666666666664</v>
      </c>
      <c r="B4276" s="19">
        <v>286.14</v>
      </c>
      <c r="C4276" t="s">
        <v>41</v>
      </c>
      <c r="D4276" t="str">
        <f>T_Stocks[[#This Row],[Ticker]] &amp; "-" &amp; DATE(YEAR(T_Stocks[[#This Row],[Fecha]]),MONTH(T_Stocks[[#This Row],[Fecha]]),DAY(T_Stocks[[#This Row],[Fecha]]))</f>
        <v>MSFT-44399</v>
      </c>
    </row>
    <row r="4277" spans="1:4" ht="14.65" thickBot="1" x14ac:dyDescent="0.5">
      <c r="A4277" s="17">
        <v>44400.666666666664</v>
      </c>
      <c r="B4277" s="19">
        <v>289.67</v>
      </c>
      <c r="C4277" t="s">
        <v>41</v>
      </c>
      <c r="D4277" t="str">
        <f>T_Stocks[[#This Row],[Ticker]] &amp; "-" &amp; DATE(YEAR(T_Stocks[[#This Row],[Fecha]]),MONTH(T_Stocks[[#This Row],[Fecha]]),DAY(T_Stocks[[#This Row],[Fecha]]))</f>
        <v>MSFT-44400</v>
      </c>
    </row>
    <row r="4278" spans="1:4" ht="14.65" thickBot="1" x14ac:dyDescent="0.5">
      <c r="A4278" s="17">
        <v>44403.666666666664</v>
      </c>
      <c r="B4278" s="19">
        <v>289.05</v>
      </c>
      <c r="C4278" t="s">
        <v>41</v>
      </c>
      <c r="D4278" t="str">
        <f>T_Stocks[[#This Row],[Ticker]] &amp; "-" &amp; DATE(YEAR(T_Stocks[[#This Row],[Fecha]]),MONTH(T_Stocks[[#This Row],[Fecha]]),DAY(T_Stocks[[#This Row],[Fecha]]))</f>
        <v>MSFT-44403</v>
      </c>
    </row>
    <row r="4279" spans="1:4" ht="14.65" thickBot="1" x14ac:dyDescent="0.5">
      <c r="A4279" s="17">
        <v>44404.666666666664</v>
      </c>
      <c r="B4279" s="19">
        <v>286.54000000000002</v>
      </c>
      <c r="C4279" t="s">
        <v>41</v>
      </c>
      <c r="D4279" t="str">
        <f>T_Stocks[[#This Row],[Ticker]] &amp; "-" &amp; DATE(YEAR(T_Stocks[[#This Row],[Fecha]]),MONTH(T_Stocks[[#This Row],[Fecha]]),DAY(T_Stocks[[#This Row],[Fecha]]))</f>
        <v>MSFT-44404</v>
      </c>
    </row>
    <row r="4280" spans="1:4" ht="14.65" thickBot="1" x14ac:dyDescent="0.5">
      <c r="A4280" s="17">
        <v>44405.666666666664</v>
      </c>
      <c r="B4280" s="19">
        <v>286.22000000000003</v>
      </c>
      <c r="C4280" t="s">
        <v>41</v>
      </c>
      <c r="D4280" t="str">
        <f>T_Stocks[[#This Row],[Ticker]] &amp; "-" &amp; DATE(YEAR(T_Stocks[[#This Row],[Fecha]]),MONTH(T_Stocks[[#This Row],[Fecha]]),DAY(T_Stocks[[#This Row],[Fecha]]))</f>
        <v>MSFT-44405</v>
      </c>
    </row>
    <row r="4281" spans="1:4" ht="14.65" thickBot="1" x14ac:dyDescent="0.5">
      <c r="A4281" s="17">
        <v>44406.666666666664</v>
      </c>
      <c r="B4281" s="19">
        <v>286.5</v>
      </c>
      <c r="C4281" t="s">
        <v>41</v>
      </c>
      <c r="D4281" t="str">
        <f>T_Stocks[[#This Row],[Ticker]] &amp; "-" &amp; DATE(YEAR(T_Stocks[[#This Row],[Fecha]]),MONTH(T_Stocks[[#This Row],[Fecha]]),DAY(T_Stocks[[#This Row],[Fecha]]))</f>
        <v>MSFT-44406</v>
      </c>
    </row>
    <row r="4282" spans="1:4" ht="14.65" thickBot="1" x14ac:dyDescent="0.5">
      <c r="A4282" s="17">
        <v>44407.666666666664</v>
      </c>
      <c r="B4282" s="19">
        <v>284.91000000000003</v>
      </c>
      <c r="C4282" t="s">
        <v>41</v>
      </c>
      <c r="D4282" t="str">
        <f>T_Stocks[[#This Row],[Ticker]] &amp; "-" &amp; DATE(YEAR(T_Stocks[[#This Row],[Fecha]]),MONTH(T_Stocks[[#This Row],[Fecha]]),DAY(T_Stocks[[#This Row],[Fecha]]))</f>
        <v>MSFT-44407</v>
      </c>
    </row>
    <row r="4283" spans="1:4" ht="14.65" thickBot="1" x14ac:dyDescent="0.5">
      <c r="A4283" s="17">
        <v>44410.666666666664</v>
      </c>
      <c r="B4283" s="19">
        <v>284.82</v>
      </c>
      <c r="C4283" t="s">
        <v>41</v>
      </c>
      <c r="D4283" t="str">
        <f>T_Stocks[[#This Row],[Ticker]] &amp; "-" &amp; DATE(YEAR(T_Stocks[[#This Row],[Fecha]]),MONTH(T_Stocks[[#This Row],[Fecha]]),DAY(T_Stocks[[#This Row],[Fecha]]))</f>
        <v>MSFT-44410</v>
      </c>
    </row>
    <row r="4284" spans="1:4" ht="14.65" thickBot="1" x14ac:dyDescent="0.5">
      <c r="A4284" s="17">
        <v>44411.666666666664</v>
      </c>
      <c r="B4284" s="19">
        <v>287.12</v>
      </c>
      <c r="C4284" t="s">
        <v>41</v>
      </c>
      <c r="D4284" t="str">
        <f>T_Stocks[[#This Row],[Ticker]] &amp; "-" &amp; DATE(YEAR(T_Stocks[[#This Row],[Fecha]]),MONTH(T_Stocks[[#This Row],[Fecha]]),DAY(T_Stocks[[#This Row],[Fecha]]))</f>
        <v>MSFT-44411</v>
      </c>
    </row>
    <row r="4285" spans="1:4" ht="14.65" thickBot="1" x14ac:dyDescent="0.5">
      <c r="A4285" s="17">
        <v>44412.666666666664</v>
      </c>
      <c r="B4285" s="19">
        <v>286.51</v>
      </c>
      <c r="C4285" t="s">
        <v>41</v>
      </c>
      <c r="D4285" t="str">
        <f>T_Stocks[[#This Row],[Ticker]] &amp; "-" &amp; DATE(YEAR(T_Stocks[[#This Row],[Fecha]]),MONTH(T_Stocks[[#This Row],[Fecha]]),DAY(T_Stocks[[#This Row],[Fecha]]))</f>
        <v>MSFT-44412</v>
      </c>
    </row>
    <row r="4286" spans="1:4" ht="14.65" thickBot="1" x14ac:dyDescent="0.5">
      <c r="A4286" s="17">
        <v>44413.666666666664</v>
      </c>
      <c r="B4286" s="19">
        <v>289.52</v>
      </c>
      <c r="C4286" t="s">
        <v>41</v>
      </c>
      <c r="D4286" t="str">
        <f>T_Stocks[[#This Row],[Ticker]] &amp; "-" &amp; DATE(YEAR(T_Stocks[[#This Row],[Fecha]]),MONTH(T_Stocks[[#This Row],[Fecha]]),DAY(T_Stocks[[#This Row],[Fecha]]))</f>
        <v>MSFT-44413</v>
      </c>
    </row>
    <row r="4287" spans="1:4" ht="14.65" thickBot="1" x14ac:dyDescent="0.5">
      <c r="A4287" s="17">
        <v>44414.666666666664</v>
      </c>
      <c r="B4287" s="19">
        <v>289.45999999999998</v>
      </c>
      <c r="C4287" t="s">
        <v>41</v>
      </c>
      <c r="D4287" t="str">
        <f>T_Stocks[[#This Row],[Ticker]] &amp; "-" &amp; DATE(YEAR(T_Stocks[[#This Row],[Fecha]]),MONTH(T_Stocks[[#This Row],[Fecha]]),DAY(T_Stocks[[#This Row],[Fecha]]))</f>
        <v>MSFT-44414</v>
      </c>
    </row>
    <row r="4288" spans="1:4" ht="14.65" thickBot="1" x14ac:dyDescent="0.5">
      <c r="A4288" s="17">
        <v>44417.666666666664</v>
      </c>
      <c r="B4288" s="19">
        <v>288.33</v>
      </c>
      <c r="C4288" t="s">
        <v>41</v>
      </c>
      <c r="D4288" t="str">
        <f>T_Stocks[[#This Row],[Ticker]] &amp; "-" &amp; DATE(YEAR(T_Stocks[[#This Row],[Fecha]]),MONTH(T_Stocks[[#This Row],[Fecha]]),DAY(T_Stocks[[#This Row],[Fecha]]))</f>
        <v>MSFT-44417</v>
      </c>
    </row>
    <row r="4289" spans="1:4" ht="14.65" thickBot="1" x14ac:dyDescent="0.5">
      <c r="A4289" s="17">
        <v>44418.666666666664</v>
      </c>
      <c r="B4289" s="19">
        <v>286.44</v>
      </c>
      <c r="C4289" t="s">
        <v>41</v>
      </c>
      <c r="D4289" t="str">
        <f>T_Stocks[[#This Row],[Ticker]] &amp; "-" &amp; DATE(YEAR(T_Stocks[[#This Row],[Fecha]]),MONTH(T_Stocks[[#This Row],[Fecha]]),DAY(T_Stocks[[#This Row],[Fecha]]))</f>
        <v>MSFT-44418</v>
      </c>
    </row>
    <row r="4290" spans="1:4" ht="14.65" thickBot="1" x14ac:dyDescent="0.5">
      <c r="A4290" s="17">
        <v>44419.666666666664</v>
      </c>
      <c r="B4290" s="19">
        <v>286.95</v>
      </c>
      <c r="C4290" t="s">
        <v>41</v>
      </c>
      <c r="D4290" t="str">
        <f>T_Stocks[[#This Row],[Ticker]] &amp; "-" &amp; DATE(YEAR(T_Stocks[[#This Row],[Fecha]]),MONTH(T_Stocks[[#This Row],[Fecha]]),DAY(T_Stocks[[#This Row],[Fecha]]))</f>
        <v>MSFT-44419</v>
      </c>
    </row>
    <row r="4291" spans="1:4" ht="14.65" thickBot="1" x14ac:dyDescent="0.5">
      <c r="A4291" s="17">
        <v>44420.666666666664</v>
      </c>
      <c r="B4291" s="19">
        <v>289.81</v>
      </c>
      <c r="C4291" t="s">
        <v>41</v>
      </c>
      <c r="D4291" t="str">
        <f>T_Stocks[[#This Row],[Ticker]] &amp; "-" &amp; DATE(YEAR(T_Stocks[[#This Row],[Fecha]]),MONTH(T_Stocks[[#This Row],[Fecha]]),DAY(T_Stocks[[#This Row],[Fecha]]))</f>
        <v>MSFT-44420</v>
      </c>
    </row>
    <row r="4292" spans="1:4" ht="14.65" thickBot="1" x14ac:dyDescent="0.5">
      <c r="A4292" s="17">
        <v>44421.666666666664</v>
      </c>
      <c r="B4292" s="19">
        <v>292.85000000000002</v>
      </c>
      <c r="C4292" t="s">
        <v>41</v>
      </c>
      <c r="D4292" t="str">
        <f>T_Stocks[[#This Row],[Ticker]] &amp; "-" &amp; DATE(YEAR(T_Stocks[[#This Row],[Fecha]]),MONTH(T_Stocks[[#This Row],[Fecha]]),DAY(T_Stocks[[#This Row],[Fecha]]))</f>
        <v>MSFT-44421</v>
      </c>
    </row>
    <row r="4293" spans="1:4" ht="14.65" thickBot="1" x14ac:dyDescent="0.5">
      <c r="A4293" s="17">
        <v>44424.666666666664</v>
      </c>
      <c r="B4293" s="19">
        <v>294.60000000000002</v>
      </c>
      <c r="C4293" t="s">
        <v>41</v>
      </c>
      <c r="D4293" t="str">
        <f>T_Stocks[[#This Row],[Ticker]] &amp; "-" &amp; DATE(YEAR(T_Stocks[[#This Row],[Fecha]]),MONTH(T_Stocks[[#This Row],[Fecha]]),DAY(T_Stocks[[#This Row],[Fecha]]))</f>
        <v>MSFT-44424</v>
      </c>
    </row>
    <row r="4294" spans="1:4" ht="14.65" thickBot="1" x14ac:dyDescent="0.5">
      <c r="A4294" s="17">
        <v>44425.666666666664</v>
      </c>
      <c r="B4294" s="19">
        <v>293.08</v>
      </c>
      <c r="C4294" t="s">
        <v>41</v>
      </c>
      <c r="D4294" t="str">
        <f>T_Stocks[[#This Row],[Ticker]] &amp; "-" &amp; DATE(YEAR(T_Stocks[[#This Row],[Fecha]]),MONTH(T_Stocks[[#This Row],[Fecha]]),DAY(T_Stocks[[#This Row],[Fecha]]))</f>
        <v>MSFT-44425</v>
      </c>
    </row>
    <row r="4295" spans="1:4" ht="14.65" thickBot="1" x14ac:dyDescent="0.5">
      <c r="A4295" s="17">
        <v>44426.666666666664</v>
      </c>
      <c r="B4295" s="19">
        <v>290.73</v>
      </c>
      <c r="C4295" t="s">
        <v>41</v>
      </c>
      <c r="D4295" t="str">
        <f>T_Stocks[[#This Row],[Ticker]] &amp; "-" &amp; DATE(YEAR(T_Stocks[[#This Row],[Fecha]]),MONTH(T_Stocks[[#This Row],[Fecha]]),DAY(T_Stocks[[#This Row],[Fecha]]))</f>
        <v>MSFT-44426</v>
      </c>
    </row>
    <row r="4296" spans="1:4" ht="14.65" thickBot="1" x14ac:dyDescent="0.5">
      <c r="A4296" s="17">
        <v>44427.666666666664</v>
      </c>
      <c r="B4296" s="19">
        <v>296.77</v>
      </c>
      <c r="C4296" t="s">
        <v>41</v>
      </c>
      <c r="D4296" t="str">
        <f>T_Stocks[[#This Row],[Ticker]] &amp; "-" &amp; DATE(YEAR(T_Stocks[[#This Row],[Fecha]]),MONTH(T_Stocks[[#This Row],[Fecha]]),DAY(T_Stocks[[#This Row],[Fecha]]))</f>
        <v>MSFT-44427</v>
      </c>
    </row>
    <row r="4297" spans="1:4" ht="14.65" thickBot="1" x14ac:dyDescent="0.5">
      <c r="A4297" s="17">
        <v>44428.666666666664</v>
      </c>
      <c r="B4297" s="19">
        <v>304.36</v>
      </c>
      <c r="C4297" t="s">
        <v>41</v>
      </c>
      <c r="D4297" t="str">
        <f>T_Stocks[[#This Row],[Ticker]] &amp; "-" &amp; DATE(YEAR(T_Stocks[[#This Row],[Fecha]]),MONTH(T_Stocks[[#This Row],[Fecha]]),DAY(T_Stocks[[#This Row],[Fecha]]))</f>
        <v>MSFT-44428</v>
      </c>
    </row>
    <row r="4298" spans="1:4" ht="14.65" thickBot="1" x14ac:dyDescent="0.5">
      <c r="A4298" s="17">
        <v>44431.666666666664</v>
      </c>
      <c r="B4298" s="19">
        <v>304.64999999999998</v>
      </c>
      <c r="C4298" t="s">
        <v>41</v>
      </c>
      <c r="D4298" t="str">
        <f>T_Stocks[[#This Row],[Ticker]] &amp; "-" &amp; DATE(YEAR(T_Stocks[[#This Row],[Fecha]]),MONTH(T_Stocks[[#This Row],[Fecha]]),DAY(T_Stocks[[#This Row],[Fecha]]))</f>
        <v>MSFT-44431</v>
      </c>
    </row>
    <row r="4299" spans="1:4" ht="14.65" thickBot="1" x14ac:dyDescent="0.5">
      <c r="A4299" s="17">
        <v>44432.666666666664</v>
      </c>
      <c r="B4299" s="19">
        <v>302.62</v>
      </c>
      <c r="C4299" t="s">
        <v>41</v>
      </c>
      <c r="D4299" t="str">
        <f>T_Stocks[[#This Row],[Ticker]] &amp; "-" &amp; DATE(YEAR(T_Stocks[[#This Row],[Fecha]]),MONTH(T_Stocks[[#This Row],[Fecha]]),DAY(T_Stocks[[#This Row],[Fecha]]))</f>
        <v>MSFT-44432</v>
      </c>
    </row>
    <row r="4300" spans="1:4" ht="14.65" thickBot="1" x14ac:dyDescent="0.5">
      <c r="A4300" s="17">
        <v>44433.666666666664</v>
      </c>
      <c r="B4300" s="19">
        <v>302.01</v>
      </c>
      <c r="C4300" t="s">
        <v>41</v>
      </c>
      <c r="D4300" t="str">
        <f>T_Stocks[[#This Row],[Ticker]] &amp; "-" &amp; DATE(YEAR(T_Stocks[[#This Row],[Fecha]]),MONTH(T_Stocks[[#This Row],[Fecha]]),DAY(T_Stocks[[#This Row],[Fecha]]))</f>
        <v>MSFT-44433</v>
      </c>
    </row>
    <row r="4301" spans="1:4" ht="14.65" thickBot="1" x14ac:dyDescent="0.5">
      <c r="A4301" s="17">
        <v>44434.666666666664</v>
      </c>
      <c r="B4301" s="19">
        <v>299.08999999999997</v>
      </c>
      <c r="C4301" t="s">
        <v>41</v>
      </c>
      <c r="D4301" t="str">
        <f>T_Stocks[[#This Row],[Ticker]] &amp; "-" &amp; DATE(YEAR(T_Stocks[[#This Row],[Fecha]]),MONTH(T_Stocks[[#This Row],[Fecha]]),DAY(T_Stocks[[#This Row],[Fecha]]))</f>
        <v>MSFT-44434</v>
      </c>
    </row>
    <row r="4302" spans="1:4" ht="14.65" thickBot="1" x14ac:dyDescent="0.5">
      <c r="A4302" s="17">
        <v>44435.666666666664</v>
      </c>
      <c r="B4302" s="19">
        <v>299.72000000000003</v>
      </c>
      <c r="C4302" t="s">
        <v>41</v>
      </c>
      <c r="D4302" t="str">
        <f>T_Stocks[[#This Row],[Ticker]] &amp; "-" &amp; DATE(YEAR(T_Stocks[[#This Row],[Fecha]]),MONTH(T_Stocks[[#This Row],[Fecha]]),DAY(T_Stocks[[#This Row],[Fecha]]))</f>
        <v>MSFT-44435</v>
      </c>
    </row>
    <row r="4303" spans="1:4" ht="14.65" thickBot="1" x14ac:dyDescent="0.5">
      <c r="A4303" s="17">
        <v>44438.666666666664</v>
      </c>
      <c r="B4303" s="19">
        <v>303.58999999999997</v>
      </c>
      <c r="C4303" t="s">
        <v>41</v>
      </c>
      <c r="D4303" t="str">
        <f>T_Stocks[[#This Row],[Ticker]] &amp; "-" &amp; DATE(YEAR(T_Stocks[[#This Row],[Fecha]]),MONTH(T_Stocks[[#This Row],[Fecha]]),DAY(T_Stocks[[#This Row],[Fecha]]))</f>
        <v>MSFT-44438</v>
      </c>
    </row>
    <row r="4304" spans="1:4" ht="14.65" thickBot="1" x14ac:dyDescent="0.5">
      <c r="A4304" s="17">
        <v>44439.666666666664</v>
      </c>
      <c r="B4304" s="19">
        <v>301.88</v>
      </c>
      <c r="C4304" t="s">
        <v>41</v>
      </c>
      <c r="D4304" t="str">
        <f>T_Stocks[[#This Row],[Ticker]] &amp; "-" &amp; DATE(YEAR(T_Stocks[[#This Row],[Fecha]]),MONTH(T_Stocks[[#This Row],[Fecha]]),DAY(T_Stocks[[#This Row],[Fecha]]))</f>
        <v>MSFT-44439</v>
      </c>
    </row>
    <row r="4305" spans="1:4" ht="14.65" thickBot="1" x14ac:dyDescent="0.5">
      <c r="A4305" s="17">
        <v>44440.666666666664</v>
      </c>
      <c r="B4305" s="19">
        <v>301.83</v>
      </c>
      <c r="C4305" t="s">
        <v>41</v>
      </c>
      <c r="D4305" t="str">
        <f>T_Stocks[[#This Row],[Ticker]] &amp; "-" &amp; DATE(YEAR(T_Stocks[[#This Row],[Fecha]]),MONTH(T_Stocks[[#This Row],[Fecha]]),DAY(T_Stocks[[#This Row],[Fecha]]))</f>
        <v>MSFT-44440</v>
      </c>
    </row>
    <row r="4306" spans="1:4" ht="14.65" thickBot="1" x14ac:dyDescent="0.5">
      <c r="A4306" s="17">
        <v>44441.666666666664</v>
      </c>
      <c r="B4306" s="19">
        <v>301.14999999999998</v>
      </c>
      <c r="C4306" t="s">
        <v>41</v>
      </c>
      <c r="D4306" t="str">
        <f>T_Stocks[[#This Row],[Ticker]] &amp; "-" &amp; DATE(YEAR(T_Stocks[[#This Row],[Fecha]]),MONTH(T_Stocks[[#This Row],[Fecha]]),DAY(T_Stocks[[#This Row],[Fecha]]))</f>
        <v>MSFT-44441</v>
      </c>
    </row>
    <row r="4307" spans="1:4" ht="14.65" thickBot="1" x14ac:dyDescent="0.5">
      <c r="A4307" s="17">
        <v>44442.666666666664</v>
      </c>
      <c r="B4307" s="19">
        <v>301.14</v>
      </c>
      <c r="C4307" t="s">
        <v>41</v>
      </c>
      <c r="D4307" t="str">
        <f>T_Stocks[[#This Row],[Ticker]] &amp; "-" &amp; DATE(YEAR(T_Stocks[[#This Row],[Fecha]]),MONTH(T_Stocks[[#This Row],[Fecha]]),DAY(T_Stocks[[#This Row],[Fecha]]))</f>
        <v>MSFT-44442</v>
      </c>
    </row>
    <row r="4308" spans="1:4" ht="14.65" thickBot="1" x14ac:dyDescent="0.5">
      <c r="A4308" s="17">
        <v>44446.666666666664</v>
      </c>
      <c r="B4308" s="19">
        <v>300.18</v>
      </c>
      <c r="C4308" t="s">
        <v>41</v>
      </c>
      <c r="D4308" t="str">
        <f>T_Stocks[[#This Row],[Ticker]] &amp; "-" &amp; DATE(YEAR(T_Stocks[[#This Row],[Fecha]]),MONTH(T_Stocks[[#This Row],[Fecha]]),DAY(T_Stocks[[#This Row],[Fecha]]))</f>
        <v>MSFT-44446</v>
      </c>
    </row>
    <row r="4309" spans="1:4" ht="14.65" thickBot="1" x14ac:dyDescent="0.5">
      <c r="A4309" s="17">
        <v>44447.666666666664</v>
      </c>
      <c r="B4309" s="19">
        <v>300.20999999999998</v>
      </c>
      <c r="C4309" t="s">
        <v>41</v>
      </c>
      <c r="D4309" t="str">
        <f>T_Stocks[[#This Row],[Ticker]] &amp; "-" &amp; DATE(YEAR(T_Stocks[[#This Row],[Fecha]]),MONTH(T_Stocks[[#This Row],[Fecha]]),DAY(T_Stocks[[#This Row],[Fecha]]))</f>
        <v>MSFT-44447</v>
      </c>
    </row>
    <row r="4310" spans="1:4" ht="14.65" thickBot="1" x14ac:dyDescent="0.5">
      <c r="A4310" s="17">
        <v>44448.666666666664</v>
      </c>
      <c r="B4310" s="19">
        <v>297.25</v>
      </c>
      <c r="C4310" t="s">
        <v>41</v>
      </c>
      <c r="D4310" t="str">
        <f>T_Stocks[[#This Row],[Ticker]] &amp; "-" &amp; DATE(YEAR(T_Stocks[[#This Row],[Fecha]]),MONTH(T_Stocks[[#This Row],[Fecha]]),DAY(T_Stocks[[#This Row],[Fecha]]))</f>
        <v>MSFT-44448</v>
      </c>
    </row>
    <row r="4311" spans="1:4" ht="14.65" thickBot="1" x14ac:dyDescent="0.5">
      <c r="A4311" s="17">
        <v>44449.666666666664</v>
      </c>
      <c r="B4311" s="19">
        <v>295.70999999999998</v>
      </c>
      <c r="C4311" t="s">
        <v>41</v>
      </c>
      <c r="D4311" t="str">
        <f>T_Stocks[[#This Row],[Ticker]] &amp; "-" &amp; DATE(YEAR(T_Stocks[[#This Row],[Fecha]]),MONTH(T_Stocks[[#This Row],[Fecha]]),DAY(T_Stocks[[#This Row],[Fecha]]))</f>
        <v>MSFT-44449</v>
      </c>
    </row>
    <row r="4312" spans="1:4" ht="14.65" thickBot="1" x14ac:dyDescent="0.5">
      <c r="A4312" s="17">
        <v>44452.666666666664</v>
      </c>
      <c r="B4312" s="19">
        <v>296.99</v>
      </c>
      <c r="C4312" t="s">
        <v>41</v>
      </c>
      <c r="D4312" t="str">
        <f>T_Stocks[[#This Row],[Ticker]] &amp; "-" &amp; DATE(YEAR(T_Stocks[[#This Row],[Fecha]]),MONTH(T_Stocks[[#This Row],[Fecha]]),DAY(T_Stocks[[#This Row],[Fecha]]))</f>
        <v>MSFT-44452</v>
      </c>
    </row>
    <row r="4313" spans="1:4" ht="14.65" thickBot="1" x14ac:dyDescent="0.5">
      <c r="A4313" s="17">
        <v>44453.666666666664</v>
      </c>
      <c r="B4313" s="19">
        <v>299.79000000000002</v>
      </c>
      <c r="C4313" t="s">
        <v>41</v>
      </c>
      <c r="D4313" t="str">
        <f>T_Stocks[[#This Row],[Ticker]] &amp; "-" &amp; DATE(YEAR(T_Stocks[[#This Row],[Fecha]]),MONTH(T_Stocks[[#This Row],[Fecha]]),DAY(T_Stocks[[#This Row],[Fecha]]))</f>
        <v>MSFT-44453</v>
      </c>
    </row>
    <row r="4314" spans="1:4" ht="14.65" thickBot="1" x14ac:dyDescent="0.5">
      <c r="A4314" s="17">
        <v>44454.666666666664</v>
      </c>
      <c r="B4314" s="19">
        <v>304.82</v>
      </c>
      <c r="C4314" t="s">
        <v>41</v>
      </c>
      <c r="D4314" t="str">
        <f>T_Stocks[[#This Row],[Ticker]] &amp; "-" &amp; DATE(YEAR(T_Stocks[[#This Row],[Fecha]]),MONTH(T_Stocks[[#This Row],[Fecha]]),DAY(T_Stocks[[#This Row],[Fecha]]))</f>
        <v>MSFT-44454</v>
      </c>
    </row>
    <row r="4315" spans="1:4" ht="14.65" thickBot="1" x14ac:dyDescent="0.5">
      <c r="A4315" s="17">
        <v>44455.666666666664</v>
      </c>
      <c r="B4315" s="19">
        <v>305.22000000000003</v>
      </c>
      <c r="C4315" t="s">
        <v>41</v>
      </c>
      <c r="D4315" t="str">
        <f>T_Stocks[[#This Row],[Ticker]] &amp; "-" &amp; DATE(YEAR(T_Stocks[[#This Row],[Fecha]]),MONTH(T_Stocks[[#This Row],[Fecha]]),DAY(T_Stocks[[#This Row],[Fecha]]))</f>
        <v>MSFT-44455</v>
      </c>
    </row>
    <row r="4316" spans="1:4" ht="14.65" thickBot="1" x14ac:dyDescent="0.5">
      <c r="A4316" s="17">
        <v>44456.666666666664</v>
      </c>
      <c r="B4316" s="19">
        <v>299.87</v>
      </c>
      <c r="C4316" t="s">
        <v>41</v>
      </c>
      <c r="D4316" t="str">
        <f>T_Stocks[[#This Row],[Ticker]] &amp; "-" &amp; DATE(YEAR(T_Stocks[[#This Row],[Fecha]]),MONTH(T_Stocks[[#This Row],[Fecha]]),DAY(T_Stocks[[#This Row],[Fecha]]))</f>
        <v>MSFT-44456</v>
      </c>
    </row>
    <row r="4317" spans="1:4" ht="14.65" thickBot="1" x14ac:dyDescent="0.5">
      <c r="A4317" s="17">
        <v>44459.666666666664</v>
      </c>
      <c r="B4317" s="19">
        <v>294.3</v>
      </c>
      <c r="C4317" t="s">
        <v>41</v>
      </c>
      <c r="D4317" t="str">
        <f>T_Stocks[[#This Row],[Ticker]] &amp; "-" &amp; DATE(YEAR(T_Stocks[[#This Row],[Fecha]]),MONTH(T_Stocks[[#This Row],[Fecha]]),DAY(T_Stocks[[#This Row],[Fecha]]))</f>
        <v>MSFT-44459</v>
      </c>
    </row>
    <row r="4318" spans="1:4" ht="14.65" thickBot="1" x14ac:dyDescent="0.5">
      <c r="A4318" s="17">
        <v>44460.666666666664</v>
      </c>
      <c r="B4318" s="19">
        <v>294.8</v>
      </c>
      <c r="C4318" t="s">
        <v>41</v>
      </c>
      <c r="D4318" t="str">
        <f>T_Stocks[[#This Row],[Ticker]] &amp; "-" &amp; DATE(YEAR(T_Stocks[[#This Row],[Fecha]]),MONTH(T_Stocks[[#This Row],[Fecha]]),DAY(T_Stocks[[#This Row],[Fecha]]))</f>
        <v>MSFT-44460</v>
      </c>
    </row>
    <row r="4319" spans="1:4" ht="14.65" thickBot="1" x14ac:dyDescent="0.5">
      <c r="A4319" s="17">
        <v>44461.666666666664</v>
      </c>
      <c r="B4319" s="19">
        <v>298.58</v>
      </c>
      <c r="C4319" t="s">
        <v>41</v>
      </c>
      <c r="D4319" t="str">
        <f>T_Stocks[[#This Row],[Ticker]] &amp; "-" &amp; DATE(YEAR(T_Stocks[[#This Row],[Fecha]]),MONTH(T_Stocks[[#This Row],[Fecha]]),DAY(T_Stocks[[#This Row],[Fecha]]))</f>
        <v>MSFT-44461</v>
      </c>
    </row>
    <row r="4320" spans="1:4" ht="14.65" thickBot="1" x14ac:dyDescent="0.5">
      <c r="A4320" s="17">
        <v>44462.666666666664</v>
      </c>
      <c r="B4320" s="19">
        <v>299.56</v>
      </c>
      <c r="C4320" t="s">
        <v>41</v>
      </c>
      <c r="D4320" t="str">
        <f>T_Stocks[[#This Row],[Ticker]] &amp; "-" &amp; DATE(YEAR(T_Stocks[[#This Row],[Fecha]]),MONTH(T_Stocks[[#This Row],[Fecha]]),DAY(T_Stocks[[#This Row],[Fecha]]))</f>
        <v>MSFT-44462</v>
      </c>
    </row>
    <row r="4321" spans="1:4" ht="14.65" thickBot="1" x14ac:dyDescent="0.5">
      <c r="A4321" s="17">
        <v>44463.666666666664</v>
      </c>
      <c r="B4321" s="19">
        <v>299.35000000000002</v>
      </c>
      <c r="C4321" t="s">
        <v>41</v>
      </c>
      <c r="D4321" t="str">
        <f>T_Stocks[[#This Row],[Ticker]] &amp; "-" &amp; DATE(YEAR(T_Stocks[[#This Row],[Fecha]]),MONTH(T_Stocks[[#This Row],[Fecha]]),DAY(T_Stocks[[#This Row],[Fecha]]))</f>
        <v>MSFT-44463</v>
      </c>
    </row>
    <row r="4322" spans="1:4" ht="14.65" thickBot="1" x14ac:dyDescent="0.5">
      <c r="A4322" s="17">
        <v>44466.666666666664</v>
      </c>
      <c r="B4322" s="19">
        <v>294.17</v>
      </c>
      <c r="C4322" t="s">
        <v>41</v>
      </c>
      <c r="D4322" t="str">
        <f>T_Stocks[[#This Row],[Ticker]] &amp; "-" &amp; DATE(YEAR(T_Stocks[[#This Row],[Fecha]]),MONTH(T_Stocks[[#This Row],[Fecha]]),DAY(T_Stocks[[#This Row],[Fecha]]))</f>
        <v>MSFT-44466</v>
      </c>
    </row>
    <row r="4323" spans="1:4" ht="14.65" thickBot="1" x14ac:dyDescent="0.5">
      <c r="A4323" s="17">
        <v>44467.666666666664</v>
      </c>
      <c r="B4323" s="19">
        <v>283.52</v>
      </c>
      <c r="C4323" t="s">
        <v>41</v>
      </c>
      <c r="D4323" t="str">
        <f>T_Stocks[[#This Row],[Ticker]] &amp; "-" &amp; DATE(YEAR(T_Stocks[[#This Row],[Fecha]]),MONTH(T_Stocks[[#This Row],[Fecha]]),DAY(T_Stocks[[#This Row],[Fecha]]))</f>
        <v>MSFT-44467</v>
      </c>
    </row>
    <row r="4324" spans="1:4" ht="14.65" thickBot="1" x14ac:dyDescent="0.5">
      <c r="A4324" s="17">
        <v>44468.666666666664</v>
      </c>
      <c r="B4324" s="19">
        <v>284</v>
      </c>
      <c r="C4324" t="s">
        <v>41</v>
      </c>
      <c r="D4324" t="str">
        <f>T_Stocks[[#This Row],[Ticker]] &amp; "-" &amp; DATE(YEAR(T_Stocks[[#This Row],[Fecha]]),MONTH(T_Stocks[[#This Row],[Fecha]]),DAY(T_Stocks[[#This Row],[Fecha]]))</f>
        <v>MSFT-44468</v>
      </c>
    </row>
    <row r="4325" spans="1:4" ht="14.65" thickBot="1" x14ac:dyDescent="0.5">
      <c r="A4325" s="17">
        <v>44469.666666666664</v>
      </c>
      <c r="B4325" s="19">
        <v>281.92</v>
      </c>
      <c r="C4325" t="s">
        <v>41</v>
      </c>
      <c r="D4325" t="str">
        <f>T_Stocks[[#This Row],[Ticker]] &amp; "-" &amp; DATE(YEAR(T_Stocks[[#This Row],[Fecha]]),MONTH(T_Stocks[[#This Row],[Fecha]]),DAY(T_Stocks[[#This Row],[Fecha]]))</f>
        <v>MSFT-44469</v>
      </c>
    </row>
    <row r="4326" spans="1:4" ht="14.65" thickBot="1" x14ac:dyDescent="0.5">
      <c r="A4326" s="17">
        <v>44470.666666666664</v>
      </c>
      <c r="B4326" s="19">
        <v>289.10000000000002</v>
      </c>
      <c r="C4326" t="s">
        <v>41</v>
      </c>
      <c r="D4326" t="str">
        <f>T_Stocks[[#This Row],[Ticker]] &amp; "-" &amp; DATE(YEAR(T_Stocks[[#This Row],[Fecha]]),MONTH(T_Stocks[[#This Row],[Fecha]]),DAY(T_Stocks[[#This Row],[Fecha]]))</f>
        <v>MSFT-44470</v>
      </c>
    </row>
    <row r="4327" spans="1:4" ht="14.65" thickBot="1" x14ac:dyDescent="0.5">
      <c r="A4327" s="17">
        <v>44473.666666666664</v>
      </c>
      <c r="B4327" s="19">
        <v>283.11</v>
      </c>
      <c r="C4327" t="s">
        <v>41</v>
      </c>
      <c r="D4327" t="str">
        <f>T_Stocks[[#This Row],[Ticker]] &amp; "-" &amp; DATE(YEAR(T_Stocks[[#This Row],[Fecha]]),MONTH(T_Stocks[[#This Row],[Fecha]]),DAY(T_Stocks[[#This Row],[Fecha]]))</f>
        <v>MSFT-44473</v>
      </c>
    </row>
    <row r="4328" spans="1:4" ht="14.65" thickBot="1" x14ac:dyDescent="0.5">
      <c r="A4328" s="17">
        <v>44474.666666666664</v>
      </c>
      <c r="B4328" s="19">
        <v>288.76</v>
      </c>
      <c r="C4328" t="s">
        <v>41</v>
      </c>
      <c r="D4328" t="str">
        <f>T_Stocks[[#This Row],[Ticker]] &amp; "-" &amp; DATE(YEAR(T_Stocks[[#This Row],[Fecha]]),MONTH(T_Stocks[[#This Row],[Fecha]]),DAY(T_Stocks[[#This Row],[Fecha]]))</f>
        <v>MSFT-44474</v>
      </c>
    </row>
    <row r="4329" spans="1:4" ht="14.65" thickBot="1" x14ac:dyDescent="0.5">
      <c r="A4329" s="17">
        <v>44475.666666666664</v>
      </c>
      <c r="B4329" s="19">
        <v>293.11</v>
      </c>
      <c r="C4329" t="s">
        <v>41</v>
      </c>
      <c r="D4329" t="str">
        <f>T_Stocks[[#This Row],[Ticker]] &amp; "-" &amp; DATE(YEAR(T_Stocks[[#This Row],[Fecha]]),MONTH(T_Stocks[[#This Row],[Fecha]]),DAY(T_Stocks[[#This Row],[Fecha]]))</f>
        <v>MSFT-44475</v>
      </c>
    </row>
    <row r="4330" spans="1:4" ht="14.65" thickBot="1" x14ac:dyDescent="0.5">
      <c r="A4330" s="17">
        <v>44476.666666666664</v>
      </c>
      <c r="B4330" s="19">
        <v>294.85000000000002</v>
      </c>
      <c r="C4330" t="s">
        <v>41</v>
      </c>
      <c r="D4330" t="str">
        <f>T_Stocks[[#This Row],[Ticker]] &amp; "-" &amp; DATE(YEAR(T_Stocks[[#This Row],[Fecha]]),MONTH(T_Stocks[[#This Row],[Fecha]]),DAY(T_Stocks[[#This Row],[Fecha]]))</f>
        <v>MSFT-44476</v>
      </c>
    </row>
    <row r="4331" spans="1:4" ht="14.65" thickBot="1" x14ac:dyDescent="0.5">
      <c r="A4331" s="17">
        <v>44477.666666666664</v>
      </c>
      <c r="B4331" s="19">
        <v>294.85000000000002</v>
      </c>
      <c r="C4331" t="s">
        <v>41</v>
      </c>
      <c r="D4331" t="str">
        <f>T_Stocks[[#This Row],[Ticker]] &amp; "-" &amp; DATE(YEAR(T_Stocks[[#This Row],[Fecha]]),MONTH(T_Stocks[[#This Row],[Fecha]]),DAY(T_Stocks[[#This Row],[Fecha]]))</f>
        <v>MSFT-44477</v>
      </c>
    </row>
    <row r="4332" spans="1:4" ht="14.65" thickBot="1" x14ac:dyDescent="0.5">
      <c r="A4332" s="17">
        <v>44480.666666666664</v>
      </c>
      <c r="B4332" s="19">
        <v>294.23</v>
      </c>
      <c r="C4332" t="s">
        <v>41</v>
      </c>
      <c r="D4332" t="str">
        <f>T_Stocks[[#This Row],[Ticker]] &amp; "-" &amp; DATE(YEAR(T_Stocks[[#This Row],[Fecha]]),MONTH(T_Stocks[[#This Row],[Fecha]]),DAY(T_Stocks[[#This Row],[Fecha]]))</f>
        <v>MSFT-44480</v>
      </c>
    </row>
    <row r="4333" spans="1:4" ht="14.65" thickBot="1" x14ac:dyDescent="0.5">
      <c r="A4333" s="17">
        <v>44481.666666666664</v>
      </c>
      <c r="B4333" s="19">
        <v>292.88</v>
      </c>
      <c r="C4333" t="s">
        <v>41</v>
      </c>
      <c r="D4333" t="str">
        <f>T_Stocks[[#This Row],[Ticker]] &amp; "-" &amp; DATE(YEAR(T_Stocks[[#This Row],[Fecha]]),MONTH(T_Stocks[[#This Row],[Fecha]]),DAY(T_Stocks[[#This Row],[Fecha]]))</f>
        <v>MSFT-44481</v>
      </c>
    </row>
    <row r="4334" spans="1:4" ht="14.65" thickBot="1" x14ac:dyDescent="0.5">
      <c r="A4334" s="17">
        <v>44482.666666666664</v>
      </c>
      <c r="B4334" s="19">
        <v>296.31</v>
      </c>
      <c r="C4334" t="s">
        <v>41</v>
      </c>
      <c r="D4334" t="str">
        <f>T_Stocks[[#This Row],[Ticker]] &amp; "-" &amp; DATE(YEAR(T_Stocks[[#This Row],[Fecha]]),MONTH(T_Stocks[[#This Row],[Fecha]]),DAY(T_Stocks[[#This Row],[Fecha]]))</f>
        <v>MSFT-44482</v>
      </c>
    </row>
    <row r="4335" spans="1:4" ht="14.65" thickBot="1" x14ac:dyDescent="0.5">
      <c r="A4335" s="17">
        <v>44483.666666666664</v>
      </c>
      <c r="B4335" s="19">
        <v>302.75</v>
      </c>
      <c r="C4335" t="s">
        <v>41</v>
      </c>
      <c r="D4335" t="str">
        <f>T_Stocks[[#This Row],[Ticker]] &amp; "-" &amp; DATE(YEAR(T_Stocks[[#This Row],[Fecha]]),MONTH(T_Stocks[[#This Row],[Fecha]]),DAY(T_Stocks[[#This Row],[Fecha]]))</f>
        <v>MSFT-44483</v>
      </c>
    </row>
    <row r="4336" spans="1:4" ht="14.65" thickBot="1" x14ac:dyDescent="0.5">
      <c r="A4336" s="17">
        <v>44484.666666666664</v>
      </c>
      <c r="B4336" s="19">
        <v>304.20999999999998</v>
      </c>
      <c r="C4336" t="s">
        <v>41</v>
      </c>
      <c r="D4336" t="str">
        <f>T_Stocks[[#This Row],[Ticker]] &amp; "-" &amp; DATE(YEAR(T_Stocks[[#This Row],[Fecha]]),MONTH(T_Stocks[[#This Row],[Fecha]]),DAY(T_Stocks[[#This Row],[Fecha]]))</f>
        <v>MSFT-44484</v>
      </c>
    </row>
    <row r="4337" spans="1:4" ht="14.65" thickBot="1" x14ac:dyDescent="0.5">
      <c r="A4337" s="17">
        <v>44487.666666666664</v>
      </c>
      <c r="B4337" s="19">
        <v>307.29000000000002</v>
      </c>
      <c r="C4337" t="s">
        <v>41</v>
      </c>
      <c r="D4337" t="str">
        <f>T_Stocks[[#This Row],[Ticker]] &amp; "-" &amp; DATE(YEAR(T_Stocks[[#This Row],[Fecha]]),MONTH(T_Stocks[[#This Row],[Fecha]]),DAY(T_Stocks[[#This Row],[Fecha]]))</f>
        <v>MSFT-44487</v>
      </c>
    </row>
    <row r="4338" spans="1:4" ht="14.65" thickBot="1" x14ac:dyDescent="0.5">
      <c r="A4338" s="17">
        <v>44488.666666666664</v>
      </c>
      <c r="B4338" s="19">
        <v>308.23</v>
      </c>
      <c r="C4338" t="s">
        <v>41</v>
      </c>
      <c r="D4338" t="str">
        <f>T_Stocks[[#This Row],[Ticker]] &amp; "-" &amp; DATE(YEAR(T_Stocks[[#This Row],[Fecha]]),MONTH(T_Stocks[[#This Row],[Fecha]]),DAY(T_Stocks[[#This Row],[Fecha]]))</f>
        <v>MSFT-44488</v>
      </c>
    </row>
    <row r="4339" spans="1:4" ht="14.65" thickBot="1" x14ac:dyDescent="0.5">
      <c r="A4339" s="17">
        <v>44489.666666666664</v>
      </c>
      <c r="B4339" s="19">
        <v>307.41000000000003</v>
      </c>
      <c r="C4339" t="s">
        <v>41</v>
      </c>
      <c r="D4339" t="str">
        <f>T_Stocks[[#This Row],[Ticker]] &amp; "-" &amp; DATE(YEAR(T_Stocks[[#This Row],[Fecha]]),MONTH(T_Stocks[[#This Row],[Fecha]]),DAY(T_Stocks[[#This Row],[Fecha]]))</f>
        <v>MSFT-44489</v>
      </c>
    </row>
    <row r="4340" spans="1:4" ht="14.65" thickBot="1" x14ac:dyDescent="0.5">
      <c r="A4340" s="17">
        <v>44490.666666666664</v>
      </c>
      <c r="B4340" s="19">
        <v>310.76</v>
      </c>
      <c r="C4340" t="s">
        <v>41</v>
      </c>
      <c r="D4340" t="str">
        <f>T_Stocks[[#This Row],[Ticker]] &amp; "-" &amp; DATE(YEAR(T_Stocks[[#This Row],[Fecha]]),MONTH(T_Stocks[[#This Row],[Fecha]]),DAY(T_Stocks[[#This Row],[Fecha]]))</f>
        <v>MSFT-44490</v>
      </c>
    </row>
    <row r="4341" spans="1:4" ht="14.65" thickBot="1" x14ac:dyDescent="0.5">
      <c r="A4341" s="17">
        <v>44491.666666666664</v>
      </c>
      <c r="B4341" s="19">
        <v>309.16000000000003</v>
      </c>
      <c r="C4341" t="s">
        <v>41</v>
      </c>
      <c r="D4341" t="str">
        <f>T_Stocks[[#This Row],[Ticker]] &amp; "-" &amp; DATE(YEAR(T_Stocks[[#This Row],[Fecha]]),MONTH(T_Stocks[[#This Row],[Fecha]]),DAY(T_Stocks[[#This Row],[Fecha]]))</f>
        <v>MSFT-44491</v>
      </c>
    </row>
    <row r="4342" spans="1:4" ht="14.65" thickBot="1" x14ac:dyDescent="0.5">
      <c r="A4342" s="17">
        <v>44494.666666666664</v>
      </c>
      <c r="B4342" s="19">
        <v>308.13</v>
      </c>
      <c r="C4342" t="s">
        <v>41</v>
      </c>
      <c r="D4342" t="str">
        <f>T_Stocks[[#This Row],[Ticker]] &amp; "-" &amp; DATE(YEAR(T_Stocks[[#This Row],[Fecha]]),MONTH(T_Stocks[[#This Row],[Fecha]]),DAY(T_Stocks[[#This Row],[Fecha]]))</f>
        <v>MSFT-44494</v>
      </c>
    </row>
    <row r="4343" spans="1:4" ht="14.65" thickBot="1" x14ac:dyDescent="0.5">
      <c r="A4343" s="17">
        <v>44495.666666666664</v>
      </c>
      <c r="B4343" s="19">
        <v>310.11</v>
      </c>
      <c r="C4343" t="s">
        <v>41</v>
      </c>
      <c r="D4343" t="str">
        <f>T_Stocks[[#This Row],[Ticker]] &amp; "-" &amp; DATE(YEAR(T_Stocks[[#This Row],[Fecha]]),MONTH(T_Stocks[[#This Row],[Fecha]]),DAY(T_Stocks[[#This Row],[Fecha]]))</f>
        <v>MSFT-44495</v>
      </c>
    </row>
    <row r="4344" spans="1:4" ht="14.65" thickBot="1" x14ac:dyDescent="0.5">
      <c r="A4344" s="17">
        <v>44496.666666666664</v>
      </c>
      <c r="B4344" s="19">
        <v>323.17</v>
      </c>
      <c r="C4344" t="s">
        <v>41</v>
      </c>
      <c r="D4344" t="str">
        <f>T_Stocks[[#This Row],[Ticker]] &amp; "-" &amp; DATE(YEAR(T_Stocks[[#This Row],[Fecha]]),MONTH(T_Stocks[[#This Row],[Fecha]]),DAY(T_Stocks[[#This Row],[Fecha]]))</f>
        <v>MSFT-44496</v>
      </c>
    </row>
    <row r="4345" spans="1:4" ht="14.65" thickBot="1" x14ac:dyDescent="0.5">
      <c r="A4345" s="17">
        <v>44497.666666666664</v>
      </c>
      <c r="B4345" s="19">
        <v>324.35000000000002</v>
      </c>
      <c r="C4345" t="s">
        <v>41</v>
      </c>
      <c r="D4345" t="str">
        <f>T_Stocks[[#This Row],[Ticker]] &amp; "-" &amp; DATE(YEAR(T_Stocks[[#This Row],[Fecha]]),MONTH(T_Stocks[[#This Row],[Fecha]]),DAY(T_Stocks[[#This Row],[Fecha]]))</f>
        <v>MSFT-44497</v>
      </c>
    </row>
    <row r="4346" spans="1:4" ht="14.65" thickBot="1" x14ac:dyDescent="0.5">
      <c r="A4346" s="17">
        <v>44498.666666666664</v>
      </c>
      <c r="B4346" s="19">
        <v>331.62</v>
      </c>
      <c r="C4346" t="s">
        <v>41</v>
      </c>
      <c r="D4346" t="str">
        <f>T_Stocks[[#This Row],[Ticker]] &amp; "-" &amp; DATE(YEAR(T_Stocks[[#This Row],[Fecha]]),MONTH(T_Stocks[[#This Row],[Fecha]]),DAY(T_Stocks[[#This Row],[Fecha]]))</f>
        <v>MSFT-44498</v>
      </c>
    </row>
    <row r="4347" spans="1:4" ht="14.65" thickBot="1" x14ac:dyDescent="0.5">
      <c r="A4347" s="17">
        <v>44501.666666666664</v>
      </c>
      <c r="B4347" s="19">
        <v>329.37</v>
      </c>
      <c r="C4347" t="s">
        <v>41</v>
      </c>
      <c r="D4347" t="str">
        <f>T_Stocks[[#This Row],[Ticker]] &amp; "-" &amp; DATE(YEAR(T_Stocks[[#This Row],[Fecha]]),MONTH(T_Stocks[[#This Row],[Fecha]]),DAY(T_Stocks[[#This Row],[Fecha]]))</f>
        <v>MSFT-44501</v>
      </c>
    </row>
    <row r="4348" spans="1:4" ht="14.65" thickBot="1" x14ac:dyDescent="0.5">
      <c r="A4348" s="17">
        <v>44502.666666666664</v>
      </c>
      <c r="B4348" s="19">
        <v>333.13</v>
      </c>
      <c r="C4348" t="s">
        <v>41</v>
      </c>
      <c r="D4348" t="str">
        <f>T_Stocks[[#This Row],[Ticker]] &amp; "-" &amp; DATE(YEAR(T_Stocks[[#This Row],[Fecha]]),MONTH(T_Stocks[[#This Row],[Fecha]]),DAY(T_Stocks[[#This Row],[Fecha]]))</f>
        <v>MSFT-44502</v>
      </c>
    </row>
    <row r="4349" spans="1:4" ht="14.65" thickBot="1" x14ac:dyDescent="0.5">
      <c r="A4349" s="17">
        <v>44503.666666666664</v>
      </c>
      <c r="B4349" s="19">
        <v>334</v>
      </c>
      <c r="C4349" t="s">
        <v>41</v>
      </c>
      <c r="D4349" t="str">
        <f>T_Stocks[[#This Row],[Ticker]] &amp; "-" &amp; DATE(YEAR(T_Stocks[[#This Row],[Fecha]]),MONTH(T_Stocks[[#This Row],[Fecha]]),DAY(T_Stocks[[#This Row],[Fecha]]))</f>
        <v>MSFT-44503</v>
      </c>
    </row>
    <row r="4350" spans="1:4" ht="14.65" thickBot="1" x14ac:dyDescent="0.5">
      <c r="A4350" s="17">
        <v>44504.666666666664</v>
      </c>
      <c r="B4350" s="19">
        <v>336.44</v>
      </c>
      <c r="C4350" t="s">
        <v>41</v>
      </c>
      <c r="D4350" t="str">
        <f>T_Stocks[[#This Row],[Ticker]] &amp; "-" &amp; DATE(YEAR(T_Stocks[[#This Row],[Fecha]]),MONTH(T_Stocks[[#This Row],[Fecha]]),DAY(T_Stocks[[#This Row],[Fecha]]))</f>
        <v>MSFT-44504</v>
      </c>
    </row>
    <row r="4351" spans="1:4" ht="14.65" thickBot="1" x14ac:dyDescent="0.5">
      <c r="A4351" s="17">
        <v>44505.666666666664</v>
      </c>
      <c r="B4351" s="19">
        <v>336.06</v>
      </c>
      <c r="C4351" t="s">
        <v>41</v>
      </c>
      <c r="D4351" t="str">
        <f>T_Stocks[[#This Row],[Ticker]] &amp; "-" &amp; DATE(YEAR(T_Stocks[[#This Row],[Fecha]]),MONTH(T_Stocks[[#This Row],[Fecha]]),DAY(T_Stocks[[#This Row],[Fecha]]))</f>
        <v>MSFT-44505</v>
      </c>
    </row>
    <row r="4352" spans="1:4" ht="14.65" thickBot="1" x14ac:dyDescent="0.5">
      <c r="A4352" s="17">
        <v>44508.666666666664</v>
      </c>
      <c r="B4352" s="19">
        <v>336.99</v>
      </c>
      <c r="C4352" t="s">
        <v>41</v>
      </c>
      <c r="D4352" t="str">
        <f>T_Stocks[[#This Row],[Ticker]] &amp; "-" &amp; DATE(YEAR(T_Stocks[[#This Row],[Fecha]]),MONTH(T_Stocks[[#This Row],[Fecha]]),DAY(T_Stocks[[#This Row],[Fecha]]))</f>
        <v>MSFT-44508</v>
      </c>
    </row>
    <row r="4353" spans="1:4" ht="14.65" thickBot="1" x14ac:dyDescent="0.5">
      <c r="A4353" s="17">
        <v>44509.666666666664</v>
      </c>
      <c r="B4353" s="19">
        <v>335.95</v>
      </c>
      <c r="C4353" t="s">
        <v>41</v>
      </c>
      <c r="D4353" t="str">
        <f>T_Stocks[[#This Row],[Ticker]] &amp; "-" &amp; DATE(YEAR(T_Stocks[[#This Row],[Fecha]]),MONTH(T_Stocks[[#This Row],[Fecha]]),DAY(T_Stocks[[#This Row],[Fecha]]))</f>
        <v>MSFT-44509</v>
      </c>
    </row>
    <row r="4354" spans="1:4" ht="14.65" thickBot="1" x14ac:dyDescent="0.5">
      <c r="A4354" s="17">
        <v>44510.666666666664</v>
      </c>
      <c r="B4354" s="19">
        <v>330.8</v>
      </c>
      <c r="C4354" t="s">
        <v>41</v>
      </c>
      <c r="D4354" t="str">
        <f>T_Stocks[[#This Row],[Ticker]] &amp; "-" &amp; DATE(YEAR(T_Stocks[[#This Row],[Fecha]]),MONTH(T_Stocks[[#This Row],[Fecha]]),DAY(T_Stocks[[#This Row],[Fecha]]))</f>
        <v>MSFT-44510</v>
      </c>
    </row>
    <row r="4355" spans="1:4" ht="14.65" thickBot="1" x14ac:dyDescent="0.5">
      <c r="A4355" s="17">
        <v>44511.666666666664</v>
      </c>
      <c r="B4355" s="19">
        <v>332.43</v>
      </c>
      <c r="C4355" t="s">
        <v>41</v>
      </c>
      <c r="D4355" t="str">
        <f>T_Stocks[[#This Row],[Ticker]] &amp; "-" &amp; DATE(YEAR(T_Stocks[[#This Row],[Fecha]]),MONTH(T_Stocks[[#This Row],[Fecha]]),DAY(T_Stocks[[#This Row],[Fecha]]))</f>
        <v>MSFT-44511</v>
      </c>
    </row>
    <row r="4356" spans="1:4" ht="14.65" thickBot="1" x14ac:dyDescent="0.5">
      <c r="A4356" s="17">
        <v>44512.666666666664</v>
      </c>
      <c r="B4356" s="19">
        <v>336.72</v>
      </c>
      <c r="C4356" t="s">
        <v>41</v>
      </c>
      <c r="D4356" t="str">
        <f>T_Stocks[[#This Row],[Ticker]] &amp; "-" &amp; DATE(YEAR(T_Stocks[[#This Row],[Fecha]]),MONTH(T_Stocks[[#This Row],[Fecha]]),DAY(T_Stocks[[#This Row],[Fecha]]))</f>
        <v>MSFT-44512</v>
      </c>
    </row>
    <row r="4357" spans="1:4" ht="14.65" thickBot="1" x14ac:dyDescent="0.5">
      <c r="A4357" s="17">
        <v>44515.666666666664</v>
      </c>
      <c r="B4357" s="19">
        <v>336.07</v>
      </c>
      <c r="C4357" t="s">
        <v>41</v>
      </c>
      <c r="D4357" t="str">
        <f>T_Stocks[[#This Row],[Ticker]] &amp; "-" &amp; DATE(YEAR(T_Stocks[[#This Row],[Fecha]]),MONTH(T_Stocks[[#This Row],[Fecha]]),DAY(T_Stocks[[#This Row],[Fecha]]))</f>
        <v>MSFT-44515</v>
      </c>
    </row>
    <row r="4358" spans="1:4" ht="14.65" thickBot="1" x14ac:dyDescent="0.5">
      <c r="A4358" s="17">
        <v>44516.666666666664</v>
      </c>
      <c r="B4358" s="19">
        <v>339.51</v>
      </c>
      <c r="C4358" t="s">
        <v>41</v>
      </c>
      <c r="D4358" t="str">
        <f>T_Stocks[[#This Row],[Ticker]] &amp; "-" &amp; DATE(YEAR(T_Stocks[[#This Row],[Fecha]]),MONTH(T_Stocks[[#This Row],[Fecha]]),DAY(T_Stocks[[#This Row],[Fecha]]))</f>
        <v>MSFT-44516</v>
      </c>
    </row>
    <row r="4359" spans="1:4" ht="14.65" thickBot="1" x14ac:dyDescent="0.5">
      <c r="A4359" s="17">
        <v>44517.666666666664</v>
      </c>
      <c r="B4359" s="19">
        <v>339.12</v>
      </c>
      <c r="C4359" t="s">
        <v>41</v>
      </c>
      <c r="D4359" t="str">
        <f>T_Stocks[[#This Row],[Ticker]] &amp; "-" &amp; DATE(YEAR(T_Stocks[[#This Row],[Fecha]]),MONTH(T_Stocks[[#This Row],[Fecha]]),DAY(T_Stocks[[#This Row],[Fecha]]))</f>
        <v>MSFT-44517</v>
      </c>
    </row>
    <row r="4360" spans="1:4" ht="14.65" thickBot="1" x14ac:dyDescent="0.5">
      <c r="A4360" s="17">
        <v>44518.666666666664</v>
      </c>
      <c r="B4360" s="19">
        <v>341.27</v>
      </c>
      <c r="C4360" t="s">
        <v>41</v>
      </c>
      <c r="D4360" t="str">
        <f>T_Stocks[[#This Row],[Ticker]] &amp; "-" &amp; DATE(YEAR(T_Stocks[[#This Row],[Fecha]]),MONTH(T_Stocks[[#This Row],[Fecha]]),DAY(T_Stocks[[#This Row],[Fecha]]))</f>
        <v>MSFT-44518</v>
      </c>
    </row>
    <row r="4361" spans="1:4" ht="14.65" thickBot="1" x14ac:dyDescent="0.5">
      <c r="A4361" s="17">
        <v>44519.666666666664</v>
      </c>
      <c r="B4361" s="19">
        <v>343.11</v>
      </c>
      <c r="C4361" t="s">
        <v>41</v>
      </c>
      <c r="D4361" t="str">
        <f>T_Stocks[[#This Row],[Ticker]] &amp; "-" &amp; DATE(YEAR(T_Stocks[[#This Row],[Fecha]]),MONTH(T_Stocks[[#This Row],[Fecha]]),DAY(T_Stocks[[#This Row],[Fecha]]))</f>
        <v>MSFT-44519</v>
      </c>
    </row>
    <row r="4362" spans="1:4" ht="14.65" thickBot="1" x14ac:dyDescent="0.5">
      <c r="A4362" s="17">
        <v>44522.666666666664</v>
      </c>
      <c r="B4362" s="19">
        <v>339.83</v>
      </c>
      <c r="C4362" t="s">
        <v>41</v>
      </c>
      <c r="D4362" t="str">
        <f>T_Stocks[[#This Row],[Ticker]] &amp; "-" &amp; DATE(YEAR(T_Stocks[[#This Row],[Fecha]]),MONTH(T_Stocks[[#This Row],[Fecha]]),DAY(T_Stocks[[#This Row],[Fecha]]))</f>
        <v>MSFT-44522</v>
      </c>
    </row>
    <row r="4363" spans="1:4" ht="14.65" thickBot="1" x14ac:dyDescent="0.5">
      <c r="A4363" s="17">
        <v>44523.666666666664</v>
      </c>
      <c r="B4363" s="19">
        <v>337.68</v>
      </c>
      <c r="C4363" t="s">
        <v>41</v>
      </c>
      <c r="D4363" t="str">
        <f>T_Stocks[[#This Row],[Ticker]] &amp; "-" &amp; DATE(YEAR(T_Stocks[[#This Row],[Fecha]]),MONTH(T_Stocks[[#This Row],[Fecha]]),DAY(T_Stocks[[#This Row],[Fecha]]))</f>
        <v>MSFT-44523</v>
      </c>
    </row>
    <row r="4364" spans="1:4" ht="14.65" thickBot="1" x14ac:dyDescent="0.5">
      <c r="A4364" s="17">
        <v>44524.666666666664</v>
      </c>
      <c r="B4364" s="19">
        <v>337.91</v>
      </c>
      <c r="C4364" t="s">
        <v>41</v>
      </c>
      <c r="D4364" t="str">
        <f>T_Stocks[[#This Row],[Ticker]] &amp; "-" &amp; DATE(YEAR(T_Stocks[[#This Row],[Fecha]]),MONTH(T_Stocks[[#This Row],[Fecha]]),DAY(T_Stocks[[#This Row],[Fecha]]))</f>
        <v>MSFT-44524</v>
      </c>
    </row>
    <row r="4365" spans="1:4" ht="14.65" thickBot="1" x14ac:dyDescent="0.5">
      <c r="A4365" s="17">
        <v>44526.541666666664</v>
      </c>
      <c r="B4365" s="19">
        <v>329.68</v>
      </c>
      <c r="C4365" t="s">
        <v>41</v>
      </c>
      <c r="D4365" t="str">
        <f>T_Stocks[[#This Row],[Ticker]] &amp; "-" &amp; DATE(YEAR(T_Stocks[[#This Row],[Fecha]]),MONTH(T_Stocks[[#This Row],[Fecha]]),DAY(T_Stocks[[#This Row],[Fecha]]))</f>
        <v>MSFT-44526</v>
      </c>
    </row>
    <row r="4366" spans="1:4" ht="14.65" thickBot="1" x14ac:dyDescent="0.5">
      <c r="A4366" s="17">
        <v>44529.666666666664</v>
      </c>
      <c r="B4366" s="19">
        <v>336.63</v>
      </c>
      <c r="C4366" t="s">
        <v>41</v>
      </c>
      <c r="D4366" t="str">
        <f>T_Stocks[[#This Row],[Ticker]] &amp; "-" &amp; DATE(YEAR(T_Stocks[[#This Row],[Fecha]]),MONTH(T_Stocks[[#This Row],[Fecha]]),DAY(T_Stocks[[#This Row],[Fecha]]))</f>
        <v>MSFT-44529</v>
      </c>
    </row>
    <row r="4367" spans="1:4" ht="14.65" thickBot="1" x14ac:dyDescent="0.5">
      <c r="A4367" s="17">
        <v>44530.666666666664</v>
      </c>
      <c r="B4367" s="19">
        <v>330.59</v>
      </c>
      <c r="C4367" t="s">
        <v>41</v>
      </c>
      <c r="D4367" t="str">
        <f>T_Stocks[[#This Row],[Ticker]] &amp; "-" &amp; DATE(YEAR(T_Stocks[[#This Row],[Fecha]]),MONTH(T_Stocks[[#This Row],[Fecha]]),DAY(T_Stocks[[#This Row],[Fecha]]))</f>
        <v>MSFT-44530</v>
      </c>
    </row>
    <row r="4368" spans="1:4" ht="14.65" thickBot="1" x14ac:dyDescent="0.5">
      <c r="A4368" s="17">
        <v>44531.666666666664</v>
      </c>
      <c r="B4368" s="19">
        <v>330.08</v>
      </c>
      <c r="C4368" t="s">
        <v>41</v>
      </c>
      <c r="D4368" t="str">
        <f>T_Stocks[[#This Row],[Ticker]] &amp; "-" &amp; DATE(YEAR(T_Stocks[[#This Row],[Fecha]]),MONTH(T_Stocks[[#This Row],[Fecha]]),DAY(T_Stocks[[#This Row],[Fecha]]))</f>
        <v>MSFT-44531</v>
      </c>
    </row>
    <row r="4369" spans="1:4" ht="14.65" thickBot="1" x14ac:dyDescent="0.5">
      <c r="A4369" s="17">
        <v>44532.666666666664</v>
      </c>
      <c r="B4369" s="19">
        <v>329.49</v>
      </c>
      <c r="C4369" t="s">
        <v>41</v>
      </c>
      <c r="D4369" t="str">
        <f>T_Stocks[[#This Row],[Ticker]] &amp; "-" &amp; DATE(YEAR(T_Stocks[[#This Row],[Fecha]]),MONTH(T_Stocks[[#This Row],[Fecha]]),DAY(T_Stocks[[#This Row],[Fecha]]))</f>
        <v>MSFT-44532</v>
      </c>
    </row>
    <row r="4370" spans="1:4" ht="14.65" thickBot="1" x14ac:dyDescent="0.5">
      <c r="A4370" s="17">
        <v>44533.666666666664</v>
      </c>
      <c r="B4370" s="19">
        <v>323.01</v>
      </c>
      <c r="C4370" t="s">
        <v>41</v>
      </c>
      <c r="D4370" t="str">
        <f>T_Stocks[[#This Row],[Ticker]] &amp; "-" &amp; DATE(YEAR(T_Stocks[[#This Row],[Fecha]]),MONTH(T_Stocks[[#This Row],[Fecha]]),DAY(T_Stocks[[#This Row],[Fecha]]))</f>
        <v>MSFT-44533</v>
      </c>
    </row>
    <row r="4371" spans="1:4" ht="14.65" thickBot="1" x14ac:dyDescent="0.5">
      <c r="A4371" s="17">
        <v>44536.666666666664</v>
      </c>
      <c r="B4371" s="19">
        <v>326.19</v>
      </c>
      <c r="C4371" t="s">
        <v>41</v>
      </c>
      <c r="D4371" t="str">
        <f>T_Stocks[[#This Row],[Ticker]] &amp; "-" &amp; DATE(YEAR(T_Stocks[[#This Row],[Fecha]]),MONTH(T_Stocks[[#This Row],[Fecha]]),DAY(T_Stocks[[#This Row],[Fecha]]))</f>
        <v>MSFT-44536</v>
      </c>
    </row>
    <row r="4372" spans="1:4" ht="14.65" thickBot="1" x14ac:dyDescent="0.5">
      <c r="A4372" s="17">
        <v>44537.666666666664</v>
      </c>
      <c r="B4372" s="19">
        <v>334.92</v>
      </c>
      <c r="C4372" t="s">
        <v>41</v>
      </c>
      <c r="D4372" t="str">
        <f>T_Stocks[[#This Row],[Ticker]] &amp; "-" &amp; DATE(YEAR(T_Stocks[[#This Row],[Fecha]]),MONTH(T_Stocks[[#This Row],[Fecha]]),DAY(T_Stocks[[#This Row],[Fecha]]))</f>
        <v>MSFT-44537</v>
      </c>
    </row>
    <row r="4373" spans="1:4" ht="14.65" thickBot="1" x14ac:dyDescent="0.5">
      <c r="A4373" s="17">
        <v>44538.666666666664</v>
      </c>
      <c r="B4373" s="19">
        <v>334.97</v>
      </c>
      <c r="C4373" t="s">
        <v>41</v>
      </c>
      <c r="D4373" t="str">
        <f>T_Stocks[[#This Row],[Ticker]] &amp; "-" &amp; DATE(YEAR(T_Stocks[[#This Row],[Fecha]]),MONTH(T_Stocks[[#This Row],[Fecha]]),DAY(T_Stocks[[#This Row],[Fecha]]))</f>
        <v>MSFT-44538</v>
      </c>
    </row>
    <row r="4374" spans="1:4" ht="14.65" thickBot="1" x14ac:dyDescent="0.5">
      <c r="A4374" s="17">
        <v>44539.666666666664</v>
      </c>
      <c r="B4374" s="19">
        <v>333.1</v>
      </c>
      <c r="C4374" t="s">
        <v>41</v>
      </c>
      <c r="D4374" t="str">
        <f>T_Stocks[[#This Row],[Ticker]] &amp; "-" &amp; DATE(YEAR(T_Stocks[[#This Row],[Fecha]]),MONTH(T_Stocks[[#This Row],[Fecha]]),DAY(T_Stocks[[#This Row],[Fecha]]))</f>
        <v>MSFT-44539</v>
      </c>
    </row>
    <row r="4375" spans="1:4" ht="14.65" thickBot="1" x14ac:dyDescent="0.5">
      <c r="A4375" s="17">
        <v>44540.666666666664</v>
      </c>
      <c r="B4375" s="19">
        <v>342.54</v>
      </c>
      <c r="C4375" t="s">
        <v>41</v>
      </c>
      <c r="D4375" t="str">
        <f>T_Stocks[[#This Row],[Ticker]] &amp; "-" &amp; DATE(YEAR(T_Stocks[[#This Row],[Fecha]]),MONTH(T_Stocks[[#This Row],[Fecha]]),DAY(T_Stocks[[#This Row],[Fecha]]))</f>
        <v>MSFT-44540</v>
      </c>
    </row>
    <row r="4376" spans="1:4" ht="14.65" thickBot="1" x14ac:dyDescent="0.5">
      <c r="A4376" s="17">
        <v>44543.666666666664</v>
      </c>
      <c r="B4376" s="19">
        <v>339.4</v>
      </c>
      <c r="C4376" t="s">
        <v>41</v>
      </c>
      <c r="D4376" t="str">
        <f>T_Stocks[[#This Row],[Ticker]] &amp; "-" &amp; DATE(YEAR(T_Stocks[[#This Row],[Fecha]]),MONTH(T_Stocks[[#This Row],[Fecha]]),DAY(T_Stocks[[#This Row],[Fecha]]))</f>
        <v>MSFT-44543</v>
      </c>
    </row>
    <row r="4377" spans="1:4" ht="14.65" thickBot="1" x14ac:dyDescent="0.5">
      <c r="A4377" s="17">
        <v>44544.666666666664</v>
      </c>
      <c r="B4377" s="19">
        <v>328.34</v>
      </c>
      <c r="C4377" t="s">
        <v>41</v>
      </c>
      <c r="D4377" t="str">
        <f>T_Stocks[[#This Row],[Ticker]] &amp; "-" &amp; DATE(YEAR(T_Stocks[[#This Row],[Fecha]]),MONTH(T_Stocks[[#This Row],[Fecha]]),DAY(T_Stocks[[#This Row],[Fecha]]))</f>
        <v>MSFT-44544</v>
      </c>
    </row>
    <row r="4378" spans="1:4" ht="14.65" thickBot="1" x14ac:dyDescent="0.5">
      <c r="A4378" s="17">
        <v>44545.666666666664</v>
      </c>
      <c r="B4378" s="19">
        <v>334.65</v>
      </c>
      <c r="C4378" t="s">
        <v>41</v>
      </c>
      <c r="D4378" t="str">
        <f>T_Stocks[[#This Row],[Ticker]] &amp; "-" &amp; DATE(YEAR(T_Stocks[[#This Row],[Fecha]]),MONTH(T_Stocks[[#This Row],[Fecha]]),DAY(T_Stocks[[#This Row],[Fecha]]))</f>
        <v>MSFT-44545</v>
      </c>
    </row>
    <row r="4379" spans="1:4" ht="14.65" thickBot="1" x14ac:dyDescent="0.5">
      <c r="A4379" s="17">
        <v>44546.666666666664</v>
      </c>
      <c r="B4379" s="19">
        <v>324.89999999999998</v>
      </c>
      <c r="C4379" t="s">
        <v>41</v>
      </c>
      <c r="D4379" t="str">
        <f>T_Stocks[[#This Row],[Ticker]] &amp; "-" &amp; DATE(YEAR(T_Stocks[[#This Row],[Fecha]]),MONTH(T_Stocks[[#This Row],[Fecha]]),DAY(T_Stocks[[#This Row],[Fecha]]))</f>
        <v>MSFT-44546</v>
      </c>
    </row>
    <row r="4380" spans="1:4" ht="14.65" thickBot="1" x14ac:dyDescent="0.5">
      <c r="A4380" s="17">
        <v>44547.666666666664</v>
      </c>
      <c r="B4380" s="19">
        <v>323.8</v>
      </c>
      <c r="C4380" t="s">
        <v>41</v>
      </c>
      <c r="D4380" t="str">
        <f>T_Stocks[[#This Row],[Ticker]] &amp; "-" &amp; DATE(YEAR(T_Stocks[[#This Row],[Fecha]]),MONTH(T_Stocks[[#This Row],[Fecha]]),DAY(T_Stocks[[#This Row],[Fecha]]))</f>
        <v>MSFT-44547</v>
      </c>
    </row>
    <row r="4381" spans="1:4" ht="14.65" thickBot="1" x14ac:dyDescent="0.5">
      <c r="A4381" s="17">
        <v>44550.666666666664</v>
      </c>
      <c r="B4381" s="19">
        <v>319.91000000000003</v>
      </c>
      <c r="C4381" t="s">
        <v>41</v>
      </c>
      <c r="D4381" t="str">
        <f>T_Stocks[[#This Row],[Ticker]] &amp; "-" &amp; DATE(YEAR(T_Stocks[[#This Row],[Fecha]]),MONTH(T_Stocks[[#This Row],[Fecha]]),DAY(T_Stocks[[#This Row],[Fecha]]))</f>
        <v>MSFT-44550</v>
      </c>
    </row>
    <row r="4382" spans="1:4" ht="14.65" thickBot="1" x14ac:dyDescent="0.5">
      <c r="A4382" s="17">
        <v>44551.666666666664</v>
      </c>
      <c r="B4382" s="19">
        <v>327.29000000000002</v>
      </c>
      <c r="C4382" t="s">
        <v>41</v>
      </c>
      <c r="D4382" t="str">
        <f>T_Stocks[[#This Row],[Ticker]] &amp; "-" &amp; DATE(YEAR(T_Stocks[[#This Row],[Fecha]]),MONTH(T_Stocks[[#This Row],[Fecha]]),DAY(T_Stocks[[#This Row],[Fecha]]))</f>
        <v>MSFT-44551</v>
      </c>
    </row>
    <row r="4383" spans="1:4" ht="14.65" thickBot="1" x14ac:dyDescent="0.5">
      <c r="A4383" s="17">
        <v>44552.666666666664</v>
      </c>
      <c r="B4383" s="19">
        <v>333.2</v>
      </c>
      <c r="C4383" t="s">
        <v>41</v>
      </c>
      <c r="D4383" t="str">
        <f>T_Stocks[[#This Row],[Ticker]] &amp; "-" &amp; DATE(YEAR(T_Stocks[[#This Row],[Fecha]]),MONTH(T_Stocks[[#This Row],[Fecha]]),DAY(T_Stocks[[#This Row],[Fecha]]))</f>
        <v>MSFT-44552</v>
      </c>
    </row>
    <row r="4384" spans="1:4" ht="14.65" thickBot="1" x14ac:dyDescent="0.5">
      <c r="A4384" s="17">
        <v>44553.666666666664</v>
      </c>
      <c r="B4384" s="19">
        <v>334.69</v>
      </c>
      <c r="C4384" t="s">
        <v>41</v>
      </c>
      <c r="D4384" t="str">
        <f>T_Stocks[[#This Row],[Ticker]] &amp; "-" &amp; DATE(YEAR(T_Stocks[[#This Row],[Fecha]]),MONTH(T_Stocks[[#This Row],[Fecha]]),DAY(T_Stocks[[#This Row],[Fecha]]))</f>
        <v>MSFT-44553</v>
      </c>
    </row>
    <row r="4385" spans="1:4" ht="14.65" thickBot="1" x14ac:dyDescent="0.5">
      <c r="A4385" s="17">
        <v>44557.666666666664</v>
      </c>
      <c r="B4385" s="19">
        <v>342.45</v>
      </c>
      <c r="C4385" t="s">
        <v>41</v>
      </c>
      <c r="D4385" t="str">
        <f>T_Stocks[[#This Row],[Ticker]] &amp; "-" &amp; DATE(YEAR(T_Stocks[[#This Row],[Fecha]]),MONTH(T_Stocks[[#This Row],[Fecha]]),DAY(T_Stocks[[#This Row],[Fecha]]))</f>
        <v>MSFT-44557</v>
      </c>
    </row>
    <row r="4386" spans="1:4" ht="14.65" thickBot="1" x14ac:dyDescent="0.5">
      <c r="A4386" s="17">
        <v>44558.666666666664</v>
      </c>
      <c r="B4386" s="19">
        <v>341.25</v>
      </c>
      <c r="C4386" t="s">
        <v>41</v>
      </c>
      <c r="D4386" t="str">
        <f>T_Stocks[[#This Row],[Ticker]] &amp; "-" &amp; DATE(YEAR(T_Stocks[[#This Row],[Fecha]]),MONTH(T_Stocks[[#This Row],[Fecha]]),DAY(T_Stocks[[#This Row],[Fecha]]))</f>
        <v>MSFT-44558</v>
      </c>
    </row>
    <row r="4387" spans="1:4" ht="14.65" thickBot="1" x14ac:dyDescent="0.5">
      <c r="A4387" s="17">
        <v>44559.666666666664</v>
      </c>
      <c r="B4387" s="19">
        <v>341.95</v>
      </c>
      <c r="C4387" t="s">
        <v>41</v>
      </c>
      <c r="D4387" t="str">
        <f>T_Stocks[[#This Row],[Ticker]] &amp; "-" &amp; DATE(YEAR(T_Stocks[[#This Row],[Fecha]]),MONTH(T_Stocks[[#This Row],[Fecha]]),DAY(T_Stocks[[#This Row],[Fecha]]))</f>
        <v>MSFT-44559</v>
      </c>
    </row>
    <row r="4388" spans="1:4" ht="14.65" thickBot="1" x14ac:dyDescent="0.5">
      <c r="A4388" s="17">
        <v>44560.666666666664</v>
      </c>
      <c r="B4388" s="19">
        <v>339.32</v>
      </c>
      <c r="C4388" t="s">
        <v>41</v>
      </c>
      <c r="D4388" t="str">
        <f>T_Stocks[[#This Row],[Ticker]] &amp; "-" &amp; DATE(YEAR(T_Stocks[[#This Row],[Fecha]]),MONTH(T_Stocks[[#This Row],[Fecha]]),DAY(T_Stocks[[#This Row],[Fecha]]))</f>
        <v>MSFT-44560</v>
      </c>
    </row>
    <row r="4389" spans="1:4" ht="14.65" thickBot="1" x14ac:dyDescent="0.5">
      <c r="A4389" s="17">
        <v>44561.666666666664</v>
      </c>
      <c r="B4389" s="19">
        <v>336.32</v>
      </c>
      <c r="C4389" t="s">
        <v>41</v>
      </c>
      <c r="D4389" t="str">
        <f>T_Stocks[[#This Row],[Ticker]] &amp; "-" &amp; DATE(YEAR(T_Stocks[[#This Row],[Fecha]]),MONTH(T_Stocks[[#This Row],[Fecha]]),DAY(T_Stocks[[#This Row],[Fecha]]))</f>
        <v>MSFT-44561</v>
      </c>
    </row>
    <row r="4390" spans="1:4" ht="14.65" thickBot="1" x14ac:dyDescent="0.5">
      <c r="A4390" s="17">
        <v>44564.666666666664</v>
      </c>
      <c r="B4390" s="19">
        <v>334.75</v>
      </c>
      <c r="C4390" t="s">
        <v>41</v>
      </c>
      <c r="D4390" t="str">
        <f>T_Stocks[[#This Row],[Ticker]] &amp; "-" &amp; DATE(YEAR(T_Stocks[[#This Row],[Fecha]]),MONTH(T_Stocks[[#This Row],[Fecha]]),DAY(T_Stocks[[#This Row],[Fecha]]))</f>
        <v>MSFT-44564</v>
      </c>
    </row>
    <row r="4391" spans="1:4" ht="14.65" thickBot="1" x14ac:dyDescent="0.5">
      <c r="A4391" s="17">
        <v>44565.666666666664</v>
      </c>
      <c r="B4391" s="19">
        <v>329.01</v>
      </c>
      <c r="C4391" t="s">
        <v>41</v>
      </c>
      <c r="D4391" t="str">
        <f>T_Stocks[[#This Row],[Ticker]] &amp; "-" &amp; DATE(YEAR(T_Stocks[[#This Row],[Fecha]]),MONTH(T_Stocks[[#This Row],[Fecha]]),DAY(T_Stocks[[#This Row],[Fecha]]))</f>
        <v>MSFT-44565</v>
      </c>
    </row>
    <row r="4392" spans="1:4" ht="14.65" thickBot="1" x14ac:dyDescent="0.5">
      <c r="A4392" s="17">
        <v>44566.666666666664</v>
      </c>
      <c r="B4392" s="19">
        <v>316.38</v>
      </c>
      <c r="C4392" t="s">
        <v>41</v>
      </c>
      <c r="D4392" t="str">
        <f>T_Stocks[[#This Row],[Ticker]] &amp; "-" &amp; DATE(YEAR(T_Stocks[[#This Row],[Fecha]]),MONTH(T_Stocks[[#This Row],[Fecha]]),DAY(T_Stocks[[#This Row],[Fecha]]))</f>
        <v>MSFT-44566</v>
      </c>
    </row>
    <row r="4393" spans="1:4" ht="14.65" thickBot="1" x14ac:dyDescent="0.5">
      <c r="A4393" s="17">
        <v>44567.666666666664</v>
      </c>
      <c r="B4393" s="19">
        <v>313.88</v>
      </c>
      <c r="C4393" t="s">
        <v>41</v>
      </c>
      <c r="D4393" t="str">
        <f>T_Stocks[[#This Row],[Ticker]] &amp; "-" &amp; DATE(YEAR(T_Stocks[[#This Row],[Fecha]]),MONTH(T_Stocks[[#This Row],[Fecha]]),DAY(T_Stocks[[#This Row],[Fecha]]))</f>
        <v>MSFT-44567</v>
      </c>
    </row>
    <row r="4394" spans="1:4" ht="14.65" thickBot="1" x14ac:dyDescent="0.5">
      <c r="A4394" s="17">
        <v>44568.666666666664</v>
      </c>
      <c r="B4394" s="19">
        <v>314.04000000000002</v>
      </c>
      <c r="C4394" t="s">
        <v>41</v>
      </c>
      <c r="D4394" t="str">
        <f>T_Stocks[[#This Row],[Ticker]] &amp; "-" &amp; DATE(YEAR(T_Stocks[[#This Row],[Fecha]]),MONTH(T_Stocks[[#This Row],[Fecha]]),DAY(T_Stocks[[#This Row],[Fecha]]))</f>
        <v>MSFT-44568</v>
      </c>
    </row>
    <row r="4395" spans="1:4" ht="14.65" thickBot="1" x14ac:dyDescent="0.5">
      <c r="A4395" s="17">
        <v>44571.666666666664</v>
      </c>
      <c r="B4395" s="19">
        <v>314.27</v>
      </c>
      <c r="C4395" t="s">
        <v>41</v>
      </c>
      <c r="D4395" t="str">
        <f>T_Stocks[[#This Row],[Ticker]] &amp; "-" &amp; DATE(YEAR(T_Stocks[[#This Row],[Fecha]]),MONTH(T_Stocks[[#This Row],[Fecha]]),DAY(T_Stocks[[#This Row],[Fecha]]))</f>
        <v>MSFT-44571</v>
      </c>
    </row>
    <row r="4396" spans="1:4" ht="14.65" thickBot="1" x14ac:dyDescent="0.5">
      <c r="A4396" s="17">
        <v>44572.666666666664</v>
      </c>
      <c r="B4396" s="19">
        <v>314.98</v>
      </c>
      <c r="C4396" t="s">
        <v>41</v>
      </c>
      <c r="D4396" t="str">
        <f>T_Stocks[[#This Row],[Ticker]] &amp; "-" &amp; DATE(YEAR(T_Stocks[[#This Row],[Fecha]]),MONTH(T_Stocks[[#This Row],[Fecha]]),DAY(T_Stocks[[#This Row],[Fecha]]))</f>
        <v>MSFT-44572</v>
      </c>
    </row>
    <row r="4397" spans="1:4" ht="14.65" thickBot="1" x14ac:dyDescent="0.5">
      <c r="A4397" s="17">
        <v>44573.666666666664</v>
      </c>
      <c r="B4397" s="19">
        <v>318.27</v>
      </c>
      <c r="C4397" t="s">
        <v>41</v>
      </c>
      <c r="D4397" t="str">
        <f>T_Stocks[[#This Row],[Ticker]] &amp; "-" &amp; DATE(YEAR(T_Stocks[[#This Row],[Fecha]]),MONTH(T_Stocks[[#This Row],[Fecha]]),DAY(T_Stocks[[#This Row],[Fecha]]))</f>
        <v>MSFT-44573</v>
      </c>
    </row>
    <row r="4398" spans="1:4" ht="14.65" thickBot="1" x14ac:dyDescent="0.5">
      <c r="A4398" s="17">
        <v>44574.666666666664</v>
      </c>
      <c r="B4398" s="19">
        <v>304.8</v>
      </c>
      <c r="C4398" t="s">
        <v>41</v>
      </c>
      <c r="D4398" t="str">
        <f>T_Stocks[[#This Row],[Ticker]] &amp; "-" &amp; DATE(YEAR(T_Stocks[[#This Row],[Fecha]]),MONTH(T_Stocks[[#This Row],[Fecha]]),DAY(T_Stocks[[#This Row],[Fecha]]))</f>
        <v>MSFT-44574</v>
      </c>
    </row>
    <row r="4399" spans="1:4" ht="14.65" thickBot="1" x14ac:dyDescent="0.5">
      <c r="A4399" s="17">
        <v>44575.666666666664</v>
      </c>
      <c r="B4399" s="19">
        <v>310.2</v>
      </c>
      <c r="C4399" t="s">
        <v>41</v>
      </c>
      <c r="D4399" t="str">
        <f>T_Stocks[[#This Row],[Ticker]] &amp; "-" &amp; DATE(YEAR(T_Stocks[[#This Row],[Fecha]]),MONTH(T_Stocks[[#This Row],[Fecha]]),DAY(T_Stocks[[#This Row],[Fecha]]))</f>
        <v>MSFT-44575</v>
      </c>
    </row>
    <row r="4400" spans="1:4" ht="14.65" thickBot="1" x14ac:dyDescent="0.5">
      <c r="A4400" s="17">
        <v>44579.666666666664</v>
      </c>
      <c r="B4400" s="19">
        <v>302.64999999999998</v>
      </c>
      <c r="C4400" t="s">
        <v>41</v>
      </c>
      <c r="D4400" t="str">
        <f>T_Stocks[[#This Row],[Ticker]] &amp; "-" &amp; DATE(YEAR(T_Stocks[[#This Row],[Fecha]]),MONTH(T_Stocks[[#This Row],[Fecha]]),DAY(T_Stocks[[#This Row],[Fecha]]))</f>
        <v>MSFT-44579</v>
      </c>
    </row>
    <row r="4401" spans="1:4" ht="14.65" thickBot="1" x14ac:dyDescent="0.5">
      <c r="A4401" s="17">
        <v>44580.666666666664</v>
      </c>
      <c r="B4401" s="19">
        <v>303.33</v>
      </c>
      <c r="C4401" t="s">
        <v>41</v>
      </c>
      <c r="D4401" t="str">
        <f>T_Stocks[[#This Row],[Ticker]] &amp; "-" &amp; DATE(YEAR(T_Stocks[[#This Row],[Fecha]]),MONTH(T_Stocks[[#This Row],[Fecha]]),DAY(T_Stocks[[#This Row],[Fecha]]))</f>
        <v>MSFT-44580</v>
      </c>
    </row>
    <row r="4402" spans="1:4" ht="14.65" thickBot="1" x14ac:dyDescent="0.5">
      <c r="A4402" s="17">
        <v>44581.666666666664</v>
      </c>
      <c r="B4402" s="19">
        <v>301.60000000000002</v>
      </c>
      <c r="C4402" t="s">
        <v>41</v>
      </c>
      <c r="D4402" t="str">
        <f>T_Stocks[[#This Row],[Ticker]] &amp; "-" &amp; DATE(YEAR(T_Stocks[[#This Row],[Fecha]]),MONTH(T_Stocks[[#This Row],[Fecha]]),DAY(T_Stocks[[#This Row],[Fecha]]))</f>
        <v>MSFT-44581</v>
      </c>
    </row>
    <row r="4403" spans="1:4" ht="14.65" thickBot="1" x14ac:dyDescent="0.5">
      <c r="A4403" s="17">
        <v>44582.666666666664</v>
      </c>
      <c r="B4403" s="19">
        <v>296.02999999999997</v>
      </c>
      <c r="C4403" t="s">
        <v>41</v>
      </c>
      <c r="D4403" t="str">
        <f>T_Stocks[[#This Row],[Ticker]] &amp; "-" &amp; DATE(YEAR(T_Stocks[[#This Row],[Fecha]]),MONTH(T_Stocks[[#This Row],[Fecha]]),DAY(T_Stocks[[#This Row],[Fecha]]))</f>
        <v>MSFT-44582</v>
      </c>
    </row>
    <row r="4404" spans="1:4" ht="14.65" thickBot="1" x14ac:dyDescent="0.5">
      <c r="A4404" s="17">
        <v>44585.666666666664</v>
      </c>
      <c r="B4404" s="19">
        <v>296.37</v>
      </c>
      <c r="C4404" t="s">
        <v>41</v>
      </c>
      <c r="D4404" t="str">
        <f>T_Stocks[[#This Row],[Ticker]] &amp; "-" &amp; DATE(YEAR(T_Stocks[[#This Row],[Fecha]]),MONTH(T_Stocks[[#This Row],[Fecha]]),DAY(T_Stocks[[#This Row],[Fecha]]))</f>
        <v>MSFT-44585</v>
      </c>
    </row>
    <row r="4405" spans="1:4" ht="14.65" thickBot="1" x14ac:dyDescent="0.5">
      <c r="A4405" s="17">
        <v>44586.666666666664</v>
      </c>
      <c r="B4405" s="19">
        <v>288.49</v>
      </c>
      <c r="C4405" t="s">
        <v>41</v>
      </c>
      <c r="D4405" t="str">
        <f>T_Stocks[[#This Row],[Ticker]] &amp; "-" &amp; DATE(YEAR(T_Stocks[[#This Row],[Fecha]]),MONTH(T_Stocks[[#This Row],[Fecha]]),DAY(T_Stocks[[#This Row],[Fecha]]))</f>
        <v>MSFT-44586</v>
      </c>
    </row>
    <row r="4406" spans="1:4" ht="14.65" thickBot="1" x14ac:dyDescent="0.5">
      <c r="A4406" s="17">
        <v>44587.666666666664</v>
      </c>
      <c r="B4406" s="19">
        <v>296.70999999999998</v>
      </c>
      <c r="C4406" t="s">
        <v>41</v>
      </c>
      <c r="D4406" t="str">
        <f>T_Stocks[[#This Row],[Ticker]] &amp; "-" &amp; DATE(YEAR(T_Stocks[[#This Row],[Fecha]]),MONTH(T_Stocks[[#This Row],[Fecha]]),DAY(T_Stocks[[#This Row],[Fecha]]))</f>
        <v>MSFT-44587</v>
      </c>
    </row>
    <row r="4407" spans="1:4" ht="14.65" thickBot="1" x14ac:dyDescent="0.5">
      <c r="A4407" s="17">
        <v>44588.666666666664</v>
      </c>
      <c r="B4407" s="19">
        <v>299.83999999999997</v>
      </c>
      <c r="C4407" t="s">
        <v>41</v>
      </c>
      <c r="D4407" t="str">
        <f>T_Stocks[[#This Row],[Ticker]] &amp; "-" &amp; DATE(YEAR(T_Stocks[[#This Row],[Fecha]]),MONTH(T_Stocks[[#This Row],[Fecha]]),DAY(T_Stocks[[#This Row],[Fecha]]))</f>
        <v>MSFT-44588</v>
      </c>
    </row>
    <row r="4408" spans="1:4" ht="14.65" thickBot="1" x14ac:dyDescent="0.5">
      <c r="A4408" s="17">
        <v>44589.666666666664</v>
      </c>
      <c r="B4408" s="19">
        <v>308.26</v>
      </c>
      <c r="C4408" t="s">
        <v>41</v>
      </c>
      <c r="D4408" t="str">
        <f>T_Stocks[[#This Row],[Ticker]] &amp; "-" &amp; DATE(YEAR(T_Stocks[[#This Row],[Fecha]]),MONTH(T_Stocks[[#This Row],[Fecha]]),DAY(T_Stocks[[#This Row],[Fecha]]))</f>
        <v>MSFT-44589</v>
      </c>
    </row>
    <row r="4409" spans="1:4" ht="14.65" thickBot="1" x14ac:dyDescent="0.5">
      <c r="A4409" s="17">
        <v>44592.666666666664</v>
      </c>
      <c r="B4409" s="19">
        <v>310.98</v>
      </c>
      <c r="C4409" t="s">
        <v>41</v>
      </c>
      <c r="D4409" t="str">
        <f>T_Stocks[[#This Row],[Ticker]] &amp; "-" &amp; DATE(YEAR(T_Stocks[[#This Row],[Fecha]]),MONTH(T_Stocks[[#This Row],[Fecha]]),DAY(T_Stocks[[#This Row],[Fecha]]))</f>
        <v>MSFT-44592</v>
      </c>
    </row>
    <row r="4410" spans="1:4" ht="14.65" thickBot="1" x14ac:dyDescent="0.5">
      <c r="A4410" s="17">
        <v>44593.666666666664</v>
      </c>
      <c r="B4410" s="19">
        <v>308.76</v>
      </c>
      <c r="C4410" t="s">
        <v>41</v>
      </c>
      <c r="D4410" t="str">
        <f>T_Stocks[[#This Row],[Ticker]] &amp; "-" &amp; DATE(YEAR(T_Stocks[[#This Row],[Fecha]]),MONTH(T_Stocks[[#This Row],[Fecha]]),DAY(T_Stocks[[#This Row],[Fecha]]))</f>
        <v>MSFT-44593</v>
      </c>
    </row>
    <row r="4411" spans="1:4" ht="14.65" thickBot="1" x14ac:dyDescent="0.5">
      <c r="A4411" s="17">
        <v>44594.666666666664</v>
      </c>
      <c r="B4411" s="19">
        <v>313.45999999999998</v>
      </c>
      <c r="C4411" t="s">
        <v>41</v>
      </c>
      <c r="D4411" t="str">
        <f>T_Stocks[[#This Row],[Ticker]] &amp; "-" &amp; DATE(YEAR(T_Stocks[[#This Row],[Fecha]]),MONTH(T_Stocks[[#This Row],[Fecha]]),DAY(T_Stocks[[#This Row],[Fecha]]))</f>
        <v>MSFT-44594</v>
      </c>
    </row>
    <row r="4412" spans="1:4" ht="14.65" thickBot="1" x14ac:dyDescent="0.5">
      <c r="A4412" s="17">
        <v>44595.666666666664</v>
      </c>
      <c r="B4412" s="19">
        <v>301.25</v>
      </c>
      <c r="C4412" t="s">
        <v>41</v>
      </c>
      <c r="D4412" t="str">
        <f>T_Stocks[[#This Row],[Ticker]] &amp; "-" &amp; DATE(YEAR(T_Stocks[[#This Row],[Fecha]]),MONTH(T_Stocks[[#This Row],[Fecha]]),DAY(T_Stocks[[#This Row],[Fecha]]))</f>
        <v>MSFT-44595</v>
      </c>
    </row>
    <row r="4413" spans="1:4" ht="14.65" thickBot="1" x14ac:dyDescent="0.5">
      <c r="A4413" s="17">
        <v>44596.666666666664</v>
      </c>
      <c r="B4413" s="19">
        <v>305.94</v>
      </c>
      <c r="C4413" t="s">
        <v>41</v>
      </c>
      <c r="D4413" t="str">
        <f>T_Stocks[[#This Row],[Ticker]] &amp; "-" &amp; DATE(YEAR(T_Stocks[[#This Row],[Fecha]]),MONTH(T_Stocks[[#This Row],[Fecha]]),DAY(T_Stocks[[#This Row],[Fecha]]))</f>
        <v>MSFT-44596</v>
      </c>
    </row>
    <row r="4414" spans="1:4" ht="14.65" thickBot="1" x14ac:dyDescent="0.5">
      <c r="A4414" s="17">
        <v>44599.666666666664</v>
      </c>
      <c r="B4414" s="19">
        <v>300.95</v>
      </c>
      <c r="C4414" t="s">
        <v>41</v>
      </c>
      <c r="D4414" t="str">
        <f>T_Stocks[[#This Row],[Ticker]] &amp; "-" &amp; DATE(YEAR(T_Stocks[[#This Row],[Fecha]]),MONTH(T_Stocks[[#This Row],[Fecha]]),DAY(T_Stocks[[#This Row],[Fecha]]))</f>
        <v>MSFT-44599</v>
      </c>
    </row>
    <row r="4415" spans="1:4" ht="14.65" thickBot="1" x14ac:dyDescent="0.5">
      <c r="A4415" s="17">
        <v>44600.666666666664</v>
      </c>
      <c r="B4415" s="19">
        <v>304.56</v>
      </c>
      <c r="C4415" t="s">
        <v>41</v>
      </c>
      <c r="D4415" t="str">
        <f>T_Stocks[[#This Row],[Ticker]] &amp; "-" &amp; DATE(YEAR(T_Stocks[[#This Row],[Fecha]]),MONTH(T_Stocks[[#This Row],[Fecha]]),DAY(T_Stocks[[#This Row],[Fecha]]))</f>
        <v>MSFT-44600</v>
      </c>
    </row>
    <row r="4416" spans="1:4" ht="14.65" thickBot="1" x14ac:dyDescent="0.5">
      <c r="A4416" s="17">
        <v>44601.666666666664</v>
      </c>
      <c r="B4416" s="19">
        <v>311.20999999999998</v>
      </c>
      <c r="C4416" t="s">
        <v>41</v>
      </c>
      <c r="D4416" t="str">
        <f>T_Stocks[[#This Row],[Ticker]] &amp; "-" &amp; DATE(YEAR(T_Stocks[[#This Row],[Fecha]]),MONTH(T_Stocks[[#This Row],[Fecha]]),DAY(T_Stocks[[#This Row],[Fecha]]))</f>
        <v>MSFT-44601</v>
      </c>
    </row>
    <row r="4417" spans="1:4" ht="14.65" thickBot="1" x14ac:dyDescent="0.5">
      <c r="A4417" s="17">
        <v>44602.666666666664</v>
      </c>
      <c r="B4417" s="19">
        <v>302.38</v>
      </c>
      <c r="C4417" t="s">
        <v>41</v>
      </c>
      <c r="D4417" t="str">
        <f>T_Stocks[[#This Row],[Ticker]] &amp; "-" &amp; DATE(YEAR(T_Stocks[[#This Row],[Fecha]]),MONTH(T_Stocks[[#This Row],[Fecha]]),DAY(T_Stocks[[#This Row],[Fecha]]))</f>
        <v>MSFT-44602</v>
      </c>
    </row>
    <row r="4418" spans="1:4" ht="14.65" thickBot="1" x14ac:dyDescent="0.5">
      <c r="A4418" s="17">
        <v>44603.666666666664</v>
      </c>
      <c r="B4418" s="19">
        <v>295.04000000000002</v>
      </c>
      <c r="C4418" t="s">
        <v>41</v>
      </c>
      <c r="D4418" t="str">
        <f>T_Stocks[[#This Row],[Ticker]] &amp; "-" &amp; DATE(YEAR(T_Stocks[[#This Row],[Fecha]]),MONTH(T_Stocks[[#This Row],[Fecha]]),DAY(T_Stocks[[#This Row],[Fecha]]))</f>
        <v>MSFT-44603</v>
      </c>
    </row>
    <row r="4419" spans="1:4" ht="14.65" thickBot="1" x14ac:dyDescent="0.5">
      <c r="A4419" s="17">
        <v>44606.666666666664</v>
      </c>
      <c r="B4419" s="19">
        <v>295</v>
      </c>
      <c r="C4419" t="s">
        <v>41</v>
      </c>
      <c r="D4419" t="str">
        <f>T_Stocks[[#This Row],[Ticker]] &amp; "-" &amp; DATE(YEAR(T_Stocks[[#This Row],[Fecha]]),MONTH(T_Stocks[[#This Row],[Fecha]]),DAY(T_Stocks[[#This Row],[Fecha]]))</f>
        <v>MSFT-44606</v>
      </c>
    </row>
    <row r="4420" spans="1:4" ht="14.65" thickBot="1" x14ac:dyDescent="0.5">
      <c r="A4420" s="17">
        <v>44607.666666666664</v>
      </c>
      <c r="B4420" s="19">
        <v>300.47000000000003</v>
      </c>
      <c r="C4420" t="s">
        <v>41</v>
      </c>
      <c r="D4420" t="str">
        <f>T_Stocks[[#This Row],[Ticker]] &amp; "-" &amp; DATE(YEAR(T_Stocks[[#This Row],[Fecha]]),MONTH(T_Stocks[[#This Row],[Fecha]]),DAY(T_Stocks[[#This Row],[Fecha]]))</f>
        <v>MSFT-44607</v>
      </c>
    </row>
    <row r="4421" spans="1:4" ht="14.65" thickBot="1" x14ac:dyDescent="0.5">
      <c r="A4421" s="17">
        <v>44608.666666666664</v>
      </c>
      <c r="B4421" s="19">
        <v>299.5</v>
      </c>
      <c r="C4421" t="s">
        <v>41</v>
      </c>
      <c r="D4421" t="str">
        <f>T_Stocks[[#This Row],[Ticker]] &amp; "-" &amp; DATE(YEAR(T_Stocks[[#This Row],[Fecha]]),MONTH(T_Stocks[[#This Row],[Fecha]]),DAY(T_Stocks[[#This Row],[Fecha]]))</f>
        <v>MSFT-44608</v>
      </c>
    </row>
    <row r="4422" spans="1:4" ht="14.65" thickBot="1" x14ac:dyDescent="0.5">
      <c r="A4422" s="17">
        <v>44609.666666666664</v>
      </c>
      <c r="B4422" s="19">
        <v>290.73</v>
      </c>
      <c r="C4422" t="s">
        <v>41</v>
      </c>
      <c r="D4422" t="str">
        <f>T_Stocks[[#This Row],[Ticker]] &amp; "-" &amp; DATE(YEAR(T_Stocks[[#This Row],[Fecha]]),MONTH(T_Stocks[[#This Row],[Fecha]]),DAY(T_Stocks[[#This Row],[Fecha]]))</f>
        <v>MSFT-44609</v>
      </c>
    </row>
    <row r="4423" spans="1:4" ht="14.65" thickBot="1" x14ac:dyDescent="0.5">
      <c r="A4423" s="17">
        <v>44610.666666666664</v>
      </c>
      <c r="B4423" s="19">
        <v>287.93</v>
      </c>
      <c r="C4423" t="s">
        <v>41</v>
      </c>
      <c r="D4423" t="str">
        <f>T_Stocks[[#This Row],[Ticker]] &amp; "-" &amp; DATE(YEAR(T_Stocks[[#This Row],[Fecha]]),MONTH(T_Stocks[[#This Row],[Fecha]]),DAY(T_Stocks[[#This Row],[Fecha]]))</f>
        <v>MSFT-44610</v>
      </c>
    </row>
    <row r="4424" spans="1:4" ht="14.65" thickBot="1" x14ac:dyDescent="0.5">
      <c r="A4424" s="17">
        <v>44614.666666666664</v>
      </c>
      <c r="B4424" s="19">
        <v>287.72000000000003</v>
      </c>
      <c r="C4424" t="s">
        <v>41</v>
      </c>
      <c r="D4424" t="str">
        <f>T_Stocks[[#This Row],[Ticker]] &amp; "-" &amp; DATE(YEAR(T_Stocks[[#This Row],[Fecha]]),MONTH(T_Stocks[[#This Row],[Fecha]]),DAY(T_Stocks[[#This Row],[Fecha]]))</f>
        <v>MSFT-44614</v>
      </c>
    </row>
    <row r="4425" spans="1:4" ht="14.65" thickBot="1" x14ac:dyDescent="0.5">
      <c r="A4425" s="17">
        <v>44615.666666666664</v>
      </c>
      <c r="B4425" s="19">
        <v>280.27</v>
      </c>
      <c r="C4425" t="s">
        <v>41</v>
      </c>
      <c r="D4425" t="str">
        <f>T_Stocks[[#This Row],[Ticker]] &amp; "-" &amp; DATE(YEAR(T_Stocks[[#This Row],[Fecha]]),MONTH(T_Stocks[[#This Row],[Fecha]]),DAY(T_Stocks[[#This Row],[Fecha]]))</f>
        <v>MSFT-44615</v>
      </c>
    </row>
    <row r="4426" spans="1:4" ht="14.65" thickBot="1" x14ac:dyDescent="0.5">
      <c r="A4426" s="17">
        <v>44616.666666666664</v>
      </c>
      <c r="B4426" s="19">
        <v>294.58999999999997</v>
      </c>
      <c r="C4426" t="s">
        <v>41</v>
      </c>
      <c r="D4426" t="str">
        <f>T_Stocks[[#This Row],[Ticker]] &amp; "-" &amp; DATE(YEAR(T_Stocks[[#This Row],[Fecha]]),MONTH(T_Stocks[[#This Row],[Fecha]]),DAY(T_Stocks[[#This Row],[Fecha]]))</f>
        <v>MSFT-44616</v>
      </c>
    </row>
    <row r="4427" spans="1:4" ht="14.65" thickBot="1" x14ac:dyDescent="0.5">
      <c r="A4427" s="17">
        <v>44617.666666666664</v>
      </c>
      <c r="B4427" s="19">
        <v>297.31</v>
      </c>
      <c r="C4427" t="s">
        <v>41</v>
      </c>
      <c r="D4427" t="str">
        <f>T_Stocks[[#This Row],[Ticker]] &amp; "-" &amp; DATE(YEAR(T_Stocks[[#This Row],[Fecha]]),MONTH(T_Stocks[[#This Row],[Fecha]]),DAY(T_Stocks[[#This Row],[Fecha]]))</f>
        <v>MSFT-44617</v>
      </c>
    </row>
    <row r="4428" spans="1:4" ht="14.65" thickBot="1" x14ac:dyDescent="0.5">
      <c r="A4428" s="17">
        <v>44620.666666666664</v>
      </c>
      <c r="B4428" s="19">
        <v>298.79000000000002</v>
      </c>
      <c r="C4428" t="s">
        <v>41</v>
      </c>
      <c r="D4428" t="str">
        <f>T_Stocks[[#This Row],[Ticker]] &amp; "-" &amp; DATE(YEAR(T_Stocks[[#This Row],[Fecha]]),MONTH(T_Stocks[[#This Row],[Fecha]]),DAY(T_Stocks[[#This Row],[Fecha]]))</f>
        <v>MSFT-44620</v>
      </c>
    </row>
    <row r="4429" spans="1:4" ht="14.65" thickBot="1" x14ac:dyDescent="0.5">
      <c r="A4429" s="17">
        <v>44621.666666666664</v>
      </c>
      <c r="B4429" s="19">
        <v>294.95</v>
      </c>
      <c r="C4429" t="s">
        <v>41</v>
      </c>
      <c r="D4429" t="str">
        <f>T_Stocks[[#This Row],[Ticker]] &amp; "-" &amp; DATE(YEAR(T_Stocks[[#This Row],[Fecha]]),MONTH(T_Stocks[[#This Row],[Fecha]]),DAY(T_Stocks[[#This Row],[Fecha]]))</f>
        <v>MSFT-44621</v>
      </c>
    </row>
    <row r="4430" spans="1:4" ht="14.65" thickBot="1" x14ac:dyDescent="0.5">
      <c r="A4430" s="17">
        <v>44622.666666666664</v>
      </c>
      <c r="B4430" s="19">
        <v>300.19</v>
      </c>
      <c r="C4430" t="s">
        <v>41</v>
      </c>
      <c r="D4430" t="str">
        <f>T_Stocks[[#This Row],[Ticker]] &amp; "-" &amp; DATE(YEAR(T_Stocks[[#This Row],[Fecha]]),MONTH(T_Stocks[[#This Row],[Fecha]]),DAY(T_Stocks[[#This Row],[Fecha]]))</f>
        <v>MSFT-44622</v>
      </c>
    </row>
    <row r="4431" spans="1:4" ht="14.65" thickBot="1" x14ac:dyDescent="0.5">
      <c r="A4431" s="17">
        <v>44623.666666666664</v>
      </c>
      <c r="B4431" s="19">
        <v>295.92</v>
      </c>
      <c r="C4431" t="s">
        <v>41</v>
      </c>
      <c r="D4431" t="str">
        <f>T_Stocks[[#This Row],[Ticker]] &amp; "-" &amp; DATE(YEAR(T_Stocks[[#This Row],[Fecha]]),MONTH(T_Stocks[[#This Row],[Fecha]]),DAY(T_Stocks[[#This Row],[Fecha]]))</f>
        <v>MSFT-44623</v>
      </c>
    </row>
    <row r="4432" spans="1:4" ht="14.65" thickBot="1" x14ac:dyDescent="0.5">
      <c r="A4432" s="17">
        <v>44624.666666666664</v>
      </c>
      <c r="B4432" s="19">
        <v>289.86</v>
      </c>
      <c r="C4432" t="s">
        <v>41</v>
      </c>
      <c r="D4432" t="str">
        <f>T_Stocks[[#This Row],[Ticker]] &amp; "-" &amp; DATE(YEAR(T_Stocks[[#This Row],[Fecha]]),MONTH(T_Stocks[[#This Row],[Fecha]]),DAY(T_Stocks[[#This Row],[Fecha]]))</f>
        <v>MSFT-44624</v>
      </c>
    </row>
    <row r="4433" spans="1:4" ht="14.65" thickBot="1" x14ac:dyDescent="0.5">
      <c r="A4433" s="17">
        <v>44627.666666666664</v>
      </c>
      <c r="B4433" s="19">
        <v>278.91000000000003</v>
      </c>
      <c r="C4433" t="s">
        <v>41</v>
      </c>
      <c r="D4433" t="str">
        <f>T_Stocks[[#This Row],[Ticker]] &amp; "-" &amp; DATE(YEAR(T_Stocks[[#This Row],[Fecha]]),MONTH(T_Stocks[[#This Row],[Fecha]]),DAY(T_Stocks[[#This Row],[Fecha]]))</f>
        <v>MSFT-44627</v>
      </c>
    </row>
    <row r="4434" spans="1:4" ht="14.65" thickBot="1" x14ac:dyDescent="0.5">
      <c r="A4434" s="17">
        <v>44628.666666666664</v>
      </c>
      <c r="B4434" s="19">
        <v>275.85000000000002</v>
      </c>
      <c r="C4434" t="s">
        <v>41</v>
      </c>
      <c r="D4434" t="str">
        <f>T_Stocks[[#This Row],[Ticker]] &amp; "-" &amp; DATE(YEAR(T_Stocks[[#This Row],[Fecha]]),MONTH(T_Stocks[[#This Row],[Fecha]]),DAY(T_Stocks[[#This Row],[Fecha]]))</f>
        <v>MSFT-44628</v>
      </c>
    </row>
    <row r="4435" spans="1:4" ht="14.65" thickBot="1" x14ac:dyDescent="0.5">
      <c r="A4435" s="17">
        <v>44629.666666666664</v>
      </c>
      <c r="B4435" s="19">
        <v>288.5</v>
      </c>
      <c r="C4435" t="s">
        <v>41</v>
      </c>
      <c r="D4435" t="str">
        <f>T_Stocks[[#This Row],[Ticker]] &amp; "-" &amp; DATE(YEAR(T_Stocks[[#This Row],[Fecha]]),MONTH(T_Stocks[[#This Row],[Fecha]]),DAY(T_Stocks[[#This Row],[Fecha]]))</f>
        <v>MSFT-44629</v>
      </c>
    </row>
    <row r="4436" spans="1:4" ht="14.65" thickBot="1" x14ac:dyDescent="0.5">
      <c r="A4436" s="17">
        <v>44630.666666666664</v>
      </c>
      <c r="B4436" s="19">
        <v>285.58999999999997</v>
      </c>
      <c r="C4436" t="s">
        <v>41</v>
      </c>
      <c r="D4436" t="str">
        <f>T_Stocks[[#This Row],[Ticker]] &amp; "-" &amp; DATE(YEAR(T_Stocks[[#This Row],[Fecha]]),MONTH(T_Stocks[[#This Row],[Fecha]]),DAY(T_Stocks[[#This Row],[Fecha]]))</f>
        <v>MSFT-44630</v>
      </c>
    </row>
    <row r="4437" spans="1:4" ht="14.65" thickBot="1" x14ac:dyDescent="0.5">
      <c r="A4437" s="17">
        <v>44631.666666666664</v>
      </c>
      <c r="B4437" s="19">
        <v>280.07</v>
      </c>
      <c r="C4437" t="s">
        <v>41</v>
      </c>
      <c r="D4437" t="str">
        <f>T_Stocks[[#This Row],[Ticker]] &amp; "-" &amp; DATE(YEAR(T_Stocks[[#This Row],[Fecha]]),MONTH(T_Stocks[[#This Row],[Fecha]]),DAY(T_Stocks[[#This Row],[Fecha]]))</f>
        <v>MSFT-44631</v>
      </c>
    </row>
    <row r="4438" spans="1:4" ht="14.65" thickBot="1" x14ac:dyDescent="0.5">
      <c r="A4438" s="17">
        <v>44634.666666666664</v>
      </c>
      <c r="B4438" s="19">
        <v>276.44</v>
      </c>
      <c r="C4438" t="s">
        <v>41</v>
      </c>
      <c r="D4438" t="str">
        <f>T_Stocks[[#This Row],[Ticker]] &amp; "-" &amp; DATE(YEAR(T_Stocks[[#This Row],[Fecha]]),MONTH(T_Stocks[[#This Row],[Fecha]]),DAY(T_Stocks[[#This Row],[Fecha]]))</f>
        <v>MSFT-44634</v>
      </c>
    </row>
    <row r="4439" spans="1:4" ht="14.65" thickBot="1" x14ac:dyDescent="0.5">
      <c r="A4439" s="17">
        <v>44635.666666666664</v>
      </c>
      <c r="B4439" s="19">
        <v>287.14999999999998</v>
      </c>
      <c r="C4439" t="s">
        <v>41</v>
      </c>
      <c r="D4439" t="str">
        <f>T_Stocks[[#This Row],[Ticker]] &amp; "-" &amp; DATE(YEAR(T_Stocks[[#This Row],[Fecha]]),MONTH(T_Stocks[[#This Row],[Fecha]]),DAY(T_Stocks[[#This Row],[Fecha]]))</f>
        <v>MSFT-44635</v>
      </c>
    </row>
    <row r="4440" spans="1:4" ht="14.65" thickBot="1" x14ac:dyDescent="0.5">
      <c r="A4440" s="17">
        <v>44636.666666666664</v>
      </c>
      <c r="B4440" s="19">
        <v>294.39</v>
      </c>
      <c r="C4440" t="s">
        <v>41</v>
      </c>
      <c r="D4440" t="str">
        <f>T_Stocks[[#This Row],[Ticker]] &amp; "-" &amp; DATE(YEAR(T_Stocks[[#This Row],[Fecha]]),MONTH(T_Stocks[[#This Row],[Fecha]]),DAY(T_Stocks[[#This Row],[Fecha]]))</f>
        <v>MSFT-44636</v>
      </c>
    </row>
    <row r="4441" spans="1:4" ht="14.65" thickBot="1" x14ac:dyDescent="0.5">
      <c r="A4441" s="17">
        <v>44637.666666666664</v>
      </c>
      <c r="B4441" s="19">
        <v>295.22000000000003</v>
      </c>
      <c r="C4441" t="s">
        <v>41</v>
      </c>
      <c r="D4441" t="str">
        <f>T_Stocks[[#This Row],[Ticker]] &amp; "-" &amp; DATE(YEAR(T_Stocks[[#This Row],[Fecha]]),MONTH(T_Stocks[[#This Row],[Fecha]]),DAY(T_Stocks[[#This Row],[Fecha]]))</f>
        <v>MSFT-44637</v>
      </c>
    </row>
    <row r="4442" spans="1:4" ht="14.65" thickBot="1" x14ac:dyDescent="0.5">
      <c r="A4442" s="17">
        <v>44638.666666666664</v>
      </c>
      <c r="B4442" s="19">
        <v>300.43</v>
      </c>
      <c r="C4442" t="s">
        <v>41</v>
      </c>
      <c r="D4442" t="str">
        <f>T_Stocks[[#This Row],[Ticker]] &amp; "-" &amp; DATE(YEAR(T_Stocks[[#This Row],[Fecha]]),MONTH(T_Stocks[[#This Row],[Fecha]]),DAY(T_Stocks[[#This Row],[Fecha]]))</f>
        <v>MSFT-44638</v>
      </c>
    </row>
    <row r="4443" spans="1:4" ht="14.65" thickBot="1" x14ac:dyDescent="0.5">
      <c r="A4443" s="17">
        <v>44641.666666666664</v>
      </c>
      <c r="B4443" s="19">
        <v>299.16000000000003</v>
      </c>
      <c r="C4443" t="s">
        <v>41</v>
      </c>
      <c r="D4443" t="str">
        <f>T_Stocks[[#This Row],[Ticker]] &amp; "-" &amp; DATE(YEAR(T_Stocks[[#This Row],[Fecha]]),MONTH(T_Stocks[[#This Row],[Fecha]]),DAY(T_Stocks[[#This Row],[Fecha]]))</f>
        <v>MSFT-44641</v>
      </c>
    </row>
    <row r="4444" spans="1:4" ht="14.65" thickBot="1" x14ac:dyDescent="0.5">
      <c r="A4444" s="17">
        <v>44642.666666666664</v>
      </c>
      <c r="B4444" s="19">
        <v>304.06</v>
      </c>
      <c r="C4444" t="s">
        <v>41</v>
      </c>
      <c r="D4444" t="str">
        <f>T_Stocks[[#This Row],[Ticker]] &amp; "-" &amp; DATE(YEAR(T_Stocks[[#This Row],[Fecha]]),MONTH(T_Stocks[[#This Row],[Fecha]]),DAY(T_Stocks[[#This Row],[Fecha]]))</f>
        <v>MSFT-44642</v>
      </c>
    </row>
    <row r="4445" spans="1:4" ht="14.65" thickBot="1" x14ac:dyDescent="0.5">
      <c r="A4445" s="17">
        <v>44643.666666666664</v>
      </c>
      <c r="B4445" s="19">
        <v>299.49</v>
      </c>
      <c r="C4445" t="s">
        <v>41</v>
      </c>
      <c r="D4445" t="str">
        <f>T_Stocks[[#This Row],[Ticker]] &amp; "-" &amp; DATE(YEAR(T_Stocks[[#This Row],[Fecha]]),MONTH(T_Stocks[[#This Row],[Fecha]]),DAY(T_Stocks[[#This Row],[Fecha]]))</f>
        <v>MSFT-44643</v>
      </c>
    </row>
    <row r="4446" spans="1:4" ht="14.65" thickBot="1" x14ac:dyDescent="0.5">
      <c r="A4446" s="17">
        <v>44644.666666666664</v>
      </c>
      <c r="B4446" s="19">
        <v>304.10000000000002</v>
      </c>
      <c r="C4446" t="s">
        <v>41</v>
      </c>
      <c r="D4446" t="str">
        <f>T_Stocks[[#This Row],[Ticker]] &amp; "-" &amp; DATE(YEAR(T_Stocks[[#This Row],[Fecha]]),MONTH(T_Stocks[[#This Row],[Fecha]]),DAY(T_Stocks[[#This Row],[Fecha]]))</f>
        <v>MSFT-44644</v>
      </c>
    </row>
    <row r="4447" spans="1:4" ht="14.65" thickBot="1" x14ac:dyDescent="0.5">
      <c r="A4447" s="17">
        <v>44645.666666666664</v>
      </c>
      <c r="B4447" s="19">
        <v>303.68</v>
      </c>
      <c r="C4447" t="s">
        <v>41</v>
      </c>
      <c r="D4447" t="str">
        <f>T_Stocks[[#This Row],[Ticker]] &amp; "-" &amp; DATE(YEAR(T_Stocks[[#This Row],[Fecha]]),MONTH(T_Stocks[[#This Row],[Fecha]]),DAY(T_Stocks[[#This Row],[Fecha]]))</f>
        <v>MSFT-44645</v>
      </c>
    </row>
    <row r="4448" spans="1:4" ht="14.65" thickBot="1" x14ac:dyDescent="0.5">
      <c r="A4448" s="17">
        <v>44648.666666666664</v>
      </c>
      <c r="B4448" s="19">
        <v>310.7</v>
      </c>
      <c r="C4448" t="s">
        <v>41</v>
      </c>
      <c r="D4448" t="str">
        <f>T_Stocks[[#This Row],[Ticker]] &amp; "-" &amp; DATE(YEAR(T_Stocks[[#This Row],[Fecha]]),MONTH(T_Stocks[[#This Row],[Fecha]]),DAY(T_Stocks[[#This Row],[Fecha]]))</f>
        <v>MSFT-44648</v>
      </c>
    </row>
    <row r="4449" spans="1:4" ht="14.65" thickBot="1" x14ac:dyDescent="0.5">
      <c r="A4449" s="17">
        <v>44649.666666666664</v>
      </c>
      <c r="B4449" s="19">
        <v>315.41000000000003</v>
      </c>
      <c r="C4449" t="s">
        <v>41</v>
      </c>
      <c r="D4449" t="str">
        <f>T_Stocks[[#This Row],[Ticker]] &amp; "-" &amp; DATE(YEAR(T_Stocks[[#This Row],[Fecha]]),MONTH(T_Stocks[[#This Row],[Fecha]]),DAY(T_Stocks[[#This Row],[Fecha]]))</f>
        <v>MSFT-44649</v>
      </c>
    </row>
    <row r="4450" spans="1:4" ht="14.65" thickBot="1" x14ac:dyDescent="0.5">
      <c r="A4450" s="17">
        <v>44650.666666666664</v>
      </c>
      <c r="B4450" s="19">
        <v>313.86</v>
      </c>
      <c r="C4450" t="s">
        <v>41</v>
      </c>
      <c r="D4450" t="str">
        <f>T_Stocks[[#This Row],[Ticker]] &amp; "-" &amp; DATE(YEAR(T_Stocks[[#This Row],[Fecha]]),MONTH(T_Stocks[[#This Row],[Fecha]]),DAY(T_Stocks[[#This Row],[Fecha]]))</f>
        <v>MSFT-44650</v>
      </c>
    </row>
    <row r="4451" spans="1:4" ht="14.65" thickBot="1" x14ac:dyDescent="0.5">
      <c r="A4451" s="17">
        <v>44651.666666666664</v>
      </c>
      <c r="B4451" s="19">
        <v>308.31</v>
      </c>
      <c r="C4451" t="s">
        <v>41</v>
      </c>
      <c r="D4451" t="str">
        <f>T_Stocks[[#This Row],[Ticker]] &amp; "-" &amp; DATE(YEAR(T_Stocks[[#This Row],[Fecha]]),MONTH(T_Stocks[[#This Row],[Fecha]]),DAY(T_Stocks[[#This Row],[Fecha]]))</f>
        <v>MSFT-44651</v>
      </c>
    </row>
    <row r="4452" spans="1:4" ht="14.65" thickBot="1" x14ac:dyDescent="0.5">
      <c r="A4452" s="17">
        <v>44652.666666666664</v>
      </c>
      <c r="B4452" s="19">
        <v>309.42</v>
      </c>
      <c r="C4452" t="s">
        <v>41</v>
      </c>
      <c r="D4452" t="str">
        <f>T_Stocks[[#This Row],[Ticker]] &amp; "-" &amp; DATE(YEAR(T_Stocks[[#This Row],[Fecha]]),MONTH(T_Stocks[[#This Row],[Fecha]]),DAY(T_Stocks[[#This Row],[Fecha]]))</f>
        <v>MSFT-44652</v>
      </c>
    </row>
    <row r="4453" spans="1:4" ht="14.65" thickBot="1" x14ac:dyDescent="0.5">
      <c r="A4453" s="17">
        <v>44655.666666666664</v>
      </c>
      <c r="B4453" s="19">
        <v>314.97000000000003</v>
      </c>
      <c r="C4453" t="s">
        <v>41</v>
      </c>
      <c r="D4453" t="str">
        <f>T_Stocks[[#This Row],[Ticker]] &amp; "-" &amp; DATE(YEAR(T_Stocks[[#This Row],[Fecha]]),MONTH(T_Stocks[[#This Row],[Fecha]]),DAY(T_Stocks[[#This Row],[Fecha]]))</f>
        <v>MSFT-44655</v>
      </c>
    </row>
    <row r="4454" spans="1:4" ht="14.65" thickBot="1" x14ac:dyDescent="0.5">
      <c r="A4454" s="17">
        <v>44656.666666666664</v>
      </c>
      <c r="B4454" s="19">
        <v>310.88</v>
      </c>
      <c r="C4454" t="s">
        <v>41</v>
      </c>
      <c r="D4454" t="str">
        <f>T_Stocks[[#This Row],[Ticker]] &amp; "-" &amp; DATE(YEAR(T_Stocks[[#This Row],[Fecha]]),MONTH(T_Stocks[[#This Row],[Fecha]]),DAY(T_Stocks[[#This Row],[Fecha]]))</f>
        <v>MSFT-44656</v>
      </c>
    </row>
    <row r="4455" spans="1:4" ht="14.65" thickBot="1" x14ac:dyDescent="0.5">
      <c r="A4455" s="17">
        <v>44657.666666666664</v>
      </c>
      <c r="B4455" s="19">
        <v>299.5</v>
      </c>
      <c r="C4455" t="s">
        <v>41</v>
      </c>
      <c r="D4455" t="str">
        <f>T_Stocks[[#This Row],[Ticker]] &amp; "-" &amp; DATE(YEAR(T_Stocks[[#This Row],[Fecha]]),MONTH(T_Stocks[[#This Row],[Fecha]]),DAY(T_Stocks[[#This Row],[Fecha]]))</f>
        <v>MSFT-44657</v>
      </c>
    </row>
    <row r="4456" spans="1:4" ht="14.65" thickBot="1" x14ac:dyDescent="0.5">
      <c r="A4456" s="17">
        <v>44658.666666666664</v>
      </c>
      <c r="B4456" s="19">
        <v>301.37</v>
      </c>
      <c r="C4456" t="s">
        <v>41</v>
      </c>
      <c r="D4456" t="str">
        <f>T_Stocks[[#This Row],[Ticker]] &amp; "-" &amp; DATE(YEAR(T_Stocks[[#This Row],[Fecha]]),MONTH(T_Stocks[[#This Row],[Fecha]]),DAY(T_Stocks[[#This Row],[Fecha]]))</f>
        <v>MSFT-44658</v>
      </c>
    </row>
    <row r="4457" spans="1:4" ht="14.65" thickBot="1" x14ac:dyDescent="0.5">
      <c r="A4457" s="17">
        <v>44659.666666666664</v>
      </c>
      <c r="B4457" s="19">
        <v>296.97000000000003</v>
      </c>
      <c r="C4457" t="s">
        <v>41</v>
      </c>
      <c r="D4457" t="str">
        <f>T_Stocks[[#This Row],[Ticker]] &amp; "-" &amp; DATE(YEAR(T_Stocks[[#This Row],[Fecha]]),MONTH(T_Stocks[[#This Row],[Fecha]]),DAY(T_Stocks[[#This Row],[Fecha]]))</f>
        <v>MSFT-44659</v>
      </c>
    </row>
    <row r="4458" spans="1:4" ht="14.65" thickBot="1" x14ac:dyDescent="0.5">
      <c r="A4458" s="17">
        <v>44662.666666666664</v>
      </c>
      <c r="B4458" s="19">
        <v>285.26</v>
      </c>
      <c r="C4458" t="s">
        <v>41</v>
      </c>
      <c r="D4458" t="str">
        <f>T_Stocks[[#This Row],[Ticker]] &amp; "-" &amp; DATE(YEAR(T_Stocks[[#This Row],[Fecha]]),MONTH(T_Stocks[[#This Row],[Fecha]]),DAY(T_Stocks[[#This Row],[Fecha]]))</f>
        <v>MSFT-44662</v>
      </c>
    </row>
    <row r="4459" spans="1:4" ht="14.65" thickBot="1" x14ac:dyDescent="0.5">
      <c r="A4459" s="17">
        <v>44663.666666666664</v>
      </c>
      <c r="B4459" s="19">
        <v>282.06</v>
      </c>
      <c r="C4459" t="s">
        <v>41</v>
      </c>
      <c r="D4459" t="str">
        <f>T_Stocks[[#This Row],[Ticker]] &amp; "-" &amp; DATE(YEAR(T_Stocks[[#This Row],[Fecha]]),MONTH(T_Stocks[[#This Row],[Fecha]]),DAY(T_Stocks[[#This Row],[Fecha]]))</f>
        <v>MSFT-44663</v>
      </c>
    </row>
    <row r="4460" spans="1:4" ht="14.65" thickBot="1" x14ac:dyDescent="0.5">
      <c r="A4460" s="17">
        <v>44664.666666666664</v>
      </c>
      <c r="B4460" s="19">
        <v>287.62</v>
      </c>
      <c r="C4460" t="s">
        <v>41</v>
      </c>
      <c r="D4460" t="str">
        <f>T_Stocks[[#This Row],[Ticker]] &amp; "-" &amp; DATE(YEAR(T_Stocks[[#This Row],[Fecha]]),MONTH(T_Stocks[[#This Row],[Fecha]]),DAY(T_Stocks[[#This Row],[Fecha]]))</f>
        <v>MSFT-44664</v>
      </c>
    </row>
    <row r="4461" spans="1:4" ht="14.65" thickBot="1" x14ac:dyDescent="0.5">
      <c r="A4461" s="17">
        <v>44665.666666666664</v>
      </c>
      <c r="B4461" s="19">
        <v>279.83</v>
      </c>
      <c r="C4461" t="s">
        <v>41</v>
      </c>
      <c r="D4461" t="str">
        <f>T_Stocks[[#This Row],[Ticker]] &amp; "-" &amp; DATE(YEAR(T_Stocks[[#This Row],[Fecha]]),MONTH(T_Stocks[[#This Row],[Fecha]]),DAY(T_Stocks[[#This Row],[Fecha]]))</f>
        <v>MSFT-44665</v>
      </c>
    </row>
    <row r="4462" spans="1:4" ht="14.65" thickBot="1" x14ac:dyDescent="0.5">
      <c r="A4462" s="17">
        <v>44669.666666666664</v>
      </c>
      <c r="B4462" s="19">
        <v>280.52</v>
      </c>
      <c r="C4462" t="s">
        <v>41</v>
      </c>
      <c r="D4462" t="str">
        <f>T_Stocks[[#This Row],[Ticker]] &amp; "-" &amp; DATE(YEAR(T_Stocks[[#This Row],[Fecha]]),MONTH(T_Stocks[[#This Row],[Fecha]]),DAY(T_Stocks[[#This Row],[Fecha]]))</f>
        <v>MSFT-44669</v>
      </c>
    </row>
    <row r="4463" spans="1:4" ht="14.65" thickBot="1" x14ac:dyDescent="0.5">
      <c r="A4463" s="17">
        <v>44670.666666666664</v>
      </c>
      <c r="B4463" s="19">
        <v>285.3</v>
      </c>
      <c r="C4463" t="s">
        <v>41</v>
      </c>
      <c r="D4463" t="str">
        <f>T_Stocks[[#This Row],[Ticker]] &amp; "-" &amp; DATE(YEAR(T_Stocks[[#This Row],[Fecha]]),MONTH(T_Stocks[[#This Row],[Fecha]]),DAY(T_Stocks[[#This Row],[Fecha]]))</f>
        <v>MSFT-44670</v>
      </c>
    </row>
    <row r="4464" spans="1:4" ht="14.65" thickBot="1" x14ac:dyDescent="0.5">
      <c r="A4464" s="17">
        <v>44671.666666666664</v>
      </c>
      <c r="B4464" s="19">
        <v>286.36</v>
      </c>
      <c r="C4464" t="s">
        <v>41</v>
      </c>
      <c r="D4464" t="str">
        <f>T_Stocks[[#This Row],[Ticker]] &amp; "-" &amp; DATE(YEAR(T_Stocks[[#This Row],[Fecha]]),MONTH(T_Stocks[[#This Row],[Fecha]]),DAY(T_Stocks[[#This Row],[Fecha]]))</f>
        <v>MSFT-44671</v>
      </c>
    </row>
    <row r="4465" spans="1:4" ht="14.65" thickBot="1" x14ac:dyDescent="0.5">
      <c r="A4465" s="17">
        <v>44672.666666666664</v>
      </c>
      <c r="B4465" s="19">
        <v>280.81</v>
      </c>
      <c r="C4465" t="s">
        <v>41</v>
      </c>
      <c r="D4465" t="str">
        <f>T_Stocks[[#This Row],[Ticker]] &amp; "-" &amp; DATE(YEAR(T_Stocks[[#This Row],[Fecha]]),MONTH(T_Stocks[[#This Row],[Fecha]]),DAY(T_Stocks[[#This Row],[Fecha]]))</f>
        <v>MSFT-44672</v>
      </c>
    </row>
    <row r="4466" spans="1:4" ht="14.65" thickBot="1" x14ac:dyDescent="0.5">
      <c r="A4466" s="17">
        <v>44673.666666666664</v>
      </c>
      <c r="B4466" s="19">
        <v>274.02999999999997</v>
      </c>
      <c r="C4466" t="s">
        <v>41</v>
      </c>
      <c r="D4466" t="str">
        <f>T_Stocks[[#This Row],[Ticker]] &amp; "-" &amp; DATE(YEAR(T_Stocks[[#This Row],[Fecha]]),MONTH(T_Stocks[[#This Row],[Fecha]]),DAY(T_Stocks[[#This Row],[Fecha]]))</f>
        <v>MSFT-44673</v>
      </c>
    </row>
    <row r="4467" spans="1:4" ht="14.65" thickBot="1" x14ac:dyDescent="0.5">
      <c r="A4467" s="17">
        <v>44676.666666666664</v>
      </c>
      <c r="B4467" s="19">
        <v>280.72000000000003</v>
      </c>
      <c r="C4467" t="s">
        <v>41</v>
      </c>
      <c r="D4467" t="str">
        <f>T_Stocks[[#This Row],[Ticker]] &amp; "-" &amp; DATE(YEAR(T_Stocks[[#This Row],[Fecha]]),MONTH(T_Stocks[[#This Row],[Fecha]]),DAY(T_Stocks[[#This Row],[Fecha]]))</f>
        <v>MSFT-44676</v>
      </c>
    </row>
    <row r="4468" spans="1:4" ht="14.65" thickBot="1" x14ac:dyDescent="0.5">
      <c r="A4468" s="17">
        <v>44677.666666666664</v>
      </c>
      <c r="B4468" s="19">
        <v>270.22000000000003</v>
      </c>
      <c r="C4468" t="s">
        <v>41</v>
      </c>
      <c r="D4468" t="str">
        <f>T_Stocks[[#This Row],[Ticker]] &amp; "-" &amp; DATE(YEAR(T_Stocks[[#This Row],[Fecha]]),MONTH(T_Stocks[[#This Row],[Fecha]]),DAY(T_Stocks[[#This Row],[Fecha]]))</f>
        <v>MSFT-44677</v>
      </c>
    </row>
    <row r="4469" spans="1:4" ht="14.65" thickBot="1" x14ac:dyDescent="0.5">
      <c r="A4469" s="17">
        <v>44678.666666666664</v>
      </c>
      <c r="B4469" s="19">
        <v>283.22000000000003</v>
      </c>
      <c r="C4469" t="s">
        <v>41</v>
      </c>
      <c r="D4469" t="str">
        <f>T_Stocks[[#This Row],[Ticker]] &amp; "-" &amp; DATE(YEAR(T_Stocks[[#This Row],[Fecha]]),MONTH(T_Stocks[[#This Row],[Fecha]]),DAY(T_Stocks[[#This Row],[Fecha]]))</f>
        <v>MSFT-44678</v>
      </c>
    </row>
    <row r="4470" spans="1:4" ht="14.65" thickBot="1" x14ac:dyDescent="0.5">
      <c r="A4470" s="17">
        <v>44679.666666666664</v>
      </c>
      <c r="B4470" s="19">
        <v>289.63</v>
      </c>
      <c r="C4470" t="s">
        <v>41</v>
      </c>
      <c r="D4470" t="str">
        <f>T_Stocks[[#This Row],[Ticker]] &amp; "-" &amp; DATE(YEAR(T_Stocks[[#This Row],[Fecha]]),MONTH(T_Stocks[[#This Row],[Fecha]]),DAY(T_Stocks[[#This Row],[Fecha]]))</f>
        <v>MSFT-44679</v>
      </c>
    </row>
    <row r="4471" spans="1:4" ht="14.65" thickBot="1" x14ac:dyDescent="0.5">
      <c r="A4471" s="17">
        <v>44680.666666666664</v>
      </c>
      <c r="B4471" s="19">
        <v>277.52</v>
      </c>
      <c r="C4471" t="s">
        <v>41</v>
      </c>
      <c r="D4471" t="str">
        <f>T_Stocks[[#This Row],[Ticker]] &amp; "-" &amp; DATE(YEAR(T_Stocks[[#This Row],[Fecha]]),MONTH(T_Stocks[[#This Row],[Fecha]]),DAY(T_Stocks[[#This Row],[Fecha]]))</f>
        <v>MSFT-44680</v>
      </c>
    </row>
    <row r="4472" spans="1:4" ht="14.65" thickBot="1" x14ac:dyDescent="0.5">
      <c r="A4472" s="17">
        <v>44683.666666666664</v>
      </c>
      <c r="B4472" s="19">
        <v>284.47000000000003</v>
      </c>
      <c r="C4472" t="s">
        <v>41</v>
      </c>
      <c r="D4472" t="str">
        <f>T_Stocks[[#This Row],[Ticker]] &amp; "-" &amp; DATE(YEAR(T_Stocks[[#This Row],[Fecha]]),MONTH(T_Stocks[[#This Row],[Fecha]]),DAY(T_Stocks[[#This Row],[Fecha]]))</f>
        <v>MSFT-44683</v>
      </c>
    </row>
    <row r="4473" spans="1:4" ht="14.65" thickBot="1" x14ac:dyDescent="0.5">
      <c r="A4473" s="17">
        <v>44684.666666666664</v>
      </c>
      <c r="B4473" s="19">
        <v>281.77999999999997</v>
      </c>
      <c r="C4473" t="s">
        <v>41</v>
      </c>
      <c r="D4473" t="str">
        <f>T_Stocks[[#This Row],[Ticker]] &amp; "-" &amp; DATE(YEAR(T_Stocks[[#This Row],[Fecha]]),MONTH(T_Stocks[[#This Row],[Fecha]]),DAY(T_Stocks[[#This Row],[Fecha]]))</f>
        <v>MSFT-44684</v>
      </c>
    </row>
    <row r="4474" spans="1:4" ht="14.65" thickBot="1" x14ac:dyDescent="0.5">
      <c r="A4474" s="17">
        <v>44685.666666666664</v>
      </c>
      <c r="B4474" s="19">
        <v>289.98</v>
      </c>
      <c r="C4474" t="s">
        <v>41</v>
      </c>
      <c r="D4474" t="str">
        <f>T_Stocks[[#This Row],[Ticker]] &amp; "-" &amp; DATE(YEAR(T_Stocks[[#This Row],[Fecha]]),MONTH(T_Stocks[[#This Row],[Fecha]]),DAY(T_Stocks[[#This Row],[Fecha]]))</f>
        <v>MSFT-44685</v>
      </c>
    </row>
    <row r="4475" spans="1:4" ht="14.65" thickBot="1" x14ac:dyDescent="0.5">
      <c r="A4475" s="17">
        <v>44686.666666666664</v>
      </c>
      <c r="B4475" s="19">
        <v>277.35000000000002</v>
      </c>
      <c r="C4475" t="s">
        <v>41</v>
      </c>
      <c r="D4475" t="str">
        <f>T_Stocks[[#This Row],[Ticker]] &amp; "-" &amp; DATE(YEAR(T_Stocks[[#This Row],[Fecha]]),MONTH(T_Stocks[[#This Row],[Fecha]]),DAY(T_Stocks[[#This Row],[Fecha]]))</f>
        <v>MSFT-44686</v>
      </c>
    </row>
    <row r="4476" spans="1:4" ht="14.65" thickBot="1" x14ac:dyDescent="0.5">
      <c r="A4476" s="17">
        <v>44687.666666666664</v>
      </c>
      <c r="B4476" s="19">
        <v>274.73</v>
      </c>
      <c r="C4476" t="s">
        <v>41</v>
      </c>
      <c r="D4476" t="str">
        <f>T_Stocks[[#This Row],[Ticker]] &amp; "-" &amp; DATE(YEAR(T_Stocks[[#This Row],[Fecha]]),MONTH(T_Stocks[[#This Row],[Fecha]]),DAY(T_Stocks[[#This Row],[Fecha]]))</f>
        <v>MSFT-44687</v>
      </c>
    </row>
    <row r="4477" spans="1:4" ht="14.65" thickBot="1" x14ac:dyDescent="0.5">
      <c r="A4477" s="17">
        <v>44690.666666666664</v>
      </c>
      <c r="B4477" s="19">
        <v>264.58</v>
      </c>
      <c r="C4477" t="s">
        <v>41</v>
      </c>
      <c r="D4477" t="str">
        <f>T_Stocks[[#This Row],[Ticker]] &amp; "-" &amp; DATE(YEAR(T_Stocks[[#This Row],[Fecha]]),MONTH(T_Stocks[[#This Row],[Fecha]]),DAY(T_Stocks[[#This Row],[Fecha]]))</f>
        <v>MSFT-44690</v>
      </c>
    </row>
    <row r="4478" spans="1:4" ht="14.65" thickBot="1" x14ac:dyDescent="0.5">
      <c r="A4478" s="17">
        <v>44691.666666666664</v>
      </c>
      <c r="B4478" s="19">
        <v>269.5</v>
      </c>
      <c r="C4478" t="s">
        <v>41</v>
      </c>
      <c r="D4478" t="str">
        <f>T_Stocks[[#This Row],[Ticker]] &amp; "-" &amp; DATE(YEAR(T_Stocks[[#This Row],[Fecha]]),MONTH(T_Stocks[[#This Row],[Fecha]]),DAY(T_Stocks[[#This Row],[Fecha]]))</f>
        <v>MSFT-44691</v>
      </c>
    </row>
    <row r="4479" spans="1:4" ht="14.65" thickBot="1" x14ac:dyDescent="0.5">
      <c r="A4479" s="17">
        <v>44692.666666666664</v>
      </c>
      <c r="B4479" s="19">
        <v>260.55</v>
      </c>
      <c r="C4479" t="s">
        <v>41</v>
      </c>
      <c r="D4479" t="str">
        <f>T_Stocks[[#This Row],[Ticker]] &amp; "-" &amp; DATE(YEAR(T_Stocks[[#This Row],[Fecha]]),MONTH(T_Stocks[[#This Row],[Fecha]]),DAY(T_Stocks[[#This Row],[Fecha]]))</f>
        <v>MSFT-44692</v>
      </c>
    </row>
    <row r="4480" spans="1:4" ht="14.65" thickBot="1" x14ac:dyDescent="0.5">
      <c r="A4480" s="17">
        <v>44693.666666666664</v>
      </c>
      <c r="B4480" s="19">
        <v>255.35</v>
      </c>
      <c r="C4480" t="s">
        <v>41</v>
      </c>
      <c r="D4480" t="str">
        <f>T_Stocks[[#This Row],[Ticker]] &amp; "-" &amp; DATE(YEAR(T_Stocks[[#This Row],[Fecha]]),MONTH(T_Stocks[[#This Row],[Fecha]]),DAY(T_Stocks[[#This Row],[Fecha]]))</f>
        <v>MSFT-44693</v>
      </c>
    </row>
    <row r="4481" spans="1:4" ht="14.65" thickBot="1" x14ac:dyDescent="0.5">
      <c r="A4481" s="17">
        <v>44694.666666666664</v>
      </c>
      <c r="B4481" s="19">
        <v>261.12</v>
      </c>
      <c r="C4481" t="s">
        <v>41</v>
      </c>
      <c r="D4481" t="str">
        <f>T_Stocks[[#This Row],[Ticker]] &amp; "-" &amp; DATE(YEAR(T_Stocks[[#This Row],[Fecha]]),MONTH(T_Stocks[[#This Row],[Fecha]]),DAY(T_Stocks[[#This Row],[Fecha]]))</f>
        <v>MSFT-44694</v>
      </c>
    </row>
    <row r="4482" spans="1:4" ht="14.65" thickBot="1" x14ac:dyDescent="0.5">
      <c r="A4482" s="17">
        <v>44697.666666666664</v>
      </c>
      <c r="B4482" s="19">
        <v>261.5</v>
      </c>
      <c r="C4482" t="s">
        <v>41</v>
      </c>
      <c r="D4482" t="str">
        <f>T_Stocks[[#This Row],[Ticker]] &amp; "-" &amp; DATE(YEAR(T_Stocks[[#This Row],[Fecha]]),MONTH(T_Stocks[[#This Row],[Fecha]]),DAY(T_Stocks[[#This Row],[Fecha]]))</f>
        <v>MSFT-44697</v>
      </c>
    </row>
    <row r="4483" spans="1:4" ht="14.65" thickBot="1" x14ac:dyDescent="0.5">
      <c r="A4483" s="17">
        <v>44698.666666666664</v>
      </c>
      <c r="B4483" s="19">
        <v>266.82</v>
      </c>
      <c r="C4483" t="s">
        <v>41</v>
      </c>
      <c r="D4483" t="str">
        <f>T_Stocks[[#This Row],[Ticker]] &amp; "-" &amp; DATE(YEAR(T_Stocks[[#This Row],[Fecha]]),MONTH(T_Stocks[[#This Row],[Fecha]]),DAY(T_Stocks[[#This Row],[Fecha]]))</f>
        <v>MSFT-44698</v>
      </c>
    </row>
    <row r="4484" spans="1:4" ht="14.65" thickBot="1" x14ac:dyDescent="0.5">
      <c r="A4484" s="17">
        <v>44699.666666666664</v>
      </c>
      <c r="B4484" s="19">
        <v>254.08</v>
      </c>
      <c r="C4484" t="s">
        <v>41</v>
      </c>
      <c r="D4484" t="str">
        <f>T_Stocks[[#This Row],[Ticker]] &amp; "-" &amp; DATE(YEAR(T_Stocks[[#This Row],[Fecha]]),MONTH(T_Stocks[[#This Row],[Fecha]]),DAY(T_Stocks[[#This Row],[Fecha]]))</f>
        <v>MSFT-44699</v>
      </c>
    </row>
    <row r="4485" spans="1:4" ht="14.65" thickBot="1" x14ac:dyDescent="0.5">
      <c r="A4485" s="17">
        <v>44700.666666666664</v>
      </c>
      <c r="B4485" s="19">
        <v>253.14</v>
      </c>
      <c r="C4485" t="s">
        <v>41</v>
      </c>
      <c r="D4485" t="str">
        <f>T_Stocks[[#This Row],[Ticker]] &amp; "-" &amp; DATE(YEAR(T_Stocks[[#This Row],[Fecha]]),MONTH(T_Stocks[[#This Row],[Fecha]]),DAY(T_Stocks[[#This Row],[Fecha]]))</f>
        <v>MSFT-44700</v>
      </c>
    </row>
    <row r="4486" spans="1:4" ht="14.65" thickBot="1" x14ac:dyDescent="0.5">
      <c r="A4486" s="17">
        <v>44701.666666666664</v>
      </c>
      <c r="B4486" s="19">
        <v>252.56</v>
      </c>
      <c r="C4486" t="s">
        <v>41</v>
      </c>
      <c r="D4486" t="str">
        <f>T_Stocks[[#This Row],[Ticker]] &amp; "-" &amp; DATE(YEAR(T_Stocks[[#This Row],[Fecha]]),MONTH(T_Stocks[[#This Row],[Fecha]]),DAY(T_Stocks[[#This Row],[Fecha]]))</f>
        <v>MSFT-44701</v>
      </c>
    </row>
    <row r="4487" spans="1:4" ht="14.65" thickBot="1" x14ac:dyDescent="0.5">
      <c r="A4487" s="17">
        <v>44704.666666666664</v>
      </c>
      <c r="B4487" s="19">
        <v>260.64999999999998</v>
      </c>
      <c r="C4487" t="s">
        <v>41</v>
      </c>
      <c r="D4487" t="str">
        <f>T_Stocks[[#This Row],[Ticker]] &amp; "-" &amp; DATE(YEAR(T_Stocks[[#This Row],[Fecha]]),MONTH(T_Stocks[[#This Row],[Fecha]]),DAY(T_Stocks[[#This Row],[Fecha]]))</f>
        <v>MSFT-44704</v>
      </c>
    </row>
    <row r="4488" spans="1:4" ht="14.65" thickBot="1" x14ac:dyDescent="0.5">
      <c r="A4488" s="17">
        <v>44705.666666666664</v>
      </c>
      <c r="B4488" s="19">
        <v>259.62</v>
      </c>
      <c r="C4488" t="s">
        <v>41</v>
      </c>
      <c r="D4488" t="str">
        <f>T_Stocks[[#This Row],[Ticker]] &amp; "-" &amp; DATE(YEAR(T_Stocks[[#This Row],[Fecha]]),MONTH(T_Stocks[[#This Row],[Fecha]]),DAY(T_Stocks[[#This Row],[Fecha]]))</f>
        <v>MSFT-44705</v>
      </c>
    </row>
    <row r="4489" spans="1:4" ht="14.65" thickBot="1" x14ac:dyDescent="0.5">
      <c r="A4489" s="17">
        <v>44706.666666666664</v>
      </c>
      <c r="B4489" s="19">
        <v>262.52</v>
      </c>
      <c r="C4489" t="s">
        <v>41</v>
      </c>
      <c r="D4489" t="str">
        <f>T_Stocks[[#This Row],[Ticker]] &amp; "-" &amp; DATE(YEAR(T_Stocks[[#This Row],[Fecha]]),MONTH(T_Stocks[[#This Row],[Fecha]]),DAY(T_Stocks[[#This Row],[Fecha]]))</f>
        <v>MSFT-44706</v>
      </c>
    </row>
    <row r="4490" spans="1:4" ht="14.65" thickBot="1" x14ac:dyDescent="0.5">
      <c r="A4490" s="17">
        <v>44707.666666666664</v>
      </c>
      <c r="B4490" s="19">
        <v>265.89999999999998</v>
      </c>
      <c r="C4490" t="s">
        <v>41</v>
      </c>
      <c r="D4490" t="str">
        <f>T_Stocks[[#This Row],[Ticker]] &amp; "-" &amp; DATE(YEAR(T_Stocks[[#This Row],[Fecha]]),MONTH(T_Stocks[[#This Row],[Fecha]]),DAY(T_Stocks[[#This Row],[Fecha]]))</f>
        <v>MSFT-44707</v>
      </c>
    </row>
    <row r="4491" spans="1:4" ht="14.65" thickBot="1" x14ac:dyDescent="0.5">
      <c r="A4491" s="17">
        <v>44708.666666666664</v>
      </c>
      <c r="B4491" s="19">
        <v>273.24</v>
      </c>
      <c r="C4491" t="s">
        <v>41</v>
      </c>
      <c r="D4491" t="str">
        <f>T_Stocks[[#This Row],[Ticker]] &amp; "-" &amp; DATE(YEAR(T_Stocks[[#This Row],[Fecha]]),MONTH(T_Stocks[[#This Row],[Fecha]]),DAY(T_Stocks[[#This Row],[Fecha]]))</f>
        <v>MSFT-44708</v>
      </c>
    </row>
    <row r="4492" spans="1:4" ht="14.65" thickBot="1" x14ac:dyDescent="0.5">
      <c r="A4492" s="17">
        <v>44712.666666666664</v>
      </c>
      <c r="B4492" s="19">
        <v>271.87</v>
      </c>
      <c r="C4492" t="s">
        <v>41</v>
      </c>
      <c r="D4492" t="str">
        <f>T_Stocks[[#This Row],[Ticker]] &amp; "-" &amp; DATE(YEAR(T_Stocks[[#This Row],[Fecha]]),MONTH(T_Stocks[[#This Row],[Fecha]]),DAY(T_Stocks[[#This Row],[Fecha]]))</f>
        <v>MSFT-44712</v>
      </c>
    </row>
    <row r="4493" spans="1:4" ht="14.65" thickBot="1" x14ac:dyDescent="0.5">
      <c r="A4493" s="17">
        <v>44713.666666666664</v>
      </c>
      <c r="B4493" s="19">
        <v>272.42</v>
      </c>
      <c r="C4493" t="s">
        <v>41</v>
      </c>
      <c r="D4493" t="str">
        <f>T_Stocks[[#This Row],[Ticker]] &amp; "-" &amp; DATE(YEAR(T_Stocks[[#This Row],[Fecha]]),MONTH(T_Stocks[[#This Row],[Fecha]]),DAY(T_Stocks[[#This Row],[Fecha]]))</f>
        <v>MSFT-44713</v>
      </c>
    </row>
    <row r="4494" spans="1:4" ht="14.65" thickBot="1" x14ac:dyDescent="0.5">
      <c r="A4494" s="17">
        <v>44714.666666666664</v>
      </c>
      <c r="B4494" s="19">
        <v>274.58</v>
      </c>
      <c r="C4494" t="s">
        <v>41</v>
      </c>
      <c r="D4494" t="str">
        <f>T_Stocks[[#This Row],[Ticker]] &amp; "-" &amp; DATE(YEAR(T_Stocks[[#This Row],[Fecha]]),MONTH(T_Stocks[[#This Row],[Fecha]]),DAY(T_Stocks[[#This Row],[Fecha]]))</f>
        <v>MSFT-44714</v>
      </c>
    </row>
    <row r="4495" spans="1:4" ht="14.65" thickBot="1" x14ac:dyDescent="0.5">
      <c r="A4495" s="17">
        <v>44715.666666666664</v>
      </c>
      <c r="B4495" s="19">
        <v>270.02</v>
      </c>
      <c r="C4495" t="s">
        <v>41</v>
      </c>
      <c r="D4495" t="str">
        <f>T_Stocks[[#This Row],[Ticker]] &amp; "-" &amp; DATE(YEAR(T_Stocks[[#This Row],[Fecha]]),MONTH(T_Stocks[[#This Row],[Fecha]]),DAY(T_Stocks[[#This Row],[Fecha]]))</f>
        <v>MSFT-44715</v>
      </c>
    </row>
    <row r="4496" spans="1:4" ht="14.65" thickBot="1" x14ac:dyDescent="0.5">
      <c r="A4496" s="17">
        <v>44718.666666666664</v>
      </c>
      <c r="B4496" s="19">
        <v>268.75</v>
      </c>
      <c r="C4496" t="s">
        <v>41</v>
      </c>
      <c r="D4496" t="str">
        <f>T_Stocks[[#This Row],[Ticker]] &amp; "-" &amp; DATE(YEAR(T_Stocks[[#This Row],[Fecha]]),MONTH(T_Stocks[[#This Row],[Fecha]]),DAY(T_Stocks[[#This Row],[Fecha]]))</f>
        <v>MSFT-44718</v>
      </c>
    </row>
    <row r="4497" spans="1:4" ht="14.65" thickBot="1" x14ac:dyDescent="0.5">
      <c r="A4497" s="17">
        <v>44719.666666666664</v>
      </c>
      <c r="B4497" s="19">
        <v>272.5</v>
      </c>
      <c r="C4497" t="s">
        <v>41</v>
      </c>
      <c r="D4497" t="str">
        <f>T_Stocks[[#This Row],[Ticker]] &amp; "-" &amp; DATE(YEAR(T_Stocks[[#This Row],[Fecha]]),MONTH(T_Stocks[[#This Row],[Fecha]]),DAY(T_Stocks[[#This Row],[Fecha]]))</f>
        <v>MSFT-44719</v>
      </c>
    </row>
    <row r="4498" spans="1:4" ht="14.65" thickBot="1" x14ac:dyDescent="0.5">
      <c r="A4498" s="17">
        <v>44720.666666666664</v>
      </c>
      <c r="B4498" s="19">
        <v>270.41000000000003</v>
      </c>
      <c r="C4498" t="s">
        <v>41</v>
      </c>
      <c r="D4498" t="str">
        <f>T_Stocks[[#This Row],[Ticker]] &amp; "-" &amp; DATE(YEAR(T_Stocks[[#This Row],[Fecha]]),MONTH(T_Stocks[[#This Row],[Fecha]]),DAY(T_Stocks[[#This Row],[Fecha]]))</f>
        <v>MSFT-44720</v>
      </c>
    </row>
    <row r="4499" spans="1:4" ht="14.65" thickBot="1" x14ac:dyDescent="0.5">
      <c r="A4499" s="17">
        <v>44721.666666666664</v>
      </c>
      <c r="B4499" s="19">
        <v>264.79000000000002</v>
      </c>
      <c r="C4499" t="s">
        <v>41</v>
      </c>
      <c r="D4499" t="str">
        <f>T_Stocks[[#This Row],[Ticker]] &amp; "-" &amp; DATE(YEAR(T_Stocks[[#This Row],[Fecha]]),MONTH(T_Stocks[[#This Row],[Fecha]]),DAY(T_Stocks[[#This Row],[Fecha]]))</f>
        <v>MSFT-44721</v>
      </c>
    </row>
    <row r="4500" spans="1:4" ht="14.65" thickBot="1" x14ac:dyDescent="0.5">
      <c r="A4500" s="17">
        <v>44722.666666666664</v>
      </c>
      <c r="B4500" s="19">
        <v>252.99</v>
      </c>
      <c r="C4500" t="s">
        <v>41</v>
      </c>
      <c r="D4500" t="str">
        <f>T_Stocks[[#This Row],[Ticker]] &amp; "-" &amp; DATE(YEAR(T_Stocks[[#This Row],[Fecha]]),MONTH(T_Stocks[[#This Row],[Fecha]]),DAY(T_Stocks[[#This Row],[Fecha]]))</f>
        <v>MSFT-44722</v>
      </c>
    </row>
    <row r="4501" spans="1:4" ht="14.65" thickBot="1" x14ac:dyDescent="0.5">
      <c r="A4501" s="17">
        <v>44725.666666666664</v>
      </c>
      <c r="B4501" s="19">
        <v>242.26</v>
      </c>
      <c r="C4501" t="s">
        <v>41</v>
      </c>
      <c r="D4501" t="str">
        <f>T_Stocks[[#This Row],[Ticker]] &amp; "-" &amp; DATE(YEAR(T_Stocks[[#This Row],[Fecha]]),MONTH(T_Stocks[[#This Row],[Fecha]]),DAY(T_Stocks[[#This Row],[Fecha]]))</f>
        <v>MSFT-44725</v>
      </c>
    </row>
    <row r="4502" spans="1:4" ht="14.65" thickBot="1" x14ac:dyDescent="0.5">
      <c r="A4502" s="17">
        <v>44726.666666666664</v>
      </c>
      <c r="B4502" s="19">
        <v>244.49</v>
      </c>
      <c r="C4502" t="s">
        <v>41</v>
      </c>
      <c r="D4502" t="str">
        <f>T_Stocks[[#This Row],[Ticker]] &amp; "-" &amp; DATE(YEAR(T_Stocks[[#This Row],[Fecha]]),MONTH(T_Stocks[[#This Row],[Fecha]]),DAY(T_Stocks[[#This Row],[Fecha]]))</f>
        <v>MSFT-44726</v>
      </c>
    </row>
    <row r="4503" spans="1:4" ht="14.65" thickBot="1" x14ac:dyDescent="0.5">
      <c r="A4503" s="17">
        <v>44727.666666666664</v>
      </c>
      <c r="B4503" s="19">
        <v>251.76</v>
      </c>
      <c r="C4503" t="s">
        <v>41</v>
      </c>
      <c r="D4503" t="str">
        <f>T_Stocks[[#This Row],[Ticker]] &amp; "-" &amp; DATE(YEAR(T_Stocks[[#This Row],[Fecha]]),MONTH(T_Stocks[[#This Row],[Fecha]]),DAY(T_Stocks[[#This Row],[Fecha]]))</f>
        <v>MSFT-44727</v>
      </c>
    </row>
    <row r="4504" spans="1:4" ht="14.65" thickBot="1" x14ac:dyDescent="0.5">
      <c r="A4504" s="17">
        <v>44728.666666666664</v>
      </c>
      <c r="B4504" s="19">
        <v>244.97</v>
      </c>
      <c r="C4504" t="s">
        <v>41</v>
      </c>
      <c r="D4504" t="str">
        <f>T_Stocks[[#This Row],[Ticker]] &amp; "-" &amp; DATE(YEAR(T_Stocks[[#This Row],[Fecha]]),MONTH(T_Stocks[[#This Row],[Fecha]]),DAY(T_Stocks[[#This Row],[Fecha]]))</f>
        <v>MSFT-44728</v>
      </c>
    </row>
    <row r="4505" spans="1:4" ht="14.65" thickBot="1" x14ac:dyDescent="0.5">
      <c r="A4505" s="17">
        <v>44729.666666666664</v>
      </c>
      <c r="B4505" s="19">
        <v>247.65</v>
      </c>
      <c r="C4505" t="s">
        <v>41</v>
      </c>
      <c r="D4505" t="str">
        <f>T_Stocks[[#This Row],[Ticker]] &amp; "-" &amp; DATE(YEAR(T_Stocks[[#This Row],[Fecha]]),MONTH(T_Stocks[[#This Row],[Fecha]]),DAY(T_Stocks[[#This Row],[Fecha]]))</f>
        <v>MSFT-44729</v>
      </c>
    </row>
    <row r="4506" spans="1:4" ht="14.65" thickBot="1" x14ac:dyDescent="0.5">
      <c r="A4506" s="17">
        <v>44733.666666666664</v>
      </c>
      <c r="B4506" s="19">
        <v>253.74</v>
      </c>
      <c r="C4506" t="s">
        <v>41</v>
      </c>
      <c r="D4506" t="str">
        <f>T_Stocks[[#This Row],[Ticker]] &amp; "-" &amp; DATE(YEAR(T_Stocks[[#This Row],[Fecha]]),MONTH(T_Stocks[[#This Row],[Fecha]]),DAY(T_Stocks[[#This Row],[Fecha]]))</f>
        <v>MSFT-44733</v>
      </c>
    </row>
    <row r="4507" spans="1:4" ht="14.65" thickBot="1" x14ac:dyDescent="0.5">
      <c r="A4507" s="17">
        <v>44734.666666666664</v>
      </c>
      <c r="B4507" s="19">
        <v>253.13</v>
      </c>
      <c r="C4507" t="s">
        <v>41</v>
      </c>
      <c r="D4507" t="str">
        <f>T_Stocks[[#This Row],[Ticker]] &amp; "-" &amp; DATE(YEAR(T_Stocks[[#This Row],[Fecha]]),MONTH(T_Stocks[[#This Row],[Fecha]]),DAY(T_Stocks[[#This Row],[Fecha]]))</f>
        <v>MSFT-44734</v>
      </c>
    </row>
    <row r="4508" spans="1:4" ht="14.65" thickBot="1" x14ac:dyDescent="0.5">
      <c r="A4508" s="17">
        <v>44735.666666666664</v>
      </c>
      <c r="B4508" s="19">
        <v>258.86</v>
      </c>
      <c r="C4508" t="s">
        <v>41</v>
      </c>
      <c r="D4508" t="str">
        <f>T_Stocks[[#This Row],[Ticker]] &amp; "-" &amp; DATE(YEAR(T_Stocks[[#This Row],[Fecha]]),MONTH(T_Stocks[[#This Row],[Fecha]]),DAY(T_Stocks[[#This Row],[Fecha]]))</f>
        <v>MSFT-44735</v>
      </c>
    </row>
    <row r="4509" spans="1:4" ht="14.65" thickBot="1" x14ac:dyDescent="0.5">
      <c r="A4509" s="17">
        <v>44736.666666666664</v>
      </c>
      <c r="B4509" s="19">
        <v>267.7</v>
      </c>
      <c r="C4509" t="s">
        <v>41</v>
      </c>
      <c r="D4509" t="str">
        <f>T_Stocks[[#This Row],[Ticker]] &amp; "-" &amp; DATE(YEAR(T_Stocks[[#This Row],[Fecha]]),MONTH(T_Stocks[[#This Row],[Fecha]]),DAY(T_Stocks[[#This Row],[Fecha]]))</f>
        <v>MSFT-44736</v>
      </c>
    </row>
    <row r="4510" spans="1:4" ht="14.65" thickBot="1" x14ac:dyDescent="0.5">
      <c r="A4510" s="17">
        <v>44739.666666666664</v>
      </c>
      <c r="B4510" s="19">
        <v>264.89</v>
      </c>
      <c r="C4510" t="s">
        <v>41</v>
      </c>
      <c r="D4510" t="str">
        <f>T_Stocks[[#This Row],[Ticker]] &amp; "-" &amp; DATE(YEAR(T_Stocks[[#This Row],[Fecha]]),MONTH(T_Stocks[[#This Row],[Fecha]]),DAY(T_Stocks[[#This Row],[Fecha]]))</f>
        <v>MSFT-44739</v>
      </c>
    </row>
    <row r="4511" spans="1:4" ht="14.65" thickBot="1" x14ac:dyDescent="0.5">
      <c r="A4511" s="17">
        <v>44740.666666666664</v>
      </c>
      <c r="B4511" s="19">
        <v>256.48</v>
      </c>
      <c r="C4511" t="s">
        <v>41</v>
      </c>
      <c r="D4511" t="str">
        <f>T_Stocks[[#This Row],[Ticker]] &amp; "-" &amp; DATE(YEAR(T_Stocks[[#This Row],[Fecha]]),MONTH(T_Stocks[[#This Row],[Fecha]]),DAY(T_Stocks[[#This Row],[Fecha]]))</f>
        <v>MSFT-44740</v>
      </c>
    </row>
    <row r="4512" spans="1:4" ht="14.65" thickBot="1" x14ac:dyDescent="0.5">
      <c r="A4512" s="17">
        <v>44741.666666666664</v>
      </c>
      <c r="B4512" s="19">
        <v>260.26</v>
      </c>
      <c r="C4512" t="s">
        <v>41</v>
      </c>
      <c r="D4512" t="str">
        <f>T_Stocks[[#This Row],[Ticker]] &amp; "-" &amp; DATE(YEAR(T_Stocks[[#This Row],[Fecha]]),MONTH(T_Stocks[[#This Row],[Fecha]]),DAY(T_Stocks[[#This Row],[Fecha]]))</f>
        <v>MSFT-44741</v>
      </c>
    </row>
    <row r="4513" spans="1:4" ht="14.65" thickBot="1" x14ac:dyDescent="0.5">
      <c r="A4513" s="17">
        <v>44742.666666666664</v>
      </c>
      <c r="B4513" s="19">
        <v>256.83</v>
      </c>
      <c r="C4513" t="s">
        <v>41</v>
      </c>
      <c r="D4513" t="str">
        <f>T_Stocks[[#This Row],[Ticker]] &amp; "-" &amp; DATE(YEAR(T_Stocks[[#This Row],[Fecha]]),MONTH(T_Stocks[[#This Row],[Fecha]]),DAY(T_Stocks[[#This Row],[Fecha]]))</f>
        <v>MSFT-44742</v>
      </c>
    </row>
    <row r="4514" spans="1:4" ht="14.65" thickBot="1" x14ac:dyDescent="0.5">
      <c r="A4514" s="17">
        <v>44743.666666666664</v>
      </c>
      <c r="B4514" s="19">
        <v>259.58</v>
      </c>
      <c r="C4514" t="s">
        <v>41</v>
      </c>
      <c r="D4514" t="str">
        <f>T_Stocks[[#This Row],[Ticker]] &amp; "-" &amp; DATE(YEAR(T_Stocks[[#This Row],[Fecha]]),MONTH(T_Stocks[[#This Row],[Fecha]]),DAY(T_Stocks[[#This Row],[Fecha]]))</f>
        <v>MSFT-44743</v>
      </c>
    </row>
    <row r="4515" spans="1:4" ht="14.65" thickBot="1" x14ac:dyDescent="0.5">
      <c r="A4515" s="17">
        <v>44747.666666666664</v>
      </c>
      <c r="B4515" s="19">
        <v>262.85000000000002</v>
      </c>
      <c r="C4515" t="s">
        <v>41</v>
      </c>
      <c r="D4515" t="str">
        <f>T_Stocks[[#This Row],[Ticker]] &amp; "-" &amp; DATE(YEAR(T_Stocks[[#This Row],[Fecha]]),MONTH(T_Stocks[[#This Row],[Fecha]]),DAY(T_Stocks[[#This Row],[Fecha]]))</f>
        <v>MSFT-44747</v>
      </c>
    </row>
    <row r="4516" spans="1:4" ht="14.65" thickBot="1" x14ac:dyDescent="0.5">
      <c r="A4516" s="17">
        <v>44748.666666666664</v>
      </c>
      <c r="B4516" s="19">
        <v>266.20999999999998</v>
      </c>
      <c r="C4516" t="s">
        <v>41</v>
      </c>
      <c r="D4516" t="str">
        <f>T_Stocks[[#This Row],[Ticker]] &amp; "-" &amp; DATE(YEAR(T_Stocks[[#This Row],[Fecha]]),MONTH(T_Stocks[[#This Row],[Fecha]]),DAY(T_Stocks[[#This Row],[Fecha]]))</f>
        <v>MSFT-44748</v>
      </c>
    </row>
    <row r="4517" spans="1:4" ht="14.65" thickBot="1" x14ac:dyDescent="0.5">
      <c r="A4517" s="17">
        <v>44749.666666666664</v>
      </c>
      <c r="B4517" s="19">
        <v>268.39999999999998</v>
      </c>
      <c r="C4517" t="s">
        <v>41</v>
      </c>
      <c r="D4517" t="str">
        <f>T_Stocks[[#This Row],[Ticker]] &amp; "-" &amp; DATE(YEAR(T_Stocks[[#This Row],[Fecha]]),MONTH(T_Stocks[[#This Row],[Fecha]]),DAY(T_Stocks[[#This Row],[Fecha]]))</f>
        <v>MSFT-44749</v>
      </c>
    </row>
    <row r="4518" spans="1:4" ht="14.65" thickBot="1" x14ac:dyDescent="0.5">
      <c r="A4518" s="17">
        <v>44750.666666666664</v>
      </c>
      <c r="B4518" s="19">
        <v>267.66000000000003</v>
      </c>
      <c r="C4518" t="s">
        <v>41</v>
      </c>
      <c r="D4518" t="str">
        <f>T_Stocks[[#This Row],[Ticker]] &amp; "-" &amp; DATE(YEAR(T_Stocks[[#This Row],[Fecha]]),MONTH(T_Stocks[[#This Row],[Fecha]]),DAY(T_Stocks[[#This Row],[Fecha]]))</f>
        <v>MSFT-44750</v>
      </c>
    </row>
    <row r="4519" spans="1:4" ht="14.65" thickBot="1" x14ac:dyDescent="0.5">
      <c r="A4519" s="17">
        <v>44753.666666666664</v>
      </c>
      <c r="B4519" s="19">
        <v>264.51</v>
      </c>
      <c r="C4519" t="s">
        <v>41</v>
      </c>
      <c r="D4519" t="str">
        <f>T_Stocks[[#This Row],[Ticker]] &amp; "-" &amp; DATE(YEAR(T_Stocks[[#This Row],[Fecha]]),MONTH(T_Stocks[[#This Row],[Fecha]]),DAY(T_Stocks[[#This Row],[Fecha]]))</f>
        <v>MSFT-44753</v>
      </c>
    </row>
    <row r="4520" spans="1:4" ht="14.65" thickBot="1" x14ac:dyDescent="0.5">
      <c r="A4520" s="17">
        <v>44754.666666666664</v>
      </c>
      <c r="B4520" s="19">
        <v>253.67</v>
      </c>
      <c r="C4520" t="s">
        <v>41</v>
      </c>
      <c r="D4520" t="str">
        <f>T_Stocks[[#This Row],[Ticker]] &amp; "-" &amp; DATE(YEAR(T_Stocks[[#This Row],[Fecha]]),MONTH(T_Stocks[[#This Row],[Fecha]]),DAY(T_Stocks[[#This Row],[Fecha]]))</f>
        <v>MSFT-44754</v>
      </c>
    </row>
    <row r="4521" spans="1:4" ht="14.65" thickBot="1" x14ac:dyDescent="0.5">
      <c r="A4521" s="17">
        <v>44755.666666666664</v>
      </c>
      <c r="B4521" s="19">
        <v>252.72</v>
      </c>
      <c r="C4521" t="s">
        <v>41</v>
      </c>
      <c r="D4521" t="str">
        <f>T_Stocks[[#This Row],[Ticker]] &amp; "-" &amp; DATE(YEAR(T_Stocks[[#This Row],[Fecha]]),MONTH(T_Stocks[[#This Row],[Fecha]]),DAY(T_Stocks[[#This Row],[Fecha]]))</f>
        <v>MSFT-44755</v>
      </c>
    </row>
    <row r="4522" spans="1:4" ht="14.65" thickBot="1" x14ac:dyDescent="0.5">
      <c r="A4522" s="17">
        <v>44756.666666666664</v>
      </c>
      <c r="B4522" s="19">
        <v>254.08</v>
      </c>
      <c r="C4522" t="s">
        <v>41</v>
      </c>
      <c r="D4522" t="str">
        <f>T_Stocks[[#This Row],[Ticker]] &amp; "-" &amp; DATE(YEAR(T_Stocks[[#This Row],[Fecha]]),MONTH(T_Stocks[[#This Row],[Fecha]]),DAY(T_Stocks[[#This Row],[Fecha]]))</f>
        <v>MSFT-44756</v>
      </c>
    </row>
    <row r="4523" spans="1:4" ht="14.65" thickBot="1" x14ac:dyDescent="0.5">
      <c r="A4523" s="17">
        <v>44757.666666666664</v>
      </c>
      <c r="B4523" s="19">
        <v>256.72000000000003</v>
      </c>
      <c r="C4523" t="s">
        <v>41</v>
      </c>
      <c r="D4523" t="str">
        <f>T_Stocks[[#This Row],[Ticker]] &amp; "-" &amp; DATE(YEAR(T_Stocks[[#This Row],[Fecha]]),MONTH(T_Stocks[[#This Row],[Fecha]]),DAY(T_Stocks[[#This Row],[Fecha]]))</f>
        <v>MSFT-44757</v>
      </c>
    </row>
    <row r="4524" spans="1:4" ht="14.65" thickBot="1" x14ac:dyDescent="0.5">
      <c r="A4524" s="17">
        <v>44760.666666666664</v>
      </c>
      <c r="B4524" s="19">
        <v>254.25</v>
      </c>
      <c r="C4524" t="s">
        <v>41</v>
      </c>
      <c r="D4524" t="str">
        <f>T_Stocks[[#This Row],[Ticker]] &amp; "-" &amp; DATE(YEAR(T_Stocks[[#This Row],[Fecha]]),MONTH(T_Stocks[[#This Row],[Fecha]]),DAY(T_Stocks[[#This Row],[Fecha]]))</f>
        <v>MSFT-44760</v>
      </c>
    </row>
    <row r="4525" spans="1:4" ht="14.65" thickBot="1" x14ac:dyDescent="0.5">
      <c r="A4525" s="17">
        <v>44761.666666666664</v>
      </c>
      <c r="B4525" s="19">
        <v>259.52999999999997</v>
      </c>
      <c r="C4525" t="s">
        <v>41</v>
      </c>
      <c r="D4525" t="str">
        <f>T_Stocks[[#This Row],[Ticker]] &amp; "-" &amp; DATE(YEAR(T_Stocks[[#This Row],[Fecha]]),MONTH(T_Stocks[[#This Row],[Fecha]]),DAY(T_Stocks[[#This Row],[Fecha]]))</f>
        <v>MSFT-44761</v>
      </c>
    </row>
    <row r="4526" spans="1:4" ht="14.65" thickBot="1" x14ac:dyDescent="0.5">
      <c r="A4526" s="17">
        <v>44762.666666666664</v>
      </c>
      <c r="B4526" s="19">
        <v>262.27</v>
      </c>
      <c r="C4526" t="s">
        <v>41</v>
      </c>
      <c r="D4526" t="str">
        <f>T_Stocks[[#This Row],[Ticker]] &amp; "-" &amp; DATE(YEAR(T_Stocks[[#This Row],[Fecha]]),MONTH(T_Stocks[[#This Row],[Fecha]]),DAY(T_Stocks[[#This Row],[Fecha]]))</f>
        <v>MSFT-44762</v>
      </c>
    </row>
    <row r="4527" spans="1:4" ht="14.65" thickBot="1" x14ac:dyDescent="0.5">
      <c r="A4527" s="17">
        <v>44763.666666666664</v>
      </c>
      <c r="B4527" s="19">
        <v>264.83999999999997</v>
      </c>
      <c r="C4527" t="s">
        <v>41</v>
      </c>
      <c r="D4527" t="str">
        <f>T_Stocks[[#This Row],[Ticker]] &amp; "-" &amp; DATE(YEAR(T_Stocks[[#This Row],[Fecha]]),MONTH(T_Stocks[[#This Row],[Fecha]]),DAY(T_Stocks[[#This Row],[Fecha]]))</f>
        <v>MSFT-44763</v>
      </c>
    </row>
    <row r="4528" spans="1:4" ht="14.65" thickBot="1" x14ac:dyDescent="0.5">
      <c r="A4528" s="17">
        <v>44764.666666666664</v>
      </c>
      <c r="B4528" s="19">
        <v>260.36</v>
      </c>
      <c r="C4528" t="s">
        <v>41</v>
      </c>
      <c r="D4528" t="str">
        <f>T_Stocks[[#This Row],[Ticker]] &amp; "-" &amp; DATE(YEAR(T_Stocks[[#This Row],[Fecha]]),MONTH(T_Stocks[[#This Row],[Fecha]]),DAY(T_Stocks[[#This Row],[Fecha]]))</f>
        <v>MSFT-44764</v>
      </c>
    </row>
    <row r="4529" spans="1:4" ht="14.65" thickBot="1" x14ac:dyDescent="0.5">
      <c r="A4529" s="17">
        <v>44767.666666666664</v>
      </c>
      <c r="B4529" s="19">
        <v>258.83</v>
      </c>
      <c r="C4529" t="s">
        <v>41</v>
      </c>
      <c r="D4529" t="str">
        <f>T_Stocks[[#This Row],[Ticker]] &amp; "-" &amp; DATE(YEAR(T_Stocks[[#This Row],[Fecha]]),MONTH(T_Stocks[[#This Row],[Fecha]]),DAY(T_Stocks[[#This Row],[Fecha]]))</f>
        <v>MSFT-44767</v>
      </c>
    </row>
    <row r="4530" spans="1:4" ht="14.65" thickBot="1" x14ac:dyDescent="0.5">
      <c r="A4530" s="17">
        <v>44768.666666666664</v>
      </c>
      <c r="B4530" s="19">
        <v>251.9</v>
      </c>
      <c r="C4530" t="s">
        <v>41</v>
      </c>
      <c r="D4530" t="str">
        <f>T_Stocks[[#This Row],[Ticker]] &amp; "-" &amp; DATE(YEAR(T_Stocks[[#This Row],[Fecha]]),MONTH(T_Stocks[[#This Row],[Fecha]]),DAY(T_Stocks[[#This Row],[Fecha]]))</f>
        <v>MSFT-44768</v>
      </c>
    </row>
    <row r="4531" spans="1:4" ht="14.65" thickBot="1" x14ac:dyDescent="0.5">
      <c r="A4531" s="17">
        <v>44769.666666666664</v>
      </c>
      <c r="B4531" s="19">
        <v>268.74</v>
      </c>
      <c r="C4531" t="s">
        <v>41</v>
      </c>
      <c r="D4531" t="str">
        <f>T_Stocks[[#This Row],[Ticker]] &amp; "-" &amp; DATE(YEAR(T_Stocks[[#This Row],[Fecha]]),MONTH(T_Stocks[[#This Row],[Fecha]]),DAY(T_Stocks[[#This Row],[Fecha]]))</f>
        <v>MSFT-44769</v>
      </c>
    </row>
    <row r="4532" spans="1:4" ht="14.65" thickBot="1" x14ac:dyDescent="0.5">
      <c r="A4532" s="17">
        <v>44770.666666666664</v>
      </c>
      <c r="B4532" s="19">
        <v>276.41000000000003</v>
      </c>
      <c r="C4532" t="s">
        <v>41</v>
      </c>
      <c r="D4532" t="str">
        <f>T_Stocks[[#This Row],[Ticker]] &amp; "-" &amp; DATE(YEAR(T_Stocks[[#This Row],[Fecha]]),MONTH(T_Stocks[[#This Row],[Fecha]]),DAY(T_Stocks[[#This Row],[Fecha]]))</f>
        <v>MSFT-44770</v>
      </c>
    </row>
    <row r="4533" spans="1:4" ht="14.65" thickBot="1" x14ac:dyDescent="0.5">
      <c r="A4533" s="17">
        <v>44771.666666666664</v>
      </c>
      <c r="B4533" s="19">
        <v>280.74</v>
      </c>
      <c r="C4533" t="s">
        <v>41</v>
      </c>
      <c r="D4533" t="str">
        <f>T_Stocks[[#This Row],[Ticker]] &amp; "-" &amp; DATE(YEAR(T_Stocks[[#This Row],[Fecha]]),MONTH(T_Stocks[[#This Row],[Fecha]]),DAY(T_Stocks[[#This Row],[Fecha]]))</f>
        <v>MSFT-44771</v>
      </c>
    </row>
    <row r="4534" spans="1:4" ht="14.65" thickBot="1" x14ac:dyDescent="0.5">
      <c r="A4534" s="17">
        <v>44774.666666666664</v>
      </c>
      <c r="B4534" s="19">
        <v>278.01</v>
      </c>
      <c r="C4534" t="s">
        <v>41</v>
      </c>
      <c r="D4534" t="str">
        <f>T_Stocks[[#This Row],[Ticker]] &amp; "-" &amp; DATE(YEAR(T_Stocks[[#This Row],[Fecha]]),MONTH(T_Stocks[[#This Row],[Fecha]]),DAY(T_Stocks[[#This Row],[Fecha]]))</f>
        <v>MSFT-44774</v>
      </c>
    </row>
    <row r="4535" spans="1:4" ht="14.65" thickBot="1" x14ac:dyDescent="0.5">
      <c r="A4535" s="17">
        <v>44775.666666666664</v>
      </c>
      <c r="B4535" s="19">
        <v>274.82</v>
      </c>
      <c r="C4535" t="s">
        <v>41</v>
      </c>
      <c r="D4535" t="str">
        <f>T_Stocks[[#This Row],[Ticker]] &amp; "-" &amp; DATE(YEAR(T_Stocks[[#This Row],[Fecha]]),MONTH(T_Stocks[[#This Row],[Fecha]]),DAY(T_Stocks[[#This Row],[Fecha]]))</f>
        <v>MSFT-44775</v>
      </c>
    </row>
    <row r="4536" spans="1:4" ht="14.65" thickBot="1" x14ac:dyDescent="0.5">
      <c r="A4536" s="17">
        <v>44776.666666666664</v>
      </c>
      <c r="B4536" s="19">
        <v>282.47000000000003</v>
      </c>
      <c r="C4536" t="s">
        <v>41</v>
      </c>
      <c r="D4536" t="str">
        <f>T_Stocks[[#This Row],[Ticker]] &amp; "-" &amp; DATE(YEAR(T_Stocks[[#This Row],[Fecha]]),MONTH(T_Stocks[[#This Row],[Fecha]]),DAY(T_Stocks[[#This Row],[Fecha]]))</f>
        <v>MSFT-44776</v>
      </c>
    </row>
    <row r="4537" spans="1:4" ht="14.65" thickBot="1" x14ac:dyDescent="0.5">
      <c r="A4537" s="17">
        <v>44777.666666666664</v>
      </c>
      <c r="B4537" s="19">
        <v>283.64999999999998</v>
      </c>
      <c r="C4537" t="s">
        <v>41</v>
      </c>
      <c r="D4537" t="str">
        <f>T_Stocks[[#This Row],[Ticker]] &amp; "-" &amp; DATE(YEAR(T_Stocks[[#This Row],[Fecha]]),MONTH(T_Stocks[[#This Row],[Fecha]]),DAY(T_Stocks[[#This Row],[Fecha]]))</f>
        <v>MSFT-44777</v>
      </c>
    </row>
    <row r="4538" spans="1:4" ht="14.65" thickBot="1" x14ac:dyDescent="0.5">
      <c r="A4538" s="17">
        <v>44778.666666666664</v>
      </c>
      <c r="B4538" s="19">
        <v>282.91000000000003</v>
      </c>
      <c r="C4538" t="s">
        <v>41</v>
      </c>
      <c r="D4538" t="str">
        <f>T_Stocks[[#This Row],[Ticker]] &amp; "-" &amp; DATE(YEAR(T_Stocks[[#This Row],[Fecha]]),MONTH(T_Stocks[[#This Row],[Fecha]]),DAY(T_Stocks[[#This Row],[Fecha]]))</f>
        <v>MSFT-44778</v>
      </c>
    </row>
    <row r="4539" spans="1:4" ht="14.65" thickBot="1" x14ac:dyDescent="0.5">
      <c r="A4539" s="17">
        <v>44781.666666666664</v>
      </c>
      <c r="B4539" s="19">
        <v>280.32</v>
      </c>
      <c r="C4539" t="s">
        <v>41</v>
      </c>
      <c r="D4539" t="str">
        <f>T_Stocks[[#This Row],[Ticker]] &amp; "-" &amp; DATE(YEAR(T_Stocks[[#This Row],[Fecha]]),MONTH(T_Stocks[[#This Row],[Fecha]]),DAY(T_Stocks[[#This Row],[Fecha]]))</f>
        <v>MSFT-44781</v>
      </c>
    </row>
    <row r="4540" spans="1:4" ht="14.65" thickBot="1" x14ac:dyDescent="0.5">
      <c r="A4540" s="17">
        <v>44782.666666666664</v>
      </c>
      <c r="B4540" s="19">
        <v>282.3</v>
      </c>
      <c r="C4540" t="s">
        <v>41</v>
      </c>
      <c r="D4540" t="str">
        <f>T_Stocks[[#This Row],[Ticker]] &amp; "-" &amp; DATE(YEAR(T_Stocks[[#This Row],[Fecha]]),MONTH(T_Stocks[[#This Row],[Fecha]]),DAY(T_Stocks[[#This Row],[Fecha]]))</f>
        <v>MSFT-44782</v>
      </c>
    </row>
    <row r="4541" spans="1:4" ht="14.65" thickBot="1" x14ac:dyDescent="0.5">
      <c r="A4541" s="17">
        <v>44783.666666666664</v>
      </c>
      <c r="B4541" s="19">
        <v>289.16000000000003</v>
      </c>
      <c r="C4541" t="s">
        <v>41</v>
      </c>
      <c r="D4541" t="str">
        <f>T_Stocks[[#This Row],[Ticker]] &amp; "-" &amp; DATE(YEAR(T_Stocks[[#This Row],[Fecha]]),MONTH(T_Stocks[[#This Row],[Fecha]]),DAY(T_Stocks[[#This Row],[Fecha]]))</f>
        <v>MSFT-44783</v>
      </c>
    </row>
    <row r="4542" spans="1:4" ht="14.65" thickBot="1" x14ac:dyDescent="0.5">
      <c r="A4542" s="17">
        <v>44784.666666666664</v>
      </c>
      <c r="B4542" s="19">
        <v>287.02</v>
      </c>
      <c r="C4542" t="s">
        <v>41</v>
      </c>
      <c r="D4542" t="str">
        <f>T_Stocks[[#This Row],[Ticker]] &amp; "-" &amp; DATE(YEAR(T_Stocks[[#This Row],[Fecha]]),MONTH(T_Stocks[[#This Row],[Fecha]]),DAY(T_Stocks[[#This Row],[Fecha]]))</f>
        <v>MSFT-44784</v>
      </c>
    </row>
    <row r="4543" spans="1:4" ht="14.65" thickBot="1" x14ac:dyDescent="0.5">
      <c r="A4543" s="17">
        <v>44785.666666666664</v>
      </c>
      <c r="B4543" s="19">
        <v>291.91000000000003</v>
      </c>
      <c r="C4543" t="s">
        <v>41</v>
      </c>
      <c r="D4543" t="str">
        <f>T_Stocks[[#This Row],[Ticker]] &amp; "-" &amp; DATE(YEAR(T_Stocks[[#This Row],[Fecha]]),MONTH(T_Stocks[[#This Row],[Fecha]]),DAY(T_Stocks[[#This Row],[Fecha]]))</f>
        <v>MSFT-44785</v>
      </c>
    </row>
    <row r="4544" spans="1:4" ht="14.65" thickBot="1" x14ac:dyDescent="0.5">
      <c r="A4544" s="17">
        <v>44788.666666666664</v>
      </c>
      <c r="B4544" s="19">
        <v>293.47000000000003</v>
      </c>
      <c r="C4544" t="s">
        <v>41</v>
      </c>
      <c r="D4544" t="str">
        <f>T_Stocks[[#This Row],[Ticker]] &amp; "-" &amp; DATE(YEAR(T_Stocks[[#This Row],[Fecha]]),MONTH(T_Stocks[[#This Row],[Fecha]]),DAY(T_Stocks[[#This Row],[Fecha]]))</f>
        <v>MSFT-44788</v>
      </c>
    </row>
    <row r="4545" spans="1:4" ht="14.65" thickBot="1" x14ac:dyDescent="0.5">
      <c r="A4545" s="17">
        <v>44789.666666666664</v>
      </c>
      <c r="B4545" s="19">
        <v>292.70999999999998</v>
      </c>
      <c r="C4545" t="s">
        <v>41</v>
      </c>
      <c r="D4545" t="str">
        <f>T_Stocks[[#This Row],[Ticker]] &amp; "-" &amp; DATE(YEAR(T_Stocks[[#This Row],[Fecha]]),MONTH(T_Stocks[[#This Row],[Fecha]]),DAY(T_Stocks[[#This Row],[Fecha]]))</f>
        <v>MSFT-44789</v>
      </c>
    </row>
    <row r="4546" spans="1:4" ht="14.65" thickBot="1" x14ac:dyDescent="0.5">
      <c r="A4546" s="17">
        <v>44790.666666666664</v>
      </c>
      <c r="B4546" s="19">
        <v>291.32</v>
      </c>
      <c r="C4546" t="s">
        <v>41</v>
      </c>
      <c r="D4546" t="str">
        <f>T_Stocks[[#This Row],[Ticker]] &amp; "-" &amp; DATE(YEAR(T_Stocks[[#This Row],[Fecha]]),MONTH(T_Stocks[[#This Row],[Fecha]]),DAY(T_Stocks[[#This Row],[Fecha]]))</f>
        <v>MSFT-44790</v>
      </c>
    </row>
    <row r="4547" spans="1:4" ht="14.65" thickBot="1" x14ac:dyDescent="0.5">
      <c r="A4547" s="17">
        <v>44791.666666666664</v>
      </c>
      <c r="B4547" s="19">
        <v>290.17</v>
      </c>
      <c r="C4547" t="s">
        <v>41</v>
      </c>
      <c r="D4547" t="str">
        <f>T_Stocks[[#This Row],[Ticker]] &amp; "-" &amp; DATE(YEAR(T_Stocks[[#This Row],[Fecha]]),MONTH(T_Stocks[[#This Row],[Fecha]]),DAY(T_Stocks[[#This Row],[Fecha]]))</f>
        <v>MSFT-44791</v>
      </c>
    </row>
    <row r="4548" spans="1:4" ht="14.65" thickBot="1" x14ac:dyDescent="0.5">
      <c r="A4548" s="17">
        <v>44792.666666666664</v>
      </c>
      <c r="B4548" s="19">
        <v>286.14999999999998</v>
      </c>
      <c r="C4548" t="s">
        <v>41</v>
      </c>
      <c r="D4548" t="str">
        <f>T_Stocks[[#This Row],[Ticker]] &amp; "-" &amp; DATE(YEAR(T_Stocks[[#This Row],[Fecha]]),MONTH(T_Stocks[[#This Row],[Fecha]]),DAY(T_Stocks[[#This Row],[Fecha]]))</f>
        <v>MSFT-44792</v>
      </c>
    </row>
    <row r="4549" spans="1:4" ht="14.65" thickBot="1" x14ac:dyDescent="0.5">
      <c r="A4549" s="17">
        <v>44795.666666666664</v>
      </c>
      <c r="B4549" s="19">
        <v>277.75</v>
      </c>
      <c r="C4549" t="s">
        <v>41</v>
      </c>
      <c r="D4549" t="str">
        <f>T_Stocks[[#This Row],[Ticker]] &amp; "-" &amp; DATE(YEAR(T_Stocks[[#This Row],[Fecha]]),MONTH(T_Stocks[[#This Row],[Fecha]]),DAY(T_Stocks[[#This Row],[Fecha]]))</f>
        <v>MSFT-44795</v>
      </c>
    </row>
    <row r="4550" spans="1:4" ht="14.65" thickBot="1" x14ac:dyDescent="0.5">
      <c r="A4550" s="17">
        <v>44796.666666666664</v>
      </c>
      <c r="B4550" s="19">
        <v>276.44</v>
      </c>
      <c r="C4550" t="s">
        <v>41</v>
      </c>
      <c r="D4550" t="str">
        <f>T_Stocks[[#This Row],[Ticker]] &amp; "-" &amp; DATE(YEAR(T_Stocks[[#This Row],[Fecha]]),MONTH(T_Stocks[[#This Row],[Fecha]]),DAY(T_Stocks[[#This Row],[Fecha]]))</f>
        <v>MSFT-44796</v>
      </c>
    </row>
    <row r="4551" spans="1:4" ht="14.65" thickBot="1" x14ac:dyDescent="0.5">
      <c r="A4551" s="17">
        <v>44797.666666666664</v>
      </c>
      <c r="B4551" s="19">
        <v>275.79000000000002</v>
      </c>
      <c r="C4551" t="s">
        <v>41</v>
      </c>
      <c r="D4551" t="str">
        <f>T_Stocks[[#This Row],[Ticker]] &amp; "-" &amp; DATE(YEAR(T_Stocks[[#This Row],[Fecha]]),MONTH(T_Stocks[[#This Row],[Fecha]]),DAY(T_Stocks[[#This Row],[Fecha]]))</f>
        <v>MSFT-44797</v>
      </c>
    </row>
    <row r="4552" spans="1:4" ht="14.65" thickBot="1" x14ac:dyDescent="0.5">
      <c r="A4552" s="17">
        <v>44798.666666666664</v>
      </c>
      <c r="B4552" s="19">
        <v>278.85000000000002</v>
      </c>
      <c r="C4552" t="s">
        <v>41</v>
      </c>
      <c r="D4552" t="str">
        <f>T_Stocks[[#This Row],[Ticker]] &amp; "-" &amp; DATE(YEAR(T_Stocks[[#This Row],[Fecha]]),MONTH(T_Stocks[[#This Row],[Fecha]]),DAY(T_Stocks[[#This Row],[Fecha]]))</f>
        <v>MSFT-44798</v>
      </c>
    </row>
    <row r="4553" spans="1:4" ht="14.65" thickBot="1" x14ac:dyDescent="0.5">
      <c r="A4553" s="17">
        <v>44799.666666666664</v>
      </c>
      <c r="B4553" s="19">
        <v>268.08999999999997</v>
      </c>
      <c r="C4553" t="s">
        <v>41</v>
      </c>
      <c r="D4553" t="str">
        <f>T_Stocks[[#This Row],[Ticker]] &amp; "-" &amp; DATE(YEAR(T_Stocks[[#This Row],[Fecha]]),MONTH(T_Stocks[[#This Row],[Fecha]]),DAY(T_Stocks[[#This Row],[Fecha]]))</f>
        <v>MSFT-44799</v>
      </c>
    </row>
    <row r="4554" spans="1:4" ht="14.65" thickBot="1" x14ac:dyDescent="0.5">
      <c r="A4554" s="17">
        <v>44802.666666666664</v>
      </c>
      <c r="B4554" s="19">
        <v>265.23</v>
      </c>
      <c r="C4554" t="s">
        <v>41</v>
      </c>
      <c r="D4554" t="str">
        <f>T_Stocks[[#This Row],[Ticker]] &amp; "-" &amp; DATE(YEAR(T_Stocks[[#This Row],[Fecha]]),MONTH(T_Stocks[[#This Row],[Fecha]]),DAY(T_Stocks[[#This Row],[Fecha]]))</f>
        <v>MSFT-44802</v>
      </c>
    </row>
    <row r="4555" spans="1:4" ht="14.65" thickBot="1" x14ac:dyDescent="0.5">
      <c r="A4555" s="17">
        <v>44803.666666666664</v>
      </c>
      <c r="B4555" s="19">
        <v>262.97000000000003</v>
      </c>
      <c r="C4555" t="s">
        <v>41</v>
      </c>
      <c r="D4555" t="str">
        <f>T_Stocks[[#This Row],[Ticker]] &amp; "-" &amp; DATE(YEAR(T_Stocks[[#This Row],[Fecha]]),MONTH(T_Stocks[[#This Row],[Fecha]]),DAY(T_Stocks[[#This Row],[Fecha]]))</f>
        <v>MSFT-44803</v>
      </c>
    </row>
    <row r="4556" spans="1:4" ht="14.65" thickBot="1" x14ac:dyDescent="0.5">
      <c r="A4556" s="17">
        <v>44804.666666666664</v>
      </c>
      <c r="B4556" s="19">
        <v>261.47000000000003</v>
      </c>
      <c r="C4556" t="s">
        <v>41</v>
      </c>
      <c r="D4556" t="str">
        <f>T_Stocks[[#This Row],[Ticker]] &amp; "-" &amp; DATE(YEAR(T_Stocks[[#This Row],[Fecha]]),MONTH(T_Stocks[[#This Row],[Fecha]]),DAY(T_Stocks[[#This Row],[Fecha]]))</f>
        <v>MSFT-44804</v>
      </c>
    </row>
    <row r="4557" spans="1:4" ht="14.65" thickBot="1" x14ac:dyDescent="0.5">
      <c r="A4557" s="17">
        <v>44805.666666666664</v>
      </c>
      <c r="B4557" s="19">
        <v>260.39999999999998</v>
      </c>
      <c r="C4557" t="s">
        <v>41</v>
      </c>
      <c r="D4557" t="str">
        <f>T_Stocks[[#This Row],[Ticker]] &amp; "-" &amp; DATE(YEAR(T_Stocks[[#This Row],[Fecha]]),MONTH(T_Stocks[[#This Row],[Fecha]]),DAY(T_Stocks[[#This Row],[Fecha]]))</f>
        <v>MSFT-44805</v>
      </c>
    </row>
    <row r="4558" spans="1:4" ht="14.65" thickBot="1" x14ac:dyDescent="0.5">
      <c r="A4558" s="17">
        <v>44806.666666666664</v>
      </c>
      <c r="B4558" s="19">
        <v>256.06</v>
      </c>
      <c r="C4558" t="s">
        <v>41</v>
      </c>
      <c r="D4558" t="str">
        <f>T_Stocks[[#This Row],[Ticker]] &amp; "-" &amp; DATE(YEAR(T_Stocks[[#This Row],[Fecha]]),MONTH(T_Stocks[[#This Row],[Fecha]]),DAY(T_Stocks[[#This Row],[Fecha]]))</f>
        <v>MSFT-44806</v>
      </c>
    </row>
    <row r="4559" spans="1:4" ht="14.65" thickBot="1" x14ac:dyDescent="0.5">
      <c r="A4559" s="17">
        <v>44810.666666666664</v>
      </c>
      <c r="B4559" s="19">
        <v>253.25</v>
      </c>
      <c r="C4559" t="s">
        <v>41</v>
      </c>
      <c r="D4559" t="str">
        <f>T_Stocks[[#This Row],[Ticker]] &amp; "-" &amp; DATE(YEAR(T_Stocks[[#This Row],[Fecha]]),MONTH(T_Stocks[[#This Row],[Fecha]]),DAY(T_Stocks[[#This Row],[Fecha]]))</f>
        <v>MSFT-44810</v>
      </c>
    </row>
    <row r="4560" spans="1:4" ht="14.65" thickBot="1" x14ac:dyDescent="0.5">
      <c r="A4560" s="17">
        <v>44811.666666666664</v>
      </c>
      <c r="B4560" s="19">
        <v>258.08999999999997</v>
      </c>
      <c r="C4560" t="s">
        <v>41</v>
      </c>
      <c r="D4560" t="str">
        <f>T_Stocks[[#This Row],[Ticker]] &amp; "-" &amp; DATE(YEAR(T_Stocks[[#This Row],[Fecha]]),MONTH(T_Stocks[[#This Row],[Fecha]]),DAY(T_Stocks[[#This Row],[Fecha]]))</f>
        <v>MSFT-44811</v>
      </c>
    </row>
    <row r="4561" spans="1:4" ht="14.65" thickBot="1" x14ac:dyDescent="0.5">
      <c r="A4561" s="17">
        <v>44812.666666666664</v>
      </c>
      <c r="B4561" s="19">
        <v>258.52</v>
      </c>
      <c r="C4561" t="s">
        <v>41</v>
      </c>
      <c r="D4561" t="str">
        <f>T_Stocks[[#This Row],[Ticker]] &amp; "-" &amp; DATE(YEAR(T_Stocks[[#This Row],[Fecha]]),MONTH(T_Stocks[[#This Row],[Fecha]]),DAY(T_Stocks[[#This Row],[Fecha]]))</f>
        <v>MSFT-44812</v>
      </c>
    </row>
    <row r="4562" spans="1:4" ht="14.65" thickBot="1" x14ac:dyDescent="0.5">
      <c r="A4562" s="17">
        <v>44813.666666666664</v>
      </c>
      <c r="B4562" s="19">
        <v>264.45999999999998</v>
      </c>
      <c r="C4562" t="s">
        <v>41</v>
      </c>
      <c r="D4562" t="str">
        <f>T_Stocks[[#This Row],[Ticker]] &amp; "-" &amp; DATE(YEAR(T_Stocks[[#This Row],[Fecha]]),MONTH(T_Stocks[[#This Row],[Fecha]]),DAY(T_Stocks[[#This Row],[Fecha]]))</f>
        <v>MSFT-44813</v>
      </c>
    </row>
    <row r="4563" spans="1:4" ht="14.65" thickBot="1" x14ac:dyDescent="0.5">
      <c r="A4563" s="17">
        <v>44816.666666666664</v>
      </c>
      <c r="B4563" s="19">
        <v>266.64999999999998</v>
      </c>
      <c r="C4563" t="s">
        <v>41</v>
      </c>
      <c r="D4563" t="str">
        <f>T_Stocks[[#This Row],[Ticker]] &amp; "-" &amp; DATE(YEAR(T_Stocks[[#This Row],[Fecha]]),MONTH(T_Stocks[[#This Row],[Fecha]]),DAY(T_Stocks[[#This Row],[Fecha]]))</f>
        <v>MSFT-44816</v>
      </c>
    </row>
    <row r="4564" spans="1:4" ht="14.65" thickBot="1" x14ac:dyDescent="0.5">
      <c r="A4564" s="17">
        <v>44817.666666666664</v>
      </c>
      <c r="B4564" s="19">
        <v>251.99</v>
      </c>
      <c r="C4564" t="s">
        <v>41</v>
      </c>
      <c r="D4564" t="str">
        <f>T_Stocks[[#This Row],[Ticker]] &amp; "-" &amp; DATE(YEAR(T_Stocks[[#This Row],[Fecha]]),MONTH(T_Stocks[[#This Row],[Fecha]]),DAY(T_Stocks[[#This Row],[Fecha]]))</f>
        <v>MSFT-44817</v>
      </c>
    </row>
    <row r="4565" spans="1:4" ht="14.65" thickBot="1" x14ac:dyDescent="0.5">
      <c r="A4565" s="17">
        <v>44818.666666666664</v>
      </c>
      <c r="B4565" s="19">
        <v>252.22</v>
      </c>
      <c r="C4565" t="s">
        <v>41</v>
      </c>
      <c r="D4565" t="str">
        <f>T_Stocks[[#This Row],[Ticker]] &amp; "-" &amp; DATE(YEAR(T_Stocks[[#This Row],[Fecha]]),MONTH(T_Stocks[[#This Row],[Fecha]]),DAY(T_Stocks[[#This Row],[Fecha]]))</f>
        <v>MSFT-44818</v>
      </c>
    </row>
    <row r="4566" spans="1:4" ht="14.65" thickBot="1" x14ac:dyDescent="0.5">
      <c r="A4566" s="17">
        <v>44819.666666666664</v>
      </c>
      <c r="B4566" s="19">
        <v>245.38</v>
      </c>
      <c r="C4566" t="s">
        <v>41</v>
      </c>
      <c r="D4566" t="str">
        <f>T_Stocks[[#This Row],[Ticker]] &amp; "-" &amp; DATE(YEAR(T_Stocks[[#This Row],[Fecha]]),MONTH(T_Stocks[[#This Row],[Fecha]]),DAY(T_Stocks[[#This Row],[Fecha]]))</f>
        <v>MSFT-44819</v>
      </c>
    </row>
    <row r="4567" spans="1:4" ht="14.65" thickBot="1" x14ac:dyDescent="0.5">
      <c r="A4567" s="17">
        <v>44820.666666666664</v>
      </c>
      <c r="B4567" s="19">
        <v>244.74</v>
      </c>
      <c r="C4567" t="s">
        <v>41</v>
      </c>
      <c r="D4567" t="str">
        <f>T_Stocks[[#This Row],[Ticker]] &amp; "-" &amp; DATE(YEAR(T_Stocks[[#This Row],[Fecha]]),MONTH(T_Stocks[[#This Row],[Fecha]]),DAY(T_Stocks[[#This Row],[Fecha]]))</f>
        <v>MSFT-44820</v>
      </c>
    </row>
    <row r="4568" spans="1:4" ht="14.65" thickBot="1" x14ac:dyDescent="0.5">
      <c r="A4568" s="17">
        <v>44823.666666666664</v>
      </c>
      <c r="B4568" s="19">
        <v>244.52</v>
      </c>
      <c r="C4568" t="s">
        <v>41</v>
      </c>
      <c r="D4568" t="str">
        <f>T_Stocks[[#This Row],[Ticker]] &amp; "-" &amp; DATE(YEAR(T_Stocks[[#This Row],[Fecha]]),MONTH(T_Stocks[[#This Row],[Fecha]]),DAY(T_Stocks[[#This Row],[Fecha]]))</f>
        <v>MSFT-44823</v>
      </c>
    </row>
    <row r="4569" spans="1:4" ht="14.65" thickBot="1" x14ac:dyDescent="0.5">
      <c r="A4569" s="17">
        <v>44824.666666666664</v>
      </c>
      <c r="B4569" s="19">
        <v>242.45</v>
      </c>
      <c r="C4569" t="s">
        <v>41</v>
      </c>
      <c r="D4569" t="str">
        <f>T_Stocks[[#This Row],[Ticker]] &amp; "-" &amp; DATE(YEAR(T_Stocks[[#This Row],[Fecha]]),MONTH(T_Stocks[[#This Row],[Fecha]]),DAY(T_Stocks[[#This Row],[Fecha]]))</f>
        <v>MSFT-44824</v>
      </c>
    </row>
    <row r="4570" spans="1:4" ht="14.65" thickBot="1" x14ac:dyDescent="0.5">
      <c r="A4570" s="17">
        <v>44825.666666666664</v>
      </c>
      <c r="B4570" s="19">
        <v>238.95</v>
      </c>
      <c r="C4570" t="s">
        <v>41</v>
      </c>
      <c r="D4570" t="str">
        <f>T_Stocks[[#This Row],[Ticker]] &amp; "-" &amp; DATE(YEAR(T_Stocks[[#This Row],[Fecha]]),MONTH(T_Stocks[[#This Row],[Fecha]]),DAY(T_Stocks[[#This Row],[Fecha]]))</f>
        <v>MSFT-44825</v>
      </c>
    </row>
    <row r="4571" spans="1:4" ht="14.65" thickBot="1" x14ac:dyDescent="0.5">
      <c r="A4571" s="17">
        <v>44826.666666666664</v>
      </c>
      <c r="B4571" s="19">
        <v>240.98</v>
      </c>
      <c r="C4571" t="s">
        <v>41</v>
      </c>
      <c r="D4571" t="str">
        <f>T_Stocks[[#This Row],[Ticker]] &amp; "-" &amp; DATE(YEAR(T_Stocks[[#This Row],[Fecha]]),MONTH(T_Stocks[[#This Row],[Fecha]]),DAY(T_Stocks[[#This Row],[Fecha]]))</f>
        <v>MSFT-44826</v>
      </c>
    </row>
    <row r="4572" spans="1:4" ht="14.65" thickBot="1" x14ac:dyDescent="0.5">
      <c r="A4572" s="17">
        <v>44827.666666666664</v>
      </c>
      <c r="B4572" s="19">
        <v>237.92</v>
      </c>
      <c r="C4572" t="s">
        <v>41</v>
      </c>
      <c r="D4572" t="str">
        <f>T_Stocks[[#This Row],[Ticker]] &amp; "-" &amp; DATE(YEAR(T_Stocks[[#This Row],[Fecha]]),MONTH(T_Stocks[[#This Row],[Fecha]]),DAY(T_Stocks[[#This Row],[Fecha]]))</f>
        <v>MSFT-44827</v>
      </c>
    </row>
    <row r="4573" spans="1:4" ht="14.65" thickBot="1" x14ac:dyDescent="0.5">
      <c r="A4573" s="17">
        <v>44830.666666666664</v>
      </c>
      <c r="B4573" s="19">
        <v>237.45</v>
      </c>
      <c r="C4573" t="s">
        <v>41</v>
      </c>
      <c r="D4573" t="str">
        <f>T_Stocks[[#This Row],[Ticker]] &amp; "-" &amp; DATE(YEAR(T_Stocks[[#This Row],[Fecha]]),MONTH(T_Stocks[[#This Row],[Fecha]]),DAY(T_Stocks[[#This Row],[Fecha]]))</f>
        <v>MSFT-44830</v>
      </c>
    </row>
    <row r="4574" spans="1:4" ht="14.65" thickBot="1" x14ac:dyDescent="0.5">
      <c r="A4574" s="17">
        <v>44831.666666666664</v>
      </c>
      <c r="B4574" s="19">
        <v>236.41</v>
      </c>
      <c r="C4574" t="s">
        <v>41</v>
      </c>
      <c r="D4574" t="str">
        <f>T_Stocks[[#This Row],[Ticker]] &amp; "-" &amp; DATE(YEAR(T_Stocks[[#This Row],[Fecha]]),MONTH(T_Stocks[[#This Row],[Fecha]]),DAY(T_Stocks[[#This Row],[Fecha]]))</f>
        <v>MSFT-44831</v>
      </c>
    </row>
    <row r="4575" spans="1:4" ht="14.65" thickBot="1" x14ac:dyDescent="0.5">
      <c r="A4575" s="17">
        <v>44832.666666666664</v>
      </c>
      <c r="B4575" s="19">
        <v>241.07</v>
      </c>
      <c r="C4575" t="s">
        <v>41</v>
      </c>
      <c r="D4575" t="str">
        <f>T_Stocks[[#This Row],[Ticker]] &amp; "-" &amp; DATE(YEAR(T_Stocks[[#This Row],[Fecha]]),MONTH(T_Stocks[[#This Row],[Fecha]]),DAY(T_Stocks[[#This Row],[Fecha]]))</f>
        <v>MSFT-44832</v>
      </c>
    </row>
    <row r="4576" spans="1:4" ht="14.65" thickBot="1" x14ac:dyDescent="0.5">
      <c r="A4576" s="17">
        <v>44833.666666666664</v>
      </c>
      <c r="B4576" s="19">
        <v>237.5</v>
      </c>
      <c r="C4576" t="s">
        <v>41</v>
      </c>
      <c r="D4576" t="str">
        <f>T_Stocks[[#This Row],[Ticker]] &amp; "-" &amp; DATE(YEAR(T_Stocks[[#This Row],[Fecha]]),MONTH(T_Stocks[[#This Row],[Fecha]]),DAY(T_Stocks[[#This Row],[Fecha]]))</f>
        <v>MSFT-44833</v>
      </c>
    </row>
    <row r="4577" spans="1:4" ht="14.65" thickBot="1" x14ac:dyDescent="0.5">
      <c r="A4577" s="17">
        <v>44834.666666666664</v>
      </c>
      <c r="B4577" s="19">
        <v>232.9</v>
      </c>
      <c r="C4577" t="s">
        <v>41</v>
      </c>
      <c r="D4577" t="str">
        <f>T_Stocks[[#This Row],[Ticker]] &amp; "-" &amp; DATE(YEAR(T_Stocks[[#This Row],[Fecha]]),MONTH(T_Stocks[[#This Row],[Fecha]]),DAY(T_Stocks[[#This Row],[Fecha]]))</f>
        <v>MSFT-44834</v>
      </c>
    </row>
    <row r="4578" spans="1:4" ht="14.65" thickBot="1" x14ac:dyDescent="0.5">
      <c r="A4578" s="17">
        <v>44837.666666666664</v>
      </c>
      <c r="B4578" s="19">
        <v>240.74</v>
      </c>
      <c r="C4578" t="s">
        <v>41</v>
      </c>
      <c r="D4578" t="str">
        <f>T_Stocks[[#This Row],[Ticker]] &amp; "-" &amp; DATE(YEAR(T_Stocks[[#This Row],[Fecha]]),MONTH(T_Stocks[[#This Row],[Fecha]]),DAY(T_Stocks[[#This Row],[Fecha]]))</f>
        <v>MSFT-44837</v>
      </c>
    </row>
    <row r="4579" spans="1:4" ht="14.65" thickBot="1" x14ac:dyDescent="0.5">
      <c r="A4579" s="17">
        <v>44838.666666666664</v>
      </c>
      <c r="B4579" s="19">
        <v>248.88</v>
      </c>
      <c r="C4579" t="s">
        <v>41</v>
      </c>
      <c r="D4579" t="str">
        <f>T_Stocks[[#This Row],[Ticker]] &amp; "-" &amp; DATE(YEAR(T_Stocks[[#This Row],[Fecha]]),MONTH(T_Stocks[[#This Row],[Fecha]]),DAY(T_Stocks[[#This Row],[Fecha]]))</f>
        <v>MSFT-44838</v>
      </c>
    </row>
    <row r="4580" spans="1:4" ht="14.65" thickBot="1" x14ac:dyDescent="0.5">
      <c r="A4580" s="17">
        <v>44839.666666666664</v>
      </c>
      <c r="B4580" s="19">
        <v>249.2</v>
      </c>
      <c r="C4580" t="s">
        <v>41</v>
      </c>
      <c r="D4580" t="str">
        <f>T_Stocks[[#This Row],[Ticker]] &amp; "-" &amp; DATE(YEAR(T_Stocks[[#This Row],[Fecha]]),MONTH(T_Stocks[[#This Row],[Fecha]]),DAY(T_Stocks[[#This Row],[Fecha]]))</f>
        <v>MSFT-44839</v>
      </c>
    </row>
    <row r="4581" spans="1:4" ht="14.65" thickBot="1" x14ac:dyDescent="0.5">
      <c r="A4581" s="17">
        <v>44840.666666666664</v>
      </c>
      <c r="B4581" s="19">
        <v>246.79</v>
      </c>
      <c r="C4581" t="s">
        <v>41</v>
      </c>
      <c r="D4581" t="str">
        <f>T_Stocks[[#This Row],[Ticker]] &amp; "-" &amp; DATE(YEAR(T_Stocks[[#This Row],[Fecha]]),MONTH(T_Stocks[[#This Row],[Fecha]]),DAY(T_Stocks[[#This Row],[Fecha]]))</f>
        <v>MSFT-44840</v>
      </c>
    </row>
    <row r="4582" spans="1:4" ht="14.65" thickBot="1" x14ac:dyDescent="0.5">
      <c r="A4582" s="17">
        <v>44841.666666666664</v>
      </c>
      <c r="B4582" s="19">
        <v>234.24</v>
      </c>
      <c r="C4582" t="s">
        <v>41</v>
      </c>
      <c r="D4582" t="str">
        <f>T_Stocks[[#This Row],[Ticker]] &amp; "-" &amp; DATE(YEAR(T_Stocks[[#This Row],[Fecha]]),MONTH(T_Stocks[[#This Row],[Fecha]]),DAY(T_Stocks[[#This Row],[Fecha]]))</f>
        <v>MSFT-44841</v>
      </c>
    </row>
    <row r="4583" spans="1:4" ht="14.65" thickBot="1" x14ac:dyDescent="0.5">
      <c r="A4583" s="17">
        <v>44844.666666666664</v>
      </c>
      <c r="B4583" s="19">
        <v>229.25</v>
      </c>
      <c r="C4583" t="s">
        <v>41</v>
      </c>
      <c r="D4583" t="str">
        <f>T_Stocks[[#This Row],[Ticker]] &amp; "-" &amp; DATE(YEAR(T_Stocks[[#This Row],[Fecha]]),MONTH(T_Stocks[[#This Row],[Fecha]]),DAY(T_Stocks[[#This Row],[Fecha]]))</f>
        <v>MSFT-44844</v>
      </c>
    </row>
    <row r="4584" spans="1:4" ht="14.65" thickBot="1" x14ac:dyDescent="0.5">
      <c r="A4584" s="17">
        <v>44845.666666666664</v>
      </c>
      <c r="B4584" s="19">
        <v>225.41</v>
      </c>
      <c r="C4584" t="s">
        <v>41</v>
      </c>
      <c r="D4584" t="str">
        <f>T_Stocks[[#This Row],[Ticker]] &amp; "-" &amp; DATE(YEAR(T_Stocks[[#This Row],[Fecha]]),MONTH(T_Stocks[[#This Row],[Fecha]]),DAY(T_Stocks[[#This Row],[Fecha]]))</f>
        <v>MSFT-44845</v>
      </c>
    </row>
    <row r="4585" spans="1:4" ht="14.65" thickBot="1" x14ac:dyDescent="0.5">
      <c r="A4585" s="17">
        <v>44846.666666666664</v>
      </c>
      <c r="B4585" s="19">
        <v>225.75</v>
      </c>
      <c r="C4585" t="s">
        <v>41</v>
      </c>
      <c r="D4585" t="str">
        <f>T_Stocks[[#This Row],[Ticker]] &amp; "-" &amp; DATE(YEAR(T_Stocks[[#This Row],[Fecha]]),MONTH(T_Stocks[[#This Row],[Fecha]]),DAY(T_Stocks[[#This Row],[Fecha]]))</f>
        <v>MSFT-44846</v>
      </c>
    </row>
    <row r="4586" spans="1:4" ht="14.65" thickBot="1" x14ac:dyDescent="0.5">
      <c r="A4586" s="17">
        <v>44847.666666666664</v>
      </c>
      <c r="B4586" s="19">
        <v>234.24</v>
      </c>
      <c r="C4586" t="s">
        <v>41</v>
      </c>
      <c r="D4586" t="str">
        <f>T_Stocks[[#This Row],[Ticker]] &amp; "-" &amp; DATE(YEAR(T_Stocks[[#This Row],[Fecha]]),MONTH(T_Stocks[[#This Row],[Fecha]]),DAY(T_Stocks[[#This Row],[Fecha]]))</f>
        <v>MSFT-44847</v>
      </c>
    </row>
    <row r="4587" spans="1:4" ht="14.65" thickBot="1" x14ac:dyDescent="0.5">
      <c r="A4587" s="17">
        <v>44848.666666666664</v>
      </c>
      <c r="B4587" s="19">
        <v>228.56</v>
      </c>
      <c r="C4587" t="s">
        <v>41</v>
      </c>
      <c r="D4587" t="str">
        <f>T_Stocks[[#This Row],[Ticker]] &amp; "-" &amp; DATE(YEAR(T_Stocks[[#This Row],[Fecha]]),MONTH(T_Stocks[[#This Row],[Fecha]]),DAY(T_Stocks[[#This Row],[Fecha]]))</f>
        <v>MSFT-44848</v>
      </c>
    </row>
    <row r="4588" spans="1:4" ht="14.65" thickBot="1" x14ac:dyDescent="0.5">
      <c r="A4588" s="17">
        <v>44851.666666666664</v>
      </c>
      <c r="B4588" s="19">
        <v>237.53</v>
      </c>
      <c r="C4588" t="s">
        <v>41</v>
      </c>
      <c r="D4588" t="str">
        <f>T_Stocks[[#This Row],[Ticker]] &amp; "-" &amp; DATE(YEAR(T_Stocks[[#This Row],[Fecha]]),MONTH(T_Stocks[[#This Row],[Fecha]]),DAY(T_Stocks[[#This Row],[Fecha]]))</f>
        <v>MSFT-44851</v>
      </c>
    </row>
    <row r="4589" spans="1:4" ht="14.65" thickBot="1" x14ac:dyDescent="0.5">
      <c r="A4589" s="17">
        <v>44852.666666666664</v>
      </c>
      <c r="B4589" s="19">
        <v>238.5</v>
      </c>
      <c r="C4589" t="s">
        <v>41</v>
      </c>
      <c r="D4589" t="str">
        <f>T_Stocks[[#This Row],[Ticker]] &amp; "-" &amp; DATE(YEAR(T_Stocks[[#This Row],[Fecha]]),MONTH(T_Stocks[[#This Row],[Fecha]]),DAY(T_Stocks[[#This Row],[Fecha]]))</f>
        <v>MSFT-44852</v>
      </c>
    </row>
    <row r="4590" spans="1:4" ht="14.65" thickBot="1" x14ac:dyDescent="0.5">
      <c r="A4590" s="17">
        <v>44853.666666666664</v>
      </c>
      <c r="B4590" s="19">
        <v>236.48</v>
      </c>
      <c r="C4590" t="s">
        <v>41</v>
      </c>
      <c r="D4590" t="str">
        <f>T_Stocks[[#This Row],[Ticker]] &amp; "-" &amp; DATE(YEAR(T_Stocks[[#This Row],[Fecha]]),MONTH(T_Stocks[[#This Row],[Fecha]]),DAY(T_Stocks[[#This Row],[Fecha]]))</f>
        <v>MSFT-44853</v>
      </c>
    </row>
    <row r="4591" spans="1:4" ht="14.65" thickBot="1" x14ac:dyDescent="0.5">
      <c r="A4591" s="17">
        <v>44854.666666666664</v>
      </c>
      <c r="B4591" s="19">
        <v>236.15</v>
      </c>
      <c r="C4591" t="s">
        <v>41</v>
      </c>
      <c r="D4591" t="str">
        <f>T_Stocks[[#This Row],[Ticker]] &amp; "-" &amp; DATE(YEAR(T_Stocks[[#This Row],[Fecha]]),MONTH(T_Stocks[[#This Row],[Fecha]]),DAY(T_Stocks[[#This Row],[Fecha]]))</f>
        <v>MSFT-44854</v>
      </c>
    </row>
    <row r="4592" spans="1:4" ht="14.65" thickBot="1" x14ac:dyDescent="0.5">
      <c r="A4592" s="17">
        <v>44855.666666666664</v>
      </c>
      <c r="B4592" s="19">
        <v>242.12</v>
      </c>
      <c r="C4592" t="s">
        <v>41</v>
      </c>
      <c r="D4592" t="str">
        <f>T_Stocks[[#This Row],[Ticker]] &amp; "-" &amp; DATE(YEAR(T_Stocks[[#This Row],[Fecha]]),MONTH(T_Stocks[[#This Row],[Fecha]]),DAY(T_Stocks[[#This Row],[Fecha]]))</f>
        <v>MSFT-44855</v>
      </c>
    </row>
    <row r="4593" spans="1:4" ht="14.65" thickBot="1" x14ac:dyDescent="0.5">
      <c r="A4593" s="17">
        <v>44858.666666666664</v>
      </c>
      <c r="B4593" s="19">
        <v>247.25</v>
      </c>
      <c r="C4593" t="s">
        <v>41</v>
      </c>
      <c r="D4593" t="str">
        <f>T_Stocks[[#This Row],[Ticker]] &amp; "-" &amp; DATE(YEAR(T_Stocks[[#This Row],[Fecha]]),MONTH(T_Stocks[[#This Row],[Fecha]]),DAY(T_Stocks[[#This Row],[Fecha]]))</f>
        <v>MSFT-44858</v>
      </c>
    </row>
    <row r="4594" spans="1:4" ht="14.65" thickBot="1" x14ac:dyDescent="0.5">
      <c r="A4594" s="17">
        <v>44859.666666666664</v>
      </c>
      <c r="B4594" s="19">
        <v>250.66</v>
      </c>
      <c r="C4594" t="s">
        <v>41</v>
      </c>
      <c r="D4594" t="str">
        <f>T_Stocks[[#This Row],[Ticker]] &amp; "-" &amp; DATE(YEAR(T_Stocks[[#This Row],[Fecha]]),MONTH(T_Stocks[[#This Row],[Fecha]]),DAY(T_Stocks[[#This Row],[Fecha]]))</f>
        <v>MSFT-44859</v>
      </c>
    </row>
    <row r="4595" spans="1:4" ht="14.65" thickBot="1" x14ac:dyDescent="0.5">
      <c r="A4595" s="17">
        <v>44860.666666666664</v>
      </c>
      <c r="B4595" s="19">
        <v>231.32</v>
      </c>
      <c r="C4595" t="s">
        <v>41</v>
      </c>
      <c r="D4595" t="str">
        <f>T_Stocks[[#This Row],[Ticker]] &amp; "-" &amp; DATE(YEAR(T_Stocks[[#This Row],[Fecha]]),MONTH(T_Stocks[[#This Row],[Fecha]]),DAY(T_Stocks[[#This Row],[Fecha]]))</f>
        <v>MSFT-44860</v>
      </c>
    </row>
    <row r="4596" spans="1:4" ht="14.65" thickBot="1" x14ac:dyDescent="0.5">
      <c r="A4596" s="17">
        <v>44861.666666666664</v>
      </c>
      <c r="B4596" s="19">
        <v>226.75</v>
      </c>
      <c r="C4596" t="s">
        <v>41</v>
      </c>
      <c r="D4596" t="str">
        <f>T_Stocks[[#This Row],[Ticker]] &amp; "-" &amp; DATE(YEAR(T_Stocks[[#This Row],[Fecha]]),MONTH(T_Stocks[[#This Row],[Fecha]]),DAY(T_Stocks[[#This Row],[Fecha]]))</f>
        <v>MSFT-44861</v>
      </c>
    </row>
    <row r="4597" spans="1:4" ht="14.65" thickBot="1" x14ac:dyDescent="0.5">
      <c r="A4597" s="17">
        <v>44862.666666666664</v>
      </c>
      <c r="B4597" s="19">
        <v>235.87</v>
      </c>
      <c r="C4597" t="s">
        <v>41</v>
      </c>
      <c r="D4597" t="str">
        <f>T_Stocks[[#This Row],[Ticker]] &amp; "-" &amp; DATE(YEAR(T_Stocks[[#This Row],[Fecha]]),MONTH(T_Stocks[[#This Row],[Fecha]]),DAY(T_Stocks[[#This Row],[Fecha]]))</f>
        <v>MSFT-44862</v>
      </c>
    </row>
    <row r="4598" spans="1:4" ht="14.65" thickBot="1" x14ac:dyDescent="0.5">
      <c r="A4598" s="17">
        <v>44865.666666666664</v>
      </c>
      <c r="B4598" s="19">
        <v>232.13</v>
      </c>
      <c r="C4598" t="s">
        <v>41</v>
      </c>
      <c r="D4598" t="str">
        <f>T_Stocks[[#This Row],[Ticker]] &amp; "-" &amp; DATE(YEAR(T_Stocks[[#This Row],[Fecha]]),MONTH(T_Stocks[[#This Row],[Fecha]]),DAY(T_Stocks[[#This Row],[Fecha]]))</f>
        <v>MSFT-44865</v>
      </c>
    </row>
    <row r="4599" spans="1:4" ht="14.65" thickBot="1" x14ac:dyDescent="0.5">
      <c r="A4599" s="17">
        <v>44866.666666666664</v>
      </c>
      <c r="B4599" s="19">
        <v>228.17</v>
      </c>
      <c r="C4599" t="s">
        <v>41</v>
      </c>
      <c r="D4599" t="str">
        <f>T_Stocks[[#This Row],[Ticker]] &amp; "-" &amp; DATE(YEAR(T_Stocks[[#This Row],[Fecha]]),MONTH(T_Stocks[[#This Row],[Fecha]]),DAY(T_Stocks[[#This Row],[Fecha]]))</f>
        <v>MSFT-44866</v>
      </c>
    </row>
    <row r="4600" spans="1:4" ht="14.65" thickBot="1" x14ac:dyDescent="0.5">
      <c r="A4600" s="17">
        <v>44867.666666666664</v>
      </c>
      <c r="B4600" s="19">
        <v>220.1</v>
      </c>
      <c r="C4600" t="s">
        <v>41</v>
      </c>
      <c r="D4600" t="str">
        <f>T_Stocks[[#This Row],[Ticker]] &amp; "-" &amp; DATE(YEAR(T_Stocks[[#This Row],[Fecha]]),MONTH(T_Stocks[[#This Row],[Fecha]]),DAY(T_Stocks[[#This Row],[Fecha]]))</f>
        <v>MSFT-44867</v>
      </c>
    </row>
    <row r="4601" spans="1:4" ht="14.65" thickBot="1" x14ac:dyDescent="0.5">
      <c r="A4601" s="17">
        <v>44868.666666666664</v>
      </c>
      <c r="B4601" s="19">
        <v>214.25</v>
      </c>
      <c r="C4601" t="s">
        <v>41</v>
      </c>
      <c r="D4601" t="str">
        <f>T_Stocks[[#This Row],[Ticker]] &amp; "-" &amp; DATE(YEAR(T_Stocks[[#This Row],[Fecha]]),MONTH(T_Stocks[[#This Row],[Fecha]]),DAY(T_Stocks[[#This Row],[Fecha]]))</f>
        <v>MSFT-44868</v>
      </c>
    </row>
    <row r="4602" spans="1:4" ht="14.65" thickBot="1" x14ac:dyDescent="0.5">
      <c r="A4602" s="17">
        <v>44869.666666666664</v>
      </c>
      <c r="B4602" s="19">
        <v>221.39</v>
      </c>
      <c r="C4602" t="s">
        <v>41</v>
      </c>
      <c r="D4602" t="str">
        <f>T_Stocks[[#This Row],[Ticker]] &amp; "-" &amp; DATE(YEAR(T_Stocks[[#This Row],[Fecha]]),MONTH(T_Stocks[[#This Row],[Fecha]]),DAY(T_Stocks[[#This Row],[Fecha]]))</f>
        <v>MSFT-44869</v>
      </c>
    </row>
    <row r="4603" spans="1:4" ht="14.65" thickBot="1" x14ac:dyDescent="0.5">
      <c r="A4603" s="17">
        <v>44872.666666666664</v>
      </c>
      <c r="B4603" s="19">
        <v>227.87</v>
      </c>
      <c r="C4603" t="s">
        <v>41</v>
      </c>
      <c r="D4603" t="str">
        <f>T_Stocks[[#This Row],[Ticker]] &amp; "-" &amp; DATE(YEAR(T_Stocks[[#This Row],[Fecha]]),MONTH(T_Stocks[[#This Row],[Fecha]]),DAY(T_Stocks[[#This Row],[Fecha]]))</f>
        <v>MSFT-44872</v>
      </c>
    </row>
    <row r="4604" spans="1:4" ht="14.65" thickBot="1" x14ac:dyDescent="0.5">
      <c r="A4604" s="17">
        <v>44873.666666666664</v>
      </c>
      <c r="B4604" s="19">
        <v>228.87</v>
      </c>
      <c r="C4604" t="s">
        <v>41</v>
      </c>
      <c r="D4604" t="str">
        <f>T_Stocks[[#This Row],[Ticker]] &amp; "-" &amp; DATE(YEAR(T_Stocks[[#This Row],[Fecha]]),MONTH(T_Stocks[[#This Row],[Fecha]]),DAY(T_Stocks[[#This Row],[Fecha]]))</f>
        <v>MSFT-44873</v>
      </c>
    </row>
    <row r="4605" spans="1:4" ht="14.65" thickBot="1" x14ac:dyDescent="0.5">
      <c r="A4605" s="17">
        <v>44874.666666666664</v>
      </c>
      <c r="B4605" s="19">
        <v>224.51</v>
      </c>
      <c r="C4605" t="s">
        <v>41</v>
      </c>
      <c r="D4605" t="str">
        <f>T_Stocks[[#This Row],[Ticker]] &amp; "-" &amp; DATE(YEAR(T_Stocks[[#This Row],[Fecha]]),MONTH(T_Stocks[[#This Row],[Fecha]]),DAY(T_Stocks[[#This Row],[Fecha]]))</f>
        <v>MSFT-44874</v>
      </c>
    </row>
    <row r="4606" spans="1:4" ht="14.65" thickBot="1" x14ac:dyDescent="0.5">
      <c r="A4606" s="17">
        <v>44875.666666666664</v>
      </c>
      <c r="B4606" s="19">
        <v>242.98</v>
      </c>
      <c r="C4606" t="s">
        <v>41</v>
      </c>
      <c r="D4606" t="str">
        <f>T_Stocks[[#This Row],[Ticker]] &amp; "-" &amp; DATE(YEAR(T_Stocks[[#This Row],[Fecha]]),MONTH(T_Stocks[[#This Row],[Fecha]]),DAY(T_Stocks[[#This Row],[Fecha]]))</f>
        <v>MSFT-44875</v>
      </c>
    </row>
    <row r="4607" spans="1:4" ht="14.65" thickBot="1" x14ac:dyDescent="0.5">
      <c r="A4607" s="17">
        <v>44876.666666666664</v>
      </c>
      <c r="B4607" s="19">
        <v>247.11</v>
      </c>
      <c r="C4607" t="s">
        <v>41</v>
      </c>
      <c r="D4607" t="str">
        <f>T_Stocks[[#This Row],[Ticker]] &amp; "-" &amp; DATE(YEAR(T_Stocks[[#This Row],[Fecha]]),MONTH(T_Stocks[[#This Row],[Fecha]]),DAY(T_Stocks[[#This Row],[Fecha]]))</f>
        <v>MSFT-44876</v>
      </c>
    </row>
    <row r="4608" spans="1:4" ht="14.65" thickBot="1" x14ac:dyDescent="0.5">
      <c r="A4608" s="17">
        <v>44879.666666666664</v>
      </c>
      <c r="B4608" s="19">
        <v>241.55</v>
      </c>
      <c r="C4608" t="s">
        <v>41</v>
      </c>
      <c r="D4608" t="str">
        <f>T_Stocks[[#This Row],[Ticker]] &amp; "-" &amp; DATE(YEAR(T_Stocks[[#This Row],[Fecha]]),MONTH(T_Stocks[[#This Row],[Fecha]]),DAY(T_Stocks[[#This Row],[Fecha]]))</f>
        <v>MSFT-44879</v>
      </c>
    </row>
    <row r="4609" spans="1:4" ht="14.65" thickBot="1" x14ac:dyDescent="0.5">
      <c r="A4609" s="17">
        <v>44880.666666666664</v>
      </c>
      <c r="B4609" s="19">
        <v>241.97</v>
      </c>
      <c r="C4609" t="s">
        <v>41</v>
      </c>
      <c r="D4609" t="str">
        <f>T_Stocks[[#This Row],[Ticker]] &amp; "-" &amp; DATE(YEAR(T_Stocks[[#This Row],[Fecha]]),MONTH(T_Stocks[[#This Row],[Fecha]]),DAY(T_Stocks[[#This Row],[Fecha]]))</f>
        <v>MSFT-44880</v>
      </c>
    </row>
    <row r="4610" spans="1:4" ht="14.65" thickBot="1" x14ac:dyDescent="0.5">
      <c r="A4610" s="17">
        <v>44881.666666666664</v>
      </c>
      <c r="B4610" s="19">
        <v>241.73</v>
      </c>
      <c r="C4610" t="s">
        <v>41</v>
      </c>
      <c r="D4610" t="str">
        <f>T_Stocks[[#This Row],[Ticker]] &amp; "-" &amp; DATE(YEAR(T_Stocks[[#This Row],[Fecha]]),MONTH(T_Stocks[[#This Row],[Fecha]]),DAY(T_Stocks[[#This Row],[Fecha]]))</f>
        <v>MSFT-44881</v>
      </c>
    </row>
    <row r="4611" spans="1:4" ht="14.65" thickBot="1" x14ac:dyDescent="0.5">
      <c r="A4611" s="17">
        <v>44882.666666666664</v>
      </c>
      <c r="B4611" s="19">
        <v>241.68</v>
      </c>
      <c r="C4611" t="s">
        <v>41</v>
      </c>
      <c r="D4611" t="str">
        <f>T_Stocks[[#This Row],[Ticker]] &amp; "-" &amp; DATE(YEAR(T_Stocks[[#This Row],[Fecha]]),MONTH(T_Stocks[[#This Row],[Fecha]]),DAY(T_Stocks[[#This Row],[Fecha]]))</f>
        <v>MSFT-44882</v>
      </c>
    </row>
    <row r="4612" spans="1:4" ht="14.65" thickBot="1" x14ac:dyDescent="0.5">
      <c r="A4612" s="17">
        <v>44883.666666666664</v>
      </c>
      <c r="B4612" s="19">
        <v>241.22</v>
      </c>
      <c r="C4612" t="s">
        <v>41</v>
      </c>
      <c r="D4612" t="str">
        <f>T_Stocks[[#This Row],[Ticker]] &amp; "-" &amp; DATE(YEAR(T_Stocks[[#This Row],[Fecha]]),MONTH(T_Stocks[[#This Row],[Fecha]]),DAY(T_Stocks[[#This Row],[Fecha]]))</f>
        <v>MSFT-44883</v>
      </c>
    </row>
    <row r="4613" spans="1:4" ht="14.65" thickBot="1" x14ac:dyDescent="0.5">
      <c r="A4613" s="17">
        <v>44886.666666666664</v>
      </c>
      <c r="B4613" s="19">
        <v>242.05</v>
      </c>
      <c r="C4613" t="s">
        <v>41</v>
      </c>
      <c r="D4613" t="str">
        <f>T_Stocks[[#This Row],[Ticker]] &amp; "-" &amp; DATE(YEAR(T_Stocks[[#This Row],[Fecha]]),MONTH(T_Stocks[[#This Row],[Fecha]]),DAY(T_Stocks[[#This Row],[Fecha]]))</f>
        <v>MSFT-44886</v>
      </c>
    </row>
    <row r="4614" spans="1:4" ht="14.65" thickBot="1" x14ac:dyDescent="0.5">
      <c r="A4614" s="17">
        <v>44887.666666666664</v>
      </c>
      <c r="B4614" s="19">
        <v>245.03</v>
      </c>
      <c r="C4614" t="s">
        <v>41</v>
      </c>
      <c r="D4614" t="str">
        <f>T_Stocks[[#This Row],[Ticker]] &amp; "-" &amp; DATE(YEAR(T_Stocks[[#This Row],[Fecha]]),MONTH(T_Stocks[[#This Row],[Fecha]]),DAY(T_Stocks[[#This Row],[Fecha]]))</f>
        <v>MSFT-44887</v>
      </c>
    </row>
    <row r="4615" spans="1:4" ht="14.65" thickBot="1" x14ac:dyDescent="0.5">
      <c r="A4615" s="17">
        <v>44888.666666666664</v>
      </c>
      <c r="B4615" s="19">
        <v>247.58</v>
      </c>
      <c r="C4615" t="s">
        <v>41</v>
      </c>
      <c r="D4615" t="str">
        <f>T_Stocks[[#This Row],[Ticker]] &amp; "-" &amp; DATE(YEAR(T_Stocks[[#This Row],[Fecha]]),MONTH(T_Stocks[[#This Row],[Fecha]]),DAY(T_Stocks[[#This Row],[Fecha]]))</f>
        <v>MSFT-44888</v>
      </c>
    </row>
    <row r="4616" spans="1:4" ht="14.65" thickBot="1" x14ac:dyDescent="0.5">
      <c r="A4616" s="17">
        <v>44890.545138888891</v>
      </c>
      <c r="B4616" s="19">
        <v>247.49</v>
      </c>
      <c r="C4616" t="s">
        <v>41</v>
      </c>
      <c r="D4616" t="str">
        <f>T_Stocks[[#This Row],[Ticker]] &amp; "-" &amp; DATE(YEAR(T_Stocks[[#This Row],[Fecha]]),MONTH(T_Stocks[[#This Row],[Fecha]]),DAY(T_Stocks[[#This Row],[Fecha]]))</f>
        <v>MSFT-44890</v>
      </c>
    </row>
    <row r="4617" spans="1:4" ht="14.65" thickBot="1" x14ac:dyDescent="0.5">
      <c r="A4617" s="17">
        <v>44893.666666666664</v>
      </c>
      <c r="B4617" s="19">
        <v>241.76</v>
      </c>
      <c r="C4617" t="s">
        <v>41</v>
      </c>
      <c r="D4617" t="str">
        <f>T_Stocks[[#This Row],[Ticker]] &amp; "-" &amp; DATE(YEAR(T_Stocks[[#This Row],[Fecha]]),MONTH(T_Stocks[[#This Row],[Fecha]]),DAY(T_Stocks[[#This Row],[Fecha]]))</f>
        <v>MSFT-44893</v>
      </c>
    </row>
    <row r="4618" spans="1:4" ht="14.65" thickBot="1" x14ac:dyDescent="0.5">
      <c r="A4618" s="17">
        <v>44894.666666666664</v>
      </c>
      <c r="B4618" s="19">
        <v>240.33</v>
      </c>
      <c r="C4618" t="s">
        <v>41</v>
      </c>
      <c r="D4618" t="str">
        <f>T_Stocks[[#This Row],[Ticker]] &amp; "-" &amp; DATE(YEAR(T_Stocks[[#This Row],[Fecha]]),MONTH(T_Stocks[[#This Row],[Fecha]]),DAY(T_Stocks[[#This Row],[Fecha]]))</f>
        <v>MSFT-44894</v>
      </c>
    </row>
    <row r="4619" spans="1:4" ht="14.65" thickBot="1" x14ac:dyDescent="0.5">
      <c r="A4619" s="17">
        <v>44895.666666666664</v>
      </c>
      <c r="B4619" s="19">
        <v>255.14</v>
      </c>
      <c r="C4619" t="s">
        <v>41</v>
      </c>
      <c r="D4619" t="str">
        <f>T_Stocks[[#This Row],[Ticker]] &amp; "-" &amp; DATE(YEAR(T_Stocks[[#This Row],[Fecha]]),MONTH(T_Stocks[[#This Row],[Fecha]]),DAY(T_Stocks[[#This Row],[Fecha]]))</f>
        <v>MSFT-44895</v>
      </c>
    </row>
    <row r="4620" spans="1:4" ht="14.65" thickBot="1" x14ac:dyDescent="0.5">
      <c r="A4620" s="17">
        <v>44896.666666666664</v>
      </c>
      <c r="B4620" s="19">
        <v>254.69</v>
      </c>
      <c r="C4620" t="s">
        <v>41</v>
      </c>
      <c r="D4620" t="str">
        <f>T_Stocks[[#This Row],[Ticker]] &amp; "-" &amp; DATE(YEAR(T_Stocks[[#This Row],[Fecha]]),MONTH(T_Stocks[[#This Row],[Fecha]]),DAY(T_Stocks[[#This Row],[Fecha]]))</f>
        <v>MSFT-44896</v>
      </c>
    </row>
    <row r="4621" spans="1:4" ht="14.65" thickBot="1" x14ac:dyDescent="0.5">
      <c r="A4621" s="17">
        <v>44897.666666666664</v>
      </c>
      <c r="B4621" s="19">
        <v>255.02</v>
      </c>
      <c r="C4621" t="s">
        <v>41</v>
      </c>
      <c r="D4621" t="str">
        <f>T_Stocks[[#This Row],[Ticker]] &amp; "-" &amp; DATE(YEAR(T_Stocks[[#This Row],[Fecha]]),MONTH(T_Stocks[[#This Row],[Fecha]]),DAY(T_Stocks[[#This Row],[Fecha]]))</f>
        <v>MSFT-44897</v>
      </c>
    </row>
    <row r="4622" spans="1:4" ht="14.65" thickBot="1" x14ac:dyDescent="0.5">
      <c r="A4622" s="17">
        <v>44900.666666666664</v>
      </c>
      <c r="B4622" s="19">
        <v>250.2</v>
      </c>
      <c r="C4622" t="s">
        <v>41</v>
      </c>
      <c r="D4622" t="str">
        <f>T_Stocks[[#This Row],[Ticker]] &amp; "-" &amp; DATE(YEAR(T_Stocks[[#This Row],[Fecha]]),MONTH(T_Stocks[[#This Row],[Fecha]]),DAY(T_Stocks[[#This Row],[Fecha]]))</f>
        <v>MSFT-44900</v>
      </c>
    </row>
    <row r="4623" spans="1:4" ht="14.65" thickBot="1" x14ac:dyDescent="0.5">
      <c r="A4623" s="17">
        <v>44901.666666666664</v>
      </c>
      <c r="B4623" s="19">
        <v>245.12</v>
      </c>
      <c r="C4623" t="s">
        <v>41</v>
      </c>
      <c r="D4623" t="str">
        <f>T_Stocks[[#This Row],[Ticker]] &amp; "-" &amp; DATE(YEAR(T_Stocks[[#This Row],[Fecha]]),MONTH(T_Stocks[[#This Row],[Fecha]]),DAY(T_Stocks[[#This Row],[Fecha]]))</f>
        <v>MSFT-44901</v>
      </c>
    </row>
    <row r="4624" spans="1:4" ht="14.65" thickBot="1" x14ac:dyDescent="0.5">
      <c r="A4624" s="17">
        <v>44902.666666666664</v>
      </c>
      <c r="B4624" s="19">
        <v>244.37</v>
      </c>
      <c r="C4624" t="s">
        <v>41</v>
      </c>
      <c r="D4624" t="str">
        <f>T_Stocks[[#This Row],[Ticker]] &amp; "-" &amp; DATE(YEAR(T_Stocks[[#This Row],[Fecha]]),MONTH(T_Stocks[[#This Row],[Fecha]]),DAY(T_Stocks[[#This Row],[Fecha]]))</f>
        <v>MSFT-44902</v>
      </c>
    </row>
    <row r="4625" spans="1:4" ht="14.65" thickBot="1" x14ac:dyDescent="0.5">
      <c r="A4625" s="17">
        <v>44903.666666666664</v>
      </c>
      <c r="B4625" s="19">
        <v>247.4</v>
      </c>
      <c r="C4625" t="s">
        <v>41</v>
      </c>
      <c r="D4625" t="str">
        <f>T_Stocks[[#This Row],[Ticker]] &amp; "-" &amp; DATE(YEAR(T_Stocks[[#This Row],[Fecha]]),MONTH(T_Stocks[[#This Row],[Fecha]]),DAY(T_Stocks[[#This Row],[Fecha]]))</f>
        <v>MSFT-44903</v>
      </c>
    </row>
    <row r="4626" spans="1:4" ht="14.65" thickBot="1" x14ac:dyDescent="0.5">
      <c r="A4626" s="17">
        <v>44904.666666666664</v>
      </c>
      <c r="B4626" s="19">
        <v>245.42</v>
      </c>
      <c r="C4626" t="s">
        <v>41</v>
      </c>
      <c r="D4626" t="str">
        <f>T_Stocks[[#This Row],[Ticker]] &amp; "-" &amp; DATE(YEAR(T_Stocks[[#This Row],[Fecha]]),MONTH(T_Stocks[[#This Row],[Fecha]]),DAY(T_Stocks[[#This Row],[Fecha]]))</f>
        <v>MSFT-44904</v>
      </c>
    </row>
    <row r="4627" spans="1:4" ht="14.65" thickBot="1" x14ac:dyDescent="0.5">
      <c r="A4627" s="17">
        <v>44907.666666666664</v>
      </c>
      <c r="B4627" s="19">
        <v>252.51</v>
      </c>
      <c r="C4627" t="s">
        <v>41</v>
      </c>
      <c r="D4627" t="str">
        <f>T_Stocks[[#This Row],[Ticker]] &amp; "-" &amp; DATE(YEAR(T_Stocks[[#This Row],[Fecha]]),MONTH(T_Stocks[[#This Row],[Fecha]]),DAY(T_Stocks[[#This Row],[Fecha]]))</f>
        <v>MSFT-44907</v>
      </c>
    </row>
    <row r="4628" spans="1:4" ht="14.65" thickBot="1" x14ac:dyDescent="0.5">
      <c r="A4628" s="17">
        <v>44908.666666666664</v>
      </c>
      <c r="B4628" s="19">
        <v>256.92</v>
      </c>
      <c r="C4628" t="s">
        <v>41</v>
      </c>
      <c r="D4628" t="str">
        <f>T_Stocks[[#This Row],[Ticker]] &amp; "-" &amp; DATE(YEAR(T_Stocks[[#This Row],[Fecha]]),MONTH(T_Stocks[[#This Row],[Fecha]]),DAY(T_Stocks[[#This Row],[Fecha]]))</f>
        <v>MSFT-44908</v>
      </c>
    </row>
    <row r="4629" spans="1:4" ht="14.65" thickBot="1" x14ac:dyDescent="0.5">
      <c r="A4629" s="17">
        <v>44909.666666666664</v>
      </c>
      <c r="B4629" s="19">
        <v>257.22000000000003</v>
      </c>
      <c r="C4629" t="s">
        <v>41</v>
      </c>
      <c r="D4629" t="str">
        <f>T_Stocks[[#This Row],[Ticker]] &amp; "-" &amp; DATE(YEAR(T_Stocks[[#This Row],[Fecha]]),MONTH(T_Stocks[[#This Row],[Fecha]]),DAY(T_Stocks[[#This Row],[Fecha]]))</f>
        <v>MSFT-44909</v>
      </c>
    </row>
    <row r="4630" spans="1:4" ht="14.65" thickBot="1" x14ac:dyDescent="0.5">
      <c r="A4630" s="17">
        <v>44910.666666666664</v>
      </c>
      <c r="B4630" s="19">
        <v>249.01</v>
      </c>
      <c r="C4630" t="s">
        <v>41</v>
      </c>
      <c r="D4630" t="str">
        <f>T_Stocks[[#This Row],[Ticker]] &amp; "-" &amp; DATE(YEAR(T_Stocks[[#This Row],[Fecha]]),MONTH(T_Stocks[[#This Row],[Fecha]]),DAY(T_Stocks[[#This Row],[Fecha]]))</f>
        <v>MSFT-44910</v>
      </c>
    </row>
    <row r="4631" spans="1:4" ht="14.65" thickBot="1" x14ac:dyDescent="0.5">
      <c r="A4631" s="17">
        <v>44911.666666666664</v>
      </c>
      <c r="B4631" s="19">
        <v>244.69</v>
      </c>
      <c r="C4631" t="s">
        <v>41</v>
      </c>
      <c r="D4631" t="str">
        <f>T_Stocks[[#This Row],[Ticker]] &amp; "-" &amp; DATE(YEAR(T_Stocks[[#This Row],[Fecha]]),MONTH(T_Stocks[[#This Row],[Fecha]]),DAY(T_Stocks[[#This Row],[Fecha]]))</f>
        <v>MSFT-44911</v>
      </c>
    </row>
    <row r="4632" spans="1:4" ht="14.65" thickBot="1" x14ac:dyDescent="0.5">
      <c r="A4632" s="17">
        <v>44914.666666666664</v>
      </c>
      <c r="B4632" s="19">
        <v>240.45</v>
      </c>
      <c r="C4632" t="s">
        <v>41</v>
      </c>
      <c r="D4632" t="str">
        <f>T_Stocks[[#This Row],[Ticker]] &amp; "-" &amp; DATE(YEAR(T_Stocks[[#This Row],[Fecha]]),MONTH(T_Stocks[[#This Row],[Fecha]]),DAY(T_Stocks[[#This Row],[Fecha]]))</f>
        <v>MSFT-44914</v>
      </c>
    </row>
    <row r="4633" spans="1:4" ht="14.65" thickBot="1" x14ac:dyDescent="0.5">
      <c r="A4633" s="17">
        <v>44915.666666666664</v>
      </c>
      <c r="B4633" s="19">
        <v>241.8</v>
      </c>
      <c r="C4633" t="s">
        <v>41</v>
      </c>
      <c r="D4633" t="str">
        <f>T_Stocks[[#This Row],[Ticker]] &amp; "-" &amp; DATE(YEAR(T_Stocks[[#This Row],[Fecha]]),MONTH(T_Stocks[[#This Row],[Fecha]]),DAY(T_Stocks[[#This Row],[Fecha]]))</f>
        <v>MSFT-44915</v>
      </c>
    </row>
    <row r="4634" spans="1:4" ht="14.65" thickBot="1" x14ac:dyDescent="0.5">
      <c r="A4634" s="17">
        <v>44916.666666666664</v>
      </c>
      <c r="B4634" s="19">
        <v>244.43</v>
      </c>
      <c r="C4634" t="s">
        <v>41</v>
      </c>
      <c r="D4634" t="str">
        <f>T_Stocks[[#This Row],[Ticker]] &amp; "-" &amp; DATE(YEAR(T_Stocks[[#This Row],[Fecha]]),MONTH(T_Stocks[[#This Row],[Fecha]]),DAY(T_Stocks[[#This Row],[Fecha]]))</f>
        <v>MSFT-44916</v>
      </c>
    </row>
    <row r="4635" spans="1:4" ht="14.65" thickBot="1" x14ac:dyDescent="0.5">
      <c r="A4635" s="17">
        <v>44917.666666666664</v>
      </c>
      <c r="B4635" s="19">
        <v>238.19</v>
      </c>
      <c r="C4635" t="s">
        <v>41</v>
      </c>
      <c r="D4635" t="str">
        <f>T_Stocks[[#This Row],[Ticker]] &amp; "-" &amp; DATE(YEAR(T_Stocks[[#This Row],[Fecha]]),MONTH(T_Stocks[[#This Row],[Fecha]]),DAY(T_Stocks[[#This Row],[Fecha]]))</f>
        <v>MSFT-44917</v>
      </c>
    </row>
    <row r="4636" spans="1:4" ht="14.65" thickBot="1" x14ac:dyDescent="0.5">
      <c r="A4636" s="17">
        <v>44918.666666666664</v>
      </c>
      <c r="B4636" s="19">
        <v>238.73</v>
      </c>
      <c r="C4636" t="s">
        <v>41</v>
      </c>
      <c r="D4636" t="str">
        <f>T_Stocks[[#This Row],[Ticker]] &amp; "-" &amp; DATE(YEAR(T_Stocks[[#This Row],[Fecha]]),MONTH(T_Stocks[[#This Row],[Fecha]]),DAY(T_Stocks[[#This Row],[Fecha]]))</f>
        <v>MSFT-44918</v>
      </c>
    </row>
    <row r="4637" spans="1:4" ht="14.65" thickBot="1" x14ac:dyDescent="0.5">
      <c r="A4637" s="17">
        <v>44922.666666666664</v>
      </c>
      <c r="B4637" s="19">
        <v>236.96</v>
      </c>
      <c r="C4637" t="s">
        <v>41</v>
      </c>
      <c r="D4637" t="str">
        <f>T_Stocks[[#This Row],[Ticker]] &amp; "-" &amp; DATE(YEAR(T_Stocks[[#This Row],[Fecha]]),MONTH(T_Stocks[[#This Row],[Fecha]]),DAY(T_Stocks[[#This Row],[Fecha]]))</f>
        <v>MSFT-44922</v>
      </c>
    </row>
    <row r="4638" spans="1:4" ht="14.65" thickBot="1" x14ac:dyDescent="0.5">
      <c r="A4638" s="17">
        <v>44923.666666666664</v>
      </c>
      <c r="B4638" s="19">
        <v>234.53</v>
      </c>
      <c r="C4638" t="s">
        <v>41</v>
      </c>
      <c r="D4638" t="str">
        <f>T_Stocks[[#This Row],[Ticker]] &amp; "-" &amp; DATE(YEAR(T_Stocks[[#This Row],[Fecha]]),MONTH(T_Stocks[[#This Row],[Fecha]]),DAY(T_Stocks[[#This Row],[Fecha]]))</f>
        <v>MSFT-44923</v>
      </c>
    </row>
    <row r="4639" spans="1:4" ht="14.65" thickBot="1" x14ac:dyDescent="0.5">
      <c r="A4639" s="17">
        <v>44924.666666666664</v>
      </c>
      <c r="B4639" s="19">
        <v>241.01</v>
      </c>
      <c r="C4639" t="s">
        <v>41</v>
      </c>
      <c r="D4639" t="str">
        <f>T_Stocks[[#This Row],[Ticker]] &amp; "-" &amp; DATE(YEAR(T_Stocks[[#This Row],[Fecha]]),MONTH(T_Stocks[[#This Row],[Fecha]]),DAY(T_Stocks[[#This Row],[Fecha]]))</f>
        <v>MSFT-44924</v>
      </c>
    </row>
    <row r="4640" spans="1:4" ht="14.65" thickBot="1" x14ac:dyDescent="0.5">
      <c r="A4640" s="17">
        <v>44925.666666666664</v>
      </c>
      <c r="B4640" s="19">
        <v>239.82</v>
      </c>
      <c r="C4640" t="s">
        <v>41</v>
      </c>
      <c r="D4640" t="str">
        <f>T_Stocks[[#This Row],[Ticker]] &amp; "-" &amp; DATE(YEAR(T_Stocks[[#This Row],[Fecha]]),MONTH(T_Stocks[[#This Row],[Fecha]]),DAY(T_Stocks[[#This Row],[Fecha]]))</f>
        <v>MSFT-44925</v>
      </c>
    </row>
    <row r="4641" spans="1:4" ht="14.65" thickBot="1" x14ac:dyDescent="0.5">
      <c r="A4641" s="17">
        <v>44929.666666666664</v>
      </c>
      <c r="B4641" s="19">
        <v>239.58</v>
      </c>
      <c r="C4641" t="s">
        <v>41</v>
      </c>
      <c r="D4641" t="str">
        <f>T_Stocks[[#This Row],[Ticker]] &amp; "-" &amp; DATE(YEAR(T_Stocks[[#This Row],[Fecha]]),MONTH(T_Stocks[[#This Row],[Fecha]]),DAY(T_Stocks[[#This Row],[Fecha]]))</f>
        <v>MSFT-44929</v>
      </c>
    </row>
    <row r="4642" spans="1:4" ht="14.65" thickBot="1" x14ac:dyDescent="0.5">
      <c r="A4642" s="17">
        <v>44930.666666666664</v>
      </c>
      <c r="B4642" s="19">
        <v>229.1</v>
      </c>
      <c r="C4642" t="s">
        <v>41</v>
      </c>
      <c r="D4642" t="str">
        <f>T_Stocks[[#This Row],[Ticker]] &amp; "-" &amp; DATE(YEAR(T_Stocks[[#This Row],[Fecha]]),MONTH(T_Stocks[[#This Row],[Fecha]]),DAY(T_Stocks[[#This Row],[Fecha]]))</f>
        <v>MSFT-44930</v>
      </c>
    </row>
    <row r="4643" spans="1:4" ht="14.65" thickBot="1" x14ac:dyDescent="0.5">
      <c r="A4643" s="17">
        <v>44931.666666666664</v>
      </c>
      <c r="B4643" s="19">
        <v>222.31</v>
      </c>
      <c r="C4643" t="s">
        <v>41</v>
      </c>
      <c r="D4643" t="str">
        <f>T_Stocks[[#This Row],[Ticker]] &amp; "-" &amp; DATE(YEAR(T_Stocks[[#This Row],[Fecha]]),MONTH(T_Stocks[[#This Row],[Fecha]]),DAY(T_Stocks[[#This Row],[Fecha]]))</f>
        <v>MSFT-44931</v>
      </c>
    </row>
    <row r="4644" spans="1:4" ht="14.65" thickBot="1" x14ac:dyDescent="0.5">
      <c r="A4644" s="17">
        <v>44932.666666666664</v>
      </c>
      <c r="B4644" s="19">
        <v>224.93</v>
      </c>
      <c r="C4644" t="s">
        <v>41</v>
      </c>
      <c r="D4644" t="str">
        <f>T_Stocks[[#This Row],[Ticker]] &amp; "-" &amp; DATE(YEAR(T_Stocks[[#This Row],[Fecha]]),MONTH(T_Stocks[[#This Row],[Fecha]]),DAY(T_Stocks[[#This Row],[Fecha]]))</f>
        <v>MSFT-44932</v>
      </c>
    </row>
    <row r="4645" spans="1:4" ht="14.65" thickBot="1" x14ac:dyDescent="0.5">
      <c r="A4645" s="17">
        <v>44935.666666666664</v>
      </c>
      <c r="B4645" s="19">
        <v>227.12</v>
      </c>
      <c r="C4645" t="s">
        <v>41</v>
      </c>
      <c r="D4645" t="str">
        <f>T_Stocks[[#This Row],[Ticker]] &amp; "-" &amp; DATE(YEAR(T_Stocks[[#This Row],[Fecha]]),MONTH(T_Stocks[[#This Row],[Fecha]]),DAY(T_Stocks[[#This Row],[Fecha]]))</f>
        <v>MSFT-44935</v>
      </c>
    </row>
    <row r="4646" spans="1:4" ht="14.65" thickBot="1" x14ac:dyDescent="0.5">
      <c r="A4646" s="17">
        <v>44936.666666666664</v>
      </c>
      <c r="B4646" s="19">
        <v>228.85</v>
      </c>
      <c r="C4646" t="s">
        <v>41</v>
      </c>
      <c r="D4646" t="str">
        <f>T_Stocks[[#This Row],[Ticker]] &amp; "-" &amp; DATE(YEAR(T_Stocks[[#This Row],[Fecha]]),MONTH(T_Stocks[[#This Row],[Fecha]]),DAY(T_Stocks[[#This Row],[Fecha]]))</f>
        <v>MSFT-44936</v>
      </c>
    </row>
    <row r="4647" spans="1:4" ht="14.65" thickBot="1" x14ac:dyDescent="0.5">
      <c r="A4647" s="17">
        <v>44937.666666666664</v>
      </c>
      <c r="B4647" s="19">
        <v>235.77</v>
      </c>
      <c r="C4647" t="s">
        <v>41</v>
      </c>
      <c r="D4647" t="str">
        <f>T_Stocks[[#This Row],[Ticker]] &amp; "-" &amp; DATE(YEAR(T_Stocks[[#This Row],[Fecha]]),MONTH(T_Stocks[[#This Row],[Fecha]]),DAY(T_Stocks[[#This Row],[Fecha]]))</f>
        <v>MSFT-44937</v>
      </c>
    </row>
    <row r="4648" spans="1:4" ht="14.65" thickBot="1" x14ac:dyDescent="0.5">
      <c r="A4648" s="17">
        <v>44938.666666666664</v>
      </c>
      <c r="B4648" s="19">
        <v>238.51</v>
      </c>
      <c r="C4648" t="s">
        <v>41</v>
      </c>
      <c r="D4648" t="str">
        <f>T_Stocks[[#This Row],[Ticker]] &amp; "-" &amp; DATE(YEAR(T_Stocks[[#This Row],[Fecha]]),MONTH(T_Stocks[[#This Row],[Fecha]]),DAY(T_Stocks[[#This Row],[Fecha]]))</f>
        <v>MSFT-44938</v>
      </c>
    </row>
    <row r="4649" spans="1:4" ht="14.65" thickBot="1" x14ac:dyDescent="0.5">
      <c r="A4649" s="17">
        <v>44939.666666666664</v>
      </c>
      <c r="B4649" s="19">
        <v>239.23</v>
      </c>
      <c r="C4649" t="s">
        <v>41</v>
      </c>
      <c r="D4649" t="str">
        <f>T_Stocks[[#This Row],[Ticker]] &amp; "-" &amp; DATE(YEAR(T_Stocks[[#This Row],[Fecha]]),MONTH(T_Stocks[[#This Row],[Fecha]]),DAY(T_Stocks[[#This Row],[Fecha]]))</f>
        <v>MSFT-44939</v>
      </c>
    </row>
    <row r="4650" spans="1:4" ht="14.65" thickBot="1" x14ac:dyDescent="0.5">
      <c r="A4650" s="17">
        <v>44943.666666666664</v>
      </c>
      <c r="B4650" s="19">
        <v>240.35</v>
      </c>
      <c r="C4650" t="s">
        <v>41</v>
      </c>
      <c r="D4650" t="str">
        <f>T_Stocks[[#This Row],[Ticker]] &amp; "-" &amp; DATE(YEAR(T_Stocks[[#This Row],[Fecha]]),MONTH(T_Stocks[[#This Row],[Fecha]]),DAY(T_Stocks[[#This Row],[Fecha]]))</f>
        <v>MSFT-44943</v>
      </c>
    </row>
    <row r="4651" spans="1:4" ht="14.65" thickBot="1" x14ac:dyDescent="0.5">
      <c r="A4651" s="17">
        <v>44944.666666666664</v>
      </c>
      <c r="B4651" s="19">
        <v>235.81</v>
      </c>
      <c r="C4651" t="s">
        <v>41</v>
      </c>
      <c r="D4651" t="str">
        <f>T_Stocks[[#This Row],[Ticker]] &amp; "-" &amp; DATE(YEAR(T_Stocks[[#This Row],[Fecha]]),MONTH(T_Stocks[[#This Row],[Fecha]]),DAY(T_Stocks[[#This Row],[Fecha]]))</f>
        <v>MSFT-44944</v>
      </c>
    </row>
    <row r="4652" spans="1:4" ht="14.65" thickBot="1" x14ac:dyDescent="0.5">
      <c r="A4652" s="17">
        <v>44945.666666666664</v>
      </c>
      <c r="B4652" s="19">
        <v>231.93</v>
      </c>
      <c r="C4652" t="s">
        <v>41</v>
      </c>
      <c r="D4652" t="str">
        <f>T_Stocks[[#This Row],[Ticker]] &amp; "-" &amp; DATE(YEAR(T_Stocks[[#This Row],[Fecha]]),MONTH(T_Stocks[[#This Row],[Fecha]]),DAY(T_Stocks[[#This Row],[Fecha]]))</f>
        <v>MSFT-44945</v>
      </c>
    </row>
    <row r="4653" spans="1:4" ht="14.65" thickBot="1" x14ac:dyDescent="0.5">
      <c r="A4653" s="17">
        <v>44946.666666666664</v>
      </c>
      <c r="B4653" s="19">
        <v>240.22</v>
      </c>
      <c r="C4653" t="s">
        <v>41</v>
      </c>
      <c r="D4653" t="str">
        <f>T_Stocks[[#This Row],[Ticker]] &amp; "-" &amp; DATE(YEAR(T_Stocks[[#This Row],[Fecha]]),MONTH(T_Stocks[[#This Row],[Fecha]]),DAY(T_Stocks[[#This Row],[Fecha]]))</f>
        <v>MSFT-44946</v>
      </c>
    </row>
    <row r="4654" spans="1:4" ht="14.65" thickBot="1" x14ac:dyDescent="0.5">
      <c r="A4654" s="17">
        <v>44949.666666666664</v>
      </c>
      <c r="B4654" s="19">
        <v>242.58</v>
      </c>
      <c r="C4654" t="s">
        <v>41</v>
      </c>
      <c r="D4654" t="str">
        <f>T_Stocks[[#This Row],[Ticker]] &amp; "-" &amp; DATE(YEAR(T_Stocks[[#This Row],[Fecha]]),MONTH(T_Stocks[[#This Row],[Fecha]]),DAY(T_Stocks[[#This Row],[Fecha]]))</f>
        <v>MSFT-44949</v>
      </c>
    </row>
    <row r="4655" spans="1:4" ht="14.65" thickBot="1" x14ac:dyDescent="0.5">
      <c r="A4655" s="17">
        <v>44950.666666666664</v>
      </c>
      <c r="B4655" s="19">
        <v>242.04</v>
      </c>
      <c r="C4655" t="s">
        <v>41</v>
      </c>
      <c r="D4655" t="str">
        <f>T_Stocks[[#This Row],[Ticker]] &amp; "-" &amp; DATE(YEAR(T_Stocks[[#This Row],[Fecha]]),MONTH(T_Stocks[[#This Row],[Fecha]]),DAY(T_Stocks[[#This Row],[Fecha]]))</f>
        <v>MSFT-44950</v>
      </c>
    </row>
    <row r="4656" spans="1:4" ht="14.65" thickBot="1" x14ac:dyDescent="0.5">
      <c r="A4656" s="17">
        <v>44951.666666666664</v>
      </c>
      <c r="B4656" s="19">
        <v>240.61</v>
      </c>
      <c r="C4656" t="s">
        <v>41</v>
      </c>
      <c r="D4656" t="str">
        <f>T_Stocks[[#This Row],[Ticker]] &amp; "-" &amp; DATE(YEAR(T_Stocks[[#This Row],[Fecha]]),MONTH(T_Stocks[[#This Row],[Fecha]]),DAY(T_Stocks[[#This Row],[Fecha]]))</f>
        <v>MSFT-44951</v>
      </c>
    </row>
    <row r="4657" spans="1:4" ht="14.65" thickBot="1" x14ac:dyDescent="0.5">
      <c r="A4657" s="17">
        <v>44952.666666666664</v>
      </c>
      <c r="B4657" s="19">
        <v>248</v>
      </c>
      <c r="C4657" t="s">
        <v>41</v>
      </c>
      <c r="D4657" t="str">
        <f>T_Stocks[[#This Row],[Ticker]] &amp; "-" &amp; DATE(YEAR(T_Stocks[[#This Row],[Fecha]]),MONTH(T_Stocks[[#This Row],[Fecha]]),DAY(T_Stocks[[#This Row],[Fecha]]))</f>
        <v>MSFT-44952</v>
      </c>
    </row>
    <row r="4658" spans="1:4" ht="14.65" thickBot="1" x14ac:dyDescent="0.5">
      <c r="A4658" s="17">
        <v>44953.666666666664</v>
      </c>
      <c r="B4658" s="19">
        <v>248.16</v>
      </c>
      <c r="C4658" t="s">
        <v>41</v>
      </c>
      <c r="D4658" t="str">
        <f>T_Stocks[[#This Row],[Ticker]] &amp; "-" &amp; DATE(YEAR(T_Stocks[[#This Row],[Fecha]]),MONTH(T_Stocks[[#This Row],[Fecha]]),DAY(T_Stocks[[#This Row],[Fecha]]))</f>
        <v>MSFT-44953</v>
      </c>
    </row>
    <row r="4659" spans="1:4" ht="14.65" thickBot="1" x14ac:dyDescent="0.5">
      <c r="A4659" s="17">
        <v>44956.666666666664</v>
      </c>
      <c r="B4659" s="19">
        <v>242.71</v>
      </c>
      <c r="C4659" t="s">
        <v>41</v>
      </c>
      <c r="D4659" t="str">
        <f>T_Stocks[[#This Row],[Ticker]] &amp; "-" &amp; DATE(YEAR(T_Stocks[[#This Row],[Fecha]]),MONTH(T_Stocks[[#This Row],[Fecha]]),DAY(T_Stocks[[#This Row],[Fecha]]))</f>
        <v>MSFT-44956</v>
      </c>
    </row>
    <row r="4660" spans="1:4" ht="14.65" thickBot="1" x14ac:dyDescent="0.5">
      <c r="A4660" s="17">
        <v>44957.666666666664</v>
      </c>
      <c r="B4660" s="19">
        <v>247.81</v>
      </c>
      <c r="C4660" t="s">
        <v>41</v>
      </c>
      <c r="D4660" t="str">
        <f>T_Stocks[[#This Row],[Ticker]] &amp; "-" &amp; DATE(YEAR(T_Stocks[[#This Row],[Fecha]]),MONTH(T_Stocks[[#This Row],[Fecha]]),DAY(T_Stocks[[#This Row],[Fecha]]))</f>
        <v>MSFT-44957</v>
      </c>
    </row>
    <row r="4661" spans="1:4" ht="14.65" thickBot="1" x14ac:dyDescent="0.5">
      <c r="A4661" s="17">
        <v>44958.666666666664</v>
      </c>
      <c r="B4661" s="19">
        <v>252.75</v>
      </c>
      <c r="C4661" t="s">
        <v>41</v>
      </c>
      <c r="D4661" t="str">
        <f>T_Stocks[[#This Row],[Ticker]] &amp; "-" &amp; DATE(YEAR(T_Stocks[[#This Row],[Fecha]]),MONTH(T_Stocks[[#This Row],[Fecha]]),DAY(T_Stocks[[#This Row],[Fecha]]))</f>
        <v>MSFT-44958</v>
      </c>
    </row>
    <row r="4662" spans="1:4" ht="14.65" thickBot="1" x14ac:dyDescent="0.5">
      <c r="A4662" s="17">
        <v>44959.666666666664</v>
      </c>
      <c r="B4662" s="19">
        <v>264.60000000000002</v>
      </c>
      <c r="C4662" t="s">
        <v>41</v>
      </c>
      <c r="D4662" t="str">
        <f>T_Stocks[[#This Row],[Ticker]] &amp; "-" &amp; DATE(YEAR(T_Stocks[[#This Row],[Fecha]]),MONTH(T_Stocks[[#This Row],[Fecha]]),DAY(T_Stocks[[#This Row],[Fecha]]))</f>
        <v>MSFT-44959</v>
      </c>
    </row>
    <row r="4663" spans="1:4" ht="14.65" thickBot="1" x14ac:dyDescent="0.5">
      <c r="A4663" s="17">
        <v>44960.666666666664</v>
      </c>
      <c r="B4663" s="19">
        <v>258.35000000000002</v>
      </c>
      <c r="C4663" t="s">
        <v>41</v>
      </c>
      <c r="D4663" t="str">
        <f>T_Stocks[[#This Row],[Ticker]] &amp; "-" &amp; DATE(YEAR(T_Stocks[[#This Row],[Fecha]]),MONTH(T_Stocks[[#This Row],[Fecha]]),DAY(T_Stocks[[#This Row],[Fecha]]))</f>
        <v>MSFT-44960</v>
      </c>
    </row>
    <row r="4664" spans="1:4" ht="14.65" thickBot="1" x14ac:dyDescent="0.5">
      <c r="A4664" s="17">
        <v>44963.666666666664</v>
      </c>
      <c r="B4664" s="19">
        <v>256.77</v>
      </c>
      <c r="C4664" t="s">
        <v>41</v>
      </c>
      <c r="D4664" t="str">
        <f>T_Stocks[[#This Row],[Ticker]] &amp; "-" &amp; DATE(YEAR(T_Stocks[[#This Row],[Fecha]]),MONTH(T_Stocks[[#This Row],[Fecha]]),DAY(T_Stocks[[#This Row],[Fecha]]))</f>
        <v>MSFT-44963</v>
      </c>
    </row>
    <row r="4665" spans="1:4" ht="14.65" thickBot="1" x14ac:dyDescent="0.5">
      <c r="A4665" s="17">
        <v>44964.666666666664</v>
      </c>
      <c r="B4665" s="19">
        <v>267.56</v>
      </c>
      <c r="C4665" t="s">
        <v>41</v>
      </c>
      <c r="D4665" t="str">
        <f>T_Stocks[[#This Row],[Ticker]] &amp; "-" &amp; DATE(YEAR(T_Stocks[[#This Row],[Fecha]]),MONTH(T_Stocks[[#This Row],[Fecha]]),DAY(T_Stocks[[#This Row],[Fecha]]))</f>
        <v>MSFT-44964</v>
      </c>
    </row>
    <row r="4666" spans="1:4" ht="14.65" thickBot="1" x14ac:dyDescent="0.5">
      <c r="A4666" s="17">
        <v>44965.666666666664</v>
      </c>
      <c r="B4666" s="19">
        <v>266.73</v>
      </c>
      <c r="C4666" t="s">
        <v>41</v>
      </c>
      <c r="D4666" t="str">
        <f>T_Stocks[[#This Row],[Ticker]] &amp; "-" &amp; DATE(YEAR(T_Stocks[[#This Row],[Fecha]]),MONTH(T_Stocks[[#This Row],[Fecha]]),DAY(T_Stocks[[#This Row],[Fecha]]))</f>
        <v>MSFT-44965</v>
      </c>
    </row>
    <row r="4667" spans="1:4" ht="14.65" thickBot="1" x14ac:dyDescent="0.5">
      <c r="A4667" s="17">
        <v>44966.666666666664</v>
      </c>
      <c r="B4667" s="19">
        <v>263.62</v>
      </c>
      <c r="C4667" t="s">
        <v>41</v>
      </c>
      <c r="D4667" t="str">
        <f>T_Stocks[[#This Row],[Ticker]] &amp; "-" &amp; DATE(YEAR(T_Stocks[[#This Row],[Fecha]]),MONTH(T_Stocks[[#This Row],[Fecha]]),DAY(T_Stocks[[#This Row],[Fecha]]))</f>
        <v>MSFT-44966</v>
      </c>
    </row>
    <row r="4668" spans="1:4" ht="14.65" thickBot="1" x14ac:dyDescent="0.5">
      <c r="A4668" s="17">
        <v>44967.666666666664</v>
      </c>
      <c r="B4668" s="19">
        <v>263.10000000000002</v>
      </c>
      <c r="C4668" t="s">
        <v>41</v>
      </c>
      <c r="D4668" t="str">
        <f>T_Stocks[[#This Row],[Ticker]] &amp; "-" &amp; DATE(YEAR(T_Stocks[[#This Row],[Fecha]]),MONTH(T_Stocks[[#This Row],[Fecha]]),DAY(T_Stocks[[#This Row],[Fecha]]))</f>
        <v>MSFT-44967</v>
      </c>
    </row>
    <row r="4669" spans="1:4" ht="14.65" thickBot="1" x14ac:dyDescent="0.5">
      <c r="A4669" s="17">
        <v>44970.666666666664</v>
      </c>
      <c r="B4669" s="19">
        <v>271.32</v>
      </c>
      <c r="C4669" t="s">
        <v>41</v>
      </c>
      <c r="D4669" t="str">
        <f>T_Stocks[[#This Row],[Ticker]] &amp; "-" &amp; DATE(YEAR(T_Stocks[[#This Row],[Fecha]]),MONTH(T_Stocks[[#This Row],[Fecha]]),DAY(T_Stocks[[#This Row],[Fecha]]))</f>
        <v>MSFT-44970</v>
      </c>
    </row>
    <row r="4670" spans="1:4" ht="14.65" thickBot="1" x14ac:dyDescent="0.5">
      <c r="A4670" s="17">
        <v>44971.666666666664</v>
      </c>
      <c r="B4670" s="19">
        <v>272.17</v>
      </c>
      <c r="C4670" t="s">
        <v>41</v>
      </c>
      <c r="D4670" t="str">
        <f>T_Stocks[[#This Row],[Ticker]] &amp; "-" &amp; DATE(YEAR(T_Stocks[[#This Row],[Fecha]]),MONTH(T_Stocks[[#This Row],[Fecha]]),DAY(T_Stocks[[#This Row],[Fecha]]))</f>
        <v>MSFT-44971</v>
      </c>
    </row>
    <row r="4671" spans="1:4" ht="14.65" thickBot="1" x14ac:dyDescent="0.5">
      <c r="A4671" s="17">
        <v>44972.666666666664</v>
      </c>
      <c r="B4671" s="19">
        <v>269.32</v>
      </c>
      <c r="C4671" t="s">
        <v>41</v>
      </c>
      <c r="D4671" t="str">
        <f>T_Stocks[[#This Row],[Ticker]] &amp; "-" &amp; DATE(YEAR(T_Stocks[[#This Row],[Fecha]]),MONTH(T_Stocks[[#This Row],[Fecha]]),DAY(T_Stocks[[#This Row],[Fecha]]))</f>
        <v>MSFT-44972</v>
      </c>
    </row>
    <row r="4672" spans="1:4" ht="14.65" thickBot="1" x14ac:dyDescent="0.5">
      <c r="A4672" s="17">
        <v>44973.666666666664</v>
      </c>
      <c r="B4672" s="19">
        <v>262.14999999999998</v>
      </c>
      <c r="C4672" t="s">
        <v>41</v>
      </c>
      <c r="D4672" t="str">
        <f>T_Stocks[[#This Row],[Ticker]] &amp; "-" &amp; DATE(YEAR(T_Stocks[[#This Row],[Fecha]]),MONTH(T_Stocks[[#This Row],[Fecha]]),DAY(T_Stocks[[#This Row],[Fecha]]))</f>
        <v>MSFT-44973</v>
      </c>
    </row>
    <row r="4673" spans="1:4" ht="14.65" thickBot="1" x14ac:dyDescent="0.5">
      <c r="A4673" s="17">
        <v>44974.666666666664</v>
      </c>
      <c r="B4673" s="19">
        <v>258.06</v>
      </c>
      <c r="C4673" t="s">
        <v>41</v>
      </c>
      <c r="D4673" t="str">
        <f>T_Stocks[[#This Row],[Ticker]] &amp; "-" &amp; DATE(YEAR(T_Stocks[[#This Row],[Fecha]]),MONTH(T_Stocks[[#This Row],[Fecha]]),DAY(T_Stocks[[#This Row],[Fecha]]))</f>
        <v>MSFT-44974</v>
      </c>
    </row>
    <row r="4674" spans="1:4" ht="14.65" thickBot="1" x14ac:dyDescent="0.5">
      <c r="A4674" s="17">
        <v>44978.666666666664</v>
      </c>
      <c r="B4674" s="19">
        <v>252.67</v>
      </c>
      <c r="C4674" t="s">
        <v>41</v>
      </c>
      <c r="D4674" t="str">
        <f>T_Stocks[[#This Row],[Ticker]] &amp; "-" &amp; DATE(YEAR(T_Stocks[[#This Row],[Fecha]]),MONTH(T_Stocks[[#This Row],[Fecha]]),DAY(T_Stocks[[#This Row],[Fecha]]))</f>
        <v>MSFT-44978</v>
      </c>
    </row>
    <row r="4675" spans="1:4" ht="14.65" thickBot="1" x14ac:dyDescent="0.5">
      <c r="A4675" s="17">
        <v>44979.666666666664</v>
      </c>
      <c r="B4675" s="19">
        <v>251.51</v>
      </c>
      <c r="C4675" t="s">
        <v>41</v>
      </c>
      <c r="D4675" t="str">
        <f>T_Stocks[[#This Row],[Ticker]] &amp; "-" &amp; DATE(YEAR(T_Stocks[[#This Row],[Fecha]]),MONTH(T_Stocks[[#This Row],[Fecha]]),DAY(T_Stocks[[#This Row],[Fecha]]))</f>
        <v>MSFT-44979</v>
      </c>
    </row>
    <row r="4676" spans="1:4" ht="14.65" thickBot="1" x14ac:dyDescent="0.5">
      <c r="A4676" s="17">
        <v>44980.666666666664</v>
      </c>
      <c r="B4676" s="19">
        <v>254.77</v>
      </c>
      <c r="C4676" t="s">
        <v>41</v>
      </c>
      <c r="D4676" t="str">
        <f>T_Stocks[[#This Row],[Ticker]] &amp; "-" &amp; DATE(YEAR(T_Stocks[[#This Row],[Fecha]]),MONTH(T_Stocks[[#This Row],[Fecha]]),DAY(T_Stocks[[#This Row],[Fecha]]))</f>
        <v>MSFT-44980</v>
      </c>
    </row>
    <row r="4677" spans="1:4" ht="14.65" thickBot="1" x14ac:dyDescent="0.5">
      <c r="A4677" s="17">
        <v>44981.666666666664</v>
      </c>
      <c r="B4677" s="19">
        <v>249.22</v>
      </c>
      <c r="C4677" t="s">
        <v>41</v>
      </c>
      <c r="D4677" t="str">
        <f>T_Stocks[[#This Row],[Ticker]] &amp; "-" &amp; DATE(YEAR(T_Stocks[[#This Row],[Fecha]]),MONTH(T_Stocks[[#This Row],[Fecha]]),DAY(T_Stocks[[#This Row],[Fecha]]))</f>
        <v>MSFT-44981</v>
      </c>
    </row>
    <row r="4678" spans="1:4" ht="14.65" thickBot="1" x14ac:dyDescent="0.5">
      <c r="A4678" s="17">
        <v>44984.666666666664</v>
      </c>
      <c r="B4678" s="19">
        <v>250.16</v>
      </c>
      <c r="C4678" t="s">
        <v>41</v>
      </c>
      <c r="D4678" t="str">
        <f>T_Stocks[[#This Row],[Ticker]] &amp; "-" &amp; DATE(YEAR(T_Stocks[[#This Row],[Fecha]]),MONTH(T_Stocks[[#This Row],[Fecha]]),DAY(T_Stocks[[#This Row],[Fecha]]))</f>
        <v>MSFT-44984</v>
      </c>
    </row>
    <row r="4679" spans="1:4" ht="14.65" thickBot="1" x14ac:dyDescent="0.5">
      <c r="A4679" s="17">
        <v>44985.666666666664</v>
      </c>
      <c r="B4679" s="19">
        <v>249.42</v>
      </c>
      <c r="C4679" t="s">
        <v>41</v>
      </c>
      <c r="D4679" t="str">
        <f>T_Stocks[[#This Row],[Ticker]] &amp; "-" &amp; DATE(YEAR(T_Stocks[[#This Row],[Fecha]]),MONTH(T_Stocks[[#This Row],[Fecha]]),DAY(T_Stocks[[#This Row],[Fecha]]))</f>
        <v>MSFT-44985</v>
      </c>
    </row>
    <row r="4680" spans="1:4" ht="14.65" thickBot="1" x14ac:dyDescent="0.5">
      <c r="A4680" s="17">
        <v>44986.666666666664</v>
      </c>
      <c r="B4680" s="19">
        <v>246.27</v>
      </c>
      <c r="C4680" t="s">
        <v>41</v>
      </c>
      <c r="D4680" t="str">
        <f>T_Stocks[[#This Row],[Ticker]] &amp; "-" &amp; DATE(YEAR(T_Stocks[[#This Row],[Fecha]]),MONTH(T_Stocks[[#This Row],[Fecha]]),DAY(T_Stocks[[#This Row],[Fecha]]))</f>
        <v>MSFT-44986</v>
      </c>
    </row>
    <row r="4681" spans="1:4" ht="14.65" thickBot="1" x14ac:dyDescent="0.5">
      <c r="A4681" s="17">
        <v>44987.666666666664</v>
      </c>
      <c r="B4681" s="19">
        <v>251.11</v>
      </c>
      <c r="C4681" t="s">
        <v>41</v>
      </c>
      <c r="D4681" t="str">
        <f>T_Stocks[[#This Row],[Ticker]] &amp; "-" &amp; DATE(YEAR(T_Stocks[[#This Row],[Fecha]]),MONTH(T_Stocks[[#This Row],[Fecha]]),DAY(T_Stocks[[#This Row],[Fecha]]))</f>
        <v>MSFT-44987</v>
      </c>
    </row>
    <row r="4682" spans="1:4" ht="14.65" thickBot="1" x14ac:dyDescent="0.5">
      <c r="A4682" s="17">
        <v>44988.666666666664</v>
      </c>
      <c r="B4682" s="19">
        <v>255.29</v>
      </c>
      <c r="C4682" t="s">
        <v>41</v>
      </c>
      <c r="D4682" t="str">
        <f>T_Stocks[[#This Row],[Ticker]] &amp; "-" &amp; DATE(YEAR(T_Stocks[[#This Row],[Fecha]]),MONTH(T_Stocks[[#This Row],[Fecha]]),DAY(T_Stocks[[#This Row],[Fecha]]))</f>
        <v>MSFT-44988</v>
      </c>
    </row>
    <row r="4683" spans="1:4" ht="14.65" thickBot="1" x14ac:dyDescent="0.5">
      <c r="A4683" s="17">
        <v>44991.666666666664</v>
      </c>
      <c r="B4683" s="19">
        <v>256.87</v>
      </c>
      <c r="C4683" t="s">
        <v>41</v>
      </c>
      <c r="D4683" t="str">
        <f>T_Stocks[[#This Row],[Ticker]] &amp; "-" &amp; DATE(YEAR(T_Stocks[[#This Row],[Fecha]]),MONTH(T_Stocks[[#This Row],[Fecha]]),DAY(T_Stocks[[#This Row],[Fecha]]))</f>
        <v>MSFT-44991</v>
      </c>
    </row>
    <row r="4684" spans="1:4" ht="14.65" thickBot="1" x14ac:dyDescent="0.5">
      <c r="A4684" s="17">
        <v>44992.666666666664</v>
      </c>
      <c r="B4684" s="19">
        <v>254.15</v>
      </c>
      <c r="C4684" t="s">
        <v>41</v>
      </c>
      <c r="D4684" t="str">
        <f>T_Stocks[[#This Row],[Ticker]] &amp; "-" &amp; DATE(YEAR(T_Stocks[[#This Row],[Fecha]]),MONTH(T_Stocks[[#This Row],[Fecha]]),DAY(T_Stocks[[#This Row],[Fecha]]))</f>
        <v>MSFT-44992</v>
      </c>
    </row>
    <row r="4685" spans="1:4" ht="14.65" thickBot="1" x14ac:dyDescent="0.5">
      <c r="A4685" s="17">
        <v>44993.666666666664</v>
      </c>
      <c r="B4685" s="19">
        <v>253.7</v>
      </c>
      <c r="C4685" t="s">
        <v>41</v>
      </c>
      <c r="D4685" t="str">
        <f>T_Stocks[[#This Row],[Ticker]] &amp; "-" &amp; DATE(YEAR(T_Stocks[[#This Row],[Fecha]]),MONTH(T_Stocks[[#This Row],[Fecha]]),DAY(T_Stocks[[#This Row],[Fecha]]))</f>
        <v>MSFT-44993</v>
      </c>
    </row>
    <row r="4686" spans="1:4" ht="14.65" thickBot="1" x14ac:dyDescent="0.5">
      <c r="A4686" s="17">
        <v>44994.666666666664</v>
      </c>
      <c r="B4686" s="19">
        <v>252.32</v>
      </c>
      <c r="C4686" t="s">
        <v>41</v>
      </c>
      <c r="D4686" t="str">
        <f>T_Stocks[[#This Row],[Ticker]] &amp; "-" &amp; DATE(YEAR(T_Stocks[[#This Row],[Fecha]]),MONTH(T_Stocks[[#This Row],[Fecha]]),DAY(T_Stocks[[#This Row],[Fecha]]))</f>
        <v>MSFT-44994</v>
      </c>
    </row>
    <row r="4687" spans="1:4" ht="14.65" thickBot="1" x14ac:dyDescent="0.5">
      <c r="A4687" s="17">
        <v>44995.666666666664</v>
      </c>
      <c r="B4687" s="19">
        <v>248.59</v>
      </c>
      <c r="C4687" t="s">
        <v>41</v>
      </c>
      <c r="D4687" t="str">
        <f>T_Stocks[[#This Row],[Ticker]] &amp; "-" &amp; DATE(YEAR(T_Stocks[[#This Row],[Fecha]]),MONTH(T_Stocks[[#This Row],[Fecha]]),DAY(T_Stocks[[#This Row],[Fecha]]))</f>
        <v>MSFT-44995</v>
      </c>
    </row>
    <row r="4688" spans="1:4" ht="14.65" thickBot="1" x14ac:dyDescent="0.5">
      <c r="A4688" s="17">
        <v>44998.666666666664</v>
      </c>
      <c r="B4688" s="19">
        <v>253.92</v>
      </c>
      <c r="C4688" t="s">
        <v>41</v>
      </c>
      <c r="D4688" t="str">
        <f>T_Stocks[[#This Row],[Ticker]] &amp; "-" &amp; DATE(YEAR(T_Stocks[[#This Row],[Fecha]]),MONTH(T_Stocks[[#This Row],[Fecha]]),DAY(T_Stocks[[#This Row],[Fecha]]))</f>
        <v>MSFT-44998</v>
      </c>
    </row>
    <row r="4689" spans="1:4" ht="14.65" thickBot="1" x14ac:dyDescent="0.5">
      <c r="A4689" s="17">
        <v>44999.666666666664</v>
      </c>
      <c r="B4689" s="19">
        <v>260.79000000000002</v>
      </c>
      <c r="C4689" t="s">
        <v>41</v>
      </c>
      <c r="D4689" t="str">
        <f>T_Stocks[[#This Row],[Ticker]] &amp; "-" &amp; DATE(YEAR(T_Stocks[[#This Row],[Fecha]]),MONTH(T_Stocks[[#This Row],[Fecha]]),DAY(T_Stocks[[#This Row],[Fecha]]))</f>
        <v>MSFT-44999</v>
      </c>
    </row>
    <row r="4690" spans="1:4" ht="14.65" thickBot="1" x14ac:dyDescent="0.5">
      <c r="A4690" s="17">
        <v>45000.666666666664</v>
      </c>
      <c r="B4690" s="19">
        <v>265.44</v>
      </c>
      <c r="C4690" t="s">
        <v>41</v>
      </c>
      <c r="D4690" t="str">
        <f>T_Stocks[[#This Row],[Ticker]] &amp; "-" &amp; DATE(YEAR(T_Stocks[[#This Row],[Fecha]]),MONTH(T_Stocks[[#This Row],[Fecha]]),DAY(T_Stocks[[#This Row],[Fecha]]))</f>
        <v>MSFT-45000</v>
      </c>
    </row>
    <row r="4691" spans="1:4" ht="14.65" thickBot="1" x14ac:dyDescent="0.5">
      <c r="A4691" s="17">
        <v>45001.666666666664</v>
      </c>
      <c r="B4691" s="19">
        <v>276.2</v>
      </c>
      <c r="C4691" t="s">
        <v>41</v>
      </c>
      <c r="D4691" t="str">
        <f>T_Stocks[[#This Row],[Ticker]] &amp; "-" &amp; DATE(YEAR(T_Stocks[[#This Row],[Fecha]]),MONTH(T_Stocks[[#This Row],[Fecha]]),DAY(T_Stocks[[#This Row],[Fecha]]))</f>
        <v>MSFT-45001</v>
      </c>
    </row>
    <row r="4692" spans="1:4" ht="14.65" thickBot="1" x14ac:dyDescent="0.5">
      <c r="A4692" s="17">
        <v>45002.666666666664</v>
      </c>
      <c r="B4692" s="19">
        <v>279.43</v>
      </c>
      <c r="C4692" t="s">
        <v>41</v>
      </c>
      <c r="D4692" t="str">
        <f>T_Stocks[[#This Row],[Ticker]] &amp; "-" &amp; DATE(YEAR(T_Stocks[[#This Row],[Fecha]]),MONTH(T_Stocks[[#This Row],[Fecha]]),DAY(T_Stocks[[#This Row],[Fecha]]))</f>
        <v>MSFT-45002</v>
      </c>
    </row>
    <row r="4693" spans="1:4" ht="14.65" thickBot="1" x14ac:dyDescent="0.5">
      <c r="A4693" s="17">
        <v>45005.666666666664</v>
      </c>
      <c r="B4693" s="19">
        <v>272.23</v>
      </c>
      <c r="C4693" t="s">
        <v>41</v>
      </c>
      <c r="D4693" t="str">
        <f>T_Stocks[[#This Row],[Ticker]] &amp; "-" &amp; DATE(YEAR(T_Stocks[[#This Row],[Fecha]]),MONTH(T_Stocks[[#This Row],[Fecha]]),DAY(T_Stocks[[#This Row],[Fecha]]))</f>
        <v>MSFT-45005</v>
      </c>
    </row>
    <row r="4694" spans="1:4" ht="14.65" thickBot="1" x14ac:dyDescent="0.5">
      <c r="A4694" s="17">
        <v>45006.666666666664</v>
      </c>
      <c r="B4694" s="19">
        <v>273.77999999999997</v>
      </c>
      <c r="C4694" t="s">
        <v>41</v>
      </c>
      <c r="D4694" t="str">
        <f>T_Stocks[[#This Row],[Ticker]] &amp; "-" &amp; DATE(YEAR(T_Stocks[[#This Row],[Fecha]]),MONTH(T_Stocks[[#This Row],[Fecha]]),DAY(T_Stocks[[#This Row],[Fecha]]))</f>
        <v>MSFT-45006</v>
      </c>
    </row>
    <row r="4695" spans="1:4" ht="14.65" thickBot="1" x14ac:dyDescent="0.5">
      <c r="A4695" s="17">
        <v>45007.666666666664</v>
      </c>
      <c r="B4695" s="19">
        <v>272.29000000000002</v>
      </c>
      <c r="C4695" t="s">
        <v>41</v>
      </c>
      <c r="D4695" t="str">
        <f>T_Stocks[[#This Row],[Ticker]] &amp; "-" &amp; DATE(YEAR(T_Stocks[[#This Row],[Fecha]]),MONTH(T_Stocks[[#This Row],[Fecha]]),DAY(T_Stocks[[#This Row],[Fecha]]))</f>
        <v>MSFT-45007</v>
      </c>
    </row>
    <row r="4696" spans="1:4" ht="14.65" thickBot="1" x14ac:dyDescent="0.5">
      <c r="A4696" s="17">
        <v>45008.666666666664</v>
      </c>
      <c r="B4696" s="19">
        <v>277.66000000000003</v>
      </c>
      <c r="C4696" t="s">
        <v>41</v>
      </c>
      <c r="D4696" t="str">
        <f>T_Stocks[[#This Row],[Ticker]] &amp; "-" &amp; DATE(YEAR(T_Stocks[[#This Row],[Fecha]]),MONTH(T_Stocks[[#This Row],[Fecha]]),DAY(T_Stocks[[#This Row],[Fecha]]))</f>
        <v>MSFT-45008</v>
      </c>
    </row>
    <row r="4697" spans="1:4" ht="14.65" thickBot="1" x14ac:dyDescent="0.5">
      <c r="A4697" s="17">
        <v>45009.666666666664</v>
      </c>
      <c r="B4697" s="19">
        <v>280.57</v>
      </c>
      <c r="C4697" t="s">
        <v>41</v>
      </c>
      <c r="D4697" t="str">
        <f>T_Stocks[[#This Row],[Ticker]] &amp; "-" &amp; DATE(YEAR(T_Stocks[[#This Row],[Fecha]]),MONTH(T_Stocks[[#This Row],[Fecha]]),DAY(T_Stocks[[#This Row],[Fecha]]))</f>
        <v>MSFT-45009</v>
      </c>
    </row>
    <row r="4698" spans="1:4" ht="14.65" thickBot="1" x14ac:dyDescent="0.5">
      <c r="A4698" s="17">
        <v>45012.666666666664</v>
      </c>
      <c r="B4698" s="19">
        <v>276.38</v>
      </c>
      <c r="C4698" t="s">
        <v>41</v>
      </c>
      <c r="D4698" t="str">
        <f>T_Stocks[[#This Row],[Ticker]] &amp; "-" &amp; DATE(YEAR(T_Stocks[[#This Row],[Fecha]]),MONTH(T_Stocks[[#This Row],[Fecha]]),DAY(T_Stocks[[#This Row],[Fecha]]))</f>
        <v>MSFT-45012</v>
      </c>
    </row>
    <row r="4699" spans="1:4" ht="14.65" thickBot="1" x14ac:dyDescent="0.5">
      <c r="A4699" s="17">
        <v>45013.666666666664</v>
      </c>
      <c r="B4699" s="19">
        <v>275.23</v>
      </c>
      <c r="C4699" t="s">
        <v>41</v>
      </c>
      <c r="D4699" t="str">
        <f>T_Stocks[[#This Row],[Ticker]] &amp; "-" &amp; DATE(YEAR(T_Stocks[[#This Row],[Fecha]]),MONTH(T_Stocks[[#This Row],[Fecha]]),DAY(T_Stocks[[#This Row],[Fecha]]))</f>
        <v>MSFT-45013</v>
      </c>
    </row>
    <row r="4700" spans="1:4" ht="14.65" thickBot="1" x14ac:dyDescent="0.5">
      <c r="A4700" s="17">
        <v>45014.666666666664</v>
      </c>
      <c r="B4700" s="19">
        <v>280.51</v>
      </c>
      <c r="C4700" t="s">
        <v>41</v>
      </c>
      <c r="D4700" t="str">
        <f>T_Stocks[[#This Row],[Ticker]] &amp; "-" &amp; DATE(YEAR(T_Stocks[[#This Row],[Fecha]]),MONTH(T_Stocks[[#This Row],[Fecha]]),DAY(T_Stocks[[#This Row],[Fecha]]))</f>
        <v>MSFT-45014</v>
      </c>
    </row>
    <row r="4701" spans="1:4" ht="14.65" thickBot="1" x14ac:dyDescent="0.5">
      <c r="A4701" s="17">
        <v>45015.666666666664</v>
      </c>
      <c r="B4701" s="19">
        <v>284.05</v>
      </c>
      <c r="C4701" t="s">
        <v>41</v>
      </c>
      <c r="D4701" t="str">
        <f>T_Stocks[[#This Row],[Ticker]] &amp; "-" &amp; DATE(YEAR(T_Stocks[[#This Row],[Fecha]]),MONTH(T_Stocks[[#This Row],[Fecha]]),DAY(T_Stocks[[#This Row],[Fecha]]))</f>
        <v>MSFT-45015</v>
      </c>
    </row>
    <row r="4702" spans="1:4" ht="14.65" thickBot="1" x14ac:dyDescent="0.5">
      <c r="A4702" s="17">
        <v>45016.666666666664</v>
      </c>
      <c r="B4702" s="19">
        <v>288.3</v>
      </c>
      <c r="C4702" t="s">
        <v>41</v>
      </c>
      <c r="D4702" t="str">
        <f>T_Stocks[[#This Row],[Ticker]] &amp; "-" &amp; DATE(YEAR(T_Stocks[[#This Row],[Fecha]]),MONTH(T_Stocks[[#This Row],[Fecha]]),DAY(T_Stocks[[#This Row],[Fecha]]))</f>
        <v>MSFT-45016</v>
      </c>
    </row>
    <row r="4703" spans="1:4" ht="14.65" thickBot="1" x14ac:dyDescent="0.5">
      <c r="A4703" s="17">
        <v>45019.666666666664</v>
      </c>
      <c r="B4703" s="19">
        <v>287.23</v>
      </c>
      <c r="C4703" t="s">
        <v>41</v>
      </c>
      <c r="D4703" t="str">
        <f>T_Stocks[[#This Row],[Ticker]] &amp; "-" &amp; DATE(YEAR(T_Stocks[[#This Row],[Fecha]]),MONTH(T_Stocks[[#This Row],[Fecha]]),DAY(T_Stocks[[#This Row],[Fecha]]))</f>
        <v>MSFT-45019</v>
      </c>
    </row>
    <row r="4704" spans="1:4" ht="14.65" thickBot="1" x14ac:dyDescent="0.5">
      <c r="A4704" s="17">
        <v>45020.666666666664</v>
      </c>
      <c r="B4704" s="19">
        <v>287.18</v>
      </c>
      <c r="C4704" t="s">
        <v>41</v>
      </c>
      <c r="D4704" t="str">
        <f>T_Stocks[[#This Row],[Ticker]] &amp; "-" &amp; DATE(YEAR(T_Stocks[[#This Row],[Fecha]]),MONTH(T_Stocks[[#This Row],[Fecha]]),DAY(T_Stocks[[#This Row],[Fecha]]))</f>
        <v>MSFT-45020</v>
      </c>
    </row>
    <row r="4705" spans="1:4" ht="14.65" thickBot="1" x14ac:dyDescent="0.5">
      <c r="A4705" s="17">
        <v>45021.666666666664</v>
      </c>
      <c r="B4705" s="19">
        <v>284.33999999999997</v>
      </c>
      <c r="C4705" t="s">
        <v>41</v>
      </c>
      <c r="D4705" t="str">
        <f>T_Stocks[[#This Row],[Ticker]] &amp; "-" &amp; DATE(YEAR(T_Stocks[[#This Row],[Fecha]]),MONTH(T_Stocks[[#This Row],[Fecha]]),DAY(T_Stocks[[#This Row],[Fecha]]))</f>
        <v>MSFT-45021</v>
      </c>
    </row>
    <row r="4706" spans="1:4" ht="14.65" thickBot="1" x14ac:dyDescent="0.5">
      <c r="A4706" s="17">
        <v>45022.666666666664</v>
      </c>
      <c r="B4706" s="19">
        <v>291.60000000000002</v>
      </c>
      <c r="C4706" t="s">
        <v>41</v>
      </c>
      <c r="D4706" t="str">
        <f>T_Stocks[[#This Row],[Ticker]] &amp; "-" &amp; DATE(YEAR(T_Stocks[[#This Row],[Fecha]]),MONTH(T_Stocks[[#This Row],[Fecha]]),DAY(T_Stocks[[#This Row],[Fecha]]))</f>
        <v>MSFT-45022</v>
      </c>
    </row>
    <row r="4707" spans="1:4" ht="14.65" thickBot="1" x14ac:dyDescent="0.5">
      <c r="A4707" s="17">
        <v>45026.666666666664</v>
      </c>
      <c r="B4707" s="19">
        <v>289.39</v>
      </c>
      <c r="C4707" t="s">
        <v>41</v>
      </c>
      <c r="D4707" t="str">
        <f>T_Stocks[[#This Row],[Ticker]] &amp; "-" &amp; DATE(YEAR(T_Stocks[[#This Row],[Fecha]]),MONTH(T_Stocks[[#This Row],[Fecha]]),DAY(T_Stocks[[#This Row],[Fecha]]))</f>
        <v>MSFT-45026</v>
      </c>
    </row>
    <row r="4708" spans="1:4" ht="14.65" thickBot="1" x14ac:dyDescent="0.5">
      <c r="A4708" s="17">
        <v>45027.666666666664</v>
      </c>
      <c r="B4708" s="19">
        <v>282.83</v>
      </c>
      <c r="C4708" t="s">
        <v>41</v>
      </c>
      <c r="D4708" t="str">
        <f>T_Stocks[[#This Row],[Ticker]] &amp; "-" &amp; DATE(YEAR(T_Stocks[[#This Row],[Fecha]]),MONTH(T_Stocks[[#This Row],[Fecha]]),DAY(T_Stocks[[#This Row],[Fecha]]))</f>
        <v>MSFT-45027</v>
      </c>
    </row>
    <row r="4709" spans="1:4" ht="14.65" thickBot="1" x14ac:dyDescent="0.5">
      <c r="A4709" s="17">
        <v>45028.666666666664</v>
      </c>
      <c r="B4709" s="19">
        <v>283.49</v>
      </c>
      <c r="C4709" t="s">
        <v>41</v>
      </c>
      <c r="D4709" t="str">
        <f>T_Stocks[[#This Row],[Ticker]] &amp; "-" &amp; DATE(YEAR(T_Stocks[[#This Row],[Fecha]]),MONTH(T_Stocks[[#This Row],[Fecha]]),DAY(T_Stocks[[#This Row],[Fecha]]))</f>
        <v>MSFT-45028</v>
      </c>
    </row>
    <row r="4710" spans="1:4" ht="14.65" thickBot="1" x14ac:dyDescent="0.5">
      <c r="A4710" s="17">
        <v>45029.666666666664</v>
      </c>
      <c r="B4710" s="19">
        <v>289.83999999999997</v>
      </c>
      <c r="C4710" t="s">
        <v>41</v>
      </c>
      <c r="D4710" t="str">
        <f>T_Stocks[[#This Row],[Ticker]] &amp; "-" &amp; DATE(YEAR(T_Stocks[[#This Row],[Fecha]]),MONTH(T_Stocks[[#This Row],[Fecha]]),DAY(T_Stocks[[#This Row],[Fecha]]))</f>
        <v>MSFT-45029</v>
      </c>
    </row>
    <row r="4711" spans="1:4" ht="14.65" thickBot="1" x14ac:dyDescent="0.5">
      <c r="A4711" s="17">
        <v>45030.666666666664</v>
      </c>
      <c r="B4711" s="19">
        <v>286.14</v>
      </c>
      <c r="C4711" t="s">
        <v>41</v>
      </c>
      <c r="D4711" t="str">
        <f>T_Stocks[[#This Row],[Ticker]] &amp; "-" &amp; DATE(YEAR(T_Stocks[[#This Row],[Fecha]]),MONTH(T_Stocks[[#This Row],[Fecha]]),DAY(T_Stocks[[#This Row],[Fecha]]))</f>
        <v>MSFT-45030</v>
      </c>
    </row>
    <row r="4712" spans="1:4" ht="14.65" thickBot="1" x14ac:dyDescent="0.5">
      <c r="A4712" s="17">
        <v>45033.666666666664</v>
      </c>
      <c r="B4712" s="19">
        <v>288.8</v>
      </c>
      <c r="C4712" t="s">
        <v>41</v>
      </c>
      <c r="D4712" t="str">
        <f>T_Stocks[[#This Row],[Ticker]] &amp; "-" &amp; DATE(YEAR(T_Stocks[[#This Row],[Fecha]]),MONTH(T_Stocks[[#This Row],[Fecha]]),DAY(T_Stocks[[#This Row],[Fecha]]))</f>
        <v>MSFT-45033</v>
      </c>
    </row>
    <row r="4713" spans="1:4" ht="14.65" thickBot="1" x14ac:dyDescent="0.5">
      <c r="A4713" s="17">
        <v>45034.666666666664</v>
      </c>
      <c r="B4713" s="19">
        <v>288.37</v>
      </c>
      <c r="C4713" t="s">
        <v>41</v>
      </c>
      <c r="D4713" t="str">
        <f>T_Stocks[[#This Row],[Ticker]] &amp; "-" &amp; DATE(YEAR(T_Stocks[[#This Row],[Fecha]]),MONTH(T_Stocks[[#This Row],[Fecha]]),DAY(T_Stocks[[#This Row],[Fecha]]))</f>
        <v>MSFT-45034</v>
      </c>
    </row>
    <row r="4714" spans="1:4" ht="14.65" thickBot="1" x14ac:dyDescent="0.5">
      <c r="A4714" s="17">
        <v>45035.666666666664</v>
      </c>
      <c r="B4714" s="19">
        <v>288.45</v>
      </c>
      <c r="C4714" t="s">
        <v>41</v>
      </c>
      <c r="D4714" t="str">
        <f>T_Stocks[[#This Row],[Ticker]] &amp; "-" &amp; DATE(YEAR(T_Stocks[[#This Row],[Fecha]]),MONTH(T_Stocks[[#This Row],[Fecha]]),DAY(T_Stocks[[#This Row],[Fecha]]))</f>
        <v>MSFT-45035</v>
      </c>
    </row>
    <row r="4715" spans="1:4" ht="14.65" thickBot="1" x14ac:dyDescent="0.5">
      <c r="A4715" s="17">
        <v>45036.666666666664</v>
      </c>
      <c r="B4715" s="19">
        <v>286.11</v>
      </c>
      <c r="C4715" t="s">
        <v>41</v>
      </c>
      <c r="D4715" t="str">
        <f>T_Stocks[[#This Row],[Ticker]] &amp; "-" &amp; DATE(YEAR(T_Stocks[[#This Row],[Fecha]]),MONTH(T_Stocks[[#This Row],[Fecha]]),DAY(T_Stocks[[#This Row],[Fecha]]))</f>
        <v>MSFT-45036</v>
      </c>
    </row>
    <row r="4716" spans="1:4" ht="14.65" thickBot="1" x14ac:dyDescent="0.5">
      <c r="A4716" s="17">
        <v>45037.666666666664</v>
      </c>
      <c r="B4716" s="19">
        <v>285.76</v>
      </c>
      <c r="C4716" t="s">
        <v>41</v>
      </c>
      <c r="D4716" t="str">
        <f>T_Stocks[[#This Row],[Ticker]] &amp; "-" &amp; DATE(YEAR(T_Stocks[[#This Row],[Fecha]]),MONTH(T_Stocks[[#This Row],[Fecha]]),DAY(T_Stocks[[#This Row],[Fecha]]))</f>
        <v>MSFT-45037</v>
      </c>
    </row>
    <row r="4717" spans="1:4" ht="14.65" thickBot="1" x14ac:dyDescent="0.5">
      <c r="A4717" s="17">
        <v>45040.666666666664</v>
      </c>
      <c r="B4717" s="19">
        <v>281.77</v>
      </c>
      <c r="C4717" t="s">
        <v>41</v>
      </c>
      <c r="D4717" t="str">
        <f>T_Stocks[[#This Row],[Ticker]] &amp; "-" &amp; DATE(YEAR(T_Stocks[[#This Row],[Fecha]]),MONTH(T_Stocks[[#This Row],[Fecha]]),DAY(T_Stocks[[#This Row],[Fecha]]))</f>
        <v>MSFT-45040</v>
      </c>
    </row>
    <row r="4718" spans="1:4" ht="14.65" thickBot="1" x14ac:dyDescent="0.5">
      <c r="A4718" s="17">
        <v>45041.666666666664</v>
      </c>
      <c r="B4718" s="19">
        <v>275.42</v>
      </c>
      <c r="C4718" t="s">
        <v>41</v>
      </c>
      <c r="D4718" t="str">
        <f>T_Stocks[[#This Row],[Ticker]] &amp; "-" &amp; DATE(YEAR(T_Stocks[[#This Row],[Fecha]]),MONTH(T_Stocks[[#This Row],[Fecha]]),DAY(T_Stocks[[#This Row],[Fecha]]))</f>
        <v>MSFT-45041</v>
      </c>
    </row>
    <row r="4719" spans="1:4" ht="14.65" thickBot="1" x14ac:dyDescent="0.5">
      <c r="A4719" s="17">
        <v>45042.666666666664</v>
      </c>
      <c r="B4719" s="19">
        <v>295.37</v>
      </c>
      <c r="C4719" t="s">
        <v>41</v>
      </c>
      <c r="D4719" t="str">
        <f>T_Stocks[[#This Row],[Ticker]] &amp; "-" &amp; DATE(YEAR(T_Stocks[[#This Row],[Fecha]]),MONTH(T_Stocks[[#This Row],[Fecha]]),DAY(T_Stocks[[#This Row],[Fecha]]))</f>
        <v>MSFT-45042</v>
      </c>
    </row>
    <row r="4720" spans="1:4" ht="14.65" thickBot="1" x14ac:dyDescent="0.5">
      <c r="A4720" s="17">
        <v>45043.666666666664</v>
      </c>
      <c r="B4720" s="19">
        <v>304.83</v>
      </c>
      <c r="C4720" t="s">
        <v>41</v>
      </c>
      <c r="D4720" t="str">
        <f>T_Stocks[[#This Row],[Ticker]] &amp; "-" &amp; DATE(YEAR(T_Stocks[[#This Row],[Fecha]]),MONTH(T_Stocks[[#This Row],[Fecha]]),DAY(T_Stocks[[#This Row],[Fecha]]))</f>
        <v>MSFT-45043</v>
      </c>
    </row>
    <row r="4721" spans="1:4" ht="14.65" thickBot="1" x14ac:dyDescent="0.5">
      <c r="A4721" s="17">
        <v>45044.666666666664</v>
      </c>
      <c r="B4721" s="19">
        <v>307.26</v>
      </c>
      <c r="C4721" t="s">
        <v>41</v>
      </c>
      <c r="D4721" t="str">
        <f>T_Stocks[[#This Row],[Ticker]] &amp; "-" &amp; DATE(YEAR(T_Stocks[[#This Row],[Fecha]]),MONTH(T_Stocks[[#This Row],[Fecha]]),DAY(T_Stocks[[#This Row],[Fecha]]))</f>
        <v>MSFT-45044</v>
      </c>
    </row>
    <row r="4722" spans="1:4" ht="14.65" thickBot="1" x14ac:dyDescent="0.5">
      <c r="A4722" s="17">
        <v>45047.666666666664</v>
      </c>
      <c r="B4722" s="19">
        <v>305.56</v>
      </c>
      <c r="C4722" t="s">
        <v>41</v>
      </c>
      <c r="D4722" t="str">
        <f>T_Stocks[[#This Row],[Ticker]] &amp; "-" &amp; DATE(YEAR(T_Stocks[[#This Row],[Fecha]]),MONTH(T_Stocks[[#This Row],[Fecha]]),DAY(T_Stocks[[#This Row],[Fecha]]))</f>
        <v>MSFT-45047</v>
      </c>
    </row>
    <row r="4723" spans="1:4" ht="14.65" thickBot="1" x14ac:dyDescent="0.5">
      <c r="A4723" s="17">
        <v>45048.666666666664</v>
      </c>
      <c r="B4723" s="19">
        <v>305.41000000000003</v>
      </c>
      <c r="C4723" t="s">
        <v>41</v>
      </c>
      <c r="D4723" t="str">
        <f>T_Stocks[[#This Row],[Ticker]] &amp; "-" &amp; DATE(YEAR(T_Stocks[[#This Row],[Fecha]]),MONTH(T_Stocks[[#This Row],[Fecha]]),DAY(T_Stocks[[#This Row],[Fecha]]))</f>
        <v>MSFT-45048</v>
      </c>
    </row>
    <row r="4724" spans="1:4" ht="14.65" thickBot="1" x14ac:dyDescent="0.5">
      <c r="A4724" s="17">
        <v>45049.666666666664</v>
      </c>
      <c r="B4724" s="19">
        <v>304.39999999999998</v>
      </c>
      <c r="C4724" t="s">
        <v>41</v>
      </c>
      <c r="D4724" t="str">
        <f>T_Stocks[[#This Row],[Ticker]] &amp; "-" &amp; DATE(YEAR(T_Stocks[[#This Row],[Fecha]]),MONTH(T_Stocks[[#This Row],[Fecha]]),DAY(T_Stocks[[#This Row],[Fecha]]))</f>
        <v>MSFT-45049</v>
      </c>
    </row>
    <row r="4725" spans="1:4" ht="14.65" thickBot="1" x14ac:dyDescent="0.5">
      <c r="A4725" s="17">
        <v>45050.666666666664</v>
      </c>
      <c r="B4725" s="19">
        <v>305.41000000000003</v>
      </c>
      <c r="C4725" t="s">
        <v>41</v>
      </c>
      <c r="D4725" t="str">
        <f>T_Stocks[[#This Row],[Ticker]] &amp; "-" &amp; DATE(YEAR(T_Stocks[[#This Row],[Fecha]]),MONTH(T_Stocks[[#This Row],[Fecha]]),DAY(T_Stocks[[#This Row],[Fecha]]))</f>
        <v>MSFT-45050</v>
      </c>
    </row>
    <row r="4726" spans="1:4" ht="14.65" thickBot="1" x14ac:dyDescent="0.5">
      <c r="A4726" s="17">
        <v>45051.666666666664</v>
      </c>
      <c r="B4726" s="19">
        <v>310.64999999999998</v>
      </c>
      <c r="C4726" t="s">
        <v>41</v>
      </c>
      <c r="D4726" t="str">
        <f>T_Stocks[[#This Row],[Ticker]] &amp; "-" &amp; DATE(YEAR(T_Stocks[[#This Row],[Fecha]]),MONTH(T_Stocks[[#This Row],[Fecha]]),DAY(T_Stocks[[#This Row],[Fecha]]))</f>
        <v>MSFT-45051</v>
      </c>
    </row>
    <row r="4727" spans="1:4" ht="14.65" thickBot="1" x14ac:dyDescent="0.5">
      <c r="A4727" s="17">
        <v>45054.666666666664</v>
      </c>
      <c r="B4727" s="19">
        <v>308.64999999999998</v>
      </c>
      <c r="C4727" t="s">
        <v>41</v>
      </c>
      <c r="D4727" t="str">
        <f>T_Stocks[[#This Row],[Ticker]] &amp; "-" &amp; DATE(YEAR(T_Stocks[[#This Row],[Fecha]]),MONTH(T_Stocks[[#This Row],[Fecha]]),DAY(T_Stocks[[#This Row],[Fecha]]))</f>
        <v>MSFT-45054</v>
      </c>
    </row>
    <row r="4728" spans="1:4" ht="14.65" thickBot="1" x14ac:dyDescent="0.5">
      <c r="A4728" s="17">
        <v>45055.666666666664</v>
      </c>
      <c r="B4728" s="19">
        <v>307</v>
      </c>
      <c r="C4728" t="s">
        <v>41</v>
      </c>
      <c r="D4728" t="str">
        <f>T_Stocks[[#This Row],[Ticker]] &amp; "-" &amp; DATE(YEAR(T_Stocks[[#This Row],[Fecha]]),MONTH(T_Stocks[[#This Row],[Fecha]]),DAY(T_Stocks[[#This Row],[Fecha]]))</f>
        <v>MSFT-45055</v>
      </c>
    </row>
    <row r="4729" spans="1:4" ht="14.65" thickBot="1" x14ac:dyDescent="0.5">
      <c r="A4729" s="17">
        <v>45056.666666666664</v>
      </c>
      <c r="B4729" s="19">
        <v>312.31</v>
      </c>
      <c r="C4729" t="s">
        <v>41</v>
      </c>
      <c r="D4729" t="str">
        <f>T_Stocks[[#This Row],[Ticker]] &amp; "-" &amp; DATE(YEAR(T_Stocks[[#This Row],[Fecha]]),MONTH(T_Stocks[[#This Row],[Fecha]]),DAY(T_Stocks[[#This Row],[Fecha]]))</f>
        <v>MSFT-45056</v>
      </c>
    </row>
    <row r="4730" spans="1:4" ht="14.65" thickBot="1" x14ac:dyDescent="0.5">
      <c r="A4730" s="17">
        <v>45057.666666666664</v>
      </c>
      <c r="B4730" s="19">
        <v>310.11</v>
      </c>
      <c r="C4730" t="s">
        <v>41</v>
      </c>
      <c r="D4730" t="str">
        <f>T_Stocks[[#This Row],[Ticker]] &amp; "-" &amp; DATE(YEAR(T_Stocks[[#This Row],[Fecha]]),MONTH(T_Stocks[[#This Row],[Fecha]]),DAY(T_Stocks[[#This Row],[Fecha]]))</f>
        <v>MSFT-45057</v>
      </c>
    </row>
    <row r="4731" spans="1:4" ht="14.65" thickBot="1" x14ac:dyDescent="0.5">
      <c r="A4731" s="17">
        <v>45058.666666666664</v>
      </c>
      <c r="B4731" s="19">
        <v>308.97000000000003</v>
      </c>
      <c r="C4731" t="s">
        <v>41</v>
      </c>
      <c r="D4731" t="str">
        <f>T_Stocks[[#This Row],[Ticker]] &amp; "-" &amp; DATE(YEAR(T_Stocks[[#This Row],[Fecha]]),MONTH(T_Stocks[[#This Row],[Fecha]]),DAY(T_Stocks[[#This Row],[Fecha]]))</f>
        <v>MSFT-45058</v>
      </c>
    </row>
    <row r="4732" spans="1:4" ht="14.65" thickBot="1" x14ac:dyDescent="0.5">
      <c r="A4732" s="17">
        <v>45061.666666666664</v>
      </c>
      <c r="B4732" s="19">
        <v>309.45999999999998</v>
      </c>
      <c r="C4732" t="s">
        <v>41</v>
      </c>
      <c r="D4732" t="str">
        <f>T_Stocks[[#This Row],[Ticker]] &amp; "-" &amp; DATE(YEAR(T_Stocks[[#This Row],[Fecha]]),MONTH(T_Stocks[[#This Row],[Fecha]]),DAY(T_Stocks[[#This Row],[Fecha]]))</f>
        <v>MSFT-45061</v>
      </c>
    </row>
    <row r="4733" spans="1:4" ht="14.65" thickBot="1" x14ac:dyDescent="0.5">
      <c r="A4733" s="17">
        <v>45062.666666666664</v>
      </c>
      <c r="B4733" s="19">
        <v>311.74</v>
      </c>
      <c r="C4733" t="s">
        <v>41</v>
      </c>
      <c r="D4733" t="str">
        <f>T_Stocks[[#This Row],[Ticker]] &amp; "-" &amp; DATE(YEAR(T_Stocks[[#This Row],[Fecha]]),MONTH(T_Stocks[[#This Row],[Fecha]]),DAY(T_Stocks[[#This Row],[Fecha]]))</f>
        <v>MSFT-45062</v>
      </c>
    </row>
    <row r="4734" spans="1:4" ht="14.65" thickBot="1" x14ac:dyDescent="0.5">
      <c r="A4734" s="17">
        <v>45063.666666666664</v>
      </c>
      <c r="B4734" s="19">
        <v>314</v>
      </c>
      <c r="C4734" t="s">
        <v>41</v>
      </c>
      <c r="D4734" t="str">
        <f>T_Stocks[[#This Row],[Ticker]] &amp; "-" &amp; DATE(YEAR(T_Stocks[[#This Row],[Fecha]]),MONTH(T_Stocks[[#This Row],[Fecha]]),DAY(T_Stocks[[#This Row],[Fecha]]))</f>
        <v>MSFT-45063</v>
      </c>
    </row>
    <row r="4735" spans="1:4" ht="14.65" thickBot="1" x14ac:dyDescent="0.5">
      <c r="A4735" s="17">
        <v>45064.666666666664</v>
      </c>
      <c r="B4735" s="19">
        <v>318.52</v>
      </c>
      <c r="C4735" t="s">
        <v>41</v>
      </c>
      <c r="D4735" t="str">
        <f>T_Stocks[[#This Row],[Ticker]] &amp; "-" &amp; DATE(YEAR(T_Stocks[[#This Row],[Fecha]]),MONTH(T_Stocks[[#This Row],[Fecha]]),DAY(T_Stocks[[#This Row],[Fecha]]))</f>
        <v>MSFT-45064</v>
      </c>
    </row>
    <row r="4736" spans="1:4" ht="14.65" thickBot="1" x14ac:dyDescent="0.5">
      <c r="A4736" s="17">
        <v>45065.666666666664</v>
      </c>
      <c r="B4736" s="19">
        <v>318.33999999999997</v>
      </c>
      <c r="C4736" t="s">
        <v>41</v>
      </c>
      <c r="D4736" t="str">
        <f>T_Stocks[[#This Row],[Ticker]] &amp; "-" &amp; DATE(YEAR(T_Stocks[[#This Row],[Fecha]]),MONTH(T_Stocks[[#This Row],[Fecha]]),DAY(T_Stocks[[#This Row],[Fecha]]))</f>
        <v>MSFT-45065</v>
      </c>
    </row>
    <row r="4737" spans="1:4" ht="14.65" thickBot="1" x14ac:dyDescent="0.5">
      <c r="A4737" s="17">
        <v>45068.666666666664</v>
      </c>
      <c r="B4737" s="19">
        <v>321.18</v>
      </c>
      <c r="C4737" t="s">
        <v>41</v>
      </c>
      <c r="D4737" t="str">
        <f>T_Stocks[[#This Row],[Ticker]] &amp; "-" &amp; DATE(YEAR(T_Stocks[[#This Row],[Fecha]]),MONTH(T_Stocks[[#This Row],[Fecha]]),DAY(T_Stocks[[#This Row],[Fecha]]))</f>
        <v>MSFT-45068</v>
      </c>
    </row>
    <row r="4738" spans="1:4" ht="14.65" thickBot="1" x14ac:dyDescent="0.5">
      <c r="A4738" s="17">
        <v>45069.666666666664</v>
      </c>
      <c r="B4738" s="19">
        <v>315.26</v>
      </c>
      <c r="C4738" t="s">
        <v>41</v>
      </c>
      <c r="D4738" t="str">
        <f>T_Stocks[[#This Row],[Ticker]] &amp; "-" &amp; DATE(YEAR(T_Stocks[[#This Row],[Fecha]]),MONTH(T_Stocks[[#This Row],[Fecha]]),DAY(T_Stocks[[#This Row],[Fecha]]))</f>
        <v>MSFT-45069</v>
      </c>
    </row>
    <row r="4739" spans="1:4" ht="14.65" thickBot="1" x14ac:dyDescent="0.5">
      <c r="A4739" s="17">
        <v>45070.666666666664</v>
      </c>
      <c r="B4739" s="19">
        <v>313.85000000000002</v>
      </c>
      <c r="C4739" t="s">
        <v>41</v>
      </c>
      <c r="D4739" t="str">
        <f>T_Stocks[[#This Row],[Ticker]] &amp; "-" &amp; DATE(YEAR(T_Stocks[[#This Row],[Fecha]]),MONTH(T_Stocks[[#This Row],[Fecha]]),DAY(T_Stocks[[#This Row],[Fecha]]))</f>
        <v>MSFT-45070</v>
      </c>
    </row>
    <row r="4740" spans="1:4" ht="14.65" thickBot="1" x14ac:dyDescent="0.5">
      <c r="A4740" s="17">
        <v>45071.666666666664</v>
      </c>
      <c r="B4740" s="19">
        <v>325.92</v>
      </c>
      <c r="C4740" t="s">
        <v>41</v>
      </c>
      <c r="D4740" t="str">
        <f>T_Stocks[[#This Row],[Ticker]] &amp; "-" &amp; DATE(YEAR(T_Stocks[[#This Row],[Fecha]]),MONTH(T_Stocks[[#This Row],[Fecha]]),DAY(T_Stocks[[#This Row],[Fecha]]))</f>
        <v>MSFT-45071</v>
      </c>
    </row>
    <row r="4741" spans="1:4" ht="14.65" thickBot="1" x14ac:dyDescent="0.5">
      <c r="A4741" s="17">
        <v>45072.666666666664</v>
      </c>
      <c r="B4741" s="19">
        <v>332.89</v>
      </c>
      <c r="C4741" t="s">
        <v>41</v>
      </c>
      <c r="D4741" t="str">
        <f>T_Stocks[[#This Row],[Ticker]] &amp; "-" &amp; DATE(YEAR(T_Stocks[[#This Row],[Fecha]]),MONTH(T_Stocks[[#This Row],[Fecha]]),DAY(T_Stocks[[#This Row],[Fecha]]))</f>
        <v>MSFT-45072</v>
      </c>
    </row>
    <row r="4742" spans="1:4" ht="14.65" thickBot="1" x14ac:dyDescent="0.5">
      <c r="A4742" s="17">
        <v>45076.666666666664</v>
      </c>
      <c r="B4742" s="19">
        <v>331.21</v>
      </c>
      <c r="C4742" t="s">
        <v>41</v>
      </c>
      <c r="D4742" t="str">
        <f>T_Stocks[[#This Row],[Ticker]] &amp; "-" &amp; DATE(YEAR(T_Stocks[[#This Row],[Fecha]]),MONTH(T_Stocks[[#This Row],[Fecha]]),DAY(T_Stocks[[#This Row],[Fecha]]))</f>
        <v>MSFT-45076</v>
      </c>
    </row>
    <row r="4743" spans="1:4" ht="14.65" thickBot="1" x14ac:dyDescent="0.5">
      <c r="A4743" s="17">
        <v>45077.666666666664</v>
      </c>
      <c r="B4743" s="19">
        <v>328.39</v>
      </c>
      <c r="C4743" t="s">
        <v>41</v>
      </c>
      <c r="D4743" t="str">
        <f>T_Stocks[[#This Row],[Ticker]] &amp; "-" &amp; DATE(YEAR(T_Stocks[[#This Row],[Fecha]]),MONTH(T_Stocks[[#This Row],[Fecha]]),DAY(T_Stocks[[#This Row],[Fecha]]))</f>
        <v>MSFT-45077</v>
      </c>
    </row>
    <row r="4744" spans="1:4" ht="14.65" thickBot="1" x14ac:dyDescent="0.5">
      <c r="A4744" s="17">
        <v>45078.666666666664</v>
      </c>
      <c r="B4744" s="19">
        <v>332.58</v>
      </c>
      <c r="C4744" t="s">
        <v>41</v>
      </c>
      <c r="D4744" t="str">
        <f>T_Stocks[[#This Row],[Ticker]] &amp; "-" &amp; DATE(YEAR(T_Stocks[[#This Row],[Fecha]]),MONTH(T_Stocks[[#This Row],[Fecha]]),DAY(T_Stocks[[#This Row],[Fecha]]))</f>
        <v>MSFT-45078</v>
      </c>
    </row>
    <row r="4745" spans="1:4" ht="14.65" thickBot="1" x14ac:dyDescent="0.5">
      <c r="A4745" s="17">
        <v>45079.666666666664</v>
      </c>
      <c r="B4745" s="19">
        <v>335.4</v>
      </c>
      <c r="C4745" t="s">
        <v>41</v>
      </c>
      <c r="D4745" t="str">
        <f>T_Stocks[[#This Row],[Ticker]] &amp; "-" &amp; DATE(YEAR(T_Stocks[[#This Row],[Fecha]]),MONTH(T_Stocks[[#This Row],[Fecha]]),DAY(T_Stocks[[#This Row],[Fecha]]))</f>
        <v>MSFT-45079</v>
      </c>
    </row>
    <row r="4746" spans="1:4" ht="14.65" thickBot="1" x14ac:dyDescent="0.5">
      <c r="A4746" s="17">
        <v>45082.666666666664</v>
      </c>
      <c r="B4746" s="19">
        <v>335.94</v>
      </c>
      <c r="C4746" t="s">
        <v>41</v>
      </c>
      <c r="D4746" t="str">
        <f>T_Stocks[[#This Row],[Ticker]] &amp; "-" &amp; DATE(YEAR(T_Stocks[[#This Row],[Fecha]]),MONTH(T_Stocks[[#This Row],[Fecha]]),DAY(T_Stocks[[#This Row],[Fecha]]))</f>
        <v>MSFT-45082</v>
      </c>
    </row>
    <row r="4747" spans="1:4" ht="14.65" thickBot="1" x14ac:dyDescent="0.5">
      <c r="A4747" s="17">
        <v>45083.666666666664</v>
      </c>
      <c r="B4747" s="19">
        <v>333.68</v>
      </c>
      <c r="C4747" t="s">
        <v>41</v>
      </c>
      <c r="D4747" t="str">
        <f>T_Stocks[[#This Row],[Ticker]] &amp; "-" &amp; DATE(YEAR(T_Stocks[[#This Row],[Fecha]]),MONTH(T_Stocks[[#This Row],[Fecha]]),DAY(T_Stocks[[#This Row],[Fecha]]))</f>
        <v>MSFT-45083</v>
      </c>
    </row>
    <row r="4748" spans="1:4" ht="14.65" thickBot="1" x14ac:dyDescent="0.5">
      <c r="A4748" s="17">
        <v>45084.666666666664</v>
      </c>
      <c r="B4748" s="19">
        <v>323.38</v>
      </c>
      <c r="C4748" t="s">
        <v>41</v>
      </c>
      <c r="D4748" t="str">
        <f>T_Stocks[[#This Row],[Ticker]] &amp; "-" &amp; DATE(YEAR(T_Stocks[[#This Row],[Fecha]]),MONTH(T_Stocks[[#This Row],[Fecha]]),DAY(T_Stocks[[#This Row],[Fecha]]))</f>
        <v>MSFT-45084</v>
      </c>
    </row>
    <row r="4749" spans="1:4" ht="14.65" thickBot="1" x14ac:dyDescent="0.5">
      <c r="A4749" s="17">
        <v>45085.666666666664</v>
      </c>
      <c r="B4749" s="19">
        <v>325.26</v>
      </c>
      <c r="C4749" t="s">
        <v>41</v>
      </c>
      <c r="D4749" t="str">
        <f>T_Stocks[[#This Row],[Ticker]] &amp; "-" &amp; DATE(YEAR(T_Stocks[[#This Row],[Fecha]]),MONTH(T_Stocks[[#This Row],[Fecha]]),DAY(T_Stocks[[#This Row],[Fecha]]))</f>
        <v>MSFT-45085</v>
      </c>
    </row>
    <row r="4750" spans="1:4" ht="14.65" thickBot="1" x14ac:dyDescent="0.5">
      <c r="A4750" s="17">
        <v>45086.666666666664</v>
      </c>
      <c r="B4750" s="19">
        <v>326.79000000000002</v>
      </c>
      <c r="C4750" t="s">
        <v>41</v>
      </c>
      <c r="D4750" t="str">
        <f>T_Stocks[[#This Row],[Ticker]] &amp; "-" &amp; DATE(YEAR(T_Stocks[[#This Row],[Fecha]]),MONTH(T_Stocks[[#This Row],[Fecha]]),DAY(T_Stocks[[#This Row],[Fecha]]))</f>
        <v>MSFT-45086</v>
      </c>
    </row>
    <row r="4751" spans="1:4" ht="14.65" thickBot="1" x14ac:dyDescent="0.5">
      <c r="A4751" s="17">
        <v>45089.666666666664</v>
      </c>
      <c r="B4751" s="19">
        <v>331.85</v>
      </c>
      <c r="C4751" t="s">
        <v>41</v>
      </c>
      <c r="D4751" t="str">
        <f>T_Stocks[[#This Row],[Ticker]] &amp; "-" &amp; DATE(YEAR(T_Stocks[[#This Row],[Fecha]]),MONTH(T_Stocks[[#This Row],[Fecha]]),DAY(T_Stocks[[#This Row],[Fecha]]))</f>
        <v>MSFT-45089</v>
      </c>
    </row>
    <row r="4752" spans="1:4" ht="14.65" thickBot="1" x14ac:dyDescent="0.5">
      <c r="A4752" s="17">
        <v>45090.666666666664</v>
      </c>
      <c r="B4752" s="19">
        <v>334.29</v>
      </c>
      <c r="C4752" t="s">
        <v>41</v>
      </c>
      <c r="D4752" t="str">
        <f>T_Stocks[[#This Row],[Ticker]] &amp; "-" &amp; DATE(YEAR(T_Stocks[[#This Row],[Fecha]]),MONTH(T_Stocks[[#This Row],[Fecha]]),DAY(T_Stocks[[#This Row],[Fecha]]))</f>
        <v>MSFT-45090</v>
      </c>
    </row>
    <row r="4753" spans="1:4" ht="14.65" thickBot="1" x14ac:dyDescent="0.5">
      <c r="A4753" s="17">
        <v>45091.666666666664</v>
      </c>
      <c r="B4753" s="19">
        <v>337.34</v>
      </c>
      <c r="C4753" t="s">
        <v>41</v>
      </c>
      <c r="D4753" t="str">
        <f>T_Stocks[[#This Row],[Ticker]] &amp; "-" &amp; DATE(YEAR(T_Stocks[[#This Row],[Fecha]]),MONTH(T_Stocks[[#This Row],[Fecha]]),DAY(T_Stocks[[#This Row],[Fecha]]))</f>
        <v>MSFT-45091</v>
      </c>
    </row>
    <row r="4754" spans="1:4" ht="14.65" thickBot="1" x14ac:dyDescent="0.5">
      <c r="A4754" s="17">
        <v>45092.666666666664</v>
      </c>
      <c r="B4754" s="19">
        <v>348.1</v>
      </c>
      <c r="C4754" t="s">
        <v>41</v>
      </c>
      <c r="D4754" t="str">
        <f>T_Stocks[[#This Row],[Ticker]] &amp; "-" &amp; DATE(YEAR(T_Stocks[[#This Row],[Fecha]]),MONTH(T_Stocks[[#This Row],[Fecha]]),DAY(T_Stocks[[#This Row],[Fecha]]))</f>
        <v>MSFT-45092</v>
      </c>
    </row>
    <row r="4755" spans="1:4" ht="14.65" thickBot="1" x14ac:dyDescent="0.5">
      <c r="A4755" s="17">
        <v>45093.666666666664</v>
      </c>
      <c r="B4755" s="19">
        <v>342.33</v>
      </c>
      <c r="C4755" t="s">
        <v>41</v>
      </c>
      <c r="D4755" t="str">
        <f>T_Stocks[[#This Row],[Ticker]] &amp; "-" &amp; DATE(YEAR(T_Stocks[[#This Row],[Fecha]]),MONTH(T_Stocks[[#This Row],[Fecha]]),DAY(T_Stocks[[#This Row],[Fecha]]))</f>
        <v>MSFT-45093</v>
      </c>
    </row>
    <row r="4756" spans="1:4" ht="14.65" thickBot="1" x14ac:dyDescent="0.5">
      <c r="A4756" s="17">
        <v>45097.666666666664</v>
      </c>
      <c r="B4756" s="19">
        <v>338.05</v>
      </c>
      <c r="C4756" t="s">
        <v>41</v>
      </c>
      <c r="D4756" t="str">
        <f>T_Stocks[[#This Row],[Ticker]] &amp; "-" &amp; DATE(YEAR(T_Stocks[[#This Row],[Fecha]]),MONTH(T_Stocks[[#This Row],[Fecha]]),DAY(T_Stocks[[#This Row],[Fecha]]))</f>
        <v>MSFT-45097</v>
      </c>
    </row>
    <row r="4757" spans="1:4" ht="14.65" thickBot="1" x14ac:dyDescent="0.5">
      <c r="A4757" s="17">
        <v>45098.666666666664</v>
      </c>
      <c r="B4757" s="19">
        <v>333.56</v>
      </c>
      <c r="C4757" t="s">
        <v>41</v>
      </c>
      <c r="D4757" t="str">
        <f>T_Stocks[[#This Row],[Ticker]] &amp; "-" &amp; DATE(YEAR(T_Stocks[[#This Row],[Fecha]]),MONTH(T_Stocks[[#This Row],[Fecha]]),DAY(T_Stocks[[#This Row],[Fecha]]))</f>
        <v>MSFT-45098</v>
      </c>
    </row>
    <row r="4758" spans="1:4" ht="14.65" thickBot="1" x14ac:dyDescent="0.5">
      <c r="A4758" s="17">
        <v>45099.666666666664</v>
      </c>
      <c r="B4758" s="19">
        <v>339.71</v>
      </c>
      <c r="C4758" t="s">
        <v>41</v>
      </c>
      <c r="D4758" t="str">
        <f>T_Stocks[[#This Row],[Ticker]] &amp; "-" &amp; DATE(YEAR(T_Stocks[[#This Row],[Fecha]]),MONTH(T_Stocks[[#This Row],[Fecha]]),DAY(T_Stocks[[#This Row],[Fecha]]))</f>
        <v>MSFT-45099</v>
      </c>
    </row>
    <row r="4759" spans="1:4" ht="14.65" thickBot="1" x14ac:dyDescent="0.5">
      <c r="A4759" s="17">
        <v>45100.666666666664</v>
      </c>
      <c r="B4759" s="19">
        <v>335.02</v>
      </c>
      <c r="C4759" t="s">
        <v>41</v>
      </c>
      <c r="D4759" t="str">
        <f>T_Stocks[[#This Row],[Ticker]] &amp; "-" &amp; DATE(YEAR(T_Stocks[[#This Row],[Fecha]]),MONTH(T_Stocks[[#This Row],[Fecha]]),DAY(T_Stocks[[#This Row],[Fecha]]))</f>
        <v>MSFT-45100</v>
      </c>
    </row>
    <row r="4760" spans="1:4" ht="14.65" thickBot="1" x14ac:dyDescent="0.5">
      <c r="A4760" s="17">
        <v>45103.666666666664</v>
      </c>
      <c r="B4760" s="19">
        <v>328.6</v>
      </c>
      <c r="C4760" t="s">
        <v>41</v>
      </c>
      <c r="D4760" t="str">
        <f>T_Stocks[[#This Row],[Ticker]] &amp; "-" &amp; DATE(YEAR(T_Stocks[[#This Row],[Fecha]]),MONTH(T_Stocks[[#This Row],[Fecha]]),DAY(T_Stocks[[#This Row],[Fecha]]))</f>
        <v>MSFT-45103</v>
      </c>
    </row>
    <row r="4761" spans="1:4" ht="14.65" thickBot="1" x14ac:dyDescent="0.5">
      <c r="A4761" s="17">
        <v>45104.666666666664</v>
      </c>
      <c r="B4761" s="19">
        <v>334.57</v>
      </c>
      <c r="C4761" t="s">
        <v>41</v>
      </c>
      <c r="D4761" t="str">
        <f>T_Stocks[[#This Row],[Ticker]] &amp; "-" &amp; DATE(YEAR(T_Stocks[[#This Row],[Fecha]]),MONTH(T_Stocks[[#This Row],[Fecha]]),DAY(T_Stocks[[#This Row],[Fecha]]))</f>
        <v>MSFT-45104</v>
      </c>
    </row>
    <row r="4762" spans="1:4" ht="14.65" thickBot="1" x14ac:dyDescent="0.5">
      <c r="A4762" s="17">
        <v>45105.666666666664</v>
      </c>
      <c r="B4762" s="19">
        <v>335.85</v>
      </c>
      <c r="C4762" t="s">
        <v>41</v>
      </c>
      <c r="D4762" t="str">
        <f>T_Stocks[[#This Row],[Ticker]] &amp; "-" &amp; DATE(YEAR(T_Stocks[[#This Row],[Fecha]]),MONTH(T_Stocks[[#This Row],[Fecha]]),DAY(T_Stocks[[#This Row],[Fecha]]))</f>
        <v>MSFT-45105</v>
      </c>
    </row>
    <row r="4763" spans="1:4" ht="14.65" thickBot="1" x14ac:dyDescent="0.5">
      <c r="A4763" s="17">
        <v>45106.666666666664</v>
      </c>
      <c r="B4763" s="19">
        <v>335.05</v>
      </c>
      <c r="C4763" t="s">
        <v>41</v>
      </c>
      <c r="D4763" t="str">
        <f>T_Stocks[[#This Row],[Ticker]] &amp; "-" &amp; DATE(YEAR(T_Stocks[[#This Row],[Fecha]]),MONTH(T_Stocks[[#This Row],[Fecha]]),DAY(T_Stocks[[#This Row],[Fecha]]))</f>
        <v>MSFT-45106</v>
      </c>
    </row>
    <row r="4764" spans="1:4" ht="14.65" thickBot="1" x14ac:dyDescent="0.5">
      <c r="A4764" s="17">
        <v>45107.666666666664</v>
      </c>
      <c r="B4764" s="19">
        <v>340.54</v>
      </c>
      <c r="C4764" t="s">
        <v>41</v>
      </c>
      <c r="D4764" t="str">
        <f>T_Stocks[[#This Row],[Ticker]] &amp; "-" &amp; DATE(YEAR(T_Stocks[[#This Row],[Fecha]]),MONTH(T_Stocks[[#This Row],[Fecha]]),DAY(T_Stocks[[#This Row],[Fecha]]))</f>
        <v>MSFT-45107</v>
      </c>
    </row>
    <row r="4765" spans="1:4" ht="14.65" thickBot="1" x14ac:dyDescent="0.5">
      <c r="A4765" s="17">
        <v>45110.545138888891</v>
      </c>
      <c r="B4765" s="19">
        <v>337.99</v>
      </c>
      <c r="C4765" t="s">
        <v>41</v>
      </c>
      <c r="D4765" t="str">
        <f>T_Stocks[[#This Row],[Ticker]] &amp; "-" &amp; DATE(YEAR(T_Stocks[[#This Row],[Fecha]]),MONTH(T_Stocks[[#This Row],[Fecha]]),DAY(T_Stocks[[#This Row],[Fecha]]))</f>
        <v>MSFT-45110</v>
      </c>
    </row>
    <row r="4766" spans="1:4" ht="14.65" thickBot="1" x14ac:dyDescent="0.5">
      <c r="A4766" s="17">
        <v>45112.666666666664</v>
      </c>
      <c r="B4766" s="19">
        <v>338.15</v>
      </c>
      <c r="C4766" t="s">
        <v>41</v>
      </c>
      <c r="D4766" t="str">
        <f>T_Stocks[[#This Row],[Ticker]] &amp; "-" &amp; DATE(YEAR(T_Stocks[[#This Row],[Fecha]]),MONTH(T_Stocks[[#This Row],[Fecha]]),DAY(T_Stocks[[#This Row],[Fecha]]))</f>
        <v>MSFT-45112</v>
      </c>
    </row>
    <row r="4767" spans="1:4" ht="14.65" thickBot="1" x14ac:dyDescent="0.5">
      <c r="A4767" s="17">
        <v>45113.666666666664</v>
      </c>
      <c r="B4767" s="19">
        <v>341.27</v>
      </c>
      <c r="C4767" t="s">
        <v>41</v>
      </c>
      <c r="D4767" t="str">
        <f>T_Stocks[[#This Row],[Ticker]] &amp; "-" &amp; DATE(YEAR(T_Stocks[[#This Row],[Fecha]]),MONTH(T_Stocks[[#This Row],[Fecha]]),DAY(T_Stocks[[#This Row],[Fecha]]))</f>
        <v>MSFT-45113</v>
      </c>
    </row>
    <row r="4768" spans="1:4" ht="14.65" thickBot="1" x14ac:dyDescent="0.5">
      <c r="A4768" s="17">
        <v>45114.666666666664</v>
      </c>
      <c r="B4768" s="19">
        <v>337.22</v>
      </c>
      <c r="C4768" t="s">
        <v>41</v>
      </c>
      <c r="D4768" t="str">
        <f>T_Stocks[[#This Row],[Ticker]] &amp; "-" &amp; DATE(YEAR(T_Stocks[[#This Row],[Fecha]]),MONTH(T_Stocks[[#This Row],[Fecha]]),DAY(T_Stocks[[#This Row],[Fecha]]))</f>
        <v>MSFT-45114</v>
      </c>
    </row>
    <row r="4769" spans="1:4" ht="14.65" thickBot="1" x14ac:dyDescent="0.5">
      <c r="A4769" s="17">
        <v>45117.666666666664</v>
      </c>
      <c r="B4769" s="19">
        <v>331.83</v>
      </c>
      <c r="C4769" t="s">
        <v>41</v>
      </c>
      <c r="D4769" t="str">
        <f>T_Stocks[[#This Row],[Ticker]] &amp; "-" &amp; DATE(YEAR(T_Stocks[[#This Row],[Fecha]]),MONTH(T_Stocks[[#This Row],[Fecha]]),DAY(T_Stocks[[#This Row],[Fecha]]))</f>
        <v>MSFT-45117</v>
      </c>
    </row>
    <row r="4770" spans="1:4" ht="14.65" thickBot="1" x14ac:dyDescent="0.5">
      <c r="A4770" s="17">
        <v>45118.666666666664</v>
      </c>
      <c r="B4770" s="19">
        <v>332.47</v>
      </c>
      <c r="C4770" t="s">
        <v>41</v>
      </c>
      <c r="D4770" t="str">
        <f>T_Stocks[[#This Row],[Ticker]] &amp; "-" &amp; DATE(YEAR(T_Stocks[[#This Row],[Fecha]]),MONTH(T_Stocks[[#This Row],[Fecha]]),DAY(T_Stocks[[#This Row],[Fecha]]))</f>
        <v>MSFT-45118</v>
      </c>
    </row>
    <row r="4771" spans="1:4" ht="14.65" thickBot="1" x14ac:dyDescent="0.5">
      <c r="A4771" s="17">
        <v>45119.666666666664</v>
      </c>
      <c r="B4771" s="19">
        <v>337.2</v>
      </c>
      <c r="C4771" t="s">
        <v>41</v>
      </c>
      <c r="D4771" t="str">
        <f>T_Stocks[[#This Row],[Ticker]] &amp; "-" &amp; DATE(YEAR(T_Stocks[[#This Row],[Fecha]]),MONTH(T_Stocks[[#This Row],[Fecha]]),DAY(T_Stocks[[#This Row],[Fecha]]))</f>
        <v>MSFT-45119</v>
      </c>
    </row>
    <row r="4772" spans="1:4" ht="14.65" thickBot="1" x14ac:dyDescent="0.5">
      <c r="A4772" s="17">
        <v>45120.666666666664</v>
      </c>
      <c r="B4772" s="19">
        <v>342.66</v>
      </c>
      <c r="C4772" t="s">
        <v>41</v>
      </c>
      <c r="D4772" t="str">
        <f>T_Stocks[[#This Row],[Ticker]] &amp; "-" &amp; DATE(YEAR(T_Stocks[[#This Row],[Fecha]]),MONTH(T_Stocks[[#This Row],[Fecha]]),DAY(T_Stocks[[#This Row],[Fecha]]))</f>
        <v>MSFT-45120</v>
      </c>
    </row>
    <row r="4773" spans="1:4" ht="14.65" thickBot="1" x14ac:dyDescent="0.5">
      <c r="A4773" s="17">
        <v>45121.666666666664</v>
      </c>
      <c r="B4773" s="19">
        <v>345.24</v>
      </c>
      <c r="C4773" t="s">
        <v>41</v>
      </c>
      <c r="D4773" t="str">
        <f>T_Stocks[[#This Row],[Ticker]] &amp; "-" &amp; DATE(YEAR(T_Stocks[[#This Row],[Fecha]]),MONTH(T_Stocks[[#This Row],[Fecha]]),DAY(T_Stocks[[#This Row],[Fecha]]))</f>
        <v>MSFT-45121</v>
      </c>
    </row>
    <row r="4774" spans="1:4" ht="14.65" thickBot="1" x14ac:dyDescent="0.5">
      <c r="A4774" s="17">
        <v>45124.666666666664</v>
      </c>
      <c r="B4774" s="19">
        <v>345.73</v>
      </c>
      <c r="C4774" t="s">
        <v>41</v>
      </c>
      <c r="D4774" t="str">
        <f>T_Stocks[[#This Row],[Ticker]] &amp; "-" &amp; DATE(YEAR(T_Stocks[[#This Row],[Fecha]]),MONTH(T_Stocks[[#This Row],[Fecha]]),DAY(T_Stocks[[#This Row],[Fecha]]))</f>
        <v>MSFT-45124</v>
      </c>
    </row>
    <row r="4775" spans="1:4" ht="14.65" thickBot="1" x14ac:dyDescent="0.5">
      <c r="A4775" s="17">
        <v>45125.666666666664</v>
      </c>
      <c r="B4775" s="19">
        <v>359.49</v>
      </c>
      <c r="C4775" t="s">
        <v>41</v>
      </c>
      <c r="D4775" t="str">
        <f>T_Stocks[[#This Row],[Ticker]] &amp; "-" &amp; DATE(YEAR(T_Stocks[[#This Row],[Fecha]]),MONTH(T_Stocks[[#This Row],[Fecha]]),DAY(T_Stocks[[#This Row],[Fecha]]))</f>
        <v>MSFT-45125</v>
      </c>
    </row>
    <row r="4776" spans="1:4" ht="14.65" thickBot="1" x14ac:dyDescent="0.5">
      <c r="A4776" s="17">
        <v>45126.666666666664</v>
      </c>
      <c r="B4776" s="19">
        <v>355.08</v>
      </c>
      <c r="C4776" t="s">
        <v>41</v>
      </c>
      <c r="D4776" t="str">
        <f>T_Stocks[[#This Row],[Ticker]] &amp; "-" &amp; DATE(YEAR(T_Stocks[[#This Row],[Fecha]]),MONTH(T_Stocks[[#This Row],[Fecha]]),DAY(T_Stocks[[#This Row],[Fecha]]))</f>
        <v>MSFT-45126</v>
      </c>
    </row>
    <row r="4777" spans="1:4" ht="14.65" thickBot="1" x14ac:dyDescent="0.5">
      <c r="A4777" s="17">
        <v>45127.666666666664</v>
      </c>
      <c r="B4777" s="19">
        <v>346.87</v>
      </c>
      <c r="C4777" t="s">
        <v>41</v>
      </c>
      <c r="D4777" t="str">
        <f>T_Stocks[[#This Row],[Ticker]] &amp; "-" &amp; DATE(YEAR(T_Stocks[[#This Row],[Fecha]]),MONTH(T_Stocks[[#This Row],[Fecha]]),DAY(T_Stocks[[#This Row],[Fecha]]))</f>
        <v>MSFT-45127</v>
      </c>
    </row>
    <row r="4778" spans="1:4" ht="14.65" thickBot="1" x14ac:dyDescent="0.5">
      <c r="A4778" s="17">
        <v>45128.666666666664</v>
      </c>
      <c r="B4778" s="19">
        <v>343.77</v>
      </c>
      <c r="C4778" t="s">
        <v>41</v>
      </c>
      <c r="D4778" t="str">
        <f>T_Stocks[[#This Row],[Ticker]] &amp; "-" &amp; DATE(YEAR(T_Stocks[[#This Row],[Fecha]]),MONTH(T_Stocks[[#This Row],[Fecha]]),DAY(T_Stocks[[#This Row],[Fecha]]))</f>
        <v>MSFT-45128</v>
      </c>
    </row>
    <row r="4779" spans="1:4" ht="14.65" thickBot="1" x14ac:dyDescent="0.5">
      <c r="A4779" s="17">
        <v>45131.666666666664</v>
      </c>
      <c r="B4779" s="19">
        <v>345.11</v>
      </c>
      <c r="C4779" t="s">
        <v>41</v>
      </c>
      <c r="D4779" t="str">
        <f>T_Stocks[[#This Row],[Ticker]] &amp; "-" &amp; DATE(YEAR(T_Stocks[[#This Row],[Fecha]]),MONTH(T_Stocks[[#This Row],[Fecha]]),DAY(T_Stocks[[#This Row],[Fecha]]))</f>
        <v>MSFT-45131</v>
      </c>
    </row>
    <row r="4780" spans="1:4" ht="14.65" thickBot="1" x14ac:dyDescent="0.5">
      <c r="A4780" s="17">
        <v>45132.666666666664</v>
      </c>
      <c r="B4780" s="19">
        <v>350.98</v>
      </c>
      <c r="C4780" t="s">
        <v>41</v>
      </c>
      <c r="D4780" t="str">
        <f>T_Stocks[[#This Row],[Ticker]] &amp; "-" &amp; DATE(YEAR(T_Stocks[[#This Row],[Fecha]]),MONTH(T_Stocks[[#This Row],[Fecha]]),DAY(T_Stocks[[#This Row],[Fecha]]))</f>
        <v>MSFT-45132</v>
      </c>
    </row>
    <row r="4781" spans="1:4" ht="14.65" thickBot="1" x14ac:dyDescent="0.5">
      <c r="A4781" s="17">
        <v>45133.666666666664</v>
      </c>
      <c r="B4781" s="19">
        <v>337.77</v>
      </c>
      <c r="C4781" t="s">
        <v>41</v>
      </c>
      <c r="D4781" t="str">
        <f>T_Stocks[[#This Row],[Ticker]] &amp; "-" &amp; DATE(YEAR(T_Stocks[[#This Row],[Fecha]]),MONTH(T_Stocks[[#This Row],[Fecha]]),DAY(T_Stocks[[#This Row],[Fecha]]))</f>
        <v>MSFT-45133</v>
      </c>
    </row>
    <row r="4782" spans="1:4" ht="14.65" thickBot="1" x14ac:dyDescent="0.5">
      <c r="A4782" s="17">
        <v>45134.666666666664</v>
      </c>
      <c r="B4782" s="19">
        <v>330.72</v>
      </c>
      <c r="C4782" t="s">
        <v>41</v>
      </c>
      <c r="D4782" t="str">
        <f>T_Stocks[[#This Row],[Ticker]] &amp; "-" &amp; DATE(YEAR(T_Stocks[[#This Row],[Fecha]]),MONTH(T_Stocks[[#This Row],[Fecha]]),DAY(T_Stocks[[#This Row],[Fecha]]))</f>
        <v>MSFT-45134</v>
      </c>
    </row>
    <row r="4783" spans="1:4" ht="14.65" thickBot="1" x14ac:dyDescent="0.5">
      <c r="A4783" s="17">
        <v>45135.666666666664</v>
      </c>
      <c r="B4783" s="19">
        <v>338.37</v>
      </c>
      <c r="C4783" t="s">
        <v>41</v>
      </c>
      <c r="D4783" t="str">
        <f>T_Stocks[[#This Row],[Ticker]] &amp; "-" &amp; DATE(YEAR(T_Stocks[[#This Row],[Fecha]]),MONTH(T_Stocks[[#This Row],[Fecha]]),DAY(T_Stocks[[#This Row],[Fecha]]))</f>
        <v>MSFT-45135</v>
      </c>
    </row>
    <row r="4784" spans="1:4" ht="14.65" thickBot="1" x14ac:dyDescent="0.5">
      <c r="A4784" s="17">
        <v>45138.666666666664</v>
      </c>
      <c r="B4784" s="19">
        <v>335.92</v>
      </c>
      <c r="C4784" t="s">
        <v>41</v>
      </c>
      <c r="D4784" t="str">
        <f>T_Stocks[[#This Row],[Ticker]] &amp; "-" &amp; DATE(YEAR(T_Stocks[[#This Row],[Fecha]]),MONTH(T_Stocks[[#This Row],[Fecha]]),DAY(T_Stocks[[#This Row],[Fecha]]))</f>
        <v>MSFT-45138</v>
      </c>
    </row>
    <row r="4785" spans="1:4" ht="14.65" thickBot="1" x14ac:dyDescent="0.5">
      <c r="A4785" s="17">
        <v>45139.666666666664</v>
      </c>
      <c r="B4785" s="19">
        <v>336.34</v>
      </c>
      <c r="C4785" t="s">
        <v>41</v>
      </c>
      <c r="D4785" t="str">
        <f>T_Stocks[[#This Row],[Ticker]] &amp; "-" &amp; DATE(YEAR(T_Stocks[[#This Row],[Fecha]]),MONTH(T_Stocks[[#This Row],[Fecha]]),DAY(T_Stocks[[#This Row],[Fecha]]))</f>
        <v>MSFT-45139</v>
      </c>
    </row>
    <row r="4786" spans="1:4" ht="14.65" thickBot="1" x14ac:dyDescent="0.5">
      <c r="A4786" s="17">
        <v>45140.666666666664</v>
      </c>
      <c r="B4786" s="19">
        <v>327.5</v>
      </c>
      <c r="C4786" t="s">
        <v>41</v>
      </c>
      <c r="D4786" t="str">
        <f>T_Stocks[[#This Row],[Ticker]] &amp; "-" &amp; DATE(YEAR(T_Stocks[[#This Row],[Fecha]]),MONTH(T_Stocks[[#This Row],[Fecha]]),DAY(T_Stocks[[#This Row],[Fecha]]))</f>
        <v>MSFT-45140</v>
      </c>
    </row>
    <row r="4787" spans="1:4" ht="14.65" thickBot="1" x14ac:dyDescent="0.5">
      <c r="A4787" s="17">
        <v>45141.666666666664</v>
      </c>
      <c r="B4787" s="19">
        <v>326.66000000000003</v>
      </c>
      <c r="C4787" t="s">
        <v>41</v>
      </c>
      <c r="D4787" t="str">
        <f>T_Stocks[[#This Row],[Ticker]] &amp; "-" &amp; DATE(YEAR(T_Stocks[[#This Row],[Fecha]]),MONTH(T_Stocks[[#This Row],[Fecha]]),DAY(T_Stocks[[#This Row],[Fecha]]))</f>
        <v>MSFT-45141</v>
      </c>
    </row>
    <row r="4788" spans="1:4" ht="14.65" thickBot="1" x14ac:dyDescent="0.5">
      <c r="A4788" s="17">
        <v>45142.666666666664</v>
      </c>
      <c r="B4788" s="19">
        <v>327.78</v>
      </c>
      <c r="C4788" t="s">
        <v>41</v>
      </c>
      <c r="D4788" t="str">
        <f>T_Stocks[[#This Row],[Ticker]] &amp; "-" &amp; DATE(YEAR(T_Stocks[[#This Row],[Fecha]]),MONTH(T_Stocks[[#This Row],[Fecha]]),DAY(T_Stocks[[#This Row],[Fecha]]))</f>
        <v>MSFT-45142</v>
      </c>
    </row>
    <row r="4789" spans="1:4" ht="14.65" thickBot="1" x14ac:dyDescent="0.5">
      <c r="A4789" s="17">
        <v>45145.666666666664</v>
      </c>
      <c r="B4789" s="19">
        <v>330.11</v>
      </c>
      <c r="C4789" t="s">
        <v>41</v>
      </c>
      <c r="D4789" t="str">
        <f>T_Stocks[[#This Row],[Ticker]] &amp; "-" &amp; DATE(YEAR(T_Stocks[[#This Row],[Fecha]]),MONTH(T_Stocks[[#This Row],[Fecha]]),DAY(T_Stocks[[#This Row],[Fecha]]))</f>
        <v>MSFT-45145</v>
      </c>
    </row>
    <row r="4790" spans="1:4" ht="14.65" thickBot="1" x14ac:dyDescent="0.5">
      <c r="A4790" s="17">
        <v>45146.666666666664</v>
      </c>
      <c r="B4790" s="19">
        <v>326.05</v>
      </c>
      <c r="C4790" t="s">
        <v>41</v>
      </c>
      <c r="D4790" t="str">
        <f>T_Stocks[[#This Row],[Ticker]] &amp; "-" &amp; DATE(YEAR(T_Stocks[[#This Row],[Fecha]]),MONTH(T_Stocks[[#This Row],[Fecha]]),DAY(T_Stocks[[#This Row],[Fecha]]))</f>
        <v>MSFT-45146</v>
      </c>
    </row>
    <row r="4791" spans="1:4" ht="14.65" thickBot="1" x14ac:dyDescent="0.5">
      <c r="A4791" s="17">
        <v>45147.666666666664</v>
      </c>
      <c r="B4791" s="19">
        <v>322.23</v>
      </c>
      <c r="C4791" t="s">
        <v>41</v>
      </c>
      <c r="D4791" t="str">
        <f>T_Stocks[[#This Row],[Ticker]] &amp; "-" &amp; DATE(YEAR(T_Stocks[[#This Row],[Fecha]]),MONTH(T_Stocks[[#This Row],[Fecha]]),DAY(T_Stocks[[#This Row],[Fecha]]))</f>
        <v>MSFT-45147</v>
      </c>
    </row>
    <row r="4792" spans="1:4" ht="14.65" thickBot="1" x14ac:dyDescent="0.5">
      <c r="A4792" s="17">
        <v>45148.666666666664</v>
      </c>
      <c r="B4792" s="19">
        <v>322.93</v>
      </c>
      <c r="C4792" t="s">
        <v>41</v>
      </c>
      <c r="D4792" t="str">
        <f>T_Stocks[[#This Row],[Ticker]] &amp; "-" &amp; DATE(YEAR(T_Stocks[[#This Row],[Fecha]]),MONTH(T_Stocks[[#This Row],[Fecha]]),DAY(T_Stocks[[#This Row],[Fecha]]))</f>
        <v>MSFT-45148</v>
      </c>
    </row>
    <row r="4793" spans="1:4" ht="14.65" thickBot="1" x14ac:dyDescent="0.5">
      <c r="A4793" s="17">
        <v>45149.666666666664</v>
      </c>
      <c r="B4793" s="19">
        <v>321.01</v>
      </c>
      <c r="C4793" t="s">
        <v>41</v>
      </c>
      <c r="D4793" t="str">
        <f>T_Stocks[[#This Row],[Ticker]] &amp; "-" &amp; DATE(YEAR(T_Stocks[[#This Row],[Fecha]]),MONTH(T_Stocks[[#This Row],[Fecha]]),DAY(T_Stocks[[#This Row],[Fecha]]))</f>
        <v>MSFT-45149</v>
      </c>
    </row>
    <row r="4794" spans="1:4" ht="14.65" thickBot="1" x14ac:dyDescent="0.5">
      <c r="A4794" s="17">
        <v>45152.666666666664</v>
      </c>
      <c r="B4794" s="19">
        <v>324.04000000000002</v>
      </c>
      <c r="C4794" t="s">
        <v>41</v>
      </c>
      <c r="D4794" t="str">
        <f>T_Stocks[[#This Row],[Ticker]] &amp; "-" &amp; DATE(YEAR(T_Stocks[[#This Row],[Fecha]]),MONTH(T_Stocks[[#This Row],[Fecha]]),DAY(T_Stocks[[#This Row],[Fecha]]))</f>
        <v>MSFT-45152</v>
      </c>
    </row>
    <row r="4795" spans="1:4" ht="14.65" thickBot="1" x14ac:dyDescent="0.5">
      <c r="A4795" s="17">
        <v>45153.666666666664</v>
      </c>
      <c r="B4795" s="19">
        <v>321.86</v>
      </c>
      <c r="C4795" t="s">
        <v>41</v>
      </c>
      <c r="D4795" t="str">
        <f>T_Stocks[[#This Row],[Ticker]] &amp; "-" &amp; DATE(YEAR(T_Stocks[[#This Row],[Fecha]]),MONTH(T_Stocks[[#This Row],[Fecha]]),DAY(T_Stocks[[#This Row],[Fecha]]))</f>
        <v>MSFT-45153</v>
      </c>
    </row>
    <row r="4796" spans="1:4" ht="14.65" thickBot="1" x14ac:dyDescent="0.5">
      <c r="A4796" s="17">
        <v>45154.666666666664</v>
      </c>
      <c r="B4796" s="19">
        <v>320.39999999999998</v>
      </c>
      <c r="C4796" t="s">
        <v>41</v>
      </c>
      <c r="D4796" t="str">
        <f>T_Stocks[[#This Row],[Ticker]] &amp; "-" &amp; DATE(YEAR(T_Stocks[[#This Row],[Fecha]]),MONTH(T_Stocks[[#This Row],[Fecha]]),DAY(T_Stocks[[#This Row],[Fecha]]))</f>
        <v>MSFT-45154</v>
      </c>
    </row>
    <row r="4797" spans="1:4" ht="14.65" thickBot="1" x14ac:dyDescent="0.5">
      <c r="A4797" s="17">
        <v>45155.666666666664</v>
      </c>
      <c r="B4797" s="19">
        <v>316.88</v>
      </c>
      <c r="C4797" t="s">
        <v>41</v>
      </c>
      <c r="D4797" t="str">
        <f>T_Stocks[[#This Row],[Ticker]] &amp; "-" &amp; DATE(YEAR(T_Stocks[[#This Row],[Fecha]]),MONTH(T_Stocks[[#This Row],[Fecha]]),DAY(T_Stocks[[#This Row],[Fecha]]))</f>
        <v>MSFT-45155</v>
      </c>
    </row>
    <row r="4798" spans="1:4" ht="14.65" thickBot="1" x14ac:dyDescent="0.5">
      <c r="A4798" s="17">
        <v>45156.666666666664</v>
      </c>
      <c r="B4798" s="19">
        <v>316.48</v>
      </c>
      <c r="C4798" t="s">
        <v>41</v>
      </c>
      <c r="D4798" t="str">
        <f>T_Stocks[[#This Row],[Ticker]] &amp; "-" &amp; DATE(YEAR(T_Stocks[[#This Row],[Fecha]]),MONTH(T_Stocks[[#This Row],[Fecha]]),DAY(T_Stocks[[#This Row],[Fecha]]))</f>
        <v>MSFT-45156</v>
      </c>
    </row>
    <row r="4799" spans="1:4" ht="14.65" thickBot="1" x14ac:dyDescent="0.5">
      <c r="A4799" s="17">
        <v>45159.666666666664</v>
      </c>
      <c r="B4799" s="19">
        <v>321.88</v>
      </c>
      <c r="C4799" t="s">
        <v>41</v>
      </c>
      <c r="D4799" t="str">
        <f>T_Stocks[[#This Row],[Ticker]] &amp; "-" &amp; DATE(YEAR(T_Stocks[[#This Row],[Fecha]]),MONTH(T_Stocks[[#This Row],[Fecha]]),DAY(T_Stocks[[#This Row],[Fecha]]))</f>
        <v>MSFT-45159</v>
      </c>
    </row>
    <row r="4800" spans="1:4" ht="14.65" thickBot="1" x14ac:dyDescent="0.5">
      <c r="A4800" s="17">
        <v>45160.666666666664</v>
      </c>
      <c r="B4800" s="19">
        <v>322.45999999999998</v>
      </c>
      <c r="C4800" t="s">
        <v>41</v>
      </c>
      <c r="D4800" t="str">
        <f>T_Stocks[[#This Row],[Ticker]] &amp; "-" &amp; DATE(YEAR(T_Stocks[[#This Row],[Fecha]]),MONTH(T_Stocks[[#This Row],[Fecha]]),DAY(T_Stocks[[#This Row],[Fecha]]))</f>
        <v>MSFT-45160</v>
      </c>
    </row>
    <row r="4801" spans="1:4" ht="14.65" thickBot="1" x14ac:dyDescent="0.5">
      <c r="A4801" s="17">
        <v>45161.666666666664</v>
      </c>
      <c r="B4801" s="19">
        <v>327</v>
      </c>
      <c r="C4801" t="s">
        <v>41</v>
      </c>
      <c r="D4801" t="str">
        <f>T_Stocks[[#This Row],[Ticker]] &amp; "-" &amp; DATE(YEAR(T_Stocks[[#This Row],[Fecha]]),MONTH(T_Stocks[[#This Row],[Fecha]]),DAY(T_Stocks[[#This Row],[Fecha]]))</f>
        <v>MSFT-45161</v>
      </c>
    </row>
    <row r="4802" spans="1:4" ht="14.65" thickBot="1" x14ac:dyDescent="0.5">
      <c r="A4802" s="17">
        <v>45162.666666666664</v>
      </c>
      <c r="B4802" s="19">
        <v>319.97000000000003</v>
      </c>
      <c r="C4802" t="s">
        <v>41</v>
      </c>
      <c r="D4802" t="str">
        <f>T_Stocks[[#This Row],[Ticker]] &amp; "-" &amp; DATE(YEAR(T_Stocks[[#This Row],[Fecha]]),MONTH(T_Stocks[[#This Row],[Fecha]]),DAY(T_Stocks[[#This Row],[Fecha]]))</f>
        <v>MSFT-45162</v>
      </c>
    </row>
    <row r="4803" spans="1:4" ht="14.65" thickBot="1" x14ac:dyDescent="0.5">
      <c r="A4803" s="17">
        <v>45163.666666666664</v>
      </c>
      <c r="B4803" s="19">
        <v>322.98</v>
      </c>
      <c r="C4803" t="s">
        <v>41</v>
      </c>
      <c r="D4803" t="str">
        <f>T_Stocks[[#This Row],[Ticker]] &amp; "-" &amp; DATE(YEAR(T_Stocks[[#This Row],[Fecha]]),MONTH(T_Stocks[[#This Row],[Fecha]]),DAY(T_Stocks[[#This Row],[Fecha]]))</f>
        <v>MSFT-45163</v>
      </c>
    </row>
    <row r="4804" spans="1:4" ht="14.65" thickBot="1" x14ac:dyDescent="0.5">
      <c r="A4804" s="17">
        <v>45166.666666666664</v>
      </c>
      <c r="B4804" s="19">
        <v>323.7</v>
      </c>
      <c r="C4804" t="s">
        <v>41</v>
      </c>
      <c r="D4804" t="str">
        <f>T_Stocks[[#This Row],[Ticker]] &amp; "-" &amp; DATE(YEAR(T_Stocks[[#This Row],[Fecha]]),MONTH(T_Stocks[[#This Row],[Fecha]]),DAY(T_Stocks[[#This Row],[Fecha]]))</f>
        <v>MSFT-45166</v>
      </c>
    </row>
    <row r="4805" spans="1:4" ht="14.65" thickBot="1" x14ac:dyDescent="0.5">
      <c r="A4805" s="17">
        <v>45167.666666666664</v>
      </c>
      <c r="B4805" s="19">
        <v>328.41</v>
      </c>
      <c r="C4805" t="s">
        <v>41</v>
      </c>
      <c r="D4805" t="str">
        <f>T_Stocks[[#This Row],[Ticker]] &amp; "-" &amp; DATE(YEAR(T_Stocks[[#This Row],[Fecha]]),MONTH(T_Stocks[[#This Row],[Fecha]]),DAY(T_Stocks[[#This Row],[Fecha]]))</f>
        <v>MSFT-45167</v>
      </c>
    </row>
    <row r="4806" spans="1:4" ht="14.65" thickBot="1" x14ac:dyDescent="0.5">
      <c r="A4806" s="17">
        <v>45168.666666666664</v>
      </c>
      <c r="B4806" s="19">
        <v>328.79</v>
      </c>
      <c r="C4806" t="s">
        <v>41</v>
      </c>
      <c r="D4806" t="str">
        <f>T_Stocks[[#This Row],[Ticker]] &amp; "-" &amp; DATE(YEAR(T_Stocks[[#This Row],[Fecha]]),MONTH(T_Stocks[[#This Row],[Fecha]]),DAY(T_Stocks[[#This Row],[Fecha]]))</f>
        <v>MSFT-45168</v>
      </c>
    </row>
    <row r="4807" spans="1:4" ht="14.65" thickBot="1" x14ac:dyDescent="0.5">
      <c r="A4807" s="17">
        <v>45169.666666666664</v>
      </c>
      <c r="B4807" s="19">
        <v>327.76</v>
      </c>
      <c r="C4807" t="s">
        <v>41</v>
      </c>
      <c r="D4807" t="str">
        <f>T_Stocks[[#This Row],[Ticker]] &amp; "-" &amp; DATE(YEAR(T_Stocks[[#This Row],[Fecha]]),MONTH(T_Stocks[[#This Row],[Fecha]]),DAY(T_Stocks[[#This Row],[Fecha]]))</f>
        <v>MSFT-45169</v>
      </c>
    </row>
    <row r="4808" spans="1:4" ht="14.65" thickBot="1" x14ac:dyDescent="0.5">
      <c r="A4808" s="17">
        <v>45170.666666666664</v>
      </c>
      <c r="B4808" s="19">
        <v>328.66</v>
      </c>
      <c r="C4808" t="s">
        <v>41</v>
      </c>
      <c r="D4808" t="str">
        <f>T_Stocks[[#This Row],[Ticker]] &amp; "-" &amp; DATE(YEAR(T_Stocks[[#This Row],[Fecha]]),MONTH(T_Stocks[[#This Row],[Fecha]]),DAY(T_Stocks[[#This Row],[Fecha]]))</f>
        <v>MSFT-45170</v>
      </c>
    </row>
    <row r="4809" spans="1:4" ht="14.65" thickBot="1" x14ac:dyDescent="0.5">
      <c r="A4809" s="17">
        <v>45174.666666666664</v>
      </c>
      <c r="B4809" s="19">
        <v>333.55</v>
      </c>
      <c r="C4809" t="s">
        <v>41</v>
      </c>
      <c r="D4809" t="str">
        <f>T_Stocks[[#This Row],[Ticker]] &amp; "-" &amp; DATE(YEAR(T_Stocks[[#This Row],[Fecha]]),MONTH(T_Stocks[[#This Row],[Fecha]]),DAY(T_Stocks[[#This Row],[Fecha]]))</f>
        <v>MSFT-45174</v>
      </c>
    </row>
    <row r="4810" spans="1:4" ht="14.65" thickBot="1" x14ac:dyDescent="0.5">
      <c r="A4810" s="17">
        <v>45175.666666666664</v>
      </c>
      <c r="B4810" s="19">
        <v>332.88</v>
      </c>
      <c r="C4810" t="s">
        <v>41</v>
      </c>
      <c r="D4810" t="str">
        <f>T_Stocks[[#This Row],[Ticker]] &amp; "-" &amp; DATE(YEAR(T_Stocks[[#This Row],[Fecha]]),MONTH(T_Stocks[[#This Row],[Fecha]]),DAY(T_Stocks[[#This Row],[Fecha]]))</f>
        <v>MSFT-45175</v>
      </c>
    </row>
    <row r="4811" spans="1:4" ht="14.65" thickBot="1" x14ac:dyDescent="0.5">
      <c r="A4811" s="17">
        <v>45176.666666666664</v>
      </c>
      <c r="B4811" s="19">
        <v>329.91</v>
      </c>
      <c r="C4811" t="s">
        <v>41</v>
      </c>
      <c r="D4811" t="str">
        <f>T_Stocks[[#This Row],[Ticker]] &amp; "-" &amp; DATE(YEAR(T_Stocks[[#This Row],[Fecha]]),MONTH(T_Stocks[[#This Row],[Fecha]]),DAY(T_Stocks[[#This Row],[Fecha]]))</f>
        <v>MSFT-45176</v>
      </c>
    </row>
    <row r="4812" spans="1:4" ht="14.65" thickBot="1" x14ac:dyDescent="0.5">
      <c r="A4812" s="17">
        <v>45177.666666666664</v>
      </c>
      <c r="B4812" s="19">
        <v>334.27</v>
      </c>
      <c r="C4812" t="s">
        <v>41</v>
      </c>
      <c r="D4812" t="str">
        <f>T_Stocks[[#This Row],[Ticker]] &amp; "-" &amp; DATE(YEAR(T_Stocks[[#This Row],[Fecha]]),MONTH(T_Stocks[[#This Row],[Fecha]]),DAY(T_Stocks[[#This Row],[Fecha]]))</f>
        <v>MSFT-45177</v>
      </c>
    </row>
    <row r="4813" spans="1:4" ht="14.65" thickBot="1" x14ac:dyDescent="0.5">
      <c r="A4813" s="17">
        <v>45180.666666666664</v>
      </c>
      <c r="B4813" s="19">
        <v>337.94</v>
      </c>
      <c r="C4813" t="s">
        <v>41</v>
      </c>
      <c r="D4813" t="str">
        <f>T_Stocks[[#This Row],[Ticker]] &amp; "-" &amp; DATE(YEAR(T_Stocks[[#This Row],[Fecha]]),MONTH(T_Stocks[[#This Row],[Fecha]]),DAY(T_Stocks[[#This Row],[Fecha]]))</f>
        <v>MSFT-45180</v>
      </c>
    </row>
    <row r="4814" spans="1:4" ht="14.65" thickBot="1" x14ac:dyDescent="0.5">
      <c r="A4814" s="17">
        <v>45181.666666666664</v>
      </c>
      <c r="B4814" s="19">
        <v>331.77</v>
      </c>
      <c r="C4814" t="s">
        <v>41</v>
      </c>
      <c r="D4814" t="str">
        <f>T_Stocks[[#This Row],[Ticker]] &amp; "-" &amp; DATE(YEAR(T_Stocks[[#This Row],[Fecha]]),MONTH(T_Stocks[[#This Row],[Fecha]]),DAY(T_Stocks[[#This Row],[Fecha]]))</f>
        <v>MSFT-45181</v>
      </c>
    </row>
    <row r="4815" spans="1:4" ht="14.65" thickBot="1" x14ac:dyDescent="0.5">
      <c r="A4815" s="17">
        <v>45182.666666666664</v>
      </c>
      <c r="B4815" s="19">
        <v>336.06</v>
      </c>
      <c r="C4815" t="s">
        <v>41</v>
      </c>
      <c r="D4815" t="str">
        <f>T_Stocks[[#This Row],[Ticker]] &amp; "-" &amp; DATE(YEAR(T_Stocks[[#This Row],[Fecha]]),MONTH(T_Stocks[[#This Row],[Fecha]]),DAY(T_Stocks[[#This Row],[Fecha]]))</f>
        <v>MSFT-45182</v>
      </c>
    </row>
    <row r="4816" spans="1:4" ht="14.65" thickBot="1" x14ac:dyDescent="0.5">
      <c r="A4816" s="17">
        <v>45183.666666666664</v>
      </c>
      <c r="B4816" s="19">
        <v>338.7</v>
      </c>
      <c r="C4816" t="s">
        <v>41</v>
      </c>
      <c r="D4816" t="str">
        <f>T_Stocks[[#This Row],[Ticker]] &amp; "-" &amp; DATE(YEAR(T_Stocks[[#This Row],[Fecha]]),MONTH(T_Stocks[[#This Row],[Fecha]]),DAY(T_Stocks[[#This Row],[Fecha]]))</f>
        <v>MSFT-45183</v>
      </c>
    </row>
    <row r="4817" spans="1:4" ht="14.65" thickBot="1" x14ac:dyDescent="0.5">
      <c r="A4817" s="17">
        <v>45184.666666666664</v>
      </c>
      <c r="B4817" s="19">
        <v>330.22</v>
      </c>
      <c r="C4817" t="s">
        <v>41</v>
      </c>
      <c r="D4817" t="str">
        <f>T_Stocks[[#This Row],[Ticker]] &amp; "-" &amp; DATE(YEAR(T_Stocks[[#This Row],[Fecha]]),MONTH(T_Stocks[[#This Row],[Fecha]]),DAY(T_Stocks[[#This Row],[Fecha]]))</f>
        <v>MSFT-45184</v>
      </c>
    </row>
    <row r="4818" spans="1:4" ht="14.65" thickBot="1" x14ac:dyDescent="0.5">
      <c r="A4818" s="17">
        <v>45187.666666666664</v>
      </c>
      <c r="B4818" s="19">
        <v>329.06</v>
      </c>
      <c r="C4818" t="s">
        <v>41</v>
      </c>
      <c r="D4818" t="str">
        <f>T_Stocks[[#This Row],[Ticker]] &amp; "-" &amp; DATE(YEAR(T_Stocks[[#This Row],[Fecha]]),MONTH(T_Stocks[[#This Row],[Fecha]]),DAY(T_Stocks[[#This Row],[Fecha]]))</f>
        <v>MSFT-45187</v>
      </c>
    </row>
    <row r="4819" spans="1:4" ht="14.65" thickBot="1" x14ac:dyDescent="0.5">
      <c r="A4819" s="17">
        <v>45188.666666666664</v>
      </c>
      <c r="B4819" s="19">
        <v>328.65</v>
      </c>
      <c r="C4819" t="s">
        <v>41</v>
      </c>
      <c r="D4819" t="str">
        <f>T_Stocks[[#This Row],[Ticker]] &amp; "-" &amp; DATE(YEAR(T_Stocks[[#This Row],[Fecha]]),MONTH(T_Stocks[[#This Row],[Fecha]]),DAY(T_Stocks[[#This Row],[Fecha]]))</f>
        <v>MSFT-45188</v>
      </c>
    </row>
    <row r="4820" spans="1:4" ht="14.65" thickBot="1" x14ac:dyDescent="0.5">
      <c r="A4820" s="17">
        <v>45189.666666666664</v>
      </c>
      <c r="B4820" s="19">
        <v>320.77</v>
      </c>
      <c r="C4820" t="s">
        <v>41</v>
      </c>
      <c r="D4820" t="str">
        <f>T_Stocks[[#This Row],[Ticker]] &amp; "-" &amp; DATE(YEAR(T_Stocks[[#This Row],[Fecha]]),MONTH(T_Stocks[[#This Row],[Fecha]]),DAY(T_Stocks[[#This Row],[Fecha]]))</f>
        <v>MSFT-45189</v>
      </c>
    </row>
    <row r="4821" spans="1:4" ht="14.65" thickBot="1" x14ac:dyDescent="0.5">
      <c r="A4821" s="17">
        <v>45190.666666666664</v>
      </c>
      <c r="B4821" s="19">
        <v>319.52999999999997</v>
      </c>
      <c r="C4821" t="s">
        <v>41</v>
      </c>
      <c r="D4821" t="str">
        <f>T_Stocks[[#This Row],[Ticker]] &amp; "-" &amp; DATE(YEAR(T_Stocks[[#This Row],[Fecha]]),MONTH(T_Stocks[[#This Row],[Fecha]]),DAY(T_Stocks[[#This Row],[Fecha]]))</f>
        <v>MSFT-45190</v>
      </c>
    </row>
    <row r="4822" spans="1:4" ht="14.65" thickBot="1" x14ac:dyDescent="0.5">
      <c r="A4822" s="17">
        <v>45191.666666666664</v>
      </c>
      <c r="B4822" s="19">
        <v>317.01</v>
      </c>
      <c r="C4822" t="s">
        <v>41</v>
      </c>
      <c r="D4822" t="str">
        <f>T_Stocks[[#This Row],[Ticker]] &amp; "-" &amp; DATE(YEAR(T_Stocks[[#This Row],[Fecha]]),MONTH(T_Stocks[[#This Row],[Fecha]]),DAY(T_Stocks[[#This Row],[Fecha]]))</f>
        <v>MSFT-45191</v>
      </c>
    </row>
    <row r="4823" spans="1:4" ht="14.65" thickBot="1" x14ac:dyDescent="0.5">
      <c r="A4823" s="17">
        <v>45194.666666666664</v>
      </c>
      <c r="B4823" s="19">
        <v>317.54000000000002</v>
      </c>
      <c r="C4823" t="s">
        <v>41</v>
      </c>
      <c r="D4823" t="str">
        <f>T_Stocks[[#This Row],[Ticker]] &amp; "-" &amp; DATE(YEAR(T_Stocks[[#This Row],[Fecha]]),MONTH(T_Stocks[[#This Row],[Fecha]]),DAY(T_Stocks[[#This Row],[Fecha]]))</f>
        <v>MSFT-45194</v>
      </c>
    </row>
    <row r="4824" spans="1:4" ht="14.65" thickBot="1" x14ac:dyDescent="0.5">
      <c r="A4824" s="17">
        <v>45195.666666666664</v>
      </c>
      <c r="B4824" s="19">
        <v>312.14</v>
      </c>
      <c r="C4824" t="s">
        <v>41</v>
      </c>
      <c r="D4824" t="str">
        <f>T_Stocks[[#This Row],[Ticker]] &amp; "-" &amp; DATE(YEAR(T_Stocks[[#This Row],[Fecha]]),MONTH(T_Stocks[[#This Row],[Fecha]]),DAY(T_Stocks[[#This Row],[Fecha]]))</f>
        <v>MSFT-45195</v>
      </c>
    </row>
    <row r="4825" spans="1:4" ht="14.65" thickBot="1" x14ac:dyDescent="0.5">
      <c r="A4825" s="17">
        <v>45196.666666666664</v>
      </c>
      <c r="B4825" s="19">
        <v>312.79000000000002</v>
      </c>
      <c r="C4825" t="s">
        <v>41</v>
      </c>
      <c r="D4825" t="str">
        <f>T_Stocks[[#This Row],[Ticker]] &amp; "-" &amp; DATE(YEAR(T_Stocks[[#This Row],[Fecha]]),MONTH(T_Stocks[[#This Row],[Fecha]]),DAY(T_Stocks[[#This Row],[Fecha]]))</f>
        <v>MSFT-45196</v>
      </c>
    </row>
    <row r="4826" spans="1:4" ht="14.65" thickBot="1" x14ac:dyDescent="0.5">
      <c r="A4826" s="17">
        <v>45197.666666666664</v>
      </c>
      <c r="B4826" s="19">
        <v>313.64</v>
      </c>
      <c r="C4826" t="s">
        <v>41</v>
      </c>
      <c r="D4826" t="str">
        <f>T_Stocks[[#This Row],[Ticker]] &amp; "-" &amp; DATE(YEAR(T_Stocks[[#This Row],[Fecha]]),MONTH(T_Stocks[[#This Row],[Fecha]]),DAY(T_Stocks[[#This Row],[Fecha]]))</f>
        <v>MSFT-45197</v>
      </c>
    </row>
    <row r="4827" spans="1:4" ht="14.65" thickBot="1" x14ac:dyDescent="0.5">
      <c r="A4827" s="17">
        <v>45198.666666666664</v>
      </c>
      <c r="B4827" s="19">
        <v>315.75</v>
      </c>
      <c r="C4827" t="s">
        <v>41</v>
      </c>
      <c r="D4827" t="str">
        <f>T_Stocks[[#This Row],[Ticker]] &amp; "-" &amp; DATE(YEAR(T_Stocks[[#This Row],[Fecha]]),MONTH(T_Stocks[[#This Row],[Fecha]]),DAY(T_Stocks[[#This Row],[Fecha]]))</f>
        <v>MSFT-45198</v>
      </c>
    </row>
    <row r="4828" spans="1:4" ht="14.65" thickBot="1" x14ac:dyDescent="0.5">
      <c r="A4828" s="17">
        <v>45201.666666666664</v>
      </c>
      <c r="B4828" s="19">
        <v>321.8</v>
      </c>
      <c r="C4828" t="s">
        <v>41</v>
      </c>
      <c r="D4828" t="str">
        <f>T_Stocks[[#This Row],[Ticker]] &amp; "-" &amp; DATE(YEAR(T_Stocks[[#This Row],[Fecha]]),MONTH(T_Stocks[[#This Row],[Fecha]]),DAY(T_Stocks[[#This Row],[Fecha]]))</f>
        <v>MSFT-45201</v>
      </c>
    </row>
    <row r="4829" spans="1:4" ht="14.65" thickBot="1" x14ac:dyDescent="0.5">
      <c r="A4829" s="17">
        <v>45202.666666666664</v>
      </c>
      <c r="B4829" s="19">
        <v>313.39</v>
      </c>
      <c r="C4829" t="s">
        <v>41</v>
      </c>
      <c r="D4829" t="str">
        <f>T_Stocks[[#This Row],[Ticker]] &amp; "-" &amp; DATE(YEAR(T_Stocks[[#This Row],[Fecha]]),MONTH(T_Stocks[[#This Row],[Fecha]]),DAY(T_Stocks[[#This Row],[Fecha]]))</f>
        <v>MSFT-45202</v>
      </c>
    </row>
    <row r="4830" spans="1:4" ht="14.65" thickBot="1" x14ac:dyDescent="0.5">
      <c r="A4830" s="17">
        <v>45203.666666666664</v>
      </c>
      <c r="B4830" s="19">
        <v>318.95999999999998</v>
      </c>
      <c r="C4830" t="s">
        <v>41</v>
      </c>
      <c r="D4830" t="str">
        <f>T_Stocks[[#This Row],[Ticker]] &amp; "-" &amp; DATE(YEAR(T_Stocks[[#This Row],[Fecha]]),MONTH(T_Stocks[[#This Row],[Fecha]]),DAY(T_Stocks[[#This Row],[Fecha]]))</f>
        <v>MSFT-45203</v>
      </c>
    </row>
    <row r="4831" spans="1:4" ht="14.65" thickBot="1" x14ac:dyDescent="0.5">
      <c r="A4831" s="17">
        <v>45204.666666666664</v>
      </c>
      <c r="B4831" s="19">
        <v>319.36</v>
      </c>
      <c r="C4831" t="s">
        <v>41</v>
      </c>
      <c r="D4831" t="str">
        <f>T_Stocks[[#This Row],[Ticker]] &amp; "-" &amp; DATE(YEAR(T_Stocks[[#This Row],[Fecha]]),MONTH(T_Stocks[[#This Row],[Fecha]]),DAY(T_Stocks[[#This Row],[Fecha]]))</f>
        <v>MSFT-45204</v>
      </c>
    </row>
    <row r="4832" spans="1:4" ht="14.65" thickBot="1" x14ac:dyDescent="0.5">
      <c r="A4832" s="17">
        <v>45205.666666666664</v>
      </c>
      <c r="B4832" s="19">
        <v>327.26</v>
      </c>
      <c r="C4832" t="s">
        <v>41</v>
      </c>
      <c r="D4832" t="str">
        <f>T_Stocks[[#This Row],[Ticker]] &amp; "-" &amp; DATE(YEAR(T_Stocks[[#This Row],[Fecha]]),MONTH(T_Stocks[[#This Row],[Fecha]]),DAY(T_Stocks[[#This Row],[Fecha]]))</f>
        <v>MSFT-45205</v>
      </c>
    </row>
    <row r="4833" spans="1:4" ht="14.65" thickBot="1" x14ac:dyDescent="0.5">
      <c r="A4833" s="17">
        <v>45208.666666666664</v>
      </c>
      <c r="B4833" s="19">
        <v>329.82</v>
      </c>
      <c r="C4833" t="s">
        <v>41</v>
      </c>
      <c r="D4833" t="str">
        <f>T_Stocks[[#This Row],[Ticker]] &amp; "-" &amp; DATE(YEAR(T_Stocks[[#This Row],[Fecha]]),MONTH(T_Stocks[[#This Row],[Fecha]]),DAY(T_Stocks[[#This Row],[Fecha]]))</f>
        <v>MSFT-45208</v>
      </c>
    </row>
    <row r="4834" spans="1:4" ht="14.65" thickBot="1" x14ac:dyDescent="0.5">
      <c r="A4834" s="17">
        <v>45209.666666666664</v>
      </c>
      <c r="B4834" s="19">
        <v>328.39</v>
      </c>
      <c r="C4834" t="s">
        <v>41</v>
      </c>
      <c r="D4834" t="str">
        <f>T_Stocks[[#This Row],[Ticker]] &amp; "-" &amp; DATE(YEAR(T_Stocks[[#This Row],[Fecha]]),MONTH(T_Stocks[[#This Row],[Fecha]]),DAY(T_Stocks[[#This Row],[Fecha]]))</f>
        <v>MSFT-45209</v>
      </c>
    </row>
    <row r="4835" spans="1:4" ht="14.65" thickBot="1" x14ac:dyDescent="0.5">
      <c r="A4835" s="17">
        <v>45210.666666666664</v>
      </c>
      <c r="B4835" s="19">
        <v>332.42</v>
      </c>
      <c r="C4835" t="s">
        <v>41</v>
      </c>
      <c r="D4835" t="str">
        <f>T_Stocks[[#This Row],[Ticker]] &amp; "-" &amp; DATE(YEAR(T_Stocks[[#This Row],[Fecha]]),MONTH(T_Stocks[[#This Row],[Fecha]]),DAY(T_Stocks[[#This Row],[Fecha]]))</f>
        <v>MSFT-45210</v>
      </c>
    </row>
    <row r="4836" spans="1:4" ht="14.65" thickBot="1" x14ac:dyDescent="0.5">
      <c r="A4836" s="17">
        <v>45211.666666666664</v>
      </c>
      <c r="B4836" s="19">
        <v>331.16</v>
      </c>
      <c r="C4836" t="s">
        <v>41</v>
      </c>
      <c r="D4836" t="str">
        <f>T_Stocks[[#This Row],[Ticker]] &amp; "-" &amp; DATE(YEAR(T_Stocks[[#This Row],[Fecha]]),MONTH(T_Stocks[[#This Row],[Fecha]]),DAY(T_Stocks[[#This Row],[Fecha]]))</f>
        <v>MSFT-45211</v>
      </c>
    </row>
    <row r="4837" spans="1:4" ht="14.65" thickBot="1" x14ac:dyDescent="0.5">
      <c r="A4837" s="17">
        <v>45212.666666666664</v>
      </c>
      <c r="B4837" s="19">
        <v>327.73</v>
      </c>
      <c r="C4837" t="s">
        <v>41</v>
      </c>
      <c r="D4837" t="str">
        <f>T_Stocks[[#This Row],[Ticker]] &amp; "-" &amp; DATE(YEAR(T_Stocks[[#This Row],[Fecha]]),MONTH(T_Stocks[[#This Row],[Fecha]]),DAY(T_Stocks[[#This Row],[Fecha]]))</f>
        <v>MSFT-45212</v>
      </c>
    </row>
    <row r="4838" spans="1:4" ht="14.65" thickBot="1" x14ac:dyDescent="0.5">
      <c r="A4838" s="17">
        <v>45215.666666666664</v>
      </c>
      <c r="B4838" s="19">
        <v>332.64</v>
      </c>
      <c r="C4838" t="s">
        <v>41</v>
      </c>
      <c r="D4838" t="str">
        <f>T_Stocks[[#This Row],[Ticker]] &amp; "-" &amp; DATE(YEAR(T_Stocks[[#This Row],[Fecha]]),MONTH(T_Stocks[[#This Row],[Fecha]]),DAY(T_Stocks[[#This Row],[Fecha]]))</f>
        <v>MSFT-45215</v>
      </c>
    </row>
    <row r="4839" spans="1:4" ht="14.65" thickBot="1" x14ac:dyDescent="0.5">
      <c r="A4839" s="17">
        <v>45216.666666666664</v>
      </c>
      <c r="B4839" s="19">
        <v>332.06</v>
      </c>
      <c r="C4839" t="s">
        <v>41</v>
      </c>
      <c r="D4839" t="str">
        <f>T_Stocks[[#This Row],[Ticker]] &amp; "-" &amp; DATE(YEAR(T_Stocks[[#This Row],[Fecha]]),MONTH(T_Stocks[[#This Row],[Fecha]]),DAY(T_Stocks[[#This Row],[Fecha]]))</f>
        <v>MSFT-45216</v>
      </c>
    </row>
    <row r="4840" spans="1:4" ht="14.65" thickBot="1" x14ac:dyDescent="0.5">
      <c r="A4840" s="17">
        <v>45217.666666666664</v>
      </c>
      <c r="B4840" s="19">
        <v>330.11</v>
      </c>
      <c r="C4840" t="s">
        <v>41</v>
      </c>
      <c r="D4840" t="str">
        <f>T_Stocks[[#This Row],[Ticker]] &amp; "-" &amp; DATE(YEAR(T_Stocks[[#This Row],[Fecha]]),MONTH(T_Stocks[[#This Row],[Fecha]]),DAY(T_Stocks[[#This Row],[Fecha]]))</f>
        <v>MSFT-45217</v>
      </c>
    </row>
    <row r="4841" spans="1:4" ht="14.65" thickBot="1" x14ac:dyDescent="0.5">
      <c r="A4841" s="17">
        <v>45218.666666666664</v>
      </c>
      <c r="B4841" s="19">
        <v>331.32</v>
      </c>
      <c r="C4841" t="s">
        <v>41</v>
      </c>
      <c r="D4841" t="str">
        <f>T_Stocks[[#This Row],[Ticker]] &amp; "-" &amp; DATE(YEAR(T_Stocks[[#This Row],[Fecha]]),MONTH(T_Stocks[[#This Row],[Fecha]]),DAY(T_Stocks[[#This Row],[Fecha]]))</f>
        <v>MSFT-45218</v>
      </c>
    </row>
    <row r="4842" spans="1:4" ht="14.65" thickBot="1" x14ac:dyDescent="0.5">
      <c r="A4842" s="17">
        <v>45219.666666666664</v>
      </c>
      <c r="B4842" s="19">
        <v>326.67</v>
      </c>
      <c r="C4842" t="s">
        <v>41</v>
      </c>
      <c r="D4842" t="str">
        <f>T_Stocks[[#This Row],[Ticker]] &amp; "-" &amp; DATE(YEAR(T_Stocks[[#This Row],[Fecha]]),MONTH(T_Stocks[[#This Row],[Fecha]]),DAY(T_Stocks[[#This Row],[Fecha]]))</f>
        <v>MSFT-45219</v>
      </c>
    </row>
    <row r="4843" spans="1:4" ht="14.65" thickBot="1" x14ac:dyDescent="0.5">
      <c r="A4843" s="17">
        <v>45222.666666666664</v>
      </c>
      <c r="B4843" s="19">
        <v>329.32</v>
      </c>
      <c r="C4843" t="s">
        <v>41</v>
      </c>
      <c r="D4843" t="str">
        <f>T_Stocks[[#This Row],[Ticker]] &amp; "-" &amp; DATE(YEAR(T_Stocks[[#This Row],[Fecha]]),MONTH(T_Stocks[[#This Row],[Fecha]]),DAY(T_Stocks[[#This Row],[Fecha]]))</f>
        <v>MSFT-45222</v>
      </c>
    </row>
    <row r="4844" spans="1:4" ht="14.65" thickBot="1" x14ac:dyDescent="0.5">
      <c r="A4844" s="17">
        <v>45223.666666666664</v>
      </c>
      <c r="B4844" s="19">
        <v>330.53</v>
      </c>
      <c r="C4844" t="s">
        <v>41</v>
      </c>
      <c r="D4844" t="str">
        <f>T_Stocks[[#This Row],[Ticker]] &amp; "-" &amp; DATE(YEAR(T_Stocks[[#This Row],[Fecha]]),MONTH(T_Stocks[[#This Row],[Fecha]]),DAY(T_Stocks[[#This Row],[Fecha]]))</f>
        <v>MSFT-45223</v>
      </c>
    </row>
    <row r="4845" spans="1:4" ht="14.65" thickBot="1" x14ac:dyDescent="0.5">
      <c r="A4845" s="17">
        <v>45224.666666666664</v>
      </c>
      <c r="B4845" s="19">
        <v>340.67</v>
      </c>
      <c r="C4845" t="s">
        <v>41</v>
      </c>
      <c r="D4845" t="str">
        <f>T_Stocks[[#This Row],[Ticker]] &amp; "-" &amp; DATE(YEAR(T_Stocks[[#This Row],[Fecha]]),MONTH(T_Stocks[[#This Row],[Fecha]]),DAY(T_Stocks[[#This Row],[Fecha]]))</f>
        <v>MSFT-45224</v>
      </c>
    </row>
    <row r="4846" spans="1:4" ht="14.65" thickBot="1" x14ac:dyDescent="0.5">
      <c r="A4846" s="17">
        <v>45225.666666666664</v>
      </c>
      <c r="B4846" s="19">
        <v>327.89</v>
      </c>
      <c r="C4846" t="s">
        <v>41</v>
      </c>
      <c r="D4846" t="str">
        <f>T_Stocks[[#This Row],[Ticker]] &amp; "-" &amp; DATE(YEAR(T_Stocks[[#This Row],[Fecha]]),MONTH(T_Stocks[[#This Row],[Fecha]]),DAY(T_Stocks[[#This Row],[Fecha]]))</f>
        <v>MSFT-45225</v>
      </c>
    </row>
    <row r="4847" spans="1:4" ht="14.65" thickBot="1" x14ac:dyDescent="0.5">
      <c r="A4847" s="17">
        <v>45226.666666666664</v>
      </c>
      <c r="B4847" s="19">
        <v>329.81</v>
      </c>
      <c r="C4847" t="s">
        <v>41</v>
      </c>
      <c r="D4847" t="str">
        <f>T_Stocks[[#This Row],[Ticker]] &amp; "-" &amp; DATE(YEAR(T_Stocks[[#This Row],[Fecha]]),MONTH(T_Stocks[[#This Row],[Fecha]]),DAY(T_Stocks[[#This Row],[Fecha]]))</f>
        <v>MSFT-45226</v>
      </c>
    </row>
    <row r="4848" spans="1:4" ht="14.65" thickBot="1" x14ac:dyDescent="0.5">
      <c r="A4848" s="17">
        <v>45229.666666666664</v>
      </c>
      <c r="B4848" s="19">
        <v>337.31</v>
      </c>
      <c r="C4848" t="s">
        <v>41</v>
      </c>
      <c r="D4848" t="str">
        <f>T_Stocks[[#This Row],[Ticker]] &amp; "-" &amp; DATE(YEAR(T_Stocks[[#This Row],[Fecha]]),MONTH(T_Stocks[[#This Row],[Fecha]]),DAY(T_Stocks[[#This Row],[Fecha]]))</f>
        <v>MSFT-45229</v>
      </c>
    </row>
    <row r="4849" spans="1:4" ht="14.65" thickBot="1" x14ac:dyDescent="0.5">
      <c r="A4849" s="17">
        <v>45230.666666666664</v>
      </c>
      <c r="B4849" s="19">
        <v>338.11</v>
      </c>
      <c r="C4849" t="s">
        <v>41</v>
      </c>
      <c r="D4849" t="str">
        <f>T_Stocks[[#This Row],[Ticker]] &amp; "-" &amp; DATE(YEAR(T_Stocks[[#This Row],[Fecha]]),MONTH(T_Stocks[[#This Row],[Fecha]]),DAY(T_Stocks[[#This Row],[Fecha]]))</f>
        <v>MSFT-45230</v>
      </c>
    </row>
    <row r="4850" spans="1:4" ht="14.65" thickBot="1" x14ac:dyDescent="0.5">
      <c r="A4850" s="17">
        <v>45231.666666666664</v>
      </c>
      <c r="B4850" s="19">
        <v>346.07</v>
      </c>
      <c r="C4850" t="s">
        <v>41</v>
      </c>
      <c r="D4850" t="str">
        <f>T_Stocks[[#This Row],[Ticker]] &amp; "-" &amp; DATE(YEAR(T_Stocks[[#This Row],[Fecha]]),MONTH(T_Stocks[[#This Row],[Fecha]]),DAY(T_Stocks[[#This Row],[Fecha]]))</f>
        <v>MSFT-45231</v>
      </c>
    </row>
    <row r="4851" spans="1:4" ht="14.65" thickBot="1" x14ac:dyDescent="0.5">
      <c r="A4851" s="17">
        <v>45232.666666666664</v>
      </c>
      <c r="B4851" s="19">
        <v>348.32</v>
      </c>
      <c r="C4851" t="s">
        <v>41</v>
      </c>
      <c r="D4851" t="str">
        <f>T_Stocks[[#This Row],[Ticker]] &amp; "-" &amp; DATE(YEAR(T_Stocks[[#This Row],[Fecha]]),MONTH(T_Stocks[[#This Row],[Fecha]]),DAY(T_Stocks[[#This Row],[Fecha]]))</f>
        <v>MSFT-45232</v>
      </c>
    </row>
    <row r="4852" spans="1:4" ht="14.65" thickBot="1" x14ac:dyDescent="0.5">
      <c r="A4852" s="17">
        <v>45233.666666666664</v>
      </c>
      <c r="B4852" s="19">
        <v>352.8</v>
      </c>
      <c r="C4852" t="s">
        <v>41</v>
      </c>
      <c r="D4852" t="str">
        <f>T_Stocks[[#This Row],[Ticker]] &amp; "-" &amp; DATE(YEAR(T_Stocks[[#This Row],[Fecha]]),MONTH(T_Stocks[[#This Row],[Fecha]]),DAY(T_Stocks[[#This Row],[Fecha]]))</f>
        <v>MSFT-45233</v>
      </c>
    </row>
    <row r="4853" spans="1:4" ht="14.65" thickBot="1" x14ac:dyDescent="0.5">
      <c r="A4853" s="17">
        <v>45236.666666666664</v>
      </c>
      <c r="B4853" s="19">
        <v>356.53</v>
      </c>
      <c r="C4853" t="s">
        <v>41</v>
      </c>
      <c r="D4853" t="str">
        <f>T_Stocks[[#This Row],[Ticker]] &amp; "-" &amp; DATE(YEAR(T_Stocks[[#This Row],[Fecha]]),MONTH(T_Stocks[[#This Row],[Fecha]]),DAY(T_Stocks[[#This Row],[Fecha]]))</f>
        <v>MSFT-45236</v>
      </c>
    </row>
    <row r="4854" spans="1:4" ht="14.65" thickBot="1" x14ac:dyDescent="0.5">
      <c r="A4854" s="17">
        <v>45237.666666666664</v>
      </c>
      <c r="B4854" s="19">
        <v>360.53</v>
      </c>
      <c r="C4854" t="s">
        <v>41</v>
      </c>
      <c r="D4854" t="str">
        <f>T_Stocks[[#This Row],[Ticker]] &amp; "-" &amp; DATE(YEAR(T_Stocks[[#This Row],[Fecha]]),MONTH(T_Stocks[[#This Row],[Fecha]]),DAY(T_Stocks[[#This Row],[Fecha]]))</f>
        <v>MSFT-45237</v>
      </c>
    </row>
    <row r="4855" spans="1:4" ht="14.65" thickBot="1" x14ac:dyDescent="0.5">
      <c r="A4855" s="17">
        <v>45238.666666666664</v>
      </c>
      <c r="B4855" s="19">
        <v>363.2</v>
      </c>
      <c r="C4855" t="s">
        <v>41</v>
      </c>
      <c r="D4855" t="str">
        <f>T_Stocks[[#This Row],[Ticker]] &amp; "-" &amp; DATE(YEAR(T_Stocks[[#This Row],[Fecha]]),MONTH(T_Stocks[[#This Row],[Fecha]]),DAY(T_Stocks[[#This Row],[Fecha]]))</f>
        <v>MSFT-45238</v>
      </c>
    </row>
    <row r="4856" spans="1:4" ht="14.65" thickBot="1" x14ac:dyDescent="0.5">
      <c r="A4856" s="17">
        <v>45239.666666666664</v>
      </c>
      <c r="B4856" s="19">
        <v>360.69</v>
      </c>
      <c r="C4856" t="s">
        <v>41</v>
      </c>
      <c r="D4856" t="str">
        <f>T_Stocks[[#This Row],[Ticker]] &amp; "-" &amp; DATE(YEAR(T_Stocks[[#This Row],[Fecha]]),MONTH(T_Stocks[[#This Row],[Fecha]]),DAY(T_Stocks[[#This Row],[Fecha]]))</f>
        <v>MSFT-45239</v>
      </c>
    </row>
    <row r="4857" spans="1:4" ht="14.65" thickBot="1" x14ac:dyDescent="0.5">
      <c r="A4857" s="17">
        <v>45240.666666666664</v>
      </c>
      <c r="B4857" s="19">
        <v>369.67</v>
      </c>
      <c r="C4857" t="s">
        <v>41</v>
      </c>
      <c r="D4857" t="str">
        <f>T_Stocks[[#This Row],[Ticker]] &amp; "-" &amp; DATE(YEAR(T_Stocks[[#This Row],[Fecha]]),MONTH(T_Stocks[[#This Row],[Fecha]]),DAY(T_Stocks[[#This Row],[Fecha]]))</f>
        <v>MSFT-45240</v>
      </c>
    </row>
    <row r="4858" spans="1:4" ht="14.65" thickBot="1" x14ac:dyDescent="0.5">
      <c r="A4858" s="17">
        <v>45243.666666666664</v>
      </c>
      <c r="B4858" s="19">
        <v>366.68</v>
      </c>
      <c r="C4858" t="s">
        <v>41</v>
      </c>
      <c r="D4858" t="str">
        <f>T_Stocks[[#This Row],[Ticker]] &amp; "-" &amp; DATE(YEAR(T_Stocks[[#This Row],[Fecha]]),MONTH(T_Stocks[[#This Row],[Fecha]]),DAY(T_Stocks[[#This Row],[Fecha]]))</f>
        <v>MSFT-45243</v>
      </c>
    </row>
    <row r="4859" spans="1:4" ht="14.65" thickBot="1" x14ac:dyDescent="0.5">
      <c r="A4859" s="17">
        <v>45244.666666666664</v>
      </c>
      <c r="B4859" s="19">
        <v>370.27</v>
      </c>
      <c r="C4859" t="s">
        <v>41</v>
      </c>
      <c r="D4859" t="str">
        <f>T_Stocks[[#This Row],[Ticker]] &amp; "-" &amp; DATE(YEAR(T_Stocks[[#This Row],[Fecha]]),MONTH(T_Stocks[[#This Row],[Fecha]]),DAY(T_Stocks[[#This Row],[Fecha]]))</f>
        <v>MSFT-45244</v>
      </c>
    </row>
    <row r="4860" spans="1:4" ht="14.65" thickBot="1" x14ac:dyDescent="0.5">
      <c r="A4860" s="17">
        <v>45245.666666666664</v>
      </c>
      <c r="B4860" s="19">
        <v>369.67</v>
      </c>
      <c r="C4860" t="s">
        <v>41</v>
      </c>
      <c r="D4860" t="str">
        <f>T_Stocks[[#This Row],[Ticker]] &amp; "-" &amp; DATE(YEAR(T_Stocks[[#This Row],[Fecha]]),MONTH(T_Stocks[[#This Row],[Fecha]]),DAY(T_Stocks[[#This Row],[Fecha]]))</f>
        <v>MSFT-45245</v>
      </c>
    </row>
    <row r="4861" spans="1:4" ht="14.65" thickBot="1" x14ac:dyDescent="0.5">
      <c r="A4861" s="17">
        <v>45246.666666666664</v>
      </c>
      <c r="B4861" s="19">
        <v>376.17</v>
      </c>
      <c r="C4861" t="s">
        <v>41</v>
      </c>
      <c r="D4861" t="str">
        <f>T_Stocks[[#This Row],[Ticker]] &amp; "-" &amp; DATE(YEAR(T_Stocks[[#This Row],[Fecha]]),MONTH(T_Stocks[[#This Row],[Fecha]]),DAY(T_Stocks[[#This Row],[Fecha]]))</f>
        <v>MSFT-45246</v>
      </c>
    </row>
    <row r="4862" spans="1:4" ht="14.65" thickBot="1" x14ac:dyDescent="0.5">
      <c r="A4862" s="17">
        <v>45247.666666666664</v>
      </c>
      <c r="B4862" s="19">
        <v>369.85</v>
      </c>
      <c r="C4862" t="s">
        <v>41</v>
      </c>
      <c r="D4862" t="str">
        <f>T_Stocks[[#This Row],[Ticker]] &amp; "-" &amp; DATE(YEAR(T_Stocks[[#This Row],[Fecha]]),MONTH(T_Stocks[[#This Row],[Fecha]]),DAY(T_Stocks[[#This Row],[Fecha]]))</f>
        <v>MSFT-45247</v>
      </c>
    </row>
    <row r="4863" spans="1:4" ht="14.65" thickBot="1" x14ac:dyDescent="0.5">
      <c r="A4863" s="17">
        <v>45250.666666666664</v>
      </c>
      <c r="B4863" s="19">
        <v>377.44</v>
      </c>
      <c r="C4863" t="s">
        <v>41</v>
      </c>
      <c r="D4863" t="str">
        <f>T_Stocks[[#This Row],[Ticker]] &amp; "-" &amp; DATE(YEAR(T_Stocks[[#This Row],[Fecha]]),MONTH(T_Stocks[[#This Row],[Fecha]]),DAY(T_Stocks[[#This Row],[Fecha]]))</f>
        <v>MSFT-45250</v>
      </c>
    </row>
    <row r="4864" spans="1:4" ht="14.65" thickBot="1" x14ac:dyDescent="0.5">
      <c r="A4864" s="17">
        <v>45251.666666666664</v>
      </c>
      <c r="B4864" s="19">
        <v>373.07</v>
      </c>
      <c r="C4864" t="s">
        <v>41</v>
      </c>
      <c r="D4864" t="str">
        <f>T_Stocks[[#This Row],[Ticker]] &amp; "-" &amp; DATE(YEAR(T_Stocks[[#This Row],[Fecha]]),MONTH(T_Stocks[[#This Row],[Fecha]]),DAY(T_Stocks[[#This Row],[Fecha]]))</f>
        <v>MSFT-45251</v>
      </c>
    </row>
    <row r="4865" spans="1:4" ht="14.65" thickBot="1" x14ac:dyDescent="0.5">
      <c r="A4865" s="17">
        <v>45252.666666666664</v>
      </c>
      <c r="B4865" s="19">
        <v>377.85</v>
      </c>
      <c r="C4865" t="s">
        <v>41</v>
      </c>
      <c r="D4865" t="str">
        <f>T_Stocks[[#This Row],[Ticker]] &amp; "-" &amp; DATE(YEAR(T_Stocks[[#This Row],[Fecha]]),MONTH(T_Stocks[[#This Row],[Fecha]]),DAY(T_Stocks[[#This Row],[Fecha]]))</f>
        <v>MSFT-45252</v>
      </c>
    </row>
    <row r="4866" spans="1:4" ht="14.65" thickBot="1" x14ac:dyDescent="0.5">
      <c r="A4866" s="17">
        <v>45254.545138888891</v>
      </c>
      <c r="B4866" s="19">
        <v>377.43</v>
      </c>
      <c r="C4866" t="s">
        <v>41</v>
      </c>
      <c r="D4866" t="str">
        <f>T_Stocks[[#This Row],[Ticker]] &amp; "-" &amp; DATE(YEAR(T_Stocks[[#This Row],[Fecha]]),MONTH(T_Stocks[[#This Row],[Fecha]]),DAY(T_Stocks[[#This Row],[Fecha]]))</f>
        <v>MSFT-45254</v>
      </c>
    </row>
    <row r="4867" spans="1:4" ht="14.65" thickBot="1" x14ac:dyDescent="0.5">
      <c r="A4867" s="17">
        <v>45257.666666666664</v>
      </c>
      <c r="B4867" s="19">
        <v>378.61</v>
      </c>
      <c r="C4867" t="s">
        <v>41</v>
      </c>
      <c r="D4867" t="str">
        <f>T_Stocks[[#This Row],[Ticker]] &amp; "-" &amp; DATE(YEAR(T_Stocks[[#This Row],[Fecha]]),MONTH(T_Stocks[[#This Row],[Fecha]]),DAY(T_Stocks[[#This Row],[Fecha]]))</f>
        <v>MSFT-45257</v>
      </c>
    </row>
    <row r="4868" spans="1:4" ht="14.65" thickBot="1" x14ac:dyDescent="0.5">
      <c r="A4868" s="17">
        <v>45258.666666666664</v>
      </c>
      <c r="B4868" s="19">
        <v>382.7</v>
      </c>
      <c r="C4868" t="s">
        <v>41</v>
      </c>
      <c r="D4868" t="str">
        <f>T_Stocks[[#This Row],[Ticker]] &amp; "-" &amp; DATE(YEAR(T_Stocks[[#This Row],[Fecha]]),MONTH(T_Stocks[[#This Row],[Fecha]]),DAY(T_Stocks[[#This Row],[Fecha]]))</f>
        <v>MSFT-45258</v>
      </c>
    </row>
    <row r="4869" spans="1:4" ht="14.65" thickBot="1" x14ac:dyDescent="0.5">
      <c r="A4869" s="17">
        <v>45259.666666666664</v>
      </c>
      <c r="B4869" s="19">
        <v>378.85</v>
      </c>
      <c r="C4869" t="s">
        <v>41</v>
      </c>
      <c r="D4869" t="str">
        <f>T_Stocks[[#This Row],[Ticker]] &amp; "-" &amp; DATE(YEAR(T_Stocks[[#This Row],[Fecha]]),MONTH(T_Stocks[[#This Row],[Fecha]]),DAY(T_Stocks[[#This Row],[Fecha]]))</f>
        <v>MSFT-45259</v>
      </c>
    </row>
    <row r="4870" spans="1:4" ht="14.65" thickBot="1" x14ac:dyDescent="0.5">
      <c r="A4870" s="17">
        <v>45260.666666666664</v>
      </c>
      <c r="B4870" s="19">
        <v>378.91</v>
      </c>
      <c r="C4870" t="s">
        <v>41</v>
      </c>
      <c r="D4870" t="str">
        <f>T_Stocks[[#This Row],[Ticker]] &amp; "-" &amp; DATE(YEAR(T_Stocks[[#This Row],[Fecha]]),MONTH(T_Stocks[[#This Row],[Fecha]]),DAY(T_Stocks[[#This Row],[Fecha]]))</f>
        <v>MSFT-45260</v>
      </c>
    </row>
    <row r="4871" spans="1:4" ht="14.65" thickBot="1" x14ac:dyDescent="0.5">
      <c r="A4871" s="17">
        <v>45261.666666666664</v>
      </c>
      <c r="B4871" s="19">
        <v>374.51</v>
      </c>
      <c r="C4871" t="s">
        <v>41</v>
      </c>
      <c r="D4871" t="str">
        <f>T_Stocks[[#This Row],[Ticker]] &amp; "-" &amp; DATE(YEAR(T_Stocks[[#This Row],[Fecha]]),MONTH(T_Stocks[[#This Row],[Fecha]]),DAY(T_Stocks[[#This Row],[Fecha]]))</f>
        <v>MSFT-45261</v>
      </c>
    </row>
    <row r="4872" spans="1:4" ht="14.65" thickBot="1" x14ac:dyDescent="0.5">
      <c r="A4872" s="17">
        <v>45264.666666666664</v>
      </c>
      <c r="B4872" s="19">
        <v>369.14</v>
      </c>
      <c r="C4872" t="s">
        <v>41</v>
      </c>
      <c r="D4872" t="str">
        <f>T_Stocks[[#This Row],[Ticker]] &amp; "-" &amp; DATE(YEAR(T_Stocks[[#This Row],[Fecha]]),MONTH(T_Stocks[[#This Row],[Fecha]]),DAY(T_Stocks[[#This Row],[Fecha]]))</f>
        <v>MSFT-45264</v>
      </c>
    </row>
    <row r="4873" spans="1:4" ht="14.65" thickBot="1" x14ac:dyDescent="0.5">
      <c r="A4873" s="17">
        <v>45265.666666666664</v>
      </c>
      <c r="B4873" s="19">
        <v>372.52</v>
      </c>
      <c r="C4873" t="s">
        <v>41</v>
      </c>
      <c r="D4873" t="str">
        <f>T_Stocks[[#This Row],[Ticker]] &amp; "-" &amp; DATE(YEAR(T_Stocks[[#This Row],[Fecha]]),MONTH(T_Stocks[[#This Row],[Fecha]]),DAY(T_Stocks[[#This Row],[Fecha]]))</f>
        <v>MSFT-45265</v>
      </c>
    </row>
    <row r="4874" spans="1:4" ht="14.65" thickBot="1" x14ac:dyDescent="0.5">
      <c r="A4874" s="17">
        <v>45266.666666666664</v>
      </c>
      <c r="B4874" s="19">
        <v>368.8</v>
      </c>
      <c r="C4874" t="s">
        <v>41</v>
      </c>
      <c r="D4874" t="str">
        <f>T_Stocks[[#This Row],[Ticker]] &amp; "-" &amp; DATE(YEAR(T_Stocks[[#This Row],[Fecha]]),MONTH(T_Stocks[[#This Row],[Fecha]]),DAY(T_Stocks[[#This Row],[Fecha]]))</f>
        <v>MSFT-45266</v>
      </c>
    </row>
    <row r="4875" spans="1:4" ht="14.65" thickBot="1" x14ac:dyDescent="0.5">
      <c r="A4875" s="17">
        <v>45267.666666666664</v>
      </c>
      <c r="B4875" s="19">
        <v>370.95</v>
      </c>
      <c r="C4875" t="s">
        <v>41</v>
      </c>
      <c r="D4875" t="str">
        <f>T_Stocks[[#This Row],[Ticker]] &amp; "-" &amp; DATE(YEAR(T_Stocks[[#This Row],[Fecha]]),MONTH(T_Stocks[[#This Row],[Fecha]]),DAY(T_Stocks[[#This Row],[Fecha]]))</f>
        <v>MSFT-45267</v>
      </c>
    </row>
    <row r="4876" spans="1:4" ht="14.65" thickBot="1" x14ac:dyDescent="0.5">
      <c r="A4876" s="17">
        <v>45268.666666666664</v>
      </c>
      <c r="B4876" s="19">
        <v>374.23</v>
      </c>
      <c r="C4876" t="s">
        <v>41</v>
      </c>
      <c r="D4876" t="str">
        <f>T_Stocks[[#This Row],[Ticker]] &amp; "-" &amp; DATE(YEAR(T_Stocks[[#This Row],[Fecha]]),MONTH(T_Stocks[[#This Row],[Fecha]]),DAY(T_Stocks[[#This Row],[Fecha]]))</f>
        <v>MSFT-45268</v>
      </c>
    </row>
    <row r="4877" spans="1:4" ht="14.65" thickBot="1" x14ac:dyDescent="0.5">
      <c r="A4877" s="17">
        <v>45271.666666666664</v>
      </c>
      <c r="B4877" s="19">
        <v>371.3</v>
      </c>
      <c r="C4877" t="s">
        <v>41</v>
      </c>
      <c r="D4877" t="str">
        <f>T_Stocks[[#This Row],[Ticker]] &amp; "-" &amp; DATE(YEAR(T_Stocks[[#This Row],[Fecha]]),MONTH(T_Stocks[[#This Row],[Fecha]]),DAY(T_Stocks[[#This Row],[Fecha]]))</f>
        <v>MSFT-45271</v>
      </c>
    </row>
    <row r="4878" spans="1:4" ht="14.65" thickBot="1" x14ac:dyDescent="0.5">
      <c r="A4878" s="17">
        <v>45272.666666666664</v>
      </c>
      <c r="B4878" s="19">
        <v>374.38</v>
      </c>
      <c r="C4878" t="s">
        <v>41</v>
      </c>
      <c r="D4878" t="str">
        <f>T_Stocks[[#This Row],[Ticker]] &amp; "-" &amp; DATE(YEAR(T_Stocks[[#This Row],[Fecha]]),MONTH(T_Stocks[[#This Row],[Fecha]]),DAY(T_Stocks[[#This Row],[Fecha]]))</f>
        <v>MSFT-45272</v>
      </c>
    </row>
    <row r="4879" spans="1:4" ht="14.65" thickBot="1" x14ac:dyDescent="0.5">
      <c r="A4879" s="17">
        <v>45273.666666666664</v>
      </c>
      <c r="B4879" s="19">
        <v>374.37</v>
      </c>
      <c r="C4879" t="s">
        <v>41</v>
      </c>
      <c r="D4879" t="str">
        <f>T_Stocks[[#This Row],[Ticker]] &amp; "-" &amp; DATE(YEAR(T_Stocks[[#This Row],[Fecha]]),MONTH(T_Stocks[[#This Row],[Fecha]]),DAY(T_Stocks[[#This Row],[Fecha]]))</f>
        <v>MSFT-45273</v>
      </c>
    </row>
    <row r="4880" spans="1:4" ht="14.65" thickBot="1" x14ac:dyDescent="0.5">
      <c r="A4880" s="17">
        <v>45274.666666666664</v>
      </c>
      <c r="B4880" s="19">
        <v>365.93</v>
      </c>
      <c r="C4880" t="s">
        <v>41</v>
      </c>
      <c r="D4880" t="str">
        <f>T_Stocks[[#This Row],[Ticker]] &amp; "-" &amp; DATE(YEAR(T_Stocks[[#This Row],[Fecha]]),MONTH(T_Stocks[[#This Row],[Fecha]]),DAY(T_Stocks[[#This Row],[Fecha]]))</f>
        <v>MSFT-45274</v>
      </c>
    </row>
    <row r="4881" spans="1:4" ht="14.65" thickBot="1" x14ac:dyDescent="0.5">
      <c r="A4881" s="17">
        <v>45275.666666666664</v>
      </c>
      <c r="B4881" s="19">
        <v>370.73</v>
      </c>
      <c r="C4881" t="s">
        <v>41</v>
      </c>
      <c r="D4881" t="str">
        <f>T_Stocks[[#This Row],[Ticker]] &amp; "-" &amp; DATE(YEAR(T_Stocks[[#This Row],[Fecha]]),MONTH(T_Stocks[[#This Row],[Fecha]]),DAY(T_Stocks[[#This Row],[Fecha]]))</f>
        <v>MSFT-45275</v>
      </c>
    </row>
    <row r="4882" spans="1:4" ht="14.65" thickBot="1" x14ac:dyDescent="0.5">
      <c r="A4882" s="17">
        <v>45278.666666666664</v>
      </c>
      <c r="B4882" s="19">
        <v>372.65</v>
      </c>
      <c r="C4882" t="s">
        <v>41</v>
      </c>
      <c r="D4882" t="str">
        <f>T_Stocks[[#This Row],[Ticker]] &amp; "-" &amp; DATE(YEAR(T_Stocks[[#This Row],[Fecha]]),MONTH(T_Stocks[[#This Row],[Fecha]]),DAY(T_Stocks[[#This Row],[Fecha]]))</f>
        <v>MSFT-45278</v>
      </c>
    </row>
    <row r="4883" spans="1:4" ht="14.65" thickBot="1" x14ac:dyDescent="0.5">
      <c r="A4883" s="17">
        <v>45279.666666666664</v>
      </c>
      <c r="B4883" s="19">
        <v>373.26</v>
      </c>
      <c r="C4883" t="s">
        <v>41</v>
      </c>
      <c r="D4883" t="str">
        <f>T_Stocks[[#This Row],[Ticker]] &amp; "-" &amp; DATE(YEAR(T_Stocks[[#This Row],[Fecha]]),MONTH(T_Stocks[[#This Row],[Fecha]]),DAY(T_Stocks[[#This Row],[Fecha]]))</f>
        <v>MSFT-45279</v>
      </c>
    </row>
    <row r="4884" spans="1:4" ht="14.65" thickBot="1" x14ac:dyDescent="0.5">
      <c r="A4884" s="17">
        <v>45280.666666666664</v>
      </c>
      <c r="B4884" s="19">
        <v>370.62</v>
      </c>
      <c r="C4884" t="s">
        <v>41</v>
      </c>
      <c r="D4884" t="str">
        <f>T_Stocks[[#This Row],[Ticker]] &amp; "-" &amp; DATE(YEAR(T_Stocks[[#This Row],[Fecha]]),MONTH(T_Stocks[[#This Row],[Fecha]]),DAY(T_Stocks[[#This Row],[Fecha]]))</f>
        <v>MSFT-45280</v>
      </c>
    </row>
    <row r="4885" spans="1:4" ht="14.65" thickBot="1" x14ac:dyDescent="0.5">
      <c r="A4885" s="17">
        <v>45281.666666666664</v>
      </c>
      <c r="B4885" s="19">
        <v>373.54</v>
      </c>
      <c r="C4885" t="s">
        <v>41</v>
      </c>
      <c r="D4885" t="str">
        <f>T_Stocks[[#This Row],[Ticker]] &amp; "-" &amp; DATE(YEAR(T_Stocks[[#This Row],[Fecha]]),MONTH(T_Stocks[[#This Row],[Fecha]]),DAY(T_Stocks[[#This Row],[Fecha]]))</f>
        <v>MSFT-45281</v>
      </c>
    </row>
    <row r="4886" spans="1:4" ht="14.65" thickBot="1" x14ac:dyDescent="0.5">
      <c r="A4886" s="17">
        <v>45282.666666666664</v>
      </c>
      <c r="B4886" s="19">
        <v>374.58</v>
      </c>
      <c r="C4886" t="s">
        <v>41</v>
      </c>
      <c r="D4886" t="str">
        <f>T_Stocks[[#This Row],[Ticker]] &amp; "-" &amp; DATE(YEAR(T_Stocks[[#This Row],[Fecha]]),MONTH(T_Stocks[[#This Row],[Fecha]]),DAY(T_Stocks[[#This Row],[Fecha]]))</f>
        <v>MSFT-45282</v>
      </c>
    </row>
    <row r="4887" spans="1:4" ht="14.65" thickBot="1" x14ac:dyDescent="0.5">
      <c r="A4887" s="17">
        <v>45286.666666666664</v>
      </c>
      <c r="B4887" s="19">
        <v>374.66</v>
      </c>
      <c r="C4887" t="s">
        <v>41</v>
      </c>
      <c r="D4887" t="str">
        <f>T_Stocks[[#This Row],[Ticker]] &amp; "-" &amp; DATE(YEAR(T_Stocks[[#This Row],[Fecha]]),MONTH(T_Stocks[[#This Row],[Fecha]]),DAY(T_Stocks[[#This Row],[Fecha]]))</f>
        <v>MSFT-45286</v>
      </c>
    </row>
    <row r="4888" spans="1:4" ht="14.65" thickBot="1" x14ac:dyDescent="0.5">
      <c r="A4888" s="17">
        <v>45287.666666666664</v>
      </c>
      <c r="B4888" s="19">
        <v>374.07</v>
      </c>
      <c r="C4888" t="s">
        <v>41</v>
      </c>
      <c r="D4888" t="str">
        <f>T_Stocks[[#This Row],[Ticker]] &amp; "-" &amp; DATE(YEAR(T_Stocks[[#This Row],[Fecha]]),MONTH(T_Stocks[[#This Row],[Fecha]]),DAY(T_Stocks[[#This Row],[Fecha]]))</f>
        <v>MSFT-45287</v>
      </c>
    </row>
    <row r="4889" spans="1:4" ht="14.65" thickBot="1" x14ac:dyDescent="0.5">
      <c r="A4889" s="17">
        <v>45288.666666666664</v>
      </c>
      <c r="B4889" s="19">
        <v>375.28</v>
      </c>
      <c r="C4889" t="s">
        <v>41</v>
      </c>
      <c r="D4889" t="str">
        <f>T_Stocks[[#This Row],[Ticker]] &amp; "-" &amp; DATE(YEAR(T_Stocks[[#This Row],[Fecha]]),MONTH(T_Stocks[[#This Row],[Fecha]]),DAY(T_Stocks[[#This Row],[Fecha]]))</f>
        <v>MSFT-45288</v>
      </c>
    </row>
    <row r="4890" spans="1:4" ht="14.65" thickBot="1" x14ac:dyDescent="0.5">
      <c r="A4890" s="17">
        <v>45289.666666666664</v>
      </c>
      <c r="B4890" s="19">
        <v>376.04</v>
      </c>
      <c r="C4890" t="s">
        <v>41</v>
      </c>
      <c r="D4890" t="str">
        <f>T_Stocks[[#This Row],[Ticker]] &amp; "-" &amp; DATE(YEAR(T_Stocks[[#This Row],[Fecha]]),MONTH(T_Stocks[[#This Row],[Fecha]]),DAY(T_Stocks[[#This Row],[Fecha]]))</f>
        <v>MSFT-45289</v>
      </c>
    </row>
    <row r="4891" spans="1:4" ht="14.65" thickBot="1" x14ac:dyDescent="0.5">
      <c r="A4891" s="17">
        <v>45293.666666666664</v>
      </c>
      <c r="B4891" s="19">
        <v>370.87</v>
      </c>
      <c r="C4891" t="s">
        <v>41</v>
      </c>
      <c r="D4891" t="str">
        <f>T_Stocks[[#This Row],[Ticker]] &amp; "-" &amp; DATE(YEAR(T_Stocks[[#This Row],[Fecha]]),MONTH(T_Stocks[[#This Row],[Fecha]]),DAY(T_Stocks[[#This Row],[Fecha]]))</f>
        <v>MSFT-45293</v>
      </c>
    </row>
    <row r="4892" spans="1:4" ht="14.65" thickBot="1" x14ac:dyDescent="0.5">
      <c r="A4892" s="17">
        <v>45294.666666666664</v>
      </c>
      <c r="B4892" s="19">
        <v>370.6</v>
      </c>
      <c r="C4892" t="s">
        <v>41</v>
      </c>
      <c r="D4892" t="str">
        <f>T_Stocks[[#This Row],[Ticker]] &amp; "-" &amp; DATE(YEAR(T_Stocks[[#This Row],[Fecha]]),MONTH(T_Stocks[[#This Row],[Fecha]]),DAY(T_Stocks[[#This Row],[Fecha]]))</f>
        <v>MSFT-45294</v>
      </c>
    </row>
    <row r="4893" spans="1:4" ht="14.65" thickBot="1" x14ac:dyDescent="0.5">
      <c r="A4893" s="17">
        <v>45295.666666666664</v>
      </c>
      <c r="B4893" s="19">
        <v>367.94</v>
      </c>
      <c r="C4893" t="s">
        <v>41</v>
      </c>
      <c r="D4893" t="str">
        <f>T_Stocks[[#This Row],[Ticker]] &amp; "-" &amp; DATE(YEAR(T_Stocks[[#This Row],[Fecha]]),MONTH(T_Stocks[[#This Row],[Fecha]]),DAY(T_Stocks[[#This Row],[Fecha]]))</f>
        <v>MSFT-45295</v>
      </c>
    </row>
    <row r="4894" spans="1:4" ht="14.65" thickBot="1" x14ac:dyDescent="0.5">
      <c r="A4894" s="17">
        <v>45296.666666666664</v>
      </c>
      <c r="B4894" s="19">
        <v>367.75</v>
      </c>
      <c r="C4894" t="s">
        <v>41</v>
      </c>
      <c r="D4894" t="str">
        <f>T_Stocks[[#This Row],[Ticker]] &amp; "-" &amp; DATE(YEAR(T_Stocks[[#This Row],[Fecha]]),MONTH(T_Stocks[[#This Row],[Fecha]]),DAY(T_Stocks[[#This Row],[Fecha]]))</f>
        <v>MSFT-45296</v>
      </c>
    </row>
    <row r="4895" spans="1:4" ht="14.65" thickBot="1" x14ac:dyDescent="0.5">
      <c r="A4895" s="17">
        <v>45299.666666666664</v>
      </c>
      <c r="B4895" s="19">
        <v>374.69</v>
      </c>
      <c r="C4895" t="s">
        <v>41</v>
      </c>
      <c r="D4895" t="str">
        <f>T_Stocks[[#This Row],[Ticker]] &amp; "-" &amp; DATE(YEAR(T_Stocks[[#This Row],[Fecha]]),MONTH(T_Stocks[[#This Row],[Fecha]]),DAY(T_Stocks[[#This Row],[Fecha]]))</f>
        <v>MSFT-45299</v>
      </c>
    </row>
    <row r="4896" spans="1:4" ht="14.65" thickBot="1" x14ac:dyDescent="0.5">
      <c r="A4896" s="17">
        <v>45300.666666666664</v>
      </c>
      <c r="B4896" s="19">
        <v>375.79</v>
      </c>
      <c r="C4896" t="s">
        <v>41</v>
      </c>
      <c r="D4896" t="str">
        <f>T_Stocks[[#This Row],[Ticker]] &amp; "-" &amp; DATE(YEAR(T_Stocks[[#This Row],[Fecha]]),MONTH(T_Stocks[[#This Row],[Fecha]]),DAY(T_Stocks[[#This Row],[Fecha]]))</f>
        <v>MSFT-45300</v>
      </c>
    </row>
    <row r="4897" spans="1:4" ht="14.65" thickBot="1" x14ac:dyDescent="0.5">
      <c r="A4897" s="17">
        <v>45301.666666666664</v>
      </c>
      <c r="B4897" s="19">
        <v>382.77</v>
      </c>
      <c r="C4897" t="s">
        <v>41</v>
      </c>
      <c r="D4897" t="str">
        <f>T_Stocks[[#This Row],[Ticker]] &amp; "-" &amp; DATE(YEAR(T_Stocks[[#This Row],[Fecha]]),MONTH(T_Stocks[[#This Row],[Fecha]]),DAY(T_Stocks[[#This Row],[Fecha]]))</f>
        <v>MSFT-45301</v>
      </c>
    </row>
    <row r="4898" spans="1:4" ht="14.65" thickBot="1" x14ac:dyDescent="0.5">
      <c r="A4898" s="17">
        <v>45302.666666666664</v>
      </c>
      <c r="B4898" s="19">
        <v>384.63</v>
      </c>
      <c r="C4898" t="s">
        <v>41</v>
      </c>
      <c r="D4898" t="str">
        <f>T_Stocks[[#This Row],[Ticker]] &amp; "-" &amp; DATE(YEAR(T_Stocks[[#This Row],[Fecha]]),MONTH(T_Stocks[[#This Row],[Fecha]]),DAY(T_Stocks[[#This Row],[Fecha]]))</f>
        <v>MSFT-45302</v>
      </c>
    </row>
    <row r="4899" spans="1:4" ht="14.65" thickBot="1" x14ac:dyDescent="0.5">
      <c r="A4899" s="17">
        <v>45303.666666666664</v>
      </c>
      <c r="B4899" s="19">
        <v>388.47</v>
      </c>
      <c r="C4899" t="s">
        <v>41</v>
      </c>
      <c r="D4899" t="str">
        <f>T_Stocks[[#This Row],[Ticker]] &amp; "-" &amp; DATE(YEAR(T_Stocks[[#This Row],[Fecha]]),MONTH(T_Stocks[[#This Row],[Fecha]]),DAY(T_Stocks[[#This Row],[Fecha]]))</f>
        <v>MSFT-45303</v>
      </c>
    </row>
    <row r="4900" spans="1:4" ht="14.65" thickBot="1" x14ac:dyDescent="0.5">
      <c r="A4900" s="17">
        <v>45307.666666666664</v>
      </c>
      <c r="B4900" s="19">
        <v>390.27</v>
      </c>
      <c r="C4900" t="s">
        <v>41</v>
      </c>
      <c r="D4900" t="str">
        <f>T_Stocks[[#This Row],[Ticker]] &amp; "-" &amp; DATE(YEAR(T_Stocks[[#This Row],[Fecha]]),MONTH(T_Stocks[[#This Row],[Fecha]]),DAY(T_Stocks[[#This Row],[Fecha]]))</f>
        <v>MSFT-45307</v>
      </c>
    </row>
    <row r="4901" spans="1:4" ht="14.65" thickBot="1" x14ac:dyDescent="0.5">
      <c r="A4901" s="17">
        <v>45308.666666666664</v>
      </c>
      <c r="B4901" s="19">
        <v>389.47</v>
      </c>
      <c r="C4901" t="s">
        <v>41</v>
      </c>
      <c r="D4901" t="str">
        <f>T_Stocks[[#This Row],[Ticker]] &amp; "-" &amp; DATE(YEAR(T_Stocks[[#This Row],[Fecha]]),MONTH(T_Stocks[[#This Row],[Fecha]]),DAY(T_Stocks[[#This Row],[Fecha]]))</f>
        <v>MSFT-45308</v>
      </c>
    </row>
    <row r="4902" spans="1:4" ht="14.65" thickBot="1" x14ac:dyDescent="0.5">
      <c r="A4902" s="17">
        <v>45309.666666666664</v>
      </c>
      <c r="B4902" s="19">
        <v>393.87</v>
      </c>
      <c r="C4902" t="s">
        <v>41</v>
      </c>
      <c r="D4902" t="str">
        <f>T_Stocks[[#This Row],[Ticker]] &amp; "-" &amp; DATE(YEAR(T_Stocks[[#This Row],[Fecha]]),MONTH(T_Stocks[[#This Row],[Fecha]]),DAY(T_Stocks[[#This Row],[Fecha]]))</f>
        <v>MSFT-45309</v>
      </c>
    </row>
    <row r="4903" spans="1:4" ht="14.65" thickBot="1" x14ac:dyDescent="0.5">
      <c r="A4903" s="17">
        <v>45310.666666666664</v>
      </c>
      <c r="B4903" s="19">
        <v>398.67</v>
      </c>
      <c r="C4903" t="s">
        <v>41</v>
      </c>
      <c r="D4903" t="str">
        <f>T_Stocks[[#This Row],[Ticker]] &amp; "-" &amp; DATE(YEAR(T_Stocks[[#This Row],[Fecha]]),MONTH(T_Stocks[[#This Row],[Fecha]]),DAY(T_Stocks[[#This Row],[Fecha]]))</f>
        <v>MSFT-45310</v>
      </c>
    </row>
    <row r="4904" spans="1:4" ht="14.65" thickBot="1" x14ac:dyDescent="0.5">
      <c r="A4904" s="17">
        <v>45313.666666666664</v>
      </c>
      <c r="B4904" s="19">
        <v>396.51</v>
      </c>
      <c r="C4904" t="s">
        <v>41</v>
      </c>
      <c r="D4904" t="str">
        <f>T_Stocks[[#This Row],[Ticker]] &amp; "-" &amp; DATE(YEAR(T_Stocks[[#This Row],[Fecha]]),MONTH(T_Stocks[[#This Row],[Fecha]]),DAY(T_Stocks[[#This Row],[Fecha]]))</f>
        <v>MSFT-45313</v>
      </c>
    </row>
    <row r="4905" spans="1:4" ht="14.65" thickBot="1" x14ac:dyDescent="0.5">
      <c r="A4905" s="17">
        <v>45314.666666666664</v>
      </c>
      <c r="B4905" s="19">
        <v>398.9</v>
      </c>
      <c r="C4905" t="s">
        <v>41</v>
      </c>
      <c r="D4905" t="str">
        <f>T_Stocks[[#This Row],[Ticker]] &amp; "-" &amp; DATE(YEAR(T_Stocks[[#This Row],[Fecha]]),MONTH(T_Stocks[[#This Row],[Fecha]]),DAY(T_Stocks[[#This Row],[Fecha]]))</f>
        <v>MSFT-45314</v>
      </c>
    </row>
    <row r="4906" spans="1:4" ht="14.65" thickBot="1" x14ac:dyDescent="0.5">
      <c r="A4906" s="17">
        <v>45315.666666666664</v>
      </c>
      <c r="B4906" s="19">
        <v>402.56</v>
      </c>
      <c r="C4906" t="s">
        <v>41</v>
      </c>
      <c r="D4906" t="str">
        <f>T_Stocks[[#This Row],[Ticker]] &amp; "-" &amp; DATE(YEAR(T_Stocks[[#This Row],[Fecha]]),MONTH(T_Stocks[[#This Row],[Fecha]]),DAY(T_Stocks[[#This Row],[Fecha]]))</f>
        <v>MSFT-45315</v>
      </c>
    </row>
    <row r="4907" spans="1:4" ht="14.65" thickBot="1" x14ac:dyDescent="0.5">
      <c r="A4907" s="17">
        <v>45316.666666666664</v>
      </c>
      <c r="B4907" s="19">
        <v>404.87</v>
      </c>
      <c r="C4907" t="s">
        <v>41</v>
      </c>
      <c r="D4907" t="str">
        <f>T_Stocks[[#This Row],[Ticker]] &amp; "-" &amp; DATE(YEAR(T_Stocks[[#This Row],[Fecha]]),MONTH(T_Stocks[[#This Row],[Fecha]]),DAY(T_Stocks[[#This Row],[Fecha]]))</f>
        <v>MSFT-45316</v>
      </c>
    </row>
    <row r="4908" spans="1:4" ht="14.65" thickBot="1" x14ac:dyDescent="0.5">
      <c r="A4908" s="17">
        <v>45317.666666666664</v>
      </c>
      <c r="B4908" s="19">
        <v>403.93</v>
      </c>
      <c r="C4908" t="s">
        <v>41</v>
      </c>
      <c r="D4908" t="str">
        <f>T_Stocks[[#This Row],[Ticker]] &amp; "-" &amp; DATE(YEAR(T_Stocks[[#This Row],[Fecha]]),MONTH(T_Stocks[[#This Row],[Fecha]]),DAY(T_Stocks[[#This Row],[Fecha]]))</f>
        <v>MSFT-45317</v>
      </c>
    </row>
    <row r="4909" spans="1:4" ht="14.65" thickBot="1" x14ac:dyDescent="0.5">
      <c r="A4909" s="17">
        <v>45320.666666666664</v>
      </c>
      <c r="B4909" s="19">
        <v>409.72</v>
      </c>
      <c r="C4909" t="s">
        <v>41</v>
      </c>
      <c r="D4909" t="str">
        <f>T_Stocks[[#This Row],[Ticker]] &amp; "-" &amp; DATE(YEAR(T_Stocks[[#This Row],[Fecha]]),MONTH(T_Stocks[[#This Row],[Fecha]]),DAY(T_Stocks[[#This Row],[Fecha]]))</f>
        <v>MSFT-45320</v>
      </c>
    </row>
    <row r="4910" spans="1:4" ht="14.65" thickBot="1" x14ac:dyDescent="0.5">
      <c r="A4910" s="17">
        <v>45321.666666666664</v>
      </c>
      <c r="B4910" s="19">
        <v>408.59</v>
      </c>
      <c r="C4910" t="s">
        <v>41</v>
      </c>
      <c r="D4910" t="str">
        <f>T_Stocks[[#This Row],[Ticker]] &amp; "-" &amp; DATE(YEAR(T_Stocks[[#This Row],[Fecha]]),MONTH(T_Stocks[[#This Row],[Fecha]]),DAY(T_Stocks[[#This Row],[Fecha]]))</f>
        <v>MSFT-45321</v>
      </c>
    </row>
    <row r="4911" spans="1:4" ht="14.65" thickBot="1" x14ac:dyDescent="0.5">
      <c r="A4911" s="17">
        <v>45322.666666666664</v>
      </c>
      <c r="B4911" s="19">
        <v>397.58</v>
      </c>
      <c r="C4911" t="s">
        <v>41</v>
      </c>
      <c r="D4911" t="str">
        <f>T_Stocks[[#This Row],[Ticker]] &amp; "-" &amp; DATE(YEAR(T_Stocks[[#This Row],[Fecha]]),MONTH(T_Stocks[[#This Row],[Fecha]]),DAY(T_Stocks[[#This Row],[Fecha]]))</f>
        <v>MSFT-45322</v>
      </c>
    </row>
    <row r="4912" spans="1:4" ht="14.65" thickBot="1" x14ac:dyDescent="0.5">
      <c r="A4912" s="17">
        <v>45323.666666666664</v>
      </c>
      <c r="B4912" s="19">
        <v>403.78</v>
      </c>
      <c r="C4912" t="s">
        <v>41</v>
      </c>
      <c r="D4912" t="str">
        <f>T_Stocks[[#This Row],[Ticker]] &amp; "-" &amp; DATE(YEAR(T_Stocks[[#This Row],[Fecha]]),MONTH(T_Stocks[[#This Row],[Fecha]]),DAY(T_Stocks[[#This Row],[Fecha]]))</f>
        <v>MSFT-45323</v>
      </c>
    </row>
    <row r="4913" spans="1:4" ht="14.65" thickBot="1" x14ac:dyDescent="0.5">
      <c r="A4913" s="17">
        <v>45324.666666666664</v>
      </c>
      <c r="B4913" s="19">
        <v>411.22</v>
      </c>
      <c r="C4913" t="s">
        <v>41</v>
      </c>
      <c r="D4913" t="str">
        <f>T_Stocks[[#This Row],[Ticker]] &amp; "-" &amp; DATE(YEAR(T_Stocks[[#This Row],[Fecha]]),MONTH(T_Stocks[[#This Row],[Fecha]]),DAY(T_Stocks[[#This Row],[Fecha]]))</f>
        <v>MSFT-45324</v>
      </c>
    </row>
    <row r="4914" spans="1:4" ht="14.65" thickBot="1" x14ac:dyDescent="0.5">
      <c r="A4914" s="17">
        <v>45327.666666666664</v>
      </c>
      <c r="B4914" s="19">
        <v>405.65</v>
      </c>
      <c r="C4914" t="s">
        <v>41</v>
      </c>
      <c r="D4914" t="str">
        <f>T_Stocks[[#This Row],[Ticker]] &amp; "-" &amp; DATE(YEAR(T_Stocks[[#This Row],[Fecha]]),MONTH(T_Stocks[[#This Row],[Fecha]]),DAY(T_Stocks[[#This Row],[Fecha]]))</f>
        <v>MSFT-45327</v>
      </c>
    </row>
    <row r="4915" spans="1:4" ht="14.65" thickBot="1" x14ac:dyDescent="0.5">
      <c r="A4915" s="17">
        <v>45328.666666666664</v>
      </c>
      <c r="B4915" s="19">
        <v>405.49</v>
      </c>
      <c r="C4915" t="s">
        <v>41</v>
      </c>
      <c r="D4915" t="str">
        <f>T_Stocks[[#This Row],[Ticker]] &amp; "-" &amp; DATE(YEAR(T_Stocks[[#This Row],[Fecha]]),MONTH(T_Stocks[[#This Row],[Fecha]]),DAY(T_Stocks[[#This Row],[Fecha]]))</f>
        <v>MSFT-45328</v>
      </c>
    </row>
    <row r="4916" spans="1:4" ht="14.65" thickBot="1" x14ac:dyDescent="0.5">
      <c r="A4916" s="17">
        <v>45329.666666666664</v>
      </c>
      <c r="B4916" s="19">
        <v>414.05</v>
      </c>
      <c r="C4916" t="s">
        <v>41</v>
      </c>
      <c r="D4916" t="str">
        <f>T_Stocks[[#This Row],[Ticker]] &amp; "-" &amp; DATE(YEAR(T_Stocks[[#This Row],[Fecha]]),MONTH(T_Stocks[[#This Row],[Fecha]]),DAY(T_Stocks[[#This Row],[Fecha]]))</f>
        <v>MSFT-45329</v>
      </c>
    </row>
    <row r="4917" spans="1:4" ht="14.65" thickBot="1" x14ac:dyDescent="0.5">
      <c r="A4917" s="17">
        <v>45330.666666666664</v>
      </c>
      <c r="B4917" s="19">
        <v>414.11</v>
      </c>
      <c r="C4917" t="s">
        <v>41</v>
      </c>
      <c r="D4917" t="str">
        <f>T_Stocks[[#This Row],[Ticker]] &amp; "-" &amp; DATE(YEAR(T_Stocks[[#This Row],[Fecha]]),MONTH(T_Stocks[[#This Row],[Fecha]]),DAY(T_Stocks[[#This Row],[Fecha]]))</f>
        <v>MSFT-45330</v>
      </c>
    </row>
    <row r="4918" spans="1:4" ht="14.65" thickBot="1" x14ac:dyDescent="0.5">
      <c r="A4918" s="17">
        <v>45331.666666666664</v>
      </c>
      <c r="B4918" s="19">
        <v>420.55</v>
      </c>
      <c r="C4918" t="s">
        <v>41</v>
      </c>
      <c r="D4918" t="str">
        <f>T_Stocks[[#This Row],[Ticker]] &amp; "-" &amp; DATE(YEAR(T_Stocks[[#This Row],[Fecha]]),MONTH(T_Stocks[[#This Row],[Fecha]]),DAY(T_Stocks[[#This Row],[Fecha]]))</f>
        <v>MSFT-45331</v>
      </c>
    </row>
    <row r="4919" spans="1:4" ht="14.65" thickBot="1" x14ac:dyDescent="0.5">
      <c r="A4919" s="17">
        <v>45334.666666666664</v>
      </c>
      <c r="B4919" s="19">
        <v>415.26</v>
      </c>
      <c r="C4919" t="s">
        <v>41</v>
      </c>
      <c r="D4919" t="str">
        <f>T_Stocks[[#This Row],[Ticker]] &amp; "-" &amp; DATE(YEAR(T_Stocks[[#This Row],[Fecha]]),MONTH(T_Stocks[[#This Row],[Fecha]]),DAY(T_Stocks[[#This Row],[Fecha]]))</f>
        <v>MSFT-45334</v>
      </c>
    </row>
    <row r="4920" spans="1:4" ht="14.65" thickBot="1" x14ac:dyDescent="0.5">
      <c r="A4920" s="17">
        <v>45335.666666666664</v>
      </c>
      <c r="B4920" s="19">
        <v>406.32</v>
      </c>
      <c r="C4920" t="s">
        <v>41</v>
      </c>
      <c r="D4920" t="str">
        <f>T_Stocks[[#This Row],[Ticker]] &amp; "-" &amp; DATE(YEAR(T_Stocks[[#This Row],[Fecha]]),MONTH(T_Stocks[[#This Row],[Fecha]]),DAY(T_Stocks[[#This Row],[Fecha]]))</f>
        <v>MSFT-45335</v>
      </c>
    </row>
    <row r="4921" spans="1:4" ht="14.65" thickBot="1" x14ac:dyDescent="0.5">
      <c r="A4921" s="17">
        <v>45336.666666666664</v>
      </c>
      <c r="B4921" s="19">
        <v>409.49</v>
      </c>
      <c r="C4921" t="s">
        <v>41</v>
      </c>
      <c r="D4921" t="str">
        <f>T_Stocks[[#This Row],[Ticker]] &amp; "-" &amp; DATE(YEAR(T_Stocks[[#This Row],[Fecha]]),MONTH(T_Stocks[[#This Row],[Fecha]]),DAY(T_Stocks[[#This Row],[Fecha]]))</f>
        <v>MSFT-45336</v>
      </c>
    </row>
    <row r="4922" spans="1:4" ht="14.65" thickBot="1" x14ac:dyDescent="0.5">
      <c r="A4922" s="17">
        <v>45337.666666666664</v>
      </c>
      <c r="B4922" s="19">
        <v>406.56</v>
      </c>
      <c r="C4922" t="s">
        <v>41</v>
      </c>
      <c r="D4922" t="str">
        <f>T_Stocks[[#This Row],[Ticker]] &amp; "-" &amp; DATE(YEAR(T_Stocks[[#This Row],[Fecha]]),MONTH(T_Stocks[[#This Row],[Fecha]]),DAY(T_Stocks[[#This Row],[Fecha]]))</f>
        <v>MSFT-45337</v>
      </c>
    </row>
    <row r="4923" spans="1:4" ht="14.65" thickBot="1" x14ac:dyDescent="0.5">
      <c r="A4923" s="17">
        <v>45338.666666666664</v>
      </c>
      <c r="B4923" s="19">
        <v>404.06</v>
      </c>
      <c r="C4923" t="s">
        <v>41</v>
      </c>
      <c r="D4923" t="str">
        <f>T_Stocks[[#This Row],[Ticker]] &amp; "-" &amp; DATE(YEAR(T_Stocks[[#This Row],[Fecha]]),MONTH(T_Stocks[[#This Row],[Fecha]]),DAY(T_Stocks[[#This Row],[Fecha]]))</f>
        <v>MSFT-45338</v>
      </c>
    </row>
    <row r="4924" spans="1:4" ht="14.65" thickBot="1" x14ac:dyDescent="0.5">
      <c r="A4924" s="17">
        <v>45342.666666666664</v>
      </c>
      <c r="B4924" s="19">
        <v>402.79</v>
      </c>
      <c r="C4924" t="s">
        <v>41</v>
      </c>
      <c r="D4924" t="str">
        <f>T_Stocks[[#This Row],[Ticker]] &amp; "-" &amp; DATE(YEAR(T_Stocks[[#This Row],[Fecha]]),MONTH(T_Stocks[[#This Row],[Fecha]]),DAY(T_Stocks[[#This Row],[Fecha]]))</f>
        <v>MSFT-45342</v>
      </c>
    </row>
    <row r="4925" spans="1:4" ht="14.65" thickBot="1" x14ac:dyDescent="0.5">
      <c r="A4925" s="17">
        <v>45343.666666666664</v>
      </c>
      <c r="B4925" s="19">
        <v>402.18</v>
      </c>
      <c r="C4925" t="s">
        <v>41</v>
      </c>
      <c r="D4925" t="str">
        <f>T_Stocks[[#This Row],[Ticker]] &amp; "-" &amp; DATE(YEAR(T_Stocks[[#This Row],[Fecha]]),MONTH(T_Stocks[[#This Row],[Fecha]]),DAY(T_Stocks[[#This Row],[Fecha]]))</f>
        <v>MSFT-45343</v>
      </c>
    </row>
    <row r="4926" spans="1:4" ht="14.65" thickBot="1" x14ac:dyDescent="0.5">
      <c r="A4926" s="17">
        <v>45344.666666666664</v>
      </c>
      <c r="B4926" s="19">
        <v>411.65</v>
      </c>
      <c r="C4926" t="s">
        <v>41</v>
      </c>
      <c r="D4926" t="str">
        <f>T_Stocks[[#This Row],[Ticker]] &amp; "-" &amp; DATE(YEAR(T_Stocks[[#This Row],[Fecha]]),MONTH(T_Stocks[[#This Row],[Fecha]]),DAY(T_Stocks[[#This Row],[Fecha]]))</f>
        <v>MSFT-45344</v>
      </c>
    </row>
    <row r="4927" spans="1:4" ht="14.65" thickBot="1" x14ac:dyDescent="0.5">
      <c r="A4927" s="17">
        <v>45345.666666666664</v>
      </c>
      <c r="B4927" s="19">
        <v>410.34</v>
      </c>
      <c r="C4927" t="s">
        <v>41</v>
      </c>
      <c r="D4927" t="str">
        <f>T_Stocks[[#This Row],[Ticker]] &amp; "-" &amp; DATE(YEAR(T_Stocks[[#This Row],[Fecha]]),MONTH(T_Stocks[[#This Row],[Fecha]]),DAY(T_Stocks[[#This Row],[Fecha]]))</f>
        <v>MSFT-45345</v>
      </c>
    </row>
    <row r="4928" spans="1:4" ht="14.65" thickBot="1" x14ac:dyDescent="0.5">
      <c r="A4928" s="17">
        <v>45348.666666666664</v>
      </c>
      <c r="B4928" s="19">
        <v>407.54</v>
      </c>
      <c r="C4928" t="s">
        <v>41</v>
      </c>
      <c r="D4928" t="str">
        <f>T_Stocks[[#This Row],[Ticker]] &amp; "-" &amp; DATE(YEAR(T_Stocks[[#This Row],[Fecha]]),MONTH(T_Stocks[[#This Row],[Fecha]]),DAY(T_Stocks[[#This Row],[Fecha]]))</f>
        <v>MSFT-45348</v>
      </c>
    </row>
    <row r="4929" spans="1:4" ht="14.65" thickBot="1" x14ac:dyDescent="0.5">
      <c r="A4929" s="17">
        <v>45349.666666666664</v>
      </c>
      <c r="B4929" s="19">
        <v>407.48</v>
      </c>
      <c r="C4929" t="s">
        <v>41</v>
      </c>
      <c r="D4929" t="str">
        <f>T_Stocks[[#This Row],[Ticker]] &amp; "-" &amp; DATE(YEAR(T_Stocks[[#This Row],[Fecha]]),MONTH(T_Stocks[[#This Row],[Fecha]]),DAY(T_Stocks[[#This Row],[Fecha]]))</f>
        <v>MSFT-45349</v>
      </c>
    </row>
    <row r="4930" spans="1:4" ht="14.65" thickBot="1" x14ac:dyDescent="0.5">
      <c r="A4930" s="17">
        <v>45350.666666666664</v>
      </c>
      <c r="B4930" s="19">
        <v>407.72</v>
      </c>
      <c r="C4930" t="s">
        <v>41</v>
      </c>
      <c r="D4930" t="str">
        <f>T_Stocks[[#This Row],[Ticker]] &amp; "-" &amp; DATE(YEAR(T_Stocks[[#This Row],[Fecha]]),MONTH(T_Stocks[[#This Row],[Fecha]]),DAY(T_Stocks[[#This Row],[Fecha]]))</f>
        <v>MSFT-45350</v>
      </c>
    </row>
    <row r="4931" spans="1:4" ht="14.65" thickBot="1" x14ac:dyDescent="0.5">
      <c r="A4931" s="17">
        <v>45351.666666666664</v>
      </c>
      <c r="B4931" s="19">
        <v>413.64</v>
      </c>
      <c r="C4931" t="s">
        <v>41</v>
      </c>
      <c r="D4931" t="str">
        <f>T_Stocks[[#This Row],[Ticker]] &amp; "-" &amp; DATE(YEAR(T_Stocks[[#This Row],[Fecha]]),MONTH(T_Stocks[[#This Row],[Fecha]]),DAY(T_Stocks[[#This Row],[Fecha]]))</f>
        <v>MSFT-45351</v>
      </c>
    </row>
    <row r="4932" spans="1:4" ht="14.65" thickBot="1" x14ac:dyDescent="0.5">
      <c r="A4932" s="17">
        <v>45352.666666666664</v>
      </c>
      <c r="B4932" s="19">
        <v>415.5</v>
      </c>
      <c r="C4932" t="s">
        <v>41</v>
      </c>
      <c r="D4932" t="str">
        <f>T_Stocks[[#This Row],[Ticker]] &amp; "-" &amp; DATE(YEAR(T_Stocks[[#This Row],[Fecha]]),MONTH(T_Stocks[[#This Row],[Fecha]]),DAY(T_Stocks[[#This Row],[Fecha]]))</f>
        <v>MSFT-45352</v>
      </c>
    </row>
    <row r="4933" spans="1:4" ht="14.65" thickBot="1" x14ac:dyDescent="0.5">
      <c r="A4933" s="17">
        <v>45355.666666666664</v>
      </c>
      <c r="B4933" s="19">
        <v>414.92</v>
      </c>
      <c r="C4933" t="s">
        <v>41</v>
      </c>
      <c r="D4933" t="str">
        <f>T_Stocks[[#This Row],[Ticker]] &amp; "-" &amp; DATE(YEAR(T_Stocks[[#This Row],[Fecha]]),MONTH(T_Stocks[[#This Row],[Fecha]]),DAY(T_Stocks[[#This Row],[Fecha]]))</f>
        <v>MSFT-45355</v>
      </c>
    </row>
    <row r="4934" spans="1:4" ht="14.65" thickBot="1" x14ac:dyDescent="0.5">
      <c r="A4934" s="17">
        <v>45356.666666666664</v>
      </c>
      <c r="B4934" s="19">
        <v>402.65</v>
      </c>
      <c r="C4934" t="s">
        <v>41</v>
      </c>
      <c r="D4934" t="str">
        <f>T_Stocks[[#This Row],[Ticker]] &amp; "-" &amp; DATE(YEAR(T_Stocks[[#This Row],[Fecha]]),MONTH(T_Stocks[[#This Row],[Fecha]]),DAY(T_Stocks[[#This Row],[Fecha]]))</f>
        <v>MSFT-45356</v>
      </c>
    </row>
    <row r="4935" spans="1:4" ht="14.65" thickBot="1" x14ac:dyDescent="0.5">
      <c r="A4935" s="17">
        <v>45357.666666666664</v>
      </c>
      <c r="B4935" s="19">
        <v>402.09</v>
      </c>
      <c r="C4935" t="s">
        <v>41</v>
      </c>
      <c r="D4935" t="str">
        <f>T_Stocks[[#This Row],[Ticker]] &amp; "-" &amp; DATE(YEAR(T_Stocks[[#This Row],[Fecha]]),MONTH(T_Stocks[[#This Row],[Fecha]]),DAY(T_Stocks[[#This Row],[Fecha]]))</f>
        <v>MSFT-45357</v>
      </c>
    </row>
    <row r="4936" spans="1:4" ht="14.65" thickBot="1" x14ac:dyDescent="0.5">
      <c r="A4936" s="17">
        <v>45358.666666666664</v>
      </c>
      <c r="B4936" s="19">
        <v>409.14</v>
      </c>
      <c r="C4936" t="s">
        <v>41</v>
      </c>
      <c r="D4936" t="str">
        <f>T_Stocks[[#This Row],[Ticker]] &amp; "-" &amp; DATE(YEAR(T_Stocks[[#This Row],[Fecha]]),MONTH(T_Stocks[[#This Row],[Fecha]]),DAY(T_Stocks[[#This Row],[Fecha]]))</f>
        <v>MSFT-45358</v>
      </c>
    </row>
    <row r="4937" spans="1:4" ht="14.65" thickBot="1" x14ac:dyDescent="0.5">
      <c r="A4937" s="17">
        <v>45359.666666666664</v>
      </c>
      <c r="B4937" s="19">
        <v>406.22</v>
      </c>
      <c r="C4937" t="s">
        <v>41</v>
      </c>
      <c r="D4937" t="str">
        <f>T_Stocks[[#This Row],[Ticker]] &amp; "-" &amp; DATE(YEAR(T_Stocks[[#This Row],[Fecha]]),MONTH(T_Stocks[[#This Row],[Fecha]]),DAY(T_Stocks[[#This Row],[Fecha]]))</f>
        <v>MSFT-45359</v>
      </c>
    </row>
    <row r="4938" spans="1:4" ht="14.65" thickBot="1" x14ac:dyDescent="0.5">
      <c r="A4938" s="17">
        <v>45362.666666666664</v>
      </c>
      <c r="B4938" s="19">
        <v>404.52</v>
      </c>
      <c r="C4938" t="s">
        <v>41</v>
      </c>
      <c r="D4938" t="str">
        <f>T_Stocks[[#This Row],[Ticker]] &amp; "-" &amp; DATE(YEAR(T_Stocks[[#This Row],[Fecha]]),MONTH(T_Stocks[[#This Row],[Fecha]]),DAY(T_Stocks[[#This Row],[Fecha]]))</f>
        <v>MSFT-45362</v>
      </c>
    </row>
    <row r="4939" spans="1:4" ht="14.65" thickBot="1" x14ac:dyDescent="0.5">
      <c r="A4939" s="17">
        <v>45363.666666666664</v>
      </c>
      <c r="B4939" s="19">
        <v>415.28</v>
      </c>
      <c r="C4939" t="s">
        <v>41</v>
      </c>
      <c r="D4939" t="str">
        <f>T_Stocks[[#This Row],[Ticker]] &amp; "-" &amp; DATE(YEAR(T_Stocks[[#This Row],[Fecha]]),MONTH(T_Stocks[[#This Row],[Fecha]]),DAY(T_Stocks[[#This Row],[Fecha]]))</f>
        <v>MSFT-45363</v>
      </c>
    </row>
    <row r="4940" spans="1:4" ht="14.65" thickBot="1" x14ac:dyDescent="0.5">
      <c r="A4940" s="17">
        <v>45364.666666666664</v>
      </c>
      <c r="B4940" s="19">
        <v>415.1</v>
      </c>
      <c r="C4940" t="s">
        <v>41</v>
      </c>
      <c r="D4940" t="str">
        <f>T_Stocks[[#This Row],[Ticker]] &amp; "-" &amp; DATE(YEAR(T_Stocks[[#This Row],[Fecha]]),MONTH(T_Stocks[[#This Row],[Fecha]]),DAY(T_Stocks[[#This Row],[Fecha]]))</f>
        <v>MSFT-45364</v>
      </c>
    </row>
    <row r="4941" spans="1:4" ht="14.65" thickBot="1" x14ac:dyDescent="0.5">
      <c r="A4941" s="17">
        <v>45365.666666666664</v>
      </c>
      <c r="B4941" s="19">
        <v>425.22</v>
      </c>
      <c r="C4941" t="s">
        <v>41</v>
      </c>
      <c r="D4941" t="str">
        <f>T_Stocks[[#This Row],[Ticker]] &amp; "-" &amp; DATE(YEAR(T_Stocks[[#This Row],[Fecha]]),MONTH(T_Stocks[[#This Row],[Fecha]]),DAY(T_Stocks[[#This Row],[Fecha]]))</f>
        <v>MSFT-45365</v>
      </c>
    </row>
    <row r="4942" spans="1:4" ht="14.65" thickBot="1" x14ac:dyDescent="0.5">
      <c r="A4942" s="17">
        <v>45366.666666666664</v>
      </c>
      <c r="B4942" s="19">
        <v>416.42</v>
      </c>
      <c r="C4942" t="s">
        <v>41</v>
      </c>
      <c r="D4942" t="str">
        <f>T_Stocks[[#This Row],[Ticker]] &amp; "-" &amp; DATE(YEAR(T_Stocks[[#This Row],[Fecha]]),MONTH(T_Stocks[[#This Row],[Fecha]]),DAY(T_Stocks[[#This Row],[Fecha]]))</f>
        <v>MSFT-45366</v>
      </c>
    </row>
    <row r="4943" spans="1:4" ht="14.65" thickBot="1" x14ac:dyDescent="0.5">
      <c r="A4943" s="17">
        <v>45369.666666666664</v>
      </c>
      <c r="B4943" s="19">
        <v>417.32</v>
      </c>
      <c r="C4943" t="s">
        <v>41</v>
      </c>
      <c r="D4943" t="str">
        <f>T_Stocks[[#This Row],[Ticker]] &amp; "-" &amp; DATE(YEAR(T_Stocks[[#This Row],[Fecha]]),MONTH(T_Stocks[[#This Row],[Fecha]]),DAY(T_Stocks[[#This Row],[Fecha]]))</f>
        <v>MSFT-45369</v>
      </c>
    </row>
    <row r="4944" spans="1:4" ht="14.65" thickBot="1" x14ac:dyDescent="0.5">
      <c r="A4944" s="17">
        <v>45370.666666666664</v>
      </c>
      <c r="B4944" s="19">
        <v>421.41</v>
      </c>
      <c r="C4944" t="s">
        <v>41</v>
      </c>
      <c r="D4944" t="str">
        <f>T_Stocks[[#This Row],[Ticker]] &amp; "-" &amp; DATE(YEAR(T_Stocks[[#This Row],[Fecha]]),MONTH(T_Stocks[[#This Row],[Fecha]]),DAY(T_Stocks[[#This Row],[Fecha]]))</f>
        <v>MSFT-45370</v>
      </c>
    </row>
    <row r="4945" spans="1:4" ht="14.65" thickBot="1" x14ac:dyDescent="0.5">
      <c r="A4945" s="17">
        <v>45371.666666666664</v>
      </c>
      <c r="B4945" s="19">
        <v>425.23</v>
      </c>
      <c r="C4945" t="s">
        <v>41</v>
      </c>
      <c r="D4945" t="str">
        <f>T_Stocks[[#This Row],[Ticker]] &amp; "-" &amp; DATE(YEAR(T_Stocks[[#This Row],[Fecha]]),MONTH(T_Stocks[[#This Row],[Fecha]]),DAY(T_Stocks[[#This Row],[Fecha]]))</f>
        <v>MSFT-45371</v>
      </c>
    </row>
    <row r="4946" spans="1:4" ht="14.65" thickBot="1" x14ac:dyDescent="0.5">
      <c r="A4946" s="17">
        <v>45372.666666666664</v>
      </c>
      <c r="B4946" s="19">
        <v>429.37</v>
      </c>
      <c r="C4946" t="s">
        <v>41</v>
      </c>
      <c r="D4946" t="str">
        <f>T_Stocks[[#This Row],[Ticker]] &amp; "-" &amp; DATE(YEAR(T_Stocks[[#This Row],[Fecha]]),MONTH(T_Stocks[[#This Row],[Fecha]]),DAY(T_Stocks[[#This Row],[Fecha]]))</f>
        <v>MSFT-45372</v>
      </c>
    </row>
    <row r="4947" spans="1:4" ht="14.65" thickBot="1" x14ac:dyDescent="0.5">
      <c r="A4947" s="17">
        <v>45373.666666666664</v>
      </c>
      <c r="B4947" s="19">
        <v>428.74</v>
      </c>
      <c r="C4947" t="s">
        <v>41</v>
      </c>
      <c r="D4947" t="str">
        <f>T_Stocks[[#This Row],[Ticker]] &amp; "-" &amp; DATE(YEAR(T_Stocks[[#This Row],[Fecha]]),MONTH(T_Stocks[[#This Row],[Fecha]]),DAY(T_Stocks[[#This Row],[Fecha]]))</f>
        <v>MSFT-45373</v>
      </c>
    </row>
    <row r="4948" spans="1:4" ht="14.65" thickBot="1" x14ac:dyDescent="0.5">
      <c r="A4948" s="17">
        <v>45376.666666666664</v>
      </c>
      <c r="B4948" s="19">
        <v>422.86</v>
      </c>
      <c r="C4948" t="s">
        <v>41</v>
      </c>
      <c r="D4948" t="str">
        <f>T_Stocks[[#This Row],[Ticker]] &amp; "-" &amp; DATE(YEAR(T_Stocks[[#This Row],[Fecha]]),MONTH(T_Stocks[[#This Row],[Fecha]]),DAY(T_Stocks[[#This Row],[Fecha]]))</f>
        <v>MSFT-45376</v>
      </c>
    </row>
    <row r="4949" spans="1:4" ht="14.65" thickBot="1" x14ac:dyDescent="0.5">
      <c r="A4949" s="17">
        <v>45377.666666666664</v>
      </c>
      <c r="B4949" s="19">
        <v>421.65</v>
      </c>
      <c r="C4949" t="s">
        <v>41</v>
      </c>
      <c r="D4949" t="str">
        <f>T_Stocks[[#This Row],[Ticker]] &amp; "-" &amp; DATE(YEAR(T_Stocks[[#This Row],[Fecha]]),MONTH(T_Stocks[[#This Row],[Fecha]]),DAY(T_Stocks[[#This Row],[Fecha]]))</f>
        <v>MSFT-45377</v>
      </c>
    </row>
    <row r="4950" spans="1:4" ht="14.65" thickBot="1" x14ac:dyDescent="0.5">
      <c r="A4950" s="17">
        <v>45378.666666666664</v>
      </c>
      <c r="B4950" s="19">
        <v>421.43</v>
      </c>
      <c r="C4950" t="s">
        <v>41</v>
      </c>
      <c r="D4950" t="str">
        <f>T_Stocks[[#This Row],[Ticker]] &amp; "-" &amp; DATE(YEAR(T_Stocks[[#This Row],[Fecha]]),MONTH(T_Stocks[[#This Row],[Fecha]]),DAY(T_Stocks[[#This Row],[Fecha]]))</f>
        <v>MSFT-45378</v>
      </c>
    </row>
    <row r="4951" spans="1:4" ht="14.65" thickBot="1" x14ac:dyDescent="0.5">
      <c r="A4951" s="17">
        <v>45379.666666666664</v>
      </c>
      <c r="B4951" s="19">
        <v>420.72</v>
      </c>
      <c r="C4951" t="s">
        <v>41</v>
      </c>
      <c r="D4951" t="str">
        <f>T_Stocks[[#This Row],[Ticker]] &amp; "-" &amp; DATE(YEAR(T_Stocks[[#This Row],[Fecha]]),MONTH(T_Stocks[[#This Row],[Fecha]]),DAY(T_Stocks[[#This Row],[Fecha]]))</f>
        <v>MSFT-45379</v>
      </c>
    </row>
    <row r="4952" spans="1:4" ht="14.65" thickBot="1" x14ac:dyDescent="0.5">
      <c r="A4952" s="17">
        <v>45383.666666666664</v>
      </c>
      <c r="B4952" s="19">
        <v>424.57</v>
      </c>
      <c r="C4952" t="s">
        <v>41</v>
      </c>
      <c r="D4952" t="str">
        <f>T_Stocks[[#This Row],[Ticker]] &amp; "-" &amp; DATE(YEAR(T_Stocks[[#This Row],[Fecha]]),MONTH(T_Stocks[[#This Row],[Fecha]]),DAY(T_Stocks[[#This Row],[Fecha]]))</f>
        <v>MSFT-45383</v>
      </c>
    </row>
    <row r="4953" spans="1:4" ht="14.65" thickBot="1" x14ac:dyDescent="0.5">
      <c r="A4953" s="17">
        <v>45384.666666666664</v>
      </c>
      <c r="B4953" s="19">
        <v>421.44</v>
      </c>
      <c r="C4953" t="s">
        <v>41</v>
      </c>
      <c r="D4953" t="str">
        <f>T_Stocks[[#This Row],[Ticker]] &amp; "-" &amp; DATE(YEAR(T_Stocks[[#This Row],[Fecha]]),MONTH(T_Stocks[[#This Row],[Fecha]]),DAY(T_Stocks[[#This Row],[Fecha]]))</f>
        <v>MSFT-45384</v>
      </c>
    </row>
    <row r="4954" spans="1:4" ht="14.65" thickBot="1" x14ac:dyDescent="0.5">
      <c r="A4954" s="17">
        <v>45385.666666666664</v>
      </c>
      <c r="B4954" s="19">
        <v>420.45</v>
      </c>
      <c r="C4954" t="s">
        <v>41</v>
      </c>
      <c r="D4954" t="str">
        <f>T_Stocks[[#This Row],[Ticker]] &amp; "-" &amp; DATE(YEAR(T_Stocks[[#This Row],[Fecha]]),MONTH(T_Stocks[[#This Row],[Fecha]]),DAY(T_Stocks[[#This Row],[Fecha]]))</f>
        <v>MSFT-45385</v>
      </c>
    </row>
    <row r="4955" spans="1:4" ht="14.65" thickBot="1" x14ac:dyDescent="0.5">
      <c r="A4955" s="17">
        <v>45386.666666666664</v>
      </c>
      <c r="B4955" s="19">
        <v>417.88</v>
      </c>
      <c r="C4955" t="s">
        <v>41</v>
      </c>
      <c r="D4955" t="str">
        <f>T_Stocks[[#This Row],[Ticker]] &amp; "-" &amp; DATE(YEAR(T_Stocks[[#This Row],[Fecha]]),MONTH(T_Stocks[[#This Row],[Fecha]]),DAY(T_Stocks[[#This Row],[Fecha]]))</f>
        <v>MSFT-45386</v>
      </c>
    </row>
    <row r="4956" spans="1:4" ht="14.65" thickBot="1" x14ac:dyDescent="0.5">
      <c r="A4956" s="17">
        <v>45387.666666666664</v>
      </c>
      <c r="B4956" s="19">
        <v>425.52</v>
      </c>
      <c r="C4956" t="s">
        <v>41</v>
      </c>
      <c r="D4956" t="str">
        <f>T_Stocks[[#This Row],[Ticker]] &amp; "-" &amp; DATE(YEAR(T_Stocks[[#This Row],[Fecha]]),MONTH(T_Stocks[[#This Row],[Fecha]]),DAY(T_Stocks[[#This Row],[Fecha]]))</f>
        <v>MSFT-45387</v>
      </c>
    </row>
    <row r="4957" spans="1:4" ht="14.65" thickBot="1" x14ac:dyDescent="0.5">
      <c r="A4957" s="17">
        <v>45390.666666666664</v>
      </c>
      <c r="B4957" s="19">
        <v>424.59</v>
      </c>
      <c r="C4957" t="s">
        <v>41</v>
      </c>
      <c r="D4957" t="str">
        <f>T_Stocks[[#This Row],[Ticker]] &amp; "-" &amp; DATE(YEAR(T_Stocks[[#This Row],[Fecha]]),MONTH(T_Stocks[[#This Row],[Fecha]]),DAY(T_Stocks[[#This Row],[Fecha]]))</f>
        <v>MSFT-45390</v>
      </c>
    </row>
    <row r="4958" spans="1:4" ht="14.65" thickBot="1" x14ac:dyDescent="0.5">
      <c r="A4958" s="17">
        <v>45391.666666666664</v>
      </c>
      <c r="B4958" s="19">
        <v>426.28</v>
      </c>
      <c r="C4958" t="s">
        <v>41</v>
      </c>
      <c r="D4958" t="str">
        <f>T_Stocks[[#This Row],[Ticker]] &amp; "-" &amp; DATE(YEAR(T_Stocks[[#This Row],[Fecha]]),MONTH(T_Stocks[[#This Row],[Fecha]]),DAY(T_Stocks[[#This Row],[Fecha]]))</f>
        <v>MSFT-45391</v>
      </c>
    </row>
    <row r="4959" spans="1:4" ht="14.65" thickBot="1" x14ac:dyDescent="0.5">
      <c r="A4959" s="17">
        <v>45392.666666666664</v>
      </c>
      <c r="B4959" s="19">
        <v>423.26</v>
      </c>
      <c r="C4959" t="s">
        <v>41</v>
      </c>
      <c r="D4959" t="str">
        <f>T_Stocks[[#This Row],[Ticker]] &amp; "-" &amp; DATE(YEAR(T_Stocks[[#This Row],[Fecha]]),MONTH(T_Stocks[[#This Row],[Fecha]]),DAY(T_Stocks[[#This Row],[Fecha]]))</f>
        <v>MSFT-45392</v>
      </c>
    </row>
    <row r="4960" spans="1:4" ht="14.65" thickBot="1" x14ac:dyDescent="0.5">
      <c r="A4960" s="17">
        <v>45393.666666666664</v>
      </c>
      <c r="B4960" s="19">
        <v>427.93</v>
      </c>
      <c r="C4960" t="s">
        <v>41</v>
      </c>
      <c r="D4960" t="str">
        <f>T_Stocks[[#This Row],[Ticker]] &amp; "-" &amp; DATE(YEAR(T_Stocks[[#This Row],[Fecha]]),MONTH(T_Stocks[[#This Row],[Fecha]]),DAY(T_Stocks[[#This Row],[Fecha]]))</f>
        <v>MSFT-45393</v>
      </c>
    </row>
    <row r="4961" spans="1:4" ht="14.65" thickBot="1" x14ac:dyDescent="0.5">
      <c r="A4961" s="17">
        <v>45394.666666666664</v>
      </c>
      <c r="B4961" s="19">
        <v>421.9</v>
      </c>
      <c r="C4961" t="s">
        <v>41</v>
      </c>
      <c r="D4961" t="str">
        <f>T_Stocks[[#This Row],[Ticker]] &amp; "-" &amp; DATE(YEAR(T_Stocks[[#This Row],[Fecha]]),MONTH(T_Stocks[[#This Row],[Fecha]]),DAY(T_Stocks[[#This Row],[Fecha]]))</f>
        <v>MSFT-45394</v>
      </c>
    </row>
    <row r="4962" spans="1:4" ht="14.65" thickBot="1" x14ac:dyDescent="0.5">
      <c r="A4962" s="17">
        <v>45397.666666666664</v>
      </c>
      <c r="B4962" s="19">
        <v>413.64</v>
      </c>
      <c r="C4962" t="s">
        <v>41</v>
      </c>
      <c r="D4962" t="str">
        <f>T_Stocks[[#This Row],[Ticker]] &amp; "-" &amp; DATE(YEAR(T_Stocks[[#This Row],[Fecha]]),MONTH(T_Stocks[[#This Row],[Fecha]]),DAY(T_Stocks[[#This Row],[Fecha]]))</f>
        <v>MSFT-45397</v>
      </c>
    </row>
    <row r="4963" spans="1:4" ht="14.65" thickBot="1" x14ac:dyDescent="0.5">
      <c r="A4963" s="17">
        <v>45398.666666666664</v>
      </c>
      <c r="B4963" s="19">
        <v>414.58</v>
      </c>
      <c r="C4963" t="s">
        <v>41</v>
      </c>
      <c r="D4963" t="str">
        <f>T_Stocks[[#This Row],[Ticker]] &amp; "-" &amp; DATE(YEAR(T_Stocks[[#This Row],[Fecha]]),MONTH(T_Stocks[[#This Row],[Fecha]]),DAY(T_Stocks[[#This Row],[Fecha]]))</f>
        <v>MSFT-45398</v>
      </c>
    </row>
    <row r="4964" spans="1:4" ht="14.65" thickBot="1" x14ac:dyDescent="0.5">
      <c r="A4964" s="17">
        <v>45399.666666666664</v>
      </c>
      <c r="B4964" s="19">
        <v>411.84</v>
      </c>
      <c r="C4964" t="s">
        <v>41</v>
      </c>
      <c r="D4964" t="str">
        <f>T_Stocks[[#This Row],[Ticker]] &amp; "-" &amp; DATE(YEAR(T_Stocks[[#This Row],[Fecha]]),MONTH(T_Stocks[[#This Row],[Fecha]]),DAY(T_Stocks[[#This Row],[Fecha]]))</f>
        <v>MSFT-45399</v>
      </c>
    </row>
    <row r="4965" spans="1:4" ht="14.65" thickBot="1" x14ac:dyDescent="0.5">
      <c r="A4965" s="17">
        <v>45400.666666666664</v>
      </c>
      <c r="B4965" s="19">
        <v>404.27</v>
      </c>
      <c r="C4965" t="s">
        <v>41</v>
      </c>
      <c r="D4965" t="str">
        <f>T_Stocks[[#This Row],[Ticker]] &amp; "-" &amp; DATE(YEAR(T_Stocks[[#This Row],[Fecha]]),MONTH(T_Stocks[[#This Row],[Fecha]]),DAY(T_Stocks[[#This Row],[Fecha]]))</f>
        <v>MSFT-45400</v>
      </c>
    </row>
    <row r="4966" spans="1:4" ht="14.65" thickBot="1" x14ac:dyDescent="0.5">
      <c r="A4966" s="17">
        <v>45401.666666666664</v>
      </c>
      <c r="B4966" s="19">
        <v>399.12</v>
      </c>
      <c r="C4966" t="s">
        <v>41</v>
      </c>
      <c r="D4966" t="str">
        <f>T_Stocks[[#This Row],[Ticker]] &amp; "-" &amp; DATE(YEAR(T_Stocks[[#This Row],[Fecha]]),MONTH(T_Stocks[[#This Row],[Fecha]]),DAY(T_Stocks[[#This Row],[Fecha]]))</f>
        <v>MSFT-45401</v>
      </c>
    </row>
    <row r="4967" spans="1:4" ht="14.65" thickBot="1" x14ac:dyDescent="0.5">
      <c r="A4967" s="17">
        <v>45404.666666666664</v>
      </c>
      <c r="B4967" s="19">
        <v>400.96</v>
      </c>
      <c r="C4967" t="s">
        <v>41</v>
      </c>
      <c r="D4967" t="str">
        <f>T_Stocks[[#This Row],[Ticker]] &amp; "-" &amp; DATE(YEAR(T_Stocks[[#This Row],[Fecha]]),MONTH(T_Stocks[[#This Row],[Fecha]]),DAY(T_Stocks[[#This Row],[Fecha]]))</f>
        <v>MSFT-45404</v>
      </c>
    </row>
    <row r="4968" spans="1:4" ht="14.65" thickBot="1" x14ac:dyDescent="0.5">
      <c r="A4968" s="17">
        <v>45405.666666666664</v>
      </c>
      <c r="B4968" s="19">
        <v>407.57</v>
      </c>
      <c r="C4968" t="s">
        <v>41</v>
      </c>
      <c r="D4968" t="str">
        <f>T_Stocks[[#This Row],[Ticker]] &amp; "-" &amp; DATE(YEAR(T_Stocks[[#This Row],[Fecha]]),MONTH(T_Stocks[[#This Row],[Fecha]]),DAY(T_Stocks[[#This Row],[Fecha]]))</f>
        <v>MSFT-45405</v>
      </c>
    </row>
    <row r="4969" spans="1:4" ht="14.65" thickBot="1" x14ac:dyDescent="0.5">
      <c r="A4969" s="17">
        <v>45406.666666666664</v>
      </c>
      <c r="B4969" s="19">
        <v>409.06</v>
      </c>
      <c r="C4969" t="s">
        <v>41</v>
      </c>
      <c r="D4969" t="str">
        <f>T_Stocks[[#This Row],[Ticker]] &amp; "-" &amp; DATE(YEAR(T_Stocks[[#This Row],[Fecha]]),MONTH(T_Stocks[[#This Row],[Fecha]]),DAY(T_Stocks[[#This Row],[Fecha]]))</f>
        <v>MSFT-45406</v>
      </c>
    </row>
    <row r="4970" spans="1:4" ht="14.65" thickBot="1" x14ac:dyDescent="0.5">
      <c r="A4970" s="17">
        <v>45407.666666666664</v>
      </c>
      <c r="B4970" s="19">
        <v>399.04</v>
      </c>
      <c r="C4970" t="s">
        <v>41</v>
      </c>
      <c r="D4970" t="str">
        <f>T_Stocks[[#This Row],[Ticker]] &amp; "-" &amp; DATE(YEAR(T_Stocks[[#This Row],[Fecha]]),MONTH(T_Stocks[[#This Row],[Fecha]]),DAY(T_Stocks[[#This Row],[Fecha]]))</f>
        <v>MSFT-45407</v>
      </c>
    </row>
    <row r="4971" spans="1:4" ht="14.65" thickBot="1" x14ac:dyDescent="0.5">
      <c r="A4971" s="17">
        <v>45408.666666666664</v>
      </c>
      <c r="B4971" s="19">
        <v>406.32</v>
      </c>
      <c r="C4971" t="s">
        <v>41</v>
      </c>
      <c r="D4971" t="str">
        <f>T_Stocks[[#This Row],[Ticker]] &amp; "-" &amp; DATE(YEAR(T_Stocks[[#This Row],[Fecha]]),MONTH(T_Stocks[[#This Row],[Fecha]]),DAY(T_Stocks[[#This Row],[Fecha]]))</f>
        <v>MSFT-45408</v>
      </c>
    </row>
    <row r="4972" spans="1:4" ht="14.65" thickBot="1" x14ac:dyDescent="0.5">
      <c r="A4972" s="17">
        <v>45411.666666666664</v>
      </c>
      <c r="B4972" s="19">
        <v>402.25</v>
      </c>
      <c r="C4972" t="s">
        <v>41</v>
      </c>
      <c r="D4972" t="str">
        <f>T_Stocks[[#This Row],[Ticker]] &amp; "-" &amp; DATE(YEAR(T_Stocks[[#This Row],[Fecha]]),MONTH(T_Stocks[[#This Row],[Fecha]]),DAY(T_Stocks[[#This Row],[Fecha]]))</f>
        <v>MSFT-45411</v>
      </c>
    </row>
    <row r="4973" spans="1:4" ht="14.65" thickBot="1" x14ac:dyDescent="0.5">
      <c r="A4973" s="17">
        <v>45412.666666666664</v>
      </c>
      <c r="B4973" s="19">
        <v>389.33</v>
      </c>
      <c r="C4973" t="s">
        <v>41</v>
      </c>
      <c r="D4973" t="str">
        <f>T_Stocks[[#This Row],[Ticker]] &amp; "-" &amp; DATE(YEAR(T_Stocks[[#This Row],[Fecha]]),MONTH(T_Stocks[[#This Row],[Fecha]]),DAY(T_Stocks[[#This Row],[Fecha]]))</f>
        <v>MSFT-45412</v>
      </c>
    </row>
    <row r="4974" spans="1:4" ht="14.65" thickBot="1" x14ac:dyDescent="0.5">
      <c r="A4974" s="17">
        <v>45413.666666666664</v>
      </c>
      <c r="B4974" s="19">
        <v>394.94</v>
      </c>
      <c r="C4974" t="s">
        <v>41</v>
      </c>
      <c r="D4974" t="str">
        <f>T_Stocks[[#This Row],[Ticker]] &amp; "-" &amp; DATE(YEAR(T_Stocks[[#This Row],[Fecha]]),MONTH(T_Stocks[[#This Row],[Fecha]]),DAY(T_Stocks[[#This Row],[Fecha]]))</f>
        <v>MSFT-45413</v>
      </c>
    </row>
    <row r="4975" spans="1:4" ht="14.65" thickBot="1" x14ac:dyDescent="0.5">
      <c r="A4975" s="17">
        <v>45414.666666666664</v>
      </c>
      <c r="B4975" s="19">
        <v>397.84</v>
      </c>
      <c r="C4975" t="s">
        <v>41</v>
      </c>
      <c r="D4975" t="str">
        <f>T_Stocks[[#This Row],[Ticker]] &amp; "-" &amp; DATE(YEAR(T_Stocks[[#This Row],[Fecha]]),MONTH(T_Stocks[[#This Row],[Fecha]]),DAY(T_Stocks[[#This Row],[Fecha]]))</f>
        <v>MSFT-45414</v>
      </c>
    </row>
    <row r="4976" spans="1:4" ht="14.65" thickBot="1" x14ac:dyDescent="0.5">
      <c r="A4976" s="17">
        <v>45415.666666666664</v>
      </c>
      <c r="B4976" s="19">
        <v>406.66</v>
      </c>
      <c r="C4976" t="s">
        <v>41</v>
      </c>
      <c r="D4976" t="str">
        <f>T_Stocks[[#This Row],[Ticker]] &amp; "-" &amp; DATE(YEAR(T_Stocks[[#This Row],[Fecha]]),MONTH(T_Stocks[[#This Row],[Fecha]]),DAY(T_Stocks[[#This Row],[Fecha]]))</f>
        <v>MSFT-45415</v>
      </c>
    </row>
    <row r="4977" spans="1:4" ht="14.65" thickBot="1" x14ac:dyDescent="0.5">
      <c r="A4977" s="17">
        <v>45418.666666666664</v>
      </c>
      <c r="B4977" s="19">
        <v>413.54</v>
      </c>
      <c r="C4977" t="s">
        <v>41</v>
      </c>
      <c r="D4977" t="str">
        <f>T_Stocks[[#This Row],[Ticker]] &amp; "-" &amp; DATE(YEAR(T_Stocks[[#This Row],[Fecha]]),MONTH(T_Stocks[[#This Row],[Fecha]]),DAY(T_Stocks[[#This Row],[Fecha]]))</f>
        <v>MSFT-45418</v>
      </c>
    </row>
    <row r="4978" spans="1:4" ht="14.65" thickBot="1" x14ac:dyDescent="0.5">
      <c r="A4978" s="17">
        <v>45419.666666666664</v>
      </c>
      <c r="B4978" s="19">
        <v>409.34</v>
      </c>
      <c r="C4978" t="s">
        <v>41</v>
      </c>
      <c r="D4978" t="str">
        <f>T_Stocks[[#This Row],[Ticker]] &amp; "-" &amp; DATE(YEAR(T_Stocks[[#This Row],[Fecha]]),MONTH(T_Stocks[[#This Row],[Fecha]]),DAY(T_Stocks[[#This Row],[Fecha]]))</f>
        <v>MSFT-45419</v>
      </c>
    </row>
    <row r="4979" spans="1:4" ht="14.65" thickBot="1" x14ac:dyDescent="0.5">
      <c r="A4979" s="17">
        <v>45420.666666666664</v>
      </c>
      <c r="B4979" s="19">
        <v>410.54</v>
      </c>
      <c r="C4979" t="s">
        <v>41</v>
      </c>
      <c r="D4979" t="str">
        <f>T_Stocks[[#This Row],[Ticker]] &amp; "-" &amp; DATE(YEAR(T_Stocks[[#This Row],[Fecha]]),MONTH(T_Stocks[[#This Row],[Fecha]]),DAY(T_Stocks[[#This Row],[Fecha]]))</f>
        <v>MSFT-45420</v>
      </c>
    </row>
    <row r="4980" spans="1:4" ht="14.65" thickBot="1" x14ac:dyDescent="0.5">
      <c r="A4980" s="17">
        <v>45421.666666666664</v>
      </c>
      <c r="B4980" s="19">
        <v>412.32</v>
      </c>
      <c r="C4980" t="s">
        <v>41</v>
      </c>
      <c r="D4980" t="str">
        <f>T_Stocks[[#This Row],[Ticker]] &amp; "-" &amp; DATE(YEAR(T_Stocks[[#This Row],[Fecha]]),MONTH(T_Stocks[[#This Row],[Fecha]]),DAY(T_Stocks[[#This Row],[Fecha]]))</f>
        <v>MSFT-45421</v>
      </c>
    </row>
    <row r="4981" spans="1:4" ht="14.65" thickBot="1" x14ac:dyDescent="0.5">
      <c r="A4981" s="17">
        <v>45422.666666666664</v>
      </c>
      <c r="B4981" s="19">
        <v>414.74</v>
      </c>
      <c r="C4981" t="s">
        <v>41</v>
      </c>
      <c r="D4981" t="str">
        <f>T_Stocks[[#This Row],[Ticker]] &amp; "-" &amp; DATE(YEAR(T_Stocks[[#This Row],[Fecha]]),MONTH(T_Stocks[[#This Row],[Fecha]]),DAY(T_Stocks[[#This Row],[Fecha]]))</f>
        <v>MSFT-45422</v>
      </c>
    </row>
    <row r="4982" spans="1:4" ht="14.65" thickBot="1" x14ac:dyDescent="0.5">
      <c r="A4982" s="17">
        <v>45425.666666666664</v>
      </c>
      <c r="B4982" s="19">
        <v>413.72</v>
      </c>
      <c r="C4982" t="s">
        <v>41</v>
      </c>
      <c r="D4982" t="str">
        <f>T_Stocks[[#This Row],[Ticker]] &amp; "-" &amp; DATE(YEAR(T_Stocks[[#This Row],[Fecha]]),MONTH(T_Stocks[[#This Row],[Fecha]]),DAY(T_Stocks[[#This Row],[Fecha]]))</f>
        <v>MSFT-45425</v>
      </c>
    </row>
    <row r="4983" spans="1:4" ht="14.65" thickBot="1" x14ac:dyDescent="0.5">
      <c r="A4983" s="17">
        <v>45426.666666666664</v>
      </c>
      <c r="B4983" s="19">
        <v>416.56</v>
      </c>
      <c r="C4983" t="s">
        <v>41</v>
      </c>
      <c r="D4983" t="str">
        <f>T_Stocks[[#This Row],[Ticker]] &amp; "-" &amp; DATE(YEAR(T_Stocks[[#This Row],[Fecha]]),MONTH(T_Stocks[[#This Row],[Fecha]]),DAY(T_Stocks[[#This Row],[Fecha]]))</f>
        <v>MSFT-45426</v>
      </c>
    </row>
    <row r="4984" spans="1:4" ht="14.65" thickBot="1" x14ac:dyDescent="0.5">
      <c r="A4984" s="17">
        <v>45427.666666666664</v>
      </c>
      <c r="B4984" s="19">
        <v>423.08</v>
      </c>
      <c r="C4984" t="s">
        <v>41</v>
      </c>
      <c r="D4984" t="str">
        <f>T_Stocks[[#This Row],[Ticker]] &amp; "-" &amp; DATE(YEAR(T_Stocks[[#This Row],[Fecha]]),MONTH(T_Stocks[[#This Row],[Fecha]]),DAY(T_Stocks[[#This Row],[Fecha]]))</f>
        <v>MSFT-45427</v>
      </c>
    </row>
    <row r="4985" spans="1:4" ht="14.65" thickBot="1" x14ac:dyDescent="0.5">
      <c r="A4985" s="17">
        <v>45428.666666666664</v>
      </c>
      <c r="B4985" s="19">
        <v>420.99</v>
      </c>
      <c r="C4985" t="s">
        <v>41</v>
      </c>
      <c r="D4985" t="str">
        <f>T_Stocks[[#This Row],[Ticker]] &amp; "-" &amp; DATE(YEAR(T_Stocks[[#This Row],[Fecha]]),MONTH(T_Stocks[[#This Row],[Fecha]]),DAY(T_Stocks[[#This Row],[Fecha]]))</f>
        <v>MSFT-45428</v>
      </c>
    </row>
    <row r="4986" spans="1:4" ht="14.65" thickBot="1" x14ac:dyDescent="0.5">
      <c r="A4986" s="17">
        <v>45429.666666666664</v>
      </c>
      <c r="B4986" s="19">
        <v>420.21</v>
      </c>
      <c r="C4986" t="s">
        <v>41</v>
      </c>
      <c r="D4986" t="str">
        <f>T_Stocks[[#This Row],[Ticker]] &amp; "-" &amp; DATE(YEAR(T_Stocks[[#This Row],[Fecha]]),MONTH(T_Stocks[[#This Row],[Fecha]]),DAY(T_Stocks[[#This Row],[Fecha]]))</f>
        <v>MSFT-45429</v>
      </c>
    </row>
    <row r="4987" spans="1:4" ht="14.65" thickBot="1" x14ac:dyDescent="0.5">
      <c r="A4987" s="17">
        <v>45432.666666666664</v>
      </c>
      <c r="B4987" s="19">
        <v>425.34</v>
      </c>
      <c r="C4987" t="s">
        <v>41</v>
      </c>
      <c r="D4987" t="str">
        <f>T_Stocks[[#This Row],[Ticker]] &amp; "-" &amp; DATE(YEAR(T_Stocks[[#This Row],[Fecha]]),MONTH(T_Stocks[[#This Row],[Fecha]]),DAY(T_Stocks[[#This Row],[Fecha]]))</f>
        <v>MSFT-45432</v>
      </c>
    </row>
    <row r="4988" spans="1:4" ht="14.65" thickBot="1" x14ac:dyDescent="0.5">
      <c r="A4988" s="17">
        <v>45433.666666666664</v>
      </c>
      <c r="B4988" s="19">
        <v>429.04</v>
      </c>
      <c r="C4988" t="s">
        <v>41</v>
      </c>
      <c r="D4988" t="str">
        <f>T_Stocks[[#This Row],[Ticker]] &amp; "-" &amp; DATE(YEAR(T_Stocks[[#This Row],[Fecha]]),MONTH(T_Stocks[[#This Row],[Fecha]]),DAY(T_Stocks[[#This Row],[Fecha]]))</f>
        <v>MSFT-45433</v>
      </c>
    </row>
    <row r="4989" spans="1:4" ht="14.65" thickBot="1" x14ac:dyDescent="0.5">
      <c r="A4989" s="17">
        <v>45434.666666666664</v>
      </c>
      <c r="B4989" s="19">
        <v>430.52</v>
      </c>
      <c r="C4989" t="s">
        <v>41</v>
      </c>
      <c r="D4989" t="str">
        <f>T_Stocks[[#This Row],[Ticker]] &amp; "-" &amp; DATE(YEAR(T_Stocks[[#This Row],[Fecha]]),MONTH(T_Stocks[[#This Row],[Fecha]]),DAY(T_Stocks[[#This Row],[Fecha]]))</f>
        <v>MSFT-45434</v>
      </c>
    </row>
    <row r="4990" spans="1:4" ht="14.65" thickBot="1" x14ac:dyDescent="0.5">
      <c r="A4990" s="17">
        <v>45435.666666666664</v>
      </c>
      <c r="B4990" s="19">
        <v>427</v>
      </c>
      <c r="C4990" t="s">
        <v>41</v>
      </c>
      <c r="D4990" t="str">
        <f>T_Stocks[[#This Row],[Ticker]] &amp; "-" &amp; DATE(YEAR(T_Stocks[[#This Row],[Fecha]]),MONTH(T_Stocks[[#This Row],[Fecha]]),DAY(T_Stocks[[#This Row],[Fecha]]))</f>
        <v>MSFT-45435</v>
      </c>
    </row>
    <row r="4991" spans="1:4" ht="14.65" thickBot="1" x14ac:dyDescent="0.5">
      <c r="A4991" s="17">
        <v>45436.666666666664</v>
      </c>
      <c r="B4991" s="19">
        <v>430.16</v>
      </c>
      <c r="C4991" t="s">
        <v>41</v>
      </c>
      <c r="D4991" t="str">
        <f>T_Stocks[[#This Row],[Ticker]] &amp; "-" &amp; DATE(YEAR(T_Stocks[[#This Row],[Fecha]]),MONTH(T_Stocks[[#This Row],[Fecha]]),DAY(T_Stocks[[#This Row],[Fecha]]))</f>
        <v>MSFT-45436</v>
      </c>
    </row>
    <row r="4992" spans="1:4" ht="14.65" thickBot="1" x14ac:dyDescent="0.5">
      <c r="A4992" s="17">
        <v>45440.666666666664</v>
      </c>
      <c r="B4992" s="19">
        <v>430.32</v>
      </c>
      <c r="C4992" t="s">
        <v>41</v>
      </c>
      <c r="D4992" t="str">
        <f>T_Stocks[[#This Row],[Ticker]] &amp; "-" &amp; DATE(YEAR(T_Stocks[[#This Row],[Fecha]]),MONTH(T_Stocks[[#This Row],[Fecha]]),DAY(T_Stocks[[#This Row],[Fecha]]))</f>
        <v>MSFT-45440</v>
      </c>
    </row>
    <row r="4993" spans="1:4" ht="14.65" thickBot="1" x14ac:dyDescent="0.5">
      <c r="A4993" s="17">
        <v>45441.666666666664</v>
      </c>
      <c r="B4993" s="19">
        <v>429.17</v>
      </c>
      <c r="C4993" t="s">
        <v>41</v>
      </c>
      <c r="D4993" t="str">
        <f>T_Stocks[[#This Row],[Ticker]] &amp; "-" &amp; DATE(YEAR(T_Stocks[[#This Row],[Fecha]]),MONTH(T_Stocks[[#This Row],[Fecha]]),DAY(T_Stocks[[#This Row],[Fecha]]))</f>
        <v>MSFT-45441</v>
      </c>
    </row>
    <row r="4994" spans="1:4" ht="14.65" thickBot="1" x14ac:dyDescent="0.5">
      <c r="A4994" s="17">
        <v>45442.666666666664</v>
      </c>
      <c r="B4994" s="19">
        <v>414.67</v>
      </c>
      <c r="C4994" t="s">
        <v>41</v>
      </c>
      <c r="D4994" t="str">
        <f>T_Stocks[[#This Row],[Ticker]] &amp; "-" &amp; DATE(YEAR(T_Stocks[[#This Row],[Fecha]]),MONTH(T_Stocks[[#This Row],[Fecha]]),DAY(T_Stocks[[#This Row],[Fecha]]))</f>
        <v>MSFT-45442</v>
      </c>
    </row>
    <row r="4995" spans="1:4" ht="14.65" thickBot="1" x14ac:dyDescent="0.5">
      <c r="A4995" s="17">
        <v>45443.666666666664</v>
      </c>
      <c r="B4995" s="19">
        <v>415.13</v>
      </c>
      <c r="C4995" t="s">
        <v>41</v>
      </c>
      <c r="D4995" t="str">
        <f>T_Stocks[[#This Row],[Ticker]] &amp; "-" &amp; DATE(YEAR(T_Stocks[[#This Row],[Fecha]]),MONTH(T_Stocks[[#This Row],[Fecha]]),DAY(T_Stocks[[#This Row],[Fecha]]))</f>
        <v>MSFT-45443</v>
      </c>
    </row>
    <row r="4996" spans="1:4" ht="14.65" thickBot="1" x14ac:dyDescent="0.5">
      <c r="A4996" s="17">
        <v>45446.666666666664</v>
      </c>
      <c r="B4996" s="19">
        <v>413.52</v>
      </c>
      <c r="C4996" t="s">
        <v>41</v>
      </c>
      <c r="D4996" t="str">
        <f>T_Stocks[[#This Row],[Ticker]] &amp; "-" &amp; DATE(YEAR(T_Stocks[[#This Row],[Fecha]]),MONTH(T_Stocks[[#This Row],[Fecha]]),DAY(T_Stocks[[#This Row],[Fecha]]))</f>
        <v>MSFT-45446</v>
      </c>
    </row>
    <row r="4997" spans="1:4" ht="14.65" thickBot="1" x14ac:dyDescent="0.5">
      <c r="A4997" s="17">
        <v>45447.666666666664</v>
      </c>
      <c r="B4997" s="19">
        <v>416.07</v>
      </c>
      <c r="C4997" t="s">
        <v>41</v>
      </c>
      <c r="D4997" t="str">
        <f>T_Stocks[[#This Row],[Ticker]] &amp; "-" &amp; DATE(YEAR(T_Stocks[[#This Row],[Fecha]]),MONTH(T_Stocks[[#This Row],[Fecha]]),DAY(T_Stocks[[#This Row],[Fecha]]))</f>
        <v>MSFT-45447</v>
      </c>
    </row>
    <row r="4998" spans="1:4" ht="14.65" thickBot="1" x14ac:dyDescent="0.5">
      <c r="A4998" s="17">
        <v>45448.666666666664</v>
      </c>
      <c r="B4998" s="19">
        <v>424.01</v>
      </c>
      <c r="C4998" t="s">
        <v>41</v>
      </c>
      <c r="D4998" t="str">
        <f>T_Stocks[[#This Row],[Ticker]] &amp; "-" &amp; DATE(YEAR(T_Stocks[[#This Row],[Fecha]]),MONTH(T_Stocks[[#This Row],[Fecha]]),DAY(T_Stocks[[#This Row],[Fecha]]))</f>
        <v>MSFT-45448</v>
      </c>
    </row>
    <row r="4999" spans="1:4" ht="14.65" thickBot="1" x14ac:dyDescent="0.5">
      <c r="A4999" s="17">
        <v>45449.666666666664</v>
      </c>
      <c r="B4999" s="19">
        <v>424.52</v>
      </c>
      <c r="C4999" t="s">
        <v>41</v>
      </c>
      <c r="D4999" t="str">
        <f>T_Stocks[[#This Row],[Ticker]] &amp; "-" &amp; DATE(YEAR(T_Stocks[[#This Row],[Fecha]]),MONTH(T_Stocks[[#This Row],[Fecha]]),DAY(T_Stocks[[#This Row],[Fecha]]))</f>
        <v>MSFT-45449</v>
      </c>
    </row>
    <row r="5000" spans="1:4" ht="14.65" thickBot="1" x14ac:dyDescent="0.5">
      <c r="A5000" s="17">
        <v>45450.666666666664</v>
      </c>
      <c r="B5000" s="19">
        <v>423.85</v>
      </c>
      <c r="C5000" t="s">
        <v>41</v>
      </c>
      <c r="D5000" t="str">
        <f>T_Stocks[[#This Row],[Ticker]] &amp; "-" &amp; DATE(YEAR(T_Stocks[[#This Row],[Fecha]]),MONTH(T_Stocks[[#This Row],[Fecha]]),DAY(T_Stocks[[#This Row],[Fecha]]))</f>
        <v>MSFT-45450</v>
      </c>
    </row>
    <row r="5001" spans="1:4" ht="14.65" thickBot="1" x14ac:dyDescent="0.5">
      <c r="A5001" s="17">
        <v>45453.666666666664</v>
      </c>
      <c r="B5001" s="19">
        <v>427.87</v>
      </c>
      <c r="C5001" t="s">
        <v>41</v>
      </c>
      <c r="D5001" t="str">
        <f>T_Stocks[[#This Row],[Ticker]] &amp; "-" &amp; DATE(YEAR(T_Stocks[[#This Row],[Fecha]]),MONTH(T_Stocks[[#This Row],[Fecha]]),DAY(T_Stocks[[#This Row],[Fecha]]))</f>
        <v>MSFT-45453</v>
      </c>
    </row>
    <row r="5002" spans="1:4" ht="14.65" thickBot="1" x14ac:dyDescent="0.5">
      <c r="A5002" s="17">
        <v>45454.666666666664</v>
      </c>
      <c r="B5002" s="19">
        <v>432.68</v>
      </c>
      <c r="C5002" t="s">
        <v>41</v>
      </c>
      <c r="D5002" t="str">
        <f>T_Stocks[[#This Row],[Ticker]] &amp; "-" &amp; DATE(YEAR(T_Stocks[[#This Row],[Fecha]]),MONTH(T_Stocks[[#This Row],[Fecha]]),DAY(T_Stocks[[#This Row],[Fecha]]))</f>
        <v>MSFT-45454</v>
      </c>
    </row>
    <row r="5003" spans="1:4" ht="14.65" thickBot="1" x14ac:dyDescent="0.5">
      <c r="A5003" s="17">
        <v>45455.666666666664</v>
      </c>
      <c r="B5003" s="19">
        <v>441.06</v>
      </c>
      <c r="C5003" t="s">
        <v>41</v>
      </c>
      <c r="D5003" t="str">
        <f>T_Stocks[[#This Row],[Ticker]] &amp; "-" &amp; DATE(YEAR(T_Stocks[[#This Row],[Fecha]]),MONTH(T_Stocks[[#This Row],[Fecha]]),DAY(T_Stocks[[#This Row],[Fecha]]))</f>
        <v>MSFT-45455</v>
      </c>
    </row>
    <row r="5004" spans="1:4" ht="14.65" thickBot="1" x14ac:dyDescent="0.5">
      <c r="A5004" s="17">
        <v>45456.666666666664</v>
      </c>
      <c r="B5004" s="19">
        <v>441.58</v>
      </c>
      <c r="C5004" t="s">
        <v>41</v>
      </c>
      <c r="D5004" t="str">
        <f>T_Stocks[[#This Row],[Ticker]] &amp; "-" &amp; DATE(YEAR(T_Stocks[[#This Row],[Fecha]]),MONTH(T_Stocks[[#This Row],[Fecha]]),DAY(T_Stocks[[#This Row],[Fecha]]))</f>
        <v>MSFT-45456</v>
      </c>
    </row>
    <row r="5005" spans="1:4" ht="14.65" thickBot="1" x14ac:dyDescent="0.5">
      <c r="A5005" s="17">
        <v>45457.666666666664</v>
      </c>
      <c r="B5005" s="19">
        <v>442.57</v>
      </c>
      <c r="C5005" t="s">
        <v>41</v>
      </c>
      <c r="D5005" t="str">
        <f>T_Stocks[[#This Row],[Ticker]] &amp; "-" &amp; DATE(YEAR(T_Stocks[[#This Row],[Fecha]]),MONTH(T_Stocks[[#This Row],[Fecha]]),DAY(T_Stocks[[#This Row],[Fecha]]))</f>
        <v>MSFT-45457</v>
      </c>
    </row>
    <row r="5006" spans="1:4" ht="14.65" thickBot="1" x14ac:dyDescent="0.5">
      <c r="A5006" s="17">
        <v>45460.666666666664</v>
      </c>
      <c r="B5006" s="19">
        <v>448.37</v>
      </c>
      <c r="C5006" t="s">
        <v>41</v>
      </c>
      <c r="D5006" t="str">
        <f>T_Stocks[[#This Row],[Ticker]] &amp; "-" &amp; DATE(YEAR(T_Stocks[[#This Row],[Fecha]]),MONTH(T_Stocks[[#This Row],[Fecha]]),DAY(T_Stocks[[#This Row],[Fecha]]))</f>
        <v>MSFT-45460</v>
      </c>
    </row>
    <row r="5007" spans="1:4" ht="14.65" thickBot="1" x14ac:dyDescent="0.5">
      <c r="A5007" s="17">
        <v>45461.666666666664</v>
      </c>
      <c r="B5007" s="19">
        <v>446.34</v>
      </c>
      <c r="C5007" t="s">
        <v>41</v>
      </c>
      <c r="D5007" t="str">
        <f>T_Stocks[[#This Row],[Ticker]] &amp; "-" &amp; DATE(YEAR(T_Stocks[[#This Row],[Fecha]]),MONTH(T_Stocks[[#This Row],[Fecha]]),DAY(T_Stocks[[#This Row],[Fecha]]))</f>
        <v>MSFT-45461</v>
      </c>
    </row>
    <row r="5008" spans="1:4" ht="14.65" thickBot="1" x14ac:dyDescent="0.5">
      <c r="A5008" s="17">
        <v>45463.666666666664</v>
      </c>
      <c r="B5008" s="19">
        <v>445.7</v>
      </c>
      <c r="C5008" t="s">
        <v>41</v>
      </c>
      <c r="D5008" t="str">
        <f>T_Stocks[[#This Row],[Ticker]] &amp; "-" &amp; DATE(YEAR(T_Stocks[[#This Row],[Fecha]]),MONTH(T_Stocks[[#This Row],[Fecha]]),DAY(T_Stocks[[#This Row],[Fecha]]))</f>
        <v>MSFT-45463</v>
      </c>
    </row>
    <row r="5009" spans="1:4" ht="14.65" thickBot="1" x14ac:dyDescent="0.5">
      <c r="A5009" s="17">
        <v>45464.666666666664</v>
      </c>
      <c r="B5009" s="19">
        <v>449.78</v>
      </c>
      <c r="C5009" t="s">
        <v>41</v>
      </c>
      <c r="D5009" t="str">
        <f>T_Stocks[[#This Row],[Ticker]] &amp; "-" &amp; DATE(YEAR(T_Stocks[[#This Row],[Fecha]]),MONTH(T_Stocks[[#This Row],[Fecha]]),DAY(T_Stocks[[#This Row],[Fecha]]))</f>
        <v>MSFT-45464</v>
      </c>
    </row>
    <row r="5010" spans="1:4" ht="14.65" thickBot="1" x14ac:dyDescent="0.5">
      <c r="A5010" s="17">
        <v>45467.666666666664</v>
      </c>
      <c r="B5010" s="19">
        <v>447.67</v>
      </c>
      <c r="C5010" t="s">
        <v>41</v>
      </c>
      <c r="D5010" t="str">
        <f>T_Stocks[[#This Row],[Ticker]] &amp; "-" &amp; DATE(YEAR(T_Stocks[[#This Row],[Fecha]]),MONTH(T_Stocks[[#This Row],[Fecha]]),DAY(T_Stocks[[#This Row],[Fecha]]))</f>
        <v>MSFT-45467</v>
      </c>
    </row>
    <row r="5011" spans="1:4" ht="14.65" thickBot="1" x14ac:dyDescent="0.5">
      <c r="A5011" s="17">
        <v>45468.666666666664</v>
      </c>
      <c r="B5011" s="19">
        <v>450.95</v>
      </c>
      <c r="C5011" t="s">
        <v>41</v>
      </c>
      <c r="D5011" t="str">
        <f>T_Stocks[[#This Row],[Ticker]] &amp; "-" &amp; DATE(YEAR(T_Stocks[[#This Row],[Fecha]]),MONTH(T_Stocks[[#This Row],[Fecha]]),DAY(T_Stocks[[#This Row],[Fecha]]))</f>
        <v>MSFT-45468</v>
      </c>
    </row>
    <row r="5012" spans="1:4" ht="14.65" thickBot="1" x14ac:dyDescent="0.5">
      <c r="A5012" s="17">
        <v>45469.666666666664</v>
      </c>
      <c r="B5012" s="19">
        <v>452.16</v>
      </c>
      <c r="C5012" t="s">
        <v>41</v>
      </c>
      <c r="D5012" t="str">
        <f>T_Stocks[[#This Row],[Ticker]] &amp; "-" &amp; DATE(YEAR(T_Stocks[[#This Row],[Fecha]]),MONTH(T_Stocks[[#This Row],[Fecha]]),DAY(T_Stocks[[#This Row],[Fecha]]))</f>
        <v>MSFT-45469</v>
      </c>
    </row>
    <row r="5013" spans="1:4" ht="14.65" thickBot="1" x14ac:dyDescent="0.5">
      <c r="A5013" s="17">
        <v>45470.666666666664</v>
      </c>
      <c r="B5013" s="19">
        <v>452.85</v>
      </c>
      <c r="C5013" t="s">
        <v>41</v>
      </c>
      <c r="D5013" t="str">
        <f>T_Stocks[[#This Row],[Ticker]] &amp; "-" &amp; DATE(YEAR(T_Stocks[[#This Row],[Fecha]]),MONTH(T_Stocks[[#This Row],[Fecha]]),DAY(T_Stocks[[#This Row],[Fecha]]))</f>
        <v>MSFT-45470</v>
      </c>
    </row>
    <row r="5014" spans="1:4" ht="14.65" thickBot="1" x14ac:dyDescent="0.5">
      <c r="A5014" s="17">
        <v>45471.666666666664</v>
      </c>
      <c r="B5014" s="19">
        <v>446.95</v>
      </c>
      <c r="C5014" t="s">
        <v>41</v>
      </c>
      <c r="D5014" t="str">
        <f>T_Stocks[[#This Row],[Ticker]] &amp; "-" &amp; DATE(YEAR(T_Stocks[[#This Row],[Fecha]]),MONTH(T_Stocks[[#This Row],[Fecha]]),DAY(T_Stocks[[#This Row],[Fecha]]))</f>
        <v>MSFT-45471</v>
      </c>
    </row>
    <row r="5015" spans="1:4" ht="14.65" thickBot="1" x14ac:dyDescent="0.5">
      <c r="A5015" s="17">
        <v>45474.666666666664</v>
      </c>
      <c r="B5015" s="19">
        <v>456.73</v>
      </c>
      <c r="C5015" t="s">
        <v>41</v>
      </c>
      <c r="D5015" t="str">
        <f>T_Stocks[[#This Row],[Ticker]] &amp; "-" &amp; DATE(YEAR(T_Stocks[[#This Row],[Fecha]]),MONTH(T_Stocks[[#This Row],[Fecha]]),DAY(T_Stocks[[#This Row],[Fecha]]))</f>
        <v>MSFT-45474</v>
      </c>
    </row>
    <row r="5016" spans="1:4" ht="14.65" thickBot="1" x14ac:dyDescent="0.5">
      <c r="A5016" s="17">
        <v>45475.666666666664</v>
      </c>
      <c r="B5016" s="19">
        <v>459.28</v>
      </c>
      <c r="C5016" t="s">
        <v>41</v>
      </c>
      <c r="D5016" t="str">
        <f>T_Stocks[[#This Row],[Ticker]] &amp; "-" &amp; DATE(YEAR(T_Stocks[[#This Row],[Fecha]]),MONTH(T_Stocks[[#This Row],[Fecha]]),DAY(T_Stocks[[#This Row],[Fecha]]))</f>
        <v>MSFT-45475</v>
      </c>
    </row>
    <row r="5017" spans="1:4" ht="14.65" thickBot="1" x14ac:dyDescent="0.5">
      <c r="A5017" s="17">
        <v>45476.545138888891</v>
      </c>
      <c r="B5017" s="19">
        <v>460.77</v>
      </c>
      <c r="C5017" t="s">
        <v>41</v>
      </c>
      <c r="D5017" t="str">
        <f>T_Stocks[[#This Row],[Ticker]] &amp; "-" &amp; DATE(YEAR(T_Stocks[[#This Row],[Fecha]]),MONTH(T_Stocks[[#This Row],[Fecha]]),DAY(T_Stocks[[#This Row],[Fecha]]))</f>
        <v>MSFT-45476</v>
      </c>
    </row>
    <row r="5018" spans="1:4" ht="14.65" thickBot="1" x14ac:dyDescent="0.5">
      <c r="A5018" s="17">
        <v>45478.666666666664</v>
      </c>
      <c r="B5018" s="19">
        <v>467.56</v>
      </c>
      <c r="C5018" t="s">
        <v>41</v>
      </c>
      <c r="D5018" t="str">
        <f>T_Stocks[[#This Row],[Ticker]] &amp; "-" &amp; DATE(YEAR(T_Stocks[[#This Row],[Fecha]]),MONTH(T_Stocks[[#This Row],[Fecha]]),DAY(T_Stocks[[#This Row],[Fecha]]))</f>
        <v>MSFT-45478</v>
      </c>
    </row>
    <row r="5019" spans="1:4" ht="14.65" thickBot="1" x14ac:dyDescent="0.5">
      <c r="A5019" s="17">
        <v>45481.666666666664</v>
      </c>
      <c r="B5019" s="19">
        <v>466.24</v>
      </c>
      <c r="C5019" t="s">
        <v>41</v>
      </c>
      <c r="D5019" t="str">
        <f>T_Stocks[[#This Row],[Ticker]] &amp; "-" &amp; DATE(YEAR(T_Stocks[[#This Row],[Fecha]]),MONTH(T_Stocks[[#This Row],[Fecha]]),DAY(T_Stocks[[#This Row],[Fecha]]))</f>
        <v>MSFT-45481</v>
      </c>
    </row>
    <row r="5020" spans="1:4" ht="14.65" thickBot="1" x14ac:dyDescent="0.5">
      <c r="A5020" s="17">
        <v>45482.666666666664</v>
      </c>
      <c r="B5020" s="19">
        <v>459.54</v>
      </c>
      <c r="C5020" t="s">
        <v>41</v>
      </c>
      <c r="D5020" t="str">
        <f>T_Stocks[[#This Row],[Ticker]] &amp; "-" &amp; DATE(YEAR(T_Stocks[[#This Row],[Fecha]]),MONTH(T_Stocks[[#This Row],[Fecha]]),DAY(T_Stocks[[#This Row],[Fecha]]))</f>
        <v>MSFT-45482</v>
      </c>
    </row>
    <row r="5021" spans="1:4" ht="14.65" thickBot="1" x14ac:dyDescent="0.5">
      <c r="A5021" s="17">
        <v>45483.666666666664</v>
      </c>
      <c r="B5021" s="19">
        <v>466.25</v>
      </c>
      <c r="C5021" t="s">
        <v>41</v>
      </c>
      <c r="D5021" t="str">
        <f>T_Stocks[[#This Row],[Ticker]] &amp; "-" &amp; DATE(YEAR(T_Stocks[[#This Row],[Fecha]]),MONTH(T_Stocks[[#This Row],[Fecha]]),DAY(T_Stocks[[#This Row],[Fecha]]))</f>
        <v>MSFT-45483</v>
      </c>
    </row>
    <row r="5022" spans="1:4" ht="14.65" thickBot="1" x14ac:dyDescent="0.5">
      <c r="A5022" s="17">
        <v>45484.666666666664</v>
      </c>
      <c r="B5022" s="19">
        <v>454.7</v>
      </c>
      <c r="C5022" t="s">
        <v>41</v>
      </c>
      <c r="D5022" t="str">
        <f>T_Stocks[[#This Row],[Ticker]] &amp; "-" &amp; DATE(YEAR(T_Stocks[[#This Row],[Fecha]]),MONTH(T_Stocks[[#This Row],[Fecha]]),DAY(T_Stocks[[#This Row],[Fecha]]))</f>
        <v>MSFT-45484</v>
      </c>
    </row>
    <row r="5023" spans="1:4" ht="14.65" thickBot="1" x14ac:dyDescent="0.5">
      <c r="A5023" s="17">
        <v>45485.666666666664</v>
      </c>
      <c r="B5023" s="19">
        <v>453.55</v>
      </c>
      <c r="C5023" t="s">
        <v>41</v>
      </c>
      <c r="D5023" t="str">
        <f>T_Stocks[[#This Row],[Ticker]] &amp; "-" &amp; DATE(YEAR(T_Stocks[[#This Row],[Fecha]]),MONTH(T_Stocks[[#This Row],[Fecha]]),DAY(T_Stocks[[#This Row],[Fecha]]))</f>
        <v>MSFT-45485</v>
      </c>
    </row>
    <row r="5024" spans="1:4" ht="14.65" thickBot="1" x14ac:dyDescent="0.5">
      <c r="A5024" s="17">
        <v>45488.666666666664</v>
      </c>
      <c r="B5024" s="19">
        <v>453.96</v>
      </c>
      <c r="C5024" t="s">
        <v>41</v>
      </c>
      <c r="D5024" t="str">
        <f>T_Stocks[[#This Row],[Ticker]] &amp; "-" &amp; DATE(YEAR(T_Stocks[[#This Row],[Fecha]]),MONTH(T_Stocks[[#This Row],[Fecha]]),DAY(T_Stocks[[#This Row],[Fecha]]))</f>
        <v>MSFT-45488</v>
      </c>
    </row>
    <row r="5025" spans="1:4" ht="14.65" thickBot="1" x14ac:dyDescent="0.5">
      <c r="A5025" s="17">
        <v>45489.666666666664</v>
      </c>
      <c r="B5025" s="19">
        <v>449.52</v>
      </c>
      <c r="C5025" t="s">
        <v>41</v>
      </c>
      <c r="D5025" t="str">
        <f>T_Stocks[[#This Row],[Ticker]] &amp; "-" &amp; DATE(YEAR(T_Stocks[[#This Row],[Fecha]]),MONTH(T_Stocks[[#This Row],[Fecha]]),DAY(T_Stocks[[#This Row],[Fecha]]))</f>
        <v>MSFT-45489</v>
      </c>
    </row>
    <row r="5026" spans="1:4" ht="14.65" thickBot="1" x14ac:dyDescent="0.5">
      <c r="A5026" s="17">
        <v>45490.666666666664</v>
      </c>
      <c r="B5026" s="19">
        <v>443.52</v>
      </c>
      <c r="C5026" t="s">
        <v>41</v>
      </c>
      <c r="D5026" t="str">
        <f>T_Stocks[[#This Row],[Ticker]] &amp; "-" &amp; DATE(YEAR(T_Stocks[[#This Row],[Fecha]]),MONTH(T_Stocks[[#This Row],[Fecha]]),DAY(T_Stocks[[#This Row],[Fecha]]))</f>
        <v>MSFT-45490</v>
      </c>
    </row>
    <row r="5027" spans="1:4" ht="14.65" thickBot="1" x14ac:dyDescent="0.5">
      <c r="A5027" s="17">
        <v>45491.666666666664</v>
      </c>
      <c r="B5027" s="19">
        <v>440.37</v>
      </c>
      <c r="C5027" t="s">
        <v>41</v>
      </c>
      <c r="D5027" t="str">
        <f>T_Stocks[[#This Row],[Ticker]] &amp; "-" &amp; DATE(YEAR(T_Stocks[[#This Row],[Fecha]]),MONTH(T_Stocks[[#This Row],[Fecha]]),DAY(T_Stocks[[#This Row],[Fecha]]))</f>
        <v>MSFT-45491</v>
      </c>
    </row>
    <row r="5028" spans="1:4" ht="14.65" thickBot="1" x14ac:dyDescent="0.5">
      <c r="A5028" s="17">
        <v>45492.666666666664</v>
      </c>
      <c r="B5028" s="19">
        <v>437.11</v>
      </c>
      <c r="C5028" t="s">
        <v>41</v>
      </c>
      <c r="D5028" t="str">
        <f>T_Stocks[[#This Row],[Ticker]] &amp; "-" &amp; DATE(YEAR(T_Stocks[[#This Row],[Fecha]]),MONTH(T_Stocks[[#This Row],[Fecha]]),DAY(T_Stocks[[#This Row],[Fecha]]))</f>
        <v>MSFT-45492</v>
      </c>
    </row>
    <row r="5029" spans="1:4" ht="14.65" thickBot="1" x14ac:dyDescent="0.5">
      <c r="A5029" s="17">
        <v>45495.666666666664</v>
      </c>
      <c r="B5029" s="19">
        <v>442.94</v>
      </c>
      <c r="C5029" t="s">
        <v>41</v>
      </c>
      <c r="D5029" t="str">
        <f>T_Stocks[[#This Row],[Ticker]] &amp; "-" &amp; DATE(YEAR(T_Stocks[[#This Row],[Fecha]]),MONTH(T_Stocks[[#This Row],[Fecha]]),DAY(T_Stocks[[#This Row],[Fecha]]))</f>
        <v>MSFT-45495</v>
      </c>
    </row>
    <row r="5030" spans="1:4" ht="14.65" thickBot="1" x14ac:dyDescent="0.5">
      <c r="A5030" s="17">
        <v>45496.666666666664</v>
      </c>
      <c r="B5030" s="19">
        <v>444.85</v>
      </c>
      <c r="C5030" t="s">
        <v>41</v>
      </c>
      <c r="D5030" t="str">
        <f>T_Stocks[[#This Row],[Ticker]] &amp; "-" &amp; DATE(YEAR(T_Stocks[[#This Row],[Fecha]]),MONTH(T_Stocks[[#This Row],[Fecha]]),DAY(T_Stocks[[#This Row],[Fecha]]))</f>
        <v>MSFT-45496</v>
      </c>
    </row>
    <row r="5031" spans="1:4" ht="14.65" thickBot="1" x14ac:dyDescent="0.5">
      <c r="A5031" s="17">
        <v>45497.666666666664</v>
      </c>
      <c r="B5031" s="19">
        <v>428.9</v>
      </c>
      <c r="C5031" t="s">
        <v>41</v>
      </c>
      <c r="D5031" t="str">
        <f>T_Stocks[[#This Row],[Ticker]] &amp; "-" &amp; DATE(YEAR(T_Stocks[[#This Row],[Fecha]]),MONTH(T_Stocks[[#This Row],[Fecha]]),DAY(T_Stocks[[#This Row],[Fecha]]))</f>
        <v>MSFT-45497</v>
      </c>
    </row>
    <row r="5032" spans="1:4" ht="14.65" thickBot="1" x14ac:dyDescent="0.5">
      <c r="A5032" s="17">
        <v>45498.666666666664</v>
      </c>
      <c r="B5032" s="19">
        <v>418.4</v>
      </c>
      <c r="C5032" t="s">
        <v>41</v>
      </c>
      <c r="D5032" t="str">
        <f>T_Stocks[[#This Row],[Ticker]] &amp; "-" &amp; DATE(YEAR(T_Stocks[[#This Row],[Fecha]]),MONTH(T_Stocks[[#This Row],[Fecha]]),DAY(T_Stocks[[#This Row],[Fecha]]))</f>
        <v>MSFT-45498</v>
      </c>
    </row>
    <row r="5033" spans="1:4" ht="14.65" thickBot="1" x14ac:dyDescent="0.5">
      <c r="A5033" s="17">
        <v>45499.666666666664</v>
      </c>
      <c r="B5033" s="19">
        <v>425.27</v>
      </c>
      <c r="C5033" t="s">
        <v>41</v>
      </c>
      <c r="D5033" t="str">
        <f>T_Stocks[[#This Row],[Ticker]] &amp; "-" &amp; DATE(YEAR(T_Stocks[[#This Row],[Fecha]]),MONTH(T_Stocks[[#This Row],[Fecha]]),DAY(T_Stocks[[#This Row],[Fecha]]))</f>
        <v>MSFT-45499</v>
      </c>
    </row>
    <row r="5034" spans="1:4" ht="14.65" thickBot="1" x14ac:dyDescent="0.5">
      <c r="A5034" s="17">
        <v>45502.666666666664</v>
      </c>
      <c r="B5034" s="19">
        <v>426.73</v>
      </c>
      <c r="C5034" t="s">
        <v>41</v>
      </c>
      <c r="D5034" t="str">
        <f>T_Stocks[[#This Row],[Ticker]] &amp; "-" &amp; DATE(YEAR(T_Stocks[[#This Row],[Fecha]]),MONTH(T_Stocks[[#This Row],[Fecha]]),DAY(T_Stocks[[#This Row],[Fecha]]))</f>
        <v>MSFT-45502</v>
      </c>
    </row>
    <row r="5035" spans="1:4" ht="14.65" thickBot="1" x14ac:dyDescent="0.5">
      <c r="A5035" s="17">
        <v>45503.666666666664</v>
      </c>
      <c r="B5035" s="19">
        <v>422.92</v>
      </c>
      <c r="C5035" t="s">
        <v>41</v>
      </c>
      <c r="D5035" t="str">
        <f>T_Stocks[[#This Row],[Ticker]] &amp; "-" &amp; DATE(YEAR(T_Stocks[[#This Row],[Fecha]]),MONTH(T_Stocks[[#This Row],[Fecha]]),DAY(T_Stocks[[#This Row],[Fecha]]))</f>
        <v>MSFT-45503</v>
      </c>
    </row>
    <row r="5036" spans="1:4" ht="14.65" thickBot="1" x14ac:dyDescent="0.5">
      <c r="A5036" s="17">
        <v>45504.666666666664</v>
      </c>
      <c r="B5036" s="19">
        <v>418.35</v>
      </c>
      <c r="C5036" t="s">
        <v>41</v>
      </c>
      <c r="D5036" t="str">
        <f>T_Stocks[[#This Row],[Ticker]] &amp; "-" &amp; DATE(YEAR(T_Stocks[[#This Row],[Fecha]]),MONTH(T_Stocks[[#This Row],[Fecha]]),DAY(T_Stocks[[#This Row],[Fecha]]))</f>
        <v>MSFT-45504</v>
      </c>
    </row>
    <row r="5037" spans="1:4" ht="14.65" thickBot="1" x14ac:dyDescent="0.5">
      <c r="A5037" s="17">
        <v>45505.666666666664</v>
      </c>
      <c r="B5037" s="19">
        <v>417.11</v>
      </c>
      <c r="C5037" t="s">
        <v>41</v>
      </c>
      <c r="D5037" t="str">
        <f>T_Stocks[[#This Row],[Ticker]] &amp; "-" &amp; DATE(YEAR(T_Stocks[[#This Row],[Fecha]]),MONTH(T_Stocks[[#This Row],[Fecha]]),DAY(T_Stocks[[#This Row],[Fecha]]))</f>
        <v>MSFT-45505</v>
      </c>
    </row>
    <row r="5038" spans="1:4" ht="14.65" thickBot="1" x14ac:dyDescent="0.5">
      <c r="A5038" s="17">
        <v>45506.666666666664</v>
      </c>
      <c r="B5038" s="19">
        <v>408.49</v>
      </c>
      <c r="C5038" t="s">
        <v>41</v>
      </c>
      <c r="D5038" t="str">
        <f>T_Stocks[[#This Row],[Ticker]] &amp; "-" &amp; DATE(YEAR(T_Stocks[[#This Row],[Fecha]]),MONTH(T_Stocks[[#This Row],[Fecha]]),DAY(T_Stocks[[#This Row],[Fecha]]))</f>
        <v>MSFT-45506</v>
      </c>
    </row>
    <row r="5039" spans="1:4" ht="14.65" thickBot="1" x14ac:dyDescent="0.5">
      <c r="A5039" s="17">
        <v>45509.666666666664</v>
      </c>
      <c r="B5039" s="19">
        <v>395.15</v>
      </c>
      <c r="C5039" t="s">
        <v>41</v>
      </c>
      <c r="D5039" t="str">
        <f>T_Stocks[[#This Row],[Ticker]] &amp; "-" &amp; DATE(YEAR(T_Stocks[[#This Row],[Fecha]]),MONTH(T_Stocks[[#This Row],[Fecha]]),DAY(T_Stocks[[#This Row],[Fecha]]))</f>
        <v>MSFT-45509</v>
      </c>
    </row>
    <row r="5040" spans="1:4" ht="14.65" thickBot="1" x14ac:dyDescent="0.5">
      <c r="A5040" s="17">
        <v>45510.666666666664</v>
      </c>
      <c r="B5040" s="19">
        <v>399.61</v>
      </c>
      <c r="C5040" t="s">
        <v>41</v>
      </c>
      <c r="D5040" t="str">
        <f>T_Stocks[[#This Row],[Ticker]] &amp; "-" &amp; DATE(YEAR(T_Stocks[[#This Row],[Fecha]]),MONTH(T_Stocks[[#This Row],[Fecha]]),DAY(T_Stocks[[#This Row],[Fecha]]))</f>
        <v>MSFT-45510</v>
      </c>
    </row>
    <row r="5041" spans="1:4" ht="14.65" thickBot="1" x14ac:dyDescent="0.5">
      <c r="A5041" s="17">
        <v>45511.666666666664</v>
      </c>
      <c r="B5041" s="19">
        <v>398.43</v>
      </c>
      <c r="C5041" t="s">
        <v>41</v>
      </c>
      <c r="D5041" t="str">
        <f>T_Stocks[[#This Row],[Ticker]] &amp; "-" &amp; DATE(YEAR(T_Stocks[[#This Row],[Fecha]]),MONTH(T_Stocks[[#This Row],[Fecha]]),DAY(T_Stocks[[#This Row],[Fecha]]))</f>
        <v>MSFT-45511</v>
      </c>
    </row>
    <row r="5042" spans="1:4" ht="14.65" thickBot="1" x14ac:dyDescent="0.5">
      <c r="A5042" s="17">
        <v>45512.666666666664</v>
      </c>
      <c r="B5042" s="19">
        <v>402.69</v>
      </c>
      <c r="C5042" t="s">
        <v>41</v>
      </c>
      <c r="D5042" t="str">
        <f>T_Stocks[[#This Row],[Ticker]] &amp; "-" &amp; DATE(YEAR(T_Stocks[[#This Row],[Fecha]]),MONTH(T_Stocks[[#This Row],[Fecha]]),DAY(T_Stocks[[#This Row],[Fecha]]))</f>
        <v>MSFT-45512</v>
      </c>
    </row>
    <row r="5043" spans="1:4" ht="14.65" thickBot="1" x14ac:dyDescent="0.5">
      <c r="A5043" s="17">
        <v>45513.666666666664</v>
      </c>
      <c r="B5043" s="19">
        <v>406.02</v>
      </c>
      <c r="C5043" t="s">
        <v>41</v>
      </c>
      <c r="D5043" t="str">
        <f>T_Stocks[[#This Row],[Ticker]] &amp; "-" &amp; DATE(YEAR(T_Stocks[[#This Row],[Fecha]]),MONTH(T_Stocks[[#This Row],[Fecha]]),DAY(T_Stocks[[#This Row],[Fecha]]))</f>
        <v>MSFT-45513</v>
      </c>
    </row>
    <row r="5044" spans="1:4" ht="14.65" thickBot="1" x14ac:dyDescent="0.5">
      <c r="A5044" s="17">
        <v>45516.666666666664</v>
      </c>
      <c r="B5044" s="19">
        <v>406.81</v>
      </c>
      <c r="C5044" t="s">
        <v>41</v>
      </c>
      <c r="D5044" t="str">
        <f>T_Stocks[[#This Row],[Ticker]] &amp; "-" &amp; DATE(YEAR(T_Stocks[[#This Row],[Fecha]]),MONTH(T_Stocks[[#This Row],[Fecha]]),DAY(T_Stocks[[#This Row],[Fecha]]))</f>
        <v>MSFT-45516</v>
      </c>
    </row>
    <row r="5045" spans="1:4" ht="14.65" thickBot="1" x14ac:dyDescent="0.5">
      <c r="A5045" s="17">
        <v>45517.666666666664</v>
      </c>
      <c r="B5045" s="19">
        <v>414.01</v>
      </c>
      <c r="C5045" t="s">
        <v>41</v>
      </c>
      <c r="D5045" t="str">
        <f>T_Stocks[[#This Row],[Ticker]] &amp; "-" &amp; DATE(YEAR(T_Stocks[[#This Row],[Fecha]]),MONTH(T_Stocks[[#This Row],[Fecha]]),DAY(T_Stocks[[#This Row],[Fecha]]))</f>
        <v>MSFT-45517</v>
      </c>
    </row>
    <row r="5046" spans="1:4" ht="14.65" thickBot="1" x14ac:dyDescent="0.5">
      <c r="A5046" s="17">
        <v>45518.666666666664</v>
      </c>
      <c r="B5046" s="19">
        <v>416.86</v>
      </c>
      <c r="C5046" t="s">
        <v>41</v>
      </c>
      <c r="D5046" t="str">
        <f>T_Stocks[[#This Row],[Ticker]] &amp; "-" &amp; DATE(YEAR(T_Stocks[[#This Row],[Fecha]]),MONTH(T_Stocks[[#This Row],[Fecha]]),DAY(T_Stocks[[#This Row],[Fecha]]))</f>
        <v>MSFT-45518</v>
      </c>
    </row>
    <row r="5047" spans="1:4" ht="14.65" thickBot="1" x14ac:dyDescent="0.5">
      <c r="A5047" s="17">
        <v>45519.666666666664</v>
      </c>
      <c r="B5047" s="19">
        <v>421.03</v>
      </c>
      <c r="C5047" t="s">
        <v>41</v>
      </c>
      <c r="D5047" t="str">
        <f>T_Stocks[[#This Row],[Ticker]] &amp; "-" &amp; DATE(YEAR(T_Stocks[[#This Row],[Fecha]]),MONTH(T_Stocks[[#This Row],[Fecha]]),DAY(T_Stocks[[#This Row],[Fecha]]))</f>
        <v>MSFT-45519</v>
      </c>
    </row>
    <row r="5048" spans="1:4" ht="14.65" thickBot="1" x14ac:dyDescent="0.5">
      <c r="A5048" s="17">
        <v>45520.666666666664</v>
      </c>
      <c r="B5048" s="19">
        <v>418.47</v>
      </c>
      <c r="C5048" t="s">
        <v>41</v>
      </c>
      <c r="D5048" t="str">
        <f>T_Stocks[[#This Row],[Ticker]] &amp; "-" &amp; DATE(YEAR(T_Stocks[[#This Row],[Fecha]]),MONTH(T_Stocks[[#This Row],[Fecha]]),DAY(T_Stocks[[#This Row],[Fecha]]))</f>
        <v>MSFT-45520</v>
      </c>
    </row>
    <row r="5049" spans="1:4" ht="14.65" thickBot="1" x14ac:dyDescent="0.5">
      <c r="A5049" s="17">
        <v>45523.666666666664</v>
      </c>
      <c r="B5049" s="19">
        <v>421.53</v>
      </c>
      <c r="C5049" t="s">
        <v>41</v>
      </c>
      <c r="D5049" t="str">
        <f>T_Stocks[[#This Row],[Ticker]] &amp; "-" &amp; DATE(YEAR(T_Stocks[[#This Row],[Fecha]]),MONTH(T_Stocks[[#This Row],[Fecha]]),DAY(T_Stocks[[#This Row],[Fecha]]))</f>
        <v>MSFT-45523</v>
      </c>
    </row>
    <row r="5050" spans="1:4" ht="14.65" thickBot="1" x14ac:dyDescent="0.5">
      <c r="A5050" s="17">
        <v>45524.666666666664</v>
      </c>
      <c r="B5050" s="19">
        <v>424.8</v>
      </c>
      <c r="C5050" t="s">
        <v>41</v>
      </c>
      <c r="D5050" t="str">
        <f>T_Stocks[[#This Row],[Ticker]] &amp; "-" &amp; DATE(YEAR(T_Stocks[[#This Row],[Fecha]]),MONTH(T_Stocks[[#This Row],[Fecha]]),DAY(T_Stocks[[#This Row],[Fecha]]))</f>
        <v>MSFT-45524</v>
      </c>
    </row>
    <row r="5051" spans="1:4" ht="14.65" thickBot="1" x14ac:dyDescent="0.5">
      <c r="A5051" s="17">
        <v>45525.666666666664</v>
      </c>
      <c r="B5051" s="19">
        <v>424.14</v>
      </c>
      <c r="C5051" t="s">
        <v>41</v>
      </c>
      <c r="D5051" t="str">
        <f>T_Stocks[[#This Row],[Ticker]] &amp; "-" &amp; DATE(YEAR(T_Stocks[[#This Row],[Fecha]]),MONTH(T_Stocks[[#This Row],[Fecha]]),DAY(T_Stocks[[#This Row],[Fecha]]))</f>
        <v>MSFT-45525</v>
      </c>
    </row>
    <row r="5052" spans="1:4" ht="14.65" thickBot="1" x14ac:dyDescent="0.5">
      <c r="A5052" s="17">
        <v>45526.666666666664</v>
      </c>
      <c r="B5052" s="19">
        <v>415.55</v>
      </c>
      <c r="C5052" t="s">
        <v>41</v>
      </c>
      <c r="D5052" t="str">
        <f>T_Stocks[[#This Row],[Ticker]] &amp; "-" &amp; DATE(YEAR(T_Stocks[[#This Row],[Fecha]]),MONTH(T_Stocks[[#This Row],[Fecha]]),DAY(T_Stocks[[#This Row],[Fecha]]))</f>
        <v>MSFT-45526</v>
      </c>
    </row>
    <row r="5053" spans="1:4" ht="14.65" thickBot="1" x14ac:dyDescent="0.5">
      <c r="A5053" s="17">
        <v>45527.666666666664</v>
      </c>
      <c r="B5053" s="19">
        <v>416.79</v>
      </c>
      <c r="C5053" t="s">
        <v>41</v>
      </c>
      <c r="D5053" t="str">
        <f>T_Stocks[[#This Row],[Ticker]] &amp; "-" &amp; DATE(YEAR(T_Stocks[[#This Row],[Fecha]]),MONTH(T_Stocks[[#This Row],[Fecha]]),DAY(T_Stocks[[#This Row],[Fecha]]))</f>
        <v>MSFT-45527</v>
      </c>
    </row>
    <row r="5054" spans="1:4" ht="14.65" thickBot="1" x14ac:dyDescent="0.5">
      <c r="A5054" s="17">
        <v>45530.666666666664</v>
      </c>
      <c r="B5054" s="19">
        <v>413.49</v>
      </c>
      <c r="C5054" t="s">
        <v>41</v>
      </c>
      <c r="D5054" t="str">
        <f>T_Stocks[[#This Row],[Ticker]] &amp; "-" &amp; DATE(YEAR(T_Stocks[[#This Row],[Fecha]]),MONTH(T_Stocks[[#This Row],[Fecha]]),DAY(T_Stocks[[#This Row],[Fecha]]))</f>
        <v>MSFT-45530</v>
      </c>
    </row>
    <row r="5055" spans="1:4" ht="14.65" thickBot="1" x14ac:dyDescent="0.5">
      <c r="A5055" s="17">
        <v>45531.666666666664</v>
      </c>
      <c r="B5055" s="19">
        <v>413.84</v>
      </c>
      <c r="C5055" t="s">
        <v>41</v>
      </c>
      <c r="D5055" t="str">
        <f>T_Stocks[[#This Row],[Ticker]] &amp; "-" &amp; DATE(YEAR(T_Stocks[[#This Row],[Fecha]]),MONTH(T_Stocks[[#This Row],[Fecha]]),DAY(T_Stocks[[#This Row],[Fecha]]))</f>
        <v>MSFT-45531</v>
      </c>
    </row>
    <row r="5056" spans="1:4" ht="14.65" thickBot="1" x14ac:dyDescent="0.5">
      <c r="A5056" s="17">
        <v>45532.666666666664</v>
      </c>
      <c r="B5056" s="19">
        <v>410.6</v>
      </c>
      <c r="C5056" t="s">
        <v>41</v>
      </c>
      <c r="D5056" t="str">
        <f>T_Stocks[[#This Row],[Ticker]] &amp; "-" &amp; DATE(YEAR(T_Stocks[[#This Row],[Fecha]]),MONTH(T_Stocks[[#This Row],[Fecha]]),DAY(T_Stocks[[#This Row],[Fecha]]))</f>
        <v>MSFT-45532</v>
      </c>
    </row>
    <row r="5057" spans="1:4" ht="14.65" thickBot="1" x14ac:dyDescent="0.5">
      <c r="A5057" s="17">
        <v>45533.666666666664</v>
      </c>
      <c r="B5057" s="19">
        <v>413.12</v>
      </c>
      <c r="C5057" t="s">
        <v>41</v>
      </c>
      <c r="D5057" t="str">
        <f>T_Stocks[[#This Row],[Ticker]] &amp; "-" &amp; DATE(YEAR(T_Stocks[[#This Row],[Fecha]]),MONTH(T_Stocks[[#This Row],[Fecha]]),DAY(T_Stocks[[#This Row],[Fecha]]))</f>
        <v>MSFT-45533</v>
      </c>
    </row>
    <row r="5058" spans="1:4" ht="14.65" thickBot="1" x14ac:dyDescent="0.5">
      <c r="A5058" s="17">
        <v>45534.666666666664</v>
      </c>
      <c r="B5058" s="19">
        <v>417.14</v>
      </c>
      <c r="C5058" t="s">
        <v>41</v>
      </c>
      <c r="D5058" t="str">
        <f>T_Stocks[[#This Row],[Ticker]] &amp; "-" &amp; DATE(YEAR(T_Stocks[[#This Row],[Fecha]]),MONTH(T_Stocks[[#This Row],[Fecha]]),DAY(T_Stocks[[#This Row],[Fecha]]))</f>
        <v>MSFT-45534</v>
      </c>
    </row>
    <row r="5059" spans="1:4" ht="14.65" thickBot="1" x14ac:dyDescent="0.5">
      <c r="A5059" s="17">
        <v>45538.666666666664</v>
      </c>
      <c r="B5059" s="19">
        <v>409.44</v>
      </c>
      <c r="C5059" t="s">
        <v>41</v>
      </c>
      <c r="D5059" t="str">
        <f>T_Stocks[[#This Row],[Ticker]] &amp; "-" &amp; DATE(YEAR(T_Stocks[[#This Row],[Fecha]]),MONTH(T_Stocks[[#This Row],[Fecha]]),DAY(T_Stocks[[#This Row],[Fecha]]))</f>
        <v>MSFT-45538</v>
      </c>
    </row>
    <row r="5060" spans="1:4" ht="14.65" thickBot="1" x14ac:dyDescent="0.5">
      <c r="A5060" s="17">
        <v>45539.666666666664</v>
      </c>
      <c r="B5060" s="19">
        <v>408.9</v>
      </c>
      <c r="C5060" t="s">
        <v>41</v>
      </c>
      <c r="D5060" t="str">
        <f>T_Stocks[[#This Row],[Ticker]] &amp; "-" &amp; DATE(YEAR(T_Stocks[[#This Row],[Fecha]]),MONTH(T_Stocks[[#This Row],[Fecha]]),DAY(T_Stocks[[#This Row],[Fecha]]))</f>
        <v>MSFT-45539</v>
      </c>
    </row>
    <row r="5061" spans="1:4" ht="14.65" thickBot="1" x14ac:dyDescent="0.5">
      <c r="A5061" s="17">
        <v>45540.666666666664</v>
      </c>
      <c r="B5061" s="19">
        <v>408.39</v>
      </c>
      <c r="C5061" t="s">
        <v>41</v>
      </c>
      <c r="D5061" t="str">
        <f>T_Stocks[[#This Row],[Ticker]] &amp; "-" &amp; DATE(YEAR(T_Stocks[[#This Row],[Fecha]]),MONTH(T_Stocks[[#This Row],[Fecha]]),DAY(T_Stocks[[#This Row],[Fecha]]))</f>
        <v>MSFT-45540</v>
      </c>
    </row>
    <row r="5062" spans="1:4" ht="14.65" thickBot="1" x14ac:dyDescent="0.5">
      <c r="A5062" s="17">
        <v>45541.666666666664</v>
      </c>
      <c r="B5062" s="19">
        <v>401.7</v>
      </c>
      <c r="C5062" t="s">
        <v>41</v>
      </c>
      <c r="D5062" t="str">
        <f>T_Stocks[[#This Row],[Ticker]] &amp; "-" &amp; DATE(YEAR(T_Stocks[[#This Row],[Fecha]]),MONTH(T_Stocks[[#This Row],[Fecha]]),DAY(T_Stocks[[#This Row],[Fecha]]))</f>
        <v>MSFT-45541</v>
      </c>
    </row>
    <row r="5063" spans="1:4" ht="14.65" thickBot="1" x14ac:dyDescent="0.5">
      <c r="A5063" s="17">
        <v>45544.666666666664</v>
      </c>
      <c r="B5063" s="19">
        <v>405.72</v>
      </c>
      <c r="C5063" t="s">
        <v>41</v>
      </c>
      <c r="D5063" t="str">
        <f>T_Stocks[[#This Row],[Ticker]] &amp; "-" &amp; DATE(YEAR(T_Stocks[[#This Row],[Fecha]]),MONTH(T_Stocks[[#This Row],[Fecha]]),DAY(T_Stocks[[#This Row],[Fecha]]))</f>
        <v>MSFT-45544</v>
      </c>
    </row>
    <row r="5064" spans="1:4" ht="14.65" thickBot="1" x14ac:dyDescent="0.5">
      <c r="A5064" s="17">
        <v>45545.666666666664</v>
      </c>
      <c r="B5064" s="19">
        <v>414.2</v>
      </c>
      <c r="C5064" t="s">
        <v>41</v>
      </c>
      <c r="D5064" t="str">
        <f>T_Stocks[[#This Row],[Ticker]] &amp; "-" &amp; DATE(YEAR(T_Stocks[[#This Row],[Fecha]]),MONTH(T_Stocks[[#This Row],[Fecha]]),DAY(T_Stocks[[#This Row],[Fecha]]))</f>
        <v>MSFT-45545</v>
      </c>
    </row>
    <row r="5065" spans="1:4" ht="14.65" thickBot="1" x14ac:dyDescent="0.5">
      <c r="A5065" s="17">
        <v>45546.666666666664</v>
      </c>
      <c r="B5065" s="19">
        <v>423.04</v>
      </c>
      <c r="C5065" t="s">
        <v>41</v>
      </c>
      <c r="D5065" t="str">
        <f>T_Stocks[[#This Row],[Ticker]] &amp; "-" &amp; DATE(YEAR(T_Stocks[[#This Row],[Fecha]]),MONTH(T_Stocks[[#This Row],[Fecha]]),DAY(T_Stocks[[#This Row],[Fecha]]))</f>
        <v>MSFT-45546</v>
      </c>
    </row>
    <row r="5066" spans="1:4" ht="14.65" thickBot="1" x14ac:dyDescent="0.5">
      <c r="A5066" s="17">
        <v>45547.666666666664</v>
      </c>
      <c r="B5066" s="19">
        <v>427</v>
      </c>
      <c r="C5066" t="s">
        <v>41</v>
      </c>
      <c r="D5066" t="str">
        <f>T_Stocks[[#This Row],[Ticker]] &amp; "-" &amp; DATE(YEAR(T_Stocks[[#This Row],[Fecha]]),MONTH(T_Stocks[[#This Row],[Fecha]]),DAY(T_Stocks[[#This Row],[Fecha]]))</f>
        <v>MSFT-45547</v>
      </c>
    </row>
    <row r="5067" spans="1:4" ht="14.65" thickBot="1" x14ac:dyDescent="0.5">
      <c r="A5067" s="17">
        <v>45548.666666666664</v>
      </c>
      <c r="B5067" s="19">
        <v>430.59</v>
      </c>
      <c r="C5067" t="s">
        <v>41</v>
      </c>
      <c r="D5067" t="str">
        <f>T_Stocks[[#This Row],[Ticker]] &amp; "-" &amp; DATE(YEAR(T_Stocks[[#This Row],[Fecha]]),MONTH(T_Stocks[[#This Row],[Fecha]]),DAY(T_Stocks[[#This Row],[Fecha]]))</f>
        <v>MSFT-45548</v>
      </c>
    </row>
    <row r="5068" spans="1:4" ht="14.65" thickBot="1" x14ac:dyDescent="0.5">
      <c r="A5068" s="17">
        <v>45551.666666666664</v>
      </c>
      <c r="B5068" s="19">
        <v>431.34</v>
      </c>
      <c r="C5068" t="s">
        <v>41</v>
      </c>
      <c r="D5068" t="str">
        <f>T_Stocks[[#This Row],[Ticker]] &amp; "-" &amp; DATE(YEAR(T_Stocks[[#This Row],[Fecha]]),MONTH(T_Stocks[[#This Row],[Fecha]]),DAY(T_Stocks[[#This Row],[Fecha]]))</f>
        <v>MSFT-45551</v>
      </c>
    </row>
    <row r="5069" spans="1:4" ht="14.65" thickBot="1" x14ac:dyDescent="0.5">
      <c r="A5069" s="17">
        <v>45552.666666666664</v>
      </c>
      <c r="B5069" s="19">
        <v>435.15</v>
      </c>
      <c r="C5069" t="s">
        <v>41</v>
      </c>
      <c r="D5069" t="str">
        <f>T_Stocks[[#This Row],[Ticker]] &amp; "-" &amp; DATE(YEAR(T_Stocks[[#This Row],[Fecha]]),MONTH(T_Stocks[[#This Row],[Fecha]]),DAY(T_Stocks[[#This Row],[Fecha]]))</f>
        <v>MSFT-45552</v>
      </c>
    </row>
    <row r="5070" spans="1:4" ht="14.65" thickBot="1" x14ac:dyDescent="0.5">
      <c r="A5070" s="17">
        <v>45553.666666666664</v>
      </c>
      <c r="B5070" s="19">
        <v>430.81</v>
      </c>
      <c r="C5070" t="s">
        <v>41</v>
      </c>
      <c r="D5070" t="str">
        <f>T_Stocks[[#This Row],[Ticker]] &amp; "-" &amp; DATE(YEAR(T_Stocks[[#This Row],[Fecha]]),MONTH(T_Stocks[[#This Row],[Fecha]]),DAY(T_Stocks[[#This Row],[Fecha]]))</f>
        <v>MSFT-45553</v>
      </c>
    </row>
    <row r="5071" spans="1:4" ht="14.65" thickBot="1" x14ac:dyDescent="0.5">
      <c r="A5071" s="17">
        <v>45554.666666666664</v>
      </c>
      <c r="B5071" s="19">
        <v>438.69</v>
      </c>
      <c r="C5071" t="s">
        <v>41</v>
      </c>
      <c r="D5071" t="str">
        <f>T_Stocks[[#This Row],[Ticker]] &amp; "-" &amp; DATE(YEAR(T_Stocks[[#This Row],[Fecha]]),MONTH(T_Stocks[[#This Row],[Fecha]]),DAY(T_Stocks[[#This Row],[Fecha]]))</f>
        <v>MSFT-45554</v>
      </c>
    </row>
    <row r="5072" spans="1:4" ht="14.65" thickBot="1" x14ac:dyDescent="0.5">
      <c r="A5072" s="17">
        <v>45555.666666666664</v>
      </c>
      <c r="B5072" s="19">
        <v>435.27</v>
      </c>
      <c r="C5072" t="s">
        <v>41</v>
      </c>
      <c r="D5072" t="str">
        <f>T_Stocks[[#This Row],[Ticker]] &amp; "-" &amp; DATE(YEAR(T_Stocks[[#This Row],[Fecha]]),MONTH(T_Stocks[[#This Row],[Fecha]]),DAY(T_Stocks[[#This Row],[Fecha]]))</f>
        <v>MSFT-45555</v>
      </c>
    </row>
    <row r="5073" spans="1:4" ht="14.65" thickBot="1" x14ac:dyDescent="0.5">
      <c r="A5073" s="17">
        <v>45558.666666666664</v>
      </c>
      <c r="B5073" s="19">
        <v>433.51</v>
      </c>
      <c r="C5073" t="s">
        <v>41</v>
      </c>
      <c r="D5073" t="str">
        <f>T_Stocks[[#This Row],[Ticker]] &amp; "-" &amp; DATE(YEAR(T_Stocks[[#This Row],[Fecha]]),MONTH(T_Stocks[[#This Row],[Fecha]]),DAY(T_Stocks[[#This Row],[Fecha]]))</f>
        <v>MSFT-45558</v>
      </c>
    </row>
    <row r="5074" spans="1:4" ht="14.65" thickBot="1" x14ac:dyDescent="0.5">
      <c r="A5074" s="17">
        <v>45559.666666666664</v>
      </c>
      <c r="B5074" s="19">
        <v>429.17</v>
      </c>
      <c r="C5074" t="s">
        <v>41</v>
      </c>
      <c r="D5074" t="str">
        <f>T_Stocks[[#This Row],[Ticker]] &amp; "-" &amp; DATE(YEAR(T_Stocks[[#This Row],[Fecha]]),MONTH(T_Stocks[[#This Row],[Fecha]]),DAY(T_Stocks[[#This Row],[Fecha]]))</f>
        <v>MSFT-45559</v>
      </c>
    </row>
    <row r="5075" spans="1:4" ht="14.65" thickBot="1" x14ac:dyDescent="0.5">
      <c r="A5075" s="17">
        <v>45560.666666666664</v>
      </c>
      <c r="B5075" s="19">
        <v>432.11</v>
      </c>
      <c r="C5075" t="s">
        <v>41</v>
      </c>
      <c r="D5075" t="str">
        <f>T_Stocks[[#This Row],[Ticker]] &amp; "-" &amp; DATE(YEAR(T_Stocks[[#This Row],[Fecha]]),MONTH(T_Stocks[[#This Row],[Fecha]]),DAY(T_Stocks[[#This Row],[Fecha]]))</f>
        <v>MSFT-45560</v>
      </c>
    </row>
    <row r="5076" spans="1:4" ht="14.65" thickBot="1" x14ac:dyDescent="0.5">
      <c r="A5076" s="17">
        <v>45561.666666666664</v>
      </c>
      <c r="B5076" s="19">
        <v>431.31</v>
      </c>
      <c r="C5076" t="s">
        <v>41</v>
      </c>
      <c r="D5076" t="str">
        <f>T_Stocks[[#This Row],[Ticker]] &amp; "-" &amp; DATE(YEAR(T_Stocks[[#This Row],[Fecha]]),MONTH(T_Stocks[[#This Row],[Fecha]]),DAY(T_Stocks[[#This Row],[Fecha]]))</f>
        <v>MSFT-45561</v>
      </c>
    </row>
    <row r="5077" spans="1:4" ht="14.65" thickBot="1" x14ac:dyDescent="0.5">
      <c r="A5077" s="17">
        <v>45562.666666666664</v>
      </c>
      <c r="B5077" s="19">
        <v>428.02</v>
      </c>
      <c r="C5077" t="s">
        <v>41</v>
      </c>
      <c r="D5077" t="str">
        <f>T_Stocks[[#This Row],[Ticker]] &amp; "-" &amp; DATE(YEAR(T_Stocks[[#This Row],[Fecha]]),MONTH(T_Stocks[[#This Row],[Fecha]]),DAY(T_Stocks[[#This Row],[Fecha]]))</f>
        <v>MSFT-45562</v>
      </c>
    </row>
    <row r="5078" spans="1:4" ht="14.65" thickBot="1" x14ac:dyDescent="0.5">
      <c r="A5078" s="17">
        <v>45565.666666666664</v>
      </c>
      <c r="B5078" s="19">
        <v>430.3</v>
      </c>
      <c r="C5078" t="s">
        <v>41</v>
      </c>
      <c r="D5078" t="str">
        <f>T_Stocks[[#This Row],[Ticker]] &amp; "-" &amp; DATE(YEAR(T_Stocks[[#This Row],[Fecha]]),MONTH(T_Stocks[[#This Row],[Fecha]]),DAY(T_Stocks[[#This Row],[Fecha]]))</f>
        <v>MSFT-45565</v>
      </c>
    </row>
    <row r="5079" spans="1:4" ht="14.65" thickBot="1" x14ac:dyDescent="0.5">
      <c r="A5079" s="17">
        <v>45566.666666666664</v>
      </c>
      <c r="B5079" s="19">
        <v>420.69</v>
      </c>
      <c r="C5079" t="s">
        <v>41</v>
      </c>
      <c r="D5079" t="str">
        <f>T_Stocks[[#This Row],[Ticker]] &amp; "-" &amp; DATE(YEAR(T_Stocks[[#This Row],[Fecha]]),MONTH(T_Stocks[[#This Row],[Fecha]]),DAY(T_Stocks[[#This Row],[Fecha]]))</f>
        <v>MSFT-45566</v>
      </c>
    </row>
    <row r="5080" spans="1:4" ht="14.65" thickBot="1" x14ac:dyDescent="0.5">
      <c r="A5080" s="17">
        <v>45567.666666666664</v>
      </c>
      <c r="B5080" s="19">
        <v>417.13</v>
      </c>
      <c r="C5080" t="s">
        <v>41</v>
      </c>
      <c r="D5080" t="str">
        <f>T_Stocks[[#This Row],[Ticker]] &amp; "-" &amp; DATE(YEAR(T_Stocks[[#This Row],[Fecha]]),MONTH(T_Stocks[[#This Row],[Fecha]]),DAY(T_Stocks[[#This Row],[Fecha]]))</f>
        <v>MSFT-45567</v>
      </c>
    </row>
    <row r="5081" spans="1:4" ht="14.65" thickBot="1" x14ac:dyDescent="0.5">
      <c r="A5081" s="17">
        <v>45568.666666666664</v>
      </c>
      <c r="B5081" s="19">
        <v>416.54</v>
      </c>
      <c r="C5081" t="s">
        <v>41</v>
      </c>
      <c r="D5081" t="str">
        <f>T_Stocks[[#This Row],[Ticker]] &amp; "-" &amp; DATE(YEAR(T_Stocks[[#This Row],[Fecha]]),MONTH(T_Stocks[[#This Row],[Fecha]]),DAY(T_Stocks[[#This Row],[Fecha]]))</f>
        <v>MSFT-45568</v>
      </c>
    </row>
    <row r="5082" spans="1:4" ht="14.65" thickBot="1" x14ac:dyDescent="0.5">
      <c r="A5082" s="17">
        <v>45569.666666666664</v>
      </c>
      <c r="B5082" s="19">
        <v>416.06</v>
      </c>
      <c r="C5082" t="s">
        <v>41</v>
      </c>
      <c r="D5082" t="str">
        <f>T_Stocks[[#This Row],[Ticker]] &amp; "-" &amp; DATE(YEAR(T_Stocks[[#This Row],[Fecha]]),MONTH(T_Stocks[[#This Row],[Fecha]]),DAY(T_Stocks[[#This Row],[Fecha]]))</f>
        <v>MSFT-45569</v>
      </c>
    </row>
    <row r="5083" spans="1:4" ht="14.65" thickBot="1" x14ac:dyDescent="0.5">
      <c r="A5083" s="17">
        <v>45572.666666666664</v>
      </c>
      <c r="B5083" s="19">
        <v>409.54</v>
      </c>
      <c r="C5083" t="s">
        <v>41</v>
      </c>
      <c r="D5083" t="str">
        <f>T_Stocks[[#This Row],[Ticker]] &amp; "-" &amp; DATE(YEAR(T_Stocks[[#This Row],[Fecha]]),MONTH(T_Stocks[[#This Row],[Fecha]]),DAY(T_Stocks[[#This Row],[Fecha]]))</f>
        <v>MSFT-45572</v>
      </c>
    </row>
    <row r="5084" spans="1:4" ht="14.65" thickBot="1" x14ac:dyDescent="0.5">
      <c r="A5084" s="17">
        <v>45573.666666666664</v>
      </c>
      <c r="B5084" s="19">
        <v>414.71</v>
      </c>
      <c r="C5084" t="s">
        <v>41</v>
      </c>
      <c r="D5084" t="str">
        <f>T_Stocks[[#This Row],[Ticker]] &amp; "-" &amp; DATE(YEAR(T_Stocks[[#This Row],[Fecha]]),MONTH(T_Stocks[[#This Row],[Fecha]]),DAY(T_Stocks[[#This Row],[Fecha]]))</f>
        <v>MSFT-45573</v>
      </c>
    </row>
    <row r="5085" spans="1:4" ht="14.65" thickBot="1" x14ac:dyDescent="0.5">
      <c r="A5085" s="17">
        <v>45574.666666666664</v>
      </c>
      <c r="B5085" s="19">
        <v>417.46</v>
      </c>
      <c r="C5085" t="s">
        <v>41</v>
      </c>
      <c r="D5085" t="str">
        <f>T_Stocks[[#This Row],[Ticker]] &amp; "-" &amp; DATE(YEAR(T_Stocks[[#This Row],[Fecha]]),MONTH(T_Stocks[[#This Row],[Fecha]]),DAY(T_Stocks[[#This Row],[Fecha]]))</f>
        <v>MSFT-45574</v>
      </c>
    </row>
    <row r="5086" spans="1:4" ht="14.65" thickBot="1" x14ac:dyDescent="0.5">
      <c r="A5086" s="17">
        <v>45575.666666666664</v>
      </c>
      <c r="B5086" s="19">
        <v>415.84</v>
      </c>
      <c r="C5086" t="s">
        <v>41</v>
      </c>
      <c r="D5086" t="str">
        <f>T_Stocks[[#This Row],[Ticker]] &amp; "-" &amp; DATE(YEAR(T_Stocks[[#This Row],[Fecha]]),MONTH(T_Stocks[[#This Row],[Fecha]]),DAY(T_Stocks[[#This Row],[Fecha]]))</f>
        <v>MSFT-45575</v>
      </c>
    </row>
    <row r="5087" spans="1:4" ht="14.65" thickBot="1" x14ac:dyDescent="0.5">
      <c r="A5087" s="17">
        <v>45576.666666666664</v>
      </c>
      <c r="B5087" s="19">
        <v>416.32</v>
      </c>
      <c r="C5087" t="s">
        <v>41</v>
      </c>
      <c r="D5087" t="str">
        <f>T_Stocks[[#This Row],[Ticker]] &amp; "-" &amp; DATE(YEAR(T_Stocks[[#This Row],[Fecha]]),MONTH(T_Stocks[[#This Row],[Fecha]]),DAY(T_Stocks[[#This Row],[Fecha]]))</f>
        <v>MSFT-45576</v>
      </c>
    </row>
    <row r="5088" spans="1:4" ht="14.65" thickBot="1" x14ac:dyDescent="0.5">
      <c r="A5088" s="17">
        <v>45579.666666666664</v>
      </c>
      <c r="B5088" s="19">
        <v>419.14</v>
      </c>
      <c r="C5088" t="s">
        <v>41</v>
      </c>
      <c r="D5088" t="str">
        <f>T_Stocks[[#This Row],[Ticker]] &amp; "-" &amp; DATE(YEAR(T_Stocks[[#This Row],[Fecha]]),MONTH(T_Stocks[[#This Row],[Fecha]]),DAY(T_Stocks[[#This Row],[Fecha]]))</f>
        <v>MSFT-45579</v>
      </c>
    </row>
    <row r="5089" spans="1:4" ht="14.65" thickBot="1" x14ac:dyDescent="0.5">
      <c r="A5089" s="17">
        <v>45580.666666666664</v>
      </c>
      <c r="B5089" s="19">
        <v>418.74</v>
      </c>
      <c r="C5089" t="s">
        <v>41</v>
      </c>
      <c r="D5089" t="str">
        <f>T_Stocks[[#This Row],[Ticker]] &amp; "-" &amp; DATE(YEAR(T_Stocks[[#This Row],[Fecha]]),MONTH(T_Stocks[[#This Row],[Fecha]]),DAY(T_Stocks[[#This Row],[Fecha]]))</f>
        <v>MSFT-45580</v>
      </c>
    </row>
    <row r="5090" spans="1:4" ht="14.65" thickBot="1" x14ac:dyDescent="0.5">
      <c r="A5090" s="17">
        <v>45581.666666666664</v>
      </c>
      <c r="B5090" s="19">
        <v>416.12</v>
      </c>
      <c r="C5090" t="s">
        <v>41</v>
      </c>
      <c r="D5090" t="str">
        <f>T_Stocks[[#This Row],[Ticker]] &amp; "-" &amp; DATE(YEAR(T_Stocks[[#This Row],[Fecha]]),MONTH(T_Stocks[[#This Row],[Fecha]]),DAY(T_Stocks[[#This Row],[Fecha]]))</f>
        <v>MSFT-45581</v>
      </c>
    </row>
    <row r="5091" spans="1:4" ht="14.65" thickBot="1" x14ac:dyDescent="0.5">
      <c r="A5091" s="17">
        <v>45582.666666666664</v>
      </c>
      <c r="B5091" s="19">
        <v>416.72</v>
      </c>
      <c r="C5091" t="s">
        <v>41</v>
      </c>
      <c r="D5091" t="str">
        <f>T_Stocks[[#This Row],[Ticker]] &amp; "-" &amp; DATE(YEAR(T_Stocks[[#This Row],[Fecha]]),MONTH(T_Stocks[[#This Row],[Fecha]]),DAY(T_Stocks[[#This Row],[Fecha]]))</f>
        <v>MSFT-45582</v>
      </c>
    </row>
    <row r="5092" spans="1:4" ht="14.65" thickBot="1" x14ac:dyDescent="0.5">
      <c r="A5092" s="17">
        <v>45583.666666666664</v>
      </c>
      <c r="B5092" s="19">
        <v>418.16</v>
      </c>
      <c r="C5092" t="s">
        <v>41</v>
      </c>
      <c r="D5092" t="str">
        <f>T_Stocks[[#This Row],[Ticker]] &amp; "-" &amp; DATE(YEAR(T_Stocks[[#This Row],[Fecha]]),MONTH(T_Stocks[[#This Row],[Fecha]]),DAY(T_Stocks[[#This Row],[Fecha]]))</f>
        <v>MSFT-45583</v>
      </c>
    </row>
    <row r="5093" spans="1:4" ht="14.65" thickBot="1" x14ac:dyDescent="0.5">
      <c r="A5093" s="17">
        <v>45586.666666666664</v>
      </c>
      <c r="B5093" s="19">
        <v>418.78</v>
      </c>
      <c r="C5093" t="s">
        <v>41</v>
      </c>
      <c r="D5093" t="str">
        <f>T_Stocks[[#This Row],[Ticker]] &amp; "-" &amp; DATE(YEAR(T_Stocks[[#This Row],[Fecha]]),MONTH(T_Stocks[[#This Row],[Fecha]]),DAY(T_Stocks[[#This Row],[Fecha]]))</f>
        <v>MSFT-45586</v>
      </c>
    </row>
    <row r="5094" spans="1:4" ht="14.65" thickBot="1" x14ac:dyDescent="0.5">
      <c r="A5094" s="17">
        <v>45587.666666666664</v>
      </c>
      <c r="B5094" s="19">
        <v>427.51</v>
      </c>
      <c r="C5094" t="s">
        <v>41</v>
      </c>
      <c r="D5094" t="str">
        <f>T_Stocks[[#This Row],[Ticker]] &amp; "-" &amp; DATE(YEAR(T_Stocks[[#This Row],[Fecha]]),MONTH(T_Stocks[[#This Row],[Fecha]]),DAY(T_Stocks[[#This Row],[Fecha]]))</f>
        <v>MSFT-45587</v>
      </c>
    </row>
    <row r="5095" spans="1:4" ht="14.65" thickBot="1" x14ac:dyDescent="0.5">
      <c r="A5095" s="17">
        <v>45588.666666666664</v>
      </c>
      <c r="B5095" s="19">
        <v>424.6</v>
      </c>
      <c r="C5095" t="s">
        <v>41</v>
      </c>
      <c r="D5095" t="str">
        <f>T_Stocks[[#This Row],[Ticker]] &amp; "-" &amp; DATE(YEAR(T_Stocks[[#This Row],[Fecha]]),MONTH(T_Stocks[[#This Row],[Fecha]]),DAY(T_Stocks[[#This Row],[Fecha]]))</f>
        <v>MSFT-45588</v>
      </c>
    </row>
    <row r="5096" spans="1:4" ht="14.65" thickBot="1" x14ac:dyDescent="0.5">
      <c r="A5096" s="17">
        <v>45589.666666666664</v>
      </c>
      <c r="B5096" s="19">
        <v>424.73</v>
      </c>
      <c r="C5096" t="s">
        <v>41</v>
      </c>
      <c r="D5096" t="str">
        <f>T_Stocks[[#This Row],[Ticker]] &amp; "-" &amp; DATE(YEAR(T_Stocks[[#This Row],[Fecha]]),MONTH(T_Stocks[[#This Row],[Fecha]]),DAY(T_Stocks[[#This Row],[Fecha]]))</f>
        <v>MSFT-45589</v>
      </c>
    </row>
    <row r="5097" spans="1:4" ht="14.65" thickBot="1" x14ac:dyDescent="0.5">
      <c r="A5097" s="17">
        <v>45590.666666666664</v>
      </c>
      <c r="B5097" s="19">
        <v>428.15</v>
      </c>
      <c r="C5097" t="s">
        <v>41</v>
      </c>
      <c r="D5097" t="str">
        <f>T_Stocks[[#This Row],[Ticker]] &amp; "-" &amp; DATE(YEAR(T_Stocks[[#This Row],[Fecha]]),MONTH(T_Stocks[[#This Row],[Fecha]]),DAY(T_Stocks[[#This Row],[Fecha]]))</f>
        <v>MSFT-45590</v>
      </c>
    </row>
    <row r="5098" spans="1:4" ht="14.65" thickBot="1" x14ac:dyDescent="0.5">
      <c r="A5098" s="17">
        <v>45593.666666666664</v>
      </c>
      <c r="B5098" s="19">
        <v>426.59</v>
      </c>
      <c r="C5098" t="s">
        <v>41</v>
      </c>
      <c r="D5098" t="str">
        <f>T_Stocks[[#This Row],[Ticker]] &amp; "-" &amp; DATE(YEAR(T_Stocks[[#This Row],[Fecha]]),MONTH(T_Stocks[[#This Row],[Fecha]]),DAY(T_Stocks[[#This Row],[Fecha]]))</f>
        <v>MSFT-45593</v>
      </c>
    </row>
    <row r="5099" spans="1:4" ht="14.65" thickBot="1" x14ac:dyDescent="0.5">
      <c r="A5099" s="17">
        <v>45594.666666666664</v>
      </c>
      <c r="B5099" s="19">
        <v>431.95</v>
      </c>
      <c r="C5099" t="s">
        <v>41</v>
      </c>
      <c r="D5099" t="str">
        <f>T_Stocks[[#This Row],[Ticker]] &amp; "-" &amp; DATE(YEAR(T_Stocks[[#This Row],[Fecha]]),MONTH(T_Stocks[[#This Row],[Fecha]]),DAY(T_Stocks[[#This Row],[Fecha]]))</f>
        <v>MSFT-45594</v>
      </c>
    </row>
    <row r="5100" spans="1:4" ht="14.65" thickBot="1" x14ac:dyDescent="0.5">
      <c r="A5100" s="17">
        <v>45595.666666666664</v>
      </c>
      <c r="B5100" s="19">
        <v>432.53</v>
      </c>
      <c r="C5100" t="s">
        <v>41</v>
      </c>
      <c r="D5100" t="str">
        <f>T_Stocks[[#This Row],[Ticker]] &amp; "-" &amp; DATE(YEAR(T_Stocks[[#This Row],[Fecha]]),MONTH(T_Stocks[[#This Row],[Fecha]]),DAY(T_Stocks[[#This Row],[Fecha]]))</f>
        <v>MSFT-45595</v>
      </c>
    </row>
    <row r="5101" spans="1:4" ht="14.65" thickBot="1" x14ac:dyDescent="0.5">
      <c r="A5101" s="17">
        <v>45596.666666666664</v>
      </c>
      <c r="B5101" s="19">
        <v>406.35</v>
      </c>
      <c r="C5101" t="s">
        <v>41</v>
      </c>
      <c r="D5101" t="str">
        <f>T_Stocks[[#This Row],[Ticker]] &amp; "-" &amp; DATE(YEAR(T_Stocks[[#This Row],[Fecha]]),MONTH(T_Stocks[[#This Row],[Fecha]]),DAY(T_Stocks[[#This Row],[Fecha]]))</f>
        <v>MSFT-45596</v>
      </c>
    </row>
    <row r="5102" spans="1:4" ht="14.65" thickBot="1" x14ac:dyDescent="0.5">
      <c r="A5102" s="17">
        <v>45597.666666666664</v>
      </c>
      <c r="B5102" s="19">
        <v>410.37</v>
      </c>
      <c r="C5102" t="s">
        <v>41</v>
      </c>
      <c r="D5102" t="str">
        <f>T_Stocks[[#This Row],[Ticker]] &amp; "-" &amp; DATE(YEAR(T_Stocks[[#This Row],[Fecha]]),MONTH(T_Stocks[[#This Row],[Fecha]]),DAY(T_Stocks[[#This Row],[Fecha]]))</f>
        <v>MSFT-45597</v>
      </c>
    </row>
    <row r="5103" spans="1:4" ht="14.65" thickBot="1" x14ac:dyDescent="0.5">
      <c r="A5103" s="17">
        <v>45600.666666666664</v>
      </c>
      <c r="B5103" s="19">
        <v>408.46</v>
      </c>
      <c r="C5103" t="s">
        <v>41</v>
      </c>
      <c r="D5103" t="str">
        <f>T_Stocks[[#This Row],[Ticker]] &amp; "-" &amp; DATE(YEAR(T_Stocks[[#This Row],[Fecha]]),MONTH(T_Stocks[[#This Row],[Fecha]]),DAY(T_Stocks[[#This Row],[Fecha]]))</f>
        <v>MSFT-45600</v>
      </c>
    </row>
    <row r="5104" spans="1:4" ht="14.65" thickBot="1" x14ac:dyDescent="0.5">
      <c r="A5104" s="17">
        <v>45601.666666666664</v>
      </c>
      <c r="B5104" s="19">
        <v>411.46</v>
      </c>
      <c r="C5104" t="s">
        <v>41</v>
      </c>
      <c r="D5104" t="str">
        <f>T_Stocks[[#This Row],[Ticker]] &amp; "-" &amp; DATE(YEAR(T_Stocks[[#This Row],[Fecha]]),MONTH(T_Stocks[[#This Row],[Fecha]]),DAY(T_Stocks[[#This Row],[Fecha]]))</f>
        <v>MSFT-45601</v>
      </c>
    </row>
    <row r="5105" spans="1:4" ht="14.65" thickBot="1" x14ac:dyDescent="0.5">
      <c r="A5105" s="17">
        <v>45602.666666666664</v>
      </c>
      <c r="B5105" s="19">
        <v>420.18</v>
      </c>
      <c r="C5105" t="s">
        <v>41</v>
      </c>
      <c r="D5105" t="str">
        <f>T_Stocks[[#This Row],[Ticker]] &amp; "-" &amp; DATE(YEAR(T_Stocks[[#This Row],[Fecha]]),MONTH(T_Stocks[[#This Row],[Fecha]]),DAY(T_Stocks[[#This Row],[Fecha]]))</f>
        <v>MSFT-45602</v>
      </c>
    </row>
    <row r="5106" spans="1:4" ht="14.65" thickBot="1" x14ac:dyDescent="0.5">
      <c r="A5106" s="17">
        <v>45603.666666666664</v>
      </c>
      <c r="B5106" s="19">
        <v>425.43</v>
      </c>
      <c r="C5106" t="s">
        <v>41</v>
      </c>
      <c r="D5106" t="str">
        <f>T_Stocks[[#This Row],[Ticker]] &amp; "-" &amp; DATE(YEAR(T_Stocks[[#This Row],[Fecha]]),MONTH(T_Stocks[[#This Row],[Fecha]]),DAY(T_Stocks[[#This Row],[Fecha]]))</f>
        <v>MSFT-45603</v>
      </c>
    </row>
    <row r="5107" spans="1:4" ht="14.65" thickBot="1" x14ac:dyDescent="0.5">
      <c r="A5107" s="17">
        <v>45604.666666666664</v>
      </c>
      <c r="B5107" s="19">
        <v>422.54</v>
      </c>
      <c r="C5107" t="s">
        <v>41</v>
      </c>
      <c r="D5107" t="str">
        <f>T_Stocks[[#This Row],[Ticker]] &amp; "-" &amp; DATE(YEAR(T_Stocks[[#This Row],[Fecha]]),MONTH(T_Stocks[[#This Row],[Fecha]]),DAY(T_Stocks[[#This Row],[Fecha]]))</f>
        <v>MSFT-45604</v>
      </c>
    </row>
    <row r="5108" spans="1:4" ht="14.65" thickBot="1" x14ac:dyDescent="0.5">
      <c r="A5108" s="17">
        <v>45607.666666666664</v>
      </c>
      <c r="B5108" s="19">
        <v>418.01</v>
      </c>
      <c r="C5108" t="s">
        <v>41</v>
      </c>
      <c r="D5108" t="str">
        <f>T_Stocks[[#This Row],[Ticker]] &amp; "-" &amp; DATE(YEAR(T_Stocks[[#This Row],[Fecha]]),MONTH(T_Stocks[[#This Row],[Fecha]]),DAY(T_Stocks[[#This Row],[Fecha]]))</f>
        <v>MSFT-45607</v>
      </c>
    </row>
    <row r="5109" spans="1:4" ht="14.65" thickBot="1" x14ac:dyDescent="0.5">
      <c r="A5109" s="17">
        <v>45608.666666666664</v>
      </c>
      <c r="B5109" s="19">
        <v>423.03</v>
      </c>
      <c r="C5109" t="s">
        <v>41</v>
      </c>
      <c r="D5109" t="str">
        <f>T_Stocks[[#This Row],[Ticker]] &amp; "-" &amp; DATE(YEAR(T_Stocks[[#This Row],[Fecha]]),MONTH(T_Stocks[[#This Row],[Fecha]]),DAY(T_Stocks[[#This Row],[Fecha]]))</f>
        <v>MSFT-45608</v>
      </c>
    </row>
    <row r="5110" spans="1:4" ht="14.65" thickBot="1" x14ac:dyDescent="0.5">
      <c r="A5110" s="17">
        <v>45609.666666666664</v>
      </c>
      <c r="B5110" s="19">
        <v>425.2</v>
      </c>
      <c r="C5110" t="s">
        <v>41</v>
      </c>
      <c r="D5110" t="str">
        <f>T_Stocks[[#This Row],[Ticker]] &amp; "-" &amp; DATE(YEAR(T_Stocks[[#This Row],[Fecha]]),MONTH(T_Stocks[[#This Row],[Fecha]]),DAY(T_Stocks[[#This Row],[Fecha]]))</f>
        <v>MSFT-45609</v>
      </c>
    </row>
    <row r="5111" spans="1:4" ht="14.65" thickBot="1" x14ac:dyDescent="0.5">
      <c r="A5111" s="17">
        <v>45610.666666666664</v>
      </c>
      <c r="B5111" s="19">
        <v>426.89</v>
      </c>
      <c r="C5111" t="s">
        <v>41</v>
      </c>
      <c r="D5111" t="str">
        <f>T_Stocks[[#This Row],[Ticker]] &amp; "-" &amp; DATE(YEAR(T_Stocks[[#This Row],[Fecha]]),MONTH(T_Stocks[[#This Row],[Fecha]]),DAY(T_Stocks[[#This Row],[Fecha]]))</f>
        <v>MSFT-45610</v>
      </c>
    </row>
    <row r="5112" spans="1:4" ht="14.65" thickBot="1" x14ac:dyDescent="0.5">
      <c r="A5112" s="17">
        <v>45611.666666666664</v>
      </c>
      <c r="B5112" s="19">
        <v>415</v>
      </c>
      <c r="C5112" t="s">
        <v>41</v>
      </c>
      <c r="D5112" t="str">
        <f>T_Stocks[[#This Row],[Ticker]] &amp; "-" &amp; DATE(YEAR(T_Stocks[[#This Row],[Fecha]]),MONTH(T_Stocks[[#This Row],[Fecha]]),DAY(T_Stocks[[#This Row],[Fecha]]))</f>
        <v>MSFT-45611</v>
      </c>
    </row>
    <row r="5113" spans="1:4" ht="14.65" thickBot="1" x14ac:dyDescent="0.5">
      <c r="A5113" s="17">
        <v>45614.666666666664</v>
      </c>
      <c r="B5113" s="19">
        <v>415.76</v>
      </c>
      <c r="C5113" t="s">
        <v>41</v>
      </c>
      <c r="D5113" t="str">
        <f>T_Stocks[[#This Row],[Ticker]] &amp; "-" &amp; DATE(YEAR(T_Stocks[[#This Row],[Fecha]]),MONTH(T_Stocks[[#This Row],[Fecha]]),DAY(T_Stocks[[#This Row],[Fecha]]))</f>
        <v>MSFT-45614</v>
      </c>
    </row>
    <row r="5114" spans="1:4" ht="14.65" thickBot="1" x14ac:dyDescent="0.5">
      <c r="A5114" s="17">
        <v>45615.666666666664</v>
      </c>
      <c r="B5114" s="19">
        <v>417.79</v>
      </c>
      <c r="C5114" t="s">
        <v>41</v>
      </c>
      <c r="D5114" t="str">
        <f>T_Stocks[[#This Row],[Ticker]] &amp; "-" &amp; DATE(YEAR(T_Stocks[[#This Row],[Fecha]]),MONTH(T_Stocks[[#This Row],[Fecha]]),DAY(T_Stocks[[#This Row],[Fecha]]))</f>
        <v>MSFT-45615</v>
      </c>
    </row>
    <row r="5115" spans="1:4" ht="14.65" thickBot="1" x14ac:dyDescent="0.5">
      <c r="A5115" s="17">
        <v>45616.666666666664</v>
      </c>
      <c r="B5115" s="19">
        <v>415.49</v>
      </c>
      <c r="C5115" t="s">
        <v>41</v>
      </c>
      <c r="D5115" t="str">
        <f>T_Stocks[[#This Row],[Ticker]] &amp; "-" &amp; DATE(YEAR(T_Stocks[[#This Row],[Fecha]]),MONTH(T_Stocks[[#This Row],[Fecha]]),DAY(T_Stocks[[#This Row],[Fecha]]))</f>
        <v>MSFT-45616</v>
      </c>
    </row>
    <row r="5116" spans="1:4" ht="14.65" thickBot="1" x14ac:dyDescent="0.5">
      <c r="A5116" s="17">
        <v>45617.666666666664</v>
      </c>
      <c r="B5116" s="19">
        <v>412.87</v>
      </c>
      <c r="C5116" t="s">
        <v>41</v>
      </c>
      <c r="D5116" t="str">
        <f>T_Stocks[[#This Row],[Ticker]] &amp; "-" &amp; DATE(YEAR(T_Stocks[[#This Row],[Fecha]]),MONTH(T_Stocks[[#This Row],[Fecha]]),DAY(T_Stocks[[#This Row],[Fecha]]))</f>
        <v>MSFT-45617</v>
      </c>
    </row>
    <row r="5117" spans="1:4" ht="14.65" thickBot="1" x14ac:dyDescent="0.5">
      <c r="A5117" s="17">
        <v>45618.666666666664</v>
      </c>
      <c r="B5117" s="19">
        <v>417</v>
      </c>
      <c r="C5117" t="s">
        <v>41</v>
      </c>
      <c r="D5117" t="str">
        <f>T_Stocks[[#This Row],[Ticker]] &amp; "-" &amp; DATE(YEAR(T_Stocks[[#This Row],[Fecha]]),MONTH(T_Stocks[[#This Row],[Fecha]]),DAY(T_Stocks[[#This Row],[Fecha]]))</f>
        <v>MSFT-45618</v>
      </c>
    </row>
    <row r="5118" spans="1:4" ht="14.65" thickBot="1" x14ac:dyDescent="0.5">
      <c r="A5118" s="17">
        <v>45621.666666666664</v>
      </c>
      <c r="B5118" s="19">
        <v>418.79</v>
      </c>
      <c r="C5118" t="s">
        <v>41</v>
      </c>
      <c r="D5118" t="str">
        <f>T_Stocks[[#This Row],[Ticker]] &amp; "-" &amp; DATE(YEAR(T_Stocks[[#This Row],[Fecha]]),MONTH(T_Stocks[[#This Row],[Fecha]]),DAY(T_Stocks[[#This Row],[Fecha]]))</f>
        <v>MSFT-45621</v>
      </c>
    </row>
    <row r="5119" spans="1:4" ht="14.65" thickBot="1" x14ac:dyDescent="0.5">
      <c r="A5119" s="17">
        <v>45622.666666666664</v>
      </c>
      <c r="B5119" s="19">
        <v>427.99</v>
      </c>
      <c r="C5119" t="s">
        <v>41</v>
      </c>
      <c r="D5119" t="str">
        <f>T_Stocks[[#This Row],[Ticker]] &amp; "-" &amp; DATE(YEAR(T_Stocks[[#This Row],[Fecha]]),MONTH(T_Stocks[[#This Row],[Fecha]]),DAY(T_Stocks[[#This Row],[Fecha]]))</f>
        <v>MSFT-45622</v>
      </c>
    </row>
    <row r="5120" spans="1:4" ht="14.65" thickBot="1" x14ac:dyDescent="0.5">
      <c r="A5120" s="17">
        <v>45623.666666666664</v>
      </c>
      <c r="B5120" s="19">
        <v>422.99</v>
      </c>
      <c r="C5120" t="s">
        <v>41</v>
      </c>
      <c r="D5120" t="str">
        <f>T_Stocks[[#This Row],[Ticker]] &amp; "-" &amp; DATE(YEAR(T_Stocks[[#This Row],[Fecha]]),MONTH(T_Stocks[[#This Row],[Fecha]]),DAY(T_Stocks[[#This Row],[Fecha]]))</f>
        <v>MSFT-45623</v>
      </c>
    </row>
    <row r="5121" spans="1:4" ht="14.65" thickBot="1" x14ac:dyDescent="0.5">
      <c r="A5121" s="17">
        <v>45625.545138888891</v>
      </c>
      <c r="B5121" s="19">
        <v>423.46</v>
      </c>
      <c r="C5121" t="s">
        <v>41</v>
      </c>
      <c r="D5121" t="str">
        <f>T_Stocks[[#This Row],[Ticker]] &amp; "-" &amp; DATE(YEAR(T_Stocks[[#This Row],[Fecha]]),MONTH(T_Stocks[[#This Row],[Fecha]]),DAY(T_Stocks[[#This Row],[Fecha]]))</f>
        <v>MSFT-45625</v>
      </c>
    </row>
    <row r="5122" spans="1:4" ht="14.65" thickBot="1" x14ac:dyDescent="0.5">
      <c r="A5122" s="17">
        <v>45628.666666666664</v>
      </c>
      <c r="B5122" s="19">
        <v>430.98</v>
      </c>
      <c r="C5122" t="s">
        <v>41</v>
      </c>
      <c r="D5122" t="str">
        <f>T_Stocks[[#This Row],[Ticker]] &amp; "-" &amp; DATE(YEAR(T_Stocks[[#This Row],[Fecha]]),MONTH(T_Stocks[[#This Row],[Fecha]]),DAY(T_Stocks[[#This Row],[Fecha]]))</f>
        <v>MSFT-45628</v>
      </c>
    </row>
    <row r="5123" spans="1:4" ht="14.65" thickBot="1" x14ac:dyDescent="0.5">
      <c r="A5123" s="17">
        <v>45629.666666666664</v>
      </c>
      <c r="B5123" s="19">
        <v>431.2</v>
      </c>
      <c r="C5123" t="s">
        <v>41</v>
      </c>
      <c r="D5123" t="str">
        <f>T_Stocks[[#This Row],[Ticker]] &amp; "-" &amp; DATE(YEAR(T_Stocks[[#This Row],[Fecha]]),MONTH(T_Stocks[[#This Row],[Fecha]]),DAY(T_Stocks[[#This Row],[Fecha]]))</f>
        <v>MSFT-45629</v>
      </c>
    </row>
    <row r="5124" spans="1:4" ht="14.65" thickBot="1" x14ac:dyDescent="0.5">
      <c r="A5124" s="17">
        <v>45630.666666666664</v>
      </c>
      <c r="B5124" s="19">
        <v>437.42</v>
      </c>
      <c r="C5124" t="s">
        <v>41</v>
      </c>
      <c r="D5124" t="str">
        <f>T_Stocks[[#This Row],[Ticker]] &amp; "-" &amp; DATE(YEAR(T_Stocks[[#This Row],[Fecha]]),MONTH(T_Stocks[[#This Row],[Fecha]]),DAY(T_Stocks[[#This Row],[Fecha]]))</f>
        <v>MSFT-45630</v>
      </c>
    </row>
    <row r="5125" spans="1:4" ht="14.65" thickBot="1" x14ac:dyDescent="0.5">
      <c r="A5125" s="17">
        <v>45631.666666666664</v>
      </c>
      <c r="B5125" s="19">
        <v>442.62</v>
      </c>
      <c r="C5125" t="s">
        <v>41</v>
      </c>
      <c r="D5125" t="str">
        <f>T_Stocks[[#This Row],[Ticker]] &amp; "-" &amp; DATE(YEAR(T_Stocks[[#This Row],[Fecha]]),MONTH(T_Stocks[[#This Row],[Fecha]]),DAY(T_Stocks[[#This Row],[Fecha]]))</f>
        <v>MSFT-45631</v>
      </c>
    </row>
    <row r="5126" spans="1:4" ht="14.65" thickBot="1" x14ac:dyDescent="0.5">
      <c r="A5126" s="17">
        <v>45632.666666666664</v>
      </c>
      <c r="B5126" s="19">
        <v>443.57</v>
      </c>
      <c r="C5126" t="s">
        <v>41</v>
      </c>
      <c r="D5126" t="str">
        <f>T_Stocks[[#This Row],[Ticker]] &amp; "-" &amp; DATE(YEAR(T_Stocks[[#This Row],[Fecha]]),MONTH(T_Stocks[[#This Row],[Fecha]]),DAY(T_Stocks[[#This Row],[Fecha]]))</f>
        <v>MSFT-45632</v>
      </c>
    </row>
    <row r="5127" spans="1:4" ht="14.65" thickBot="1" x14ac:dyDescent="0.5">
      <c r="A5127" s="17">
        <v>45635.666666666664</v>
      </c>
      <c r="B5127" s="19">
        <v>446.02</v>
      </c>
      <c r="C5127" t="s">
        <v>41</v>
      </c>
      <c r="D5127" t="str">
        <f>T_Stocks[[#This Row],[Ticker]] &amp; "-" &amp; DATE(YEAR(T_Stocks[[#This Row],[Fecha]]),MONTH(T_Stocks[[#This Row],[Fecha]]),DAY(T_Stocks[[#This Row],[Fecha]]))</f>
        <v>MSFT-45635</v>
      </c>
    </row>
    <row r="5128" spans="1:4" ht="14.65" thickBot="1" x14ac:dyDescent="0.5">
      <c r="A5128" s="17">
        <v>45636.666666666664</v>
      </c>
      <c r="B5128" s="19">
        <v>443.33</v>
      </c>
      <c r="C5128" t="s">
        <v>41</v>
      </c>
      <c r="D5128" t="str">
        <f>T_Stocks[[#This Row],[Ticker]] &amp; "-" &amp; DATE(YEAR(T_Stocks[[#This Row],[Fecha]]),MONTH(T_Stocks[[#This Row],[Fecha]]),DAY(T_Stocks[[#This Row],[Fecha]]))</f>
        <v>MSFT-45636</v>
      </c>
    </row>
    <row r="5129" spans="1:4" ht="14.65" thickBot="1" x14ac:dyDescent="0.5">
      <c r="A5129" s="17">
        <v>45637.666666666664</v>
      </c>
      <c r="B5129" s="19">
        <v>448.99</v>
      </c>
      <c r="C5129" t="s">
        <v>41</v>
      </c>
      <c r="D5129" t="str">
        <f>T_Stocks[[#This Row],[Ticker]] &amp; "-" &amp; DATE(YEAR(T_Stocks[[#This Row],[Fecha]]),MONTH(T_Stocks[[#This Row],[Fecha]]),DAY(T_Stocks[[#This Row],[Fecha]]))</f>
        <v>MSFT-45637</v>
      </c>
    </row>
    <row r="5130" spans="1:4" ht="14.65" thickBot="1" x14ac:dyDescent="0.5">
      <c r="A5130" s="17">
        <v>45638.666666666664</v>
      </c>
      <c r="B5130" s="19">
        <v>449.56</v>
      </c>
      <c r="C5130" t="s">
        <v>41</v>
      </c>
      <c r="D5130" t="str">
        <f>T_Stocks[[#This Row],[Ticker]] &amp; "-" &amp; DATE(YEAR(T_Stocks[[#This Row],[Fecha]]),MONTH(T_Stocks[[#This Row],[Fecha]]),DAY(T_Stocks[[#This Row],[Fecha]]))</f>
        <v>MSFT-45638</v>
      </c>
    </row>
    <row r="5131" spans="1:4" ht="14.65" thickBot="1" x14ac:dyDescent="0.5">
      <c r="A5131" s="17">
        <v>45639.666666666664</v>
      </c>
      <c r="B5131" s="19">
        <v>447.27</v>
      </c>
      <c r="C5131" t="s">
        <v>41</v>
      </c>
      <c r="D5131" t="str">
        <f>T_Stocks[[#This Row],[Ticker]] &amp; "-" &amp; DATE(YEAR(T_Stocks[[#This Row],[Fecha]]),MONTH(T_Stocks[[#This Row],[Fecha]]),DAY(T_Stocks[[#This Row],[Fecha]]))</f>
        <v>MSFT-45639</v>
      </c>
    </row>
    <row r="5132" spans="1:4" ht="14.65" thickBot="1" x14ac:dyDescent="0.5">
      <c r="A5132" s="17">
        <v>45642.666666666664</v>
      </c>
      <c r="B5132" s="19">
        <v>451.59</v>
      </c>
      <c r="C5132" t="s">
        <v>41</v>
      </c>
      <c r="D5132" t="str">
        <f>T_Stocks[[#This Row],[Ticker]] &amp; "-" &amp; DATE(YEAR(T_Stocks[[#This Row],[Fecha]]),MONTH(T_Stocks[[#This Row],[Fecha]]),DAY(T_Stocks[[#This Row],[Fecha]]))</f>
        <v>MSFT-45642</v>
      </c>
    </row>
    <row r="5133" spans="1:4" ht="14.65" thickBot="1" x14ac:dyDescent="0.5">
      <c r="A5133" s="17">
        <v>45643.666666666664</v>
      </c>
      <c r="B5133" s="19">
        <v>454.46</v>
      </c>
      <c r="C5133" t="s">
        <v>41</v>
      </c>
      <c r="D5133" t="str">
        <f>T_Stocks[[#This Row],[Ticker]] &amp; "-" &amp; DATE(YEAR(T_Stocks[[#This Row],[Fecha]]),MONTH(T_Stocks[[#This Row],[Fecha]]),DAY(T_Stocks[[#This Row],[Fecha]]))</f>
        <v>MSFT-45643</v>
      </c>
    </row>
    <row r="5134" spans="1:4" ht="14.65" thickBot="1" x14ac:dyDescent="0.5">
      <c r="A5134" s="17">
        <v>45644.666666666664</v>
      </c>
      <c r="B5134" s="19">
        <v>437.39</v>
      </c>
      <c r="C5134" t="s">
        <v>41</v>
      </c>
      <c r="D5134" t="str">
        <f>T_Stocks[[#This Row],[Ticker]] &amp; "-" &amp; DATE(YEAR(T_Stocks[[#This Row],[Fecha]]),MONTH(T_Stocks[[#This Row],[Fecha]]),DAY(T_Stocks[[#This Row],[Fecha]]))</f>
        <v>MSFT-45644</v>
      </c>
    </row>
    <row r="5135" spans="1:4" ht="14.65" thickBot="1" x14ac:dyDescent="0.5">
      <c r="A5135" s="17">
        <v>45645.666666666664</v>
      </c>
      <c r="B5135" s="19">
        <v>437.03</v>
      </c>
      <c r="C5135" t="s">
        <v>41</v>
      </c>
      <c r="D5135" t="str">
        <f>T_Stocks[[#This Row],[Ticker]] &amp; "-" &amp; DATE(YEAR(T_Stocks[[#This Row],[Fecha]]),MONTH(T_Stocks[[#This Row],[Fecha]]),DAY(T_Stocks[[#This Row],[Fecha]]))</f>
        <v>MSFT-45645</v>
      </c>
    </row>
    <row r="5136" spans="1:4" ht="14.65" thickBot="1" x14ac:dyDescent="0.5">
      <c r="A5136" s="17">
        <v>45646.666666666664</v>
      </c>
      <c r="B5136" s="19">
        <v>436.6</v>
      </c>
      <c r="C5136" t="s">
        <v>41</v>
      </c>
      <c r="D5136" t="str">
        <f>T_Stocks[[#This Row],[Ticker]] &amp; "-" &amp; DATE(YEAR(T_Stocks[[#This Row],[Fecha]]),MONTH(T_Stocks[[#This Row],[Fecha]]),DAY(T_Stocks[[#This Row],[Fecha]]))</f>
        <v>MSFT-45646</v>
      </c>
    </row>
    <row r="5137" spans="1:4" ht="14.65" thickBot="1" x14ac:dyDescent="0.5">
      <c r="A5137" s="17">
        <v>45649.666666666664</v>
      </c>
      <c r="B5137" s="19">
        <v>435.25</v>
      </c>
      <c r="C5137" t="s">
        <v>41</v>
      </c>
      <c r="D5137" t="str">
        <f>T_Stocks[[#This Row],[Ticker]] &amp; "-" &amp; DATE(YEAR(T_Stocks[[#This Row],[Fecha]]),MONTH(T_Stocks[[#This Row],[Fecha]]),DAY(T_Stocks[[#This Row],[Fecha]]))</f>
        <v>MSFT-45649</v>
      </c>
    </row>
    <row r="5138" spans="1:4" ht="14.65" thickBot="1" x14ac:dyDescent="0.5">
      <c r="A5138" s="17">
        <v>45650.545138888891</v>
      </c>
      <c r="B5138" s="19">
        <v>439.33</v>
      </c>
      <c r="C5138" t="s">
        <v>41</v>
      </c>
      <c r="D5138" t="str">
        <f>T_Stocks[[#This Row],[Ticker]] &amp; "-" &amp; DATE(YEAR(T_Stocks[[#This Row],[Fecha]]),MONTH(T_Stocks[[#This Row],[Fecha]]),DAY(T_Stocks[[#This Row],[Fecha]]))</f>
        <v>MSFT-45650</v>
      </c>
    </row>
    <row r="5139" spans="1:4" ht="14.65" thickBot="1" x14ac:dyDescent="0.5">
      <c r="A5139" s="17">
        <v>45652.666666666664</v>
      </c>
      <c r="B5139" s="19">
        <v>438.11</v>
      </c>
      <c r="C5139" t="s">
        <v>41</v>
      </c>
      <c r="D5139" t="str">
        <f>T_Stocks[[#This Row],[Ticker]] &amp; "-" &amp; DATE(YEAR(T_Stocks[[#This Row],[Fecha]]),MONTH(T_Stocks[[#This Row],[Fecha]]),DAY(T_Stocks[[#This Row],[Fecha]]))</f>
        <v>MSFT-45652</v>
      </c>
    </row>
    <row r="5140" spans="1:4" ht="14.65" thickBot="1" x14ac:dyDescent="0.5">
      <c r="A5140" s="17">
        <v>45653.666666666664</v>
      </c>
      <c r="B5140" s="19">
        <v>430.53</v>
      </c>
      <c r="C5140" t="s">
        <v>41</v>
      </c>
      <c r="D5140" t="str">
        <f>T_Stocks[[#This Row],[Ticker]] &amp; "-" &amp; DATE(YEAR(T_Stocks[[#This Row],[Fecha]]),MONTH(T_Stocks[[#This Row],[Fecha]]),DAY(T_Stocks[[#This Row],[Fecha]]))</f>
        <v>MSFT-45653</v>
      </c>
    </row>
    <row r="5141" spans="1:4" ht="14.65" thickBot="1" x14ac:dyDescent="0.5">
      <c r="A5141" s="17">
        <v>45656.666666666664</v>
      </c>
      <c r="B5141" s="19">
        <v>424.83</v>
      </c>
      <c r="C5141" t="s">
        <v>41</v>
      </c>
      <c r="D5141" t="str">
        <f>T_Stocks[[#This Row],[Ticker]] &amp; "-" &amp; DATE(YEAR(T_Stocks[[#This Row],[Fecha]]),MONTH(T_Stocks[[#This Row],[Fecha]]),DAY(T_Stocks[[#This Row],[Fecha]]))</f>
        <v>MSFT-45656</v>
      </c>
    </row>
    <row r="5142" spans="1:4" ht="14.65" thickBot="1" x14ac:dyDescent="0.5">
      <c r="A5142" s="17">
        <v>45657.666666666664</v>
      </c>
      <c r="B5142" s="19">
        <v>421.5</v>
      </c>
      <c r="C5142" t="s">
        <v>41</v>
      </c>
      <c r="D5142" t="str">
        <f>T_Stocks[[#This Row],[Ticker]] &amp; "-" &amp; DATE(YEAR(T_Stocks[[#This Row],[Fecha]]),MONTH(T_Stocks[[#This Row],[Fecha]]),DAY(T_Stocks[[#This Row],[Fecha]]))</f>
        <v>MSFT-45657</v>
      </c>
    </row>
    <row r="5143" spans="1:4" ht="14.65" thickBot="1" x14ac:dyDescent="0.5">
      <c r="A5143" s="17">
        <v>43496</v>
      </c>
      <c r="B5143" s="19">
        <v>74.84</v>
      </c>
      <c r="C5143" t="s">
        <v>51</v>
      </c>
      <c r="D5143" t="str">
        <f>T_Stocks[[#This Row],[Ticker]] &amp; "-" &amp; DATE(YEAR(T_Stocks[[#This Row],[Fecha]]),MONTH(T_Stocks[[#This Row],[Fecha]]),DAY(T_Stocks[[#This Row],[Fecha]]))</f>
        <v>PRHSX-43496</v>
      </c>
    </row>
    <row r="5144" spans="1:4" ht="14.65" thickBot="1" x14ac:dyDescent="0.5">
      <c r="A5144" s="17">
        <v>43497.666666666664</v>
      </c>
      <c r="B5144" s="19">
        <v>74.84</v>
      </c>
      <c r="C5144" t="s">
        <v>51</v>
      </c>
      <c r="D5144" t="str">
        <f>T_Stocks[[#This Row],[Ticker]] &amp; "-" &amp; DATE(YEAR(T_Stocks[[#This Row],[Fecha]]),MONTH(T_Stocks[[#This Row],[Fecha]]),DAY(T_Stocks[[#This Row],[Fecha]]))</f>
        <v>PRHSX-43497</v>
      </c>
    </row>
    <row r="5145" spans="1:4" ht="14.65" thickBot="1" x14ac:dyDescent="0.5">
      <c r="A5145" s="17">
        <v>43500.666666666664</v>
      </c>
      <c r="B5145" s="19">
        <v>74.78</v>
      </c>
      <c r="C5145" t="s">
        <v>51</v>
      </c>
      <c r="D5145" t="str">
        <f>T_Stocks[[#This Row],[Ticker]] &amp; "-" &amp; DATE(YEAR(T_Stocks[[#This Row],[Fecha]]),MONTH(T_Stocks[[#This Row],[Fecha]]),DAY(T_Stocks[[#This Row],[Fecha]]))</f>
        <v>PRHSX-43500</v>
      </c>
    </row>
    <row r="5146" spans="1:4" ht="14.65" thickBot="1" x14ac:dyDescent="0.5">
      <c r="A5146" s="17">
        <v>43501.666666666664</v>
      </c>
      <c r="B5146" s="19">
        <v>74.650000000000006</v>
      </c>
      <c r="C5146" t="s">
        <v>51</v>
      </c>
      <c r="D5146" t="str">
        <f>T_Stocks[[#This Row],[Ticker]] &amp; "-" &amp; DATE(YEAR(T_Stocks[[#This Row],[Fecha]]),MONTH(T_Stocks[[#This Row],[Fecha]]),DAY(T_Stocks[[#This Row],[Fecha]]))</f>
        <v>PRHSX-43501</v>
      </c>
    </row>
    <row r="5147" spans="1:4" ht="14.65" thickBot="1" x14ac:dyDescent="0.5">
      <c r="A5147" s="17">
        <v>43502.666666666664</v>
      </c>
      <c r="B5147" s="19">
        <v>74.73</v>
      </c>
      <c r="C5147" t="s">
        <v>51</v>
      </c>
      <c r="D5147" t="str">
        <f>T_Stocks[[#This Row],[Ticker]] &amp; "-" &amp; DATE(YEAR(T_Stocks[[#This Row],[Fecha]]),MONTH(T_Stocks[[#This Row],[Fecha]]),DAY(T_Stocks[[#This Row],[Fecha]]))</f>
        <v>PRHSX-43502</v>
      </c>
    </row>
    <row r="5148" spans="1:4" ht="14.65" thickBot="1" x14ac:dyDescent="0.5">
      <c r="A5148" s="17">
        <v>43503.666666666664</v>
      </c>
      <c r="B5148" s="19">
        <v>73.790000000000006</v>
      </c>
      <c r="C5148" t="s">
        <v>51</v>
      </c>
      <c r="D5148" t="str">
        <f>T_Stocks[[#This Row],[Ticker]] &amp; "-" &amp; DATE(YEAR(T_Stocks[[#This Row],[Fecha]]),MONTH(T_Stocks[[#This Row],[Fecha]]),DAY(T_Stocks[[#This Row],[Fecha]]))</f>
        <v>PRHSX-43503</v>
      </c>
    </row>
    <row r="5149" spans="1:4" ht="14.65" thickBot="1" x14ac:dyDescent="0.5">
      <c r="A5149" s="17">
        <v>43504.666666666664</v>
      </c>
      <c r="B5149" s="19">
        <v>73.87</v>
      </c>
      <c r="C5149" t="s">
        <v>51</v>
      </c>
      <c r="D5149" t="str">
        <f>T_Stocks[[#This Row],[Ticker]] &amp; "-" &amp; DATE(YEAR(T_Stocks[[#This Row],[Fecha]]),MONTH(T_Stocks[[#This Row],[Fecha]]),DAY(T_Stocks[[#This Row],[Fecha]]))</f>
        <v>PRHSX-43504</v>
      </c>
    </row>
    <row r="5150" spans="1:4" ht="14.65" thickBot="1" x14ac:dyDescent="0.5">
      <c r="A5150" s="17">
        <v>43507.666666666664</v>
      </c>
      <c r="B5150" s="19">
        <v>73.86</v>
      </c>
      <c r="C5150" t="s">
        <v>51</v>
      </c>
      <c r="D5150" t="str">
        <f>T_Stocks[[#This Row],[Ticker]] &amp; "-" &amp; DATE(YEAR(T_Stocks[[#This Row],[Fecha]]),MONTH(T_Stocks[[#This Row],[Fecha]]),DAY(T_Stocks[[#This Row],[Fecha]]))</f>
        <v>PRHSX-43507</v>
      </c>
    </row>
    <row r="5151" spans="1:4" ht="14.65" thickBot="1" x14ac:dyDescent="0.5">
      <c r="A5151" s="17">
        <v>43508.666666666664</v>
      </c>
      <c r="B5151" s="19">
        <v>74.989999999999995</v>
      </c>
      <c r="C5151" t="s">
        <v>51</v>
      </c>
      <c r="D5151" t="str">
        <f>T_Stocks[[#This Row],[Ticker]] &amp; "-" &amp; DATE(YEAR(T_Stocks[[#This Row],[Fecha]]),MONTH(T_Stocks[[#This Row],[Fecha]]),DAY(T_Stocks[[#This Row],[Fecha]]))</f>
        <v>PRHSX-43508</v>
      </c>
    </row>
    <row r="5152" spans="1:4" ht="14.65" thickBot="1" x14ac:dyDescent="0.5">
      <c r="A5152" s="17">
        <v>43509.666666666664</v>
      </c>
      <c r="B5152" s="19">
        <v>75.150000000000006</v>
      </c>
      <c r="C5152" t="s">
        <v>51</v>
      </c>
      <c r="D5152" t="str">
        <f>T_Stocks[[#This Row],[Ticker]] &amp; "-" &amp; DATE(YEAR(T_Stocks[[#This Row],[Fecha]]),MONTH(T_Stocks[[#This Row],[Fecha]]),DAY(T_Stocks[[#This Row],[Fecha]]))</f>
        <v>PRHSX-43509</v>
      </c>
    </row>
    <row r="5153" spans="1:4" ht="14.65" thickBot="1" x14ac:dyDescent="0.5">
      <c r="A5153" s="17">
        <v>43510.666666666664</v>
      </c>
      <c r="B5153" s="19">
        <v>75.47</v>
      </c>
      <c r="C5153" t="s">
        <v>51</v>
      </c>
      <c r="D5153" t="str">
        <f>T_Stocks[[#This Row],[Ticker]] &amp; "-" &amp; DATE(YEAR(T_Stocks[[#This Row],[Fecha]]),MONTH(T_Stocks[[#This Row],[Fecha]]),DAY(T_Stocks[[#This Row],[Fecha]]))</f>
        <v>PRHSX-43510</v>
      </c>
    </row>
    <row r="5154" spans="1:4" ht="14.65" thickBot="1" x14ac:dyDescent="0.5">
      <c r="A5154" s="17">
        <v>43511.666666666664</v>
      </c>
      <c r="B5154" s="19">
        <v>76.819999999999993</v>
      </c>
      <c r="C5154" t="s">
        <v>51</v>
      </c>
      <c r="D5154" t="str">
        <f>T_Stocks[[#This Row],[Ticker]] &amp; "-" &amp; DATE(YEAR(T_Stocks[[#This Row],[Fecha]]),MONTH(T_Stocks[[#This Row],[Fecha]]),DAY(T_Stocks[[#This Row],[Fecha]]))</f>
        <v>PRHSX-43511</v>
      </c>
    </row>
    <row r="5155" spans="1:4" ht="14.65" thickBot="1" x14ac:dyDescent="0.5">
      <c r="A5155" s="17">
        <v>43515.666666666664</v>
      </c>
      <c r="B5155" s="19">
        <v>76.44</v>
      </c>
      <c r="C5155" t="s">
        <v>51</v>
      </c>
      <c r="D5155" t="str">
        <f>T_Stocks[[#This Row],[Ticker]] &amp; "-" &amp; DATE(YEAR(T_Stocks[[#This Row],[Fecha]]),MONTH(T_Stocks[[#This Row],[Fecha]]),DAY(T_Stocks[[#This Row],[Fecha]]))</f>
        <v>PRHSX-43515</v>
      </c>
    </row>
    <row r="5156" spans="1:4" ht="14.65" thickBot="1" x14ac:dyDescent="0.5">
      <c r="A5156" s="17">
        <v>43516.666666666664</v>
      </c>
      <c r="B5156" s="19">
        <v>76.42</v>
      </c>
      <c r="C5156" t="s">
        <v>51</v>
      </c>
      <c r="D5156" t="str">
        <f>T_Stocks[[#This Row],[Ticker]] &amp; "-" &amp; DATE(YEAR(T_Stocks[[#This Row],[Fecha]]),MONTH(T_Stocks[[#This Row],[Fecha]]),DAY(T_Stocks[[#This Row],[Fecha]]))</f>
        <v>PRHSX-43516</v>
      </c>
    </row>
    <row r="5157" spans="1:4" ht="14.65" thickBot="1" x14ac:dyDescent="0.5">
      <c r="A5157" s="17">
        <v>43517.666666666664</v>
      </c>
      <c r="B5157" s="19">
        <v>75.67</v>
      </c>
      <c r="C5157" t="s">
        <v>51</v>
      </c>
      <c r="D5157" t="str">
        <f>T_Stocks[[#This Row],[Ticker]] &amp; "-" &amp; DATE(YEAR(T_Stocks[[#This Row],[Fecha]]),MONTH(T_Stocks[[#This Row],[Fecha]]),DAY(T_Stocks[[#This Row],[Fecha]]))</f>
        <v>PRHSX-43517</v>
      </c>
    </row>
    <row r="5158" spans="1:4" ht="14.65" thickBot="1" x14ac:dyDescent="0.5">
      <c r="A5158" s="17">
        <v>43518.666666666664</v>
      </c>
      <c r="B5158" s="19">
        <v>76.66</v>
      </c>
      <c r="C5158" t="s">
        <v>51</v>
      </c>
      <c r="D5158" t="str">
        <f>T_Stocks[[#This Row],[Ticker]] &amp; "-" &amp; DATE(YEAR(T_Stocks[[#This Row],[Fecha]]),MONTH(T_Stocks[[#This Row],[Fecha]]),DAY(T_Stocks[[#This Row],[Fecha]]))</f>
        <v>PRHSX-43518</v>
      </c>
    </row>
    <row r="5159" spans="1:4" ht="14.65" thickBot="1" x14ac:dyDescent="0.5">
      <c r="A5159" s="17">
        <v>43521.666666666664</v>
      </c>
      <c r="B5159" s="19">
        <v>77.64</v>
      </c>
      <c r="C5159" t="s">
        <v>51</v>
      </c>
      <c r="D5159" t="str">
        <f>T_Stocks[[#This Row],[Ticker]] &amp; "-" &amp; DATE(YEAR(T_Stocks[[#This Row],[Fecha]]),MONTH(T_Stocks[[#This Row],[Fecha]]),DAY(T_Stocks[[#This Row],[Fecha]]))</f>
        <v>PRHSX-43521</v>
      </c>
    </row>
    <row r="5160" spans="1:4" ht="14.65" thickBot="1" x14ac:dyDescent="0.5">
      <c r="A5160" s="17">
        <v>43522.666666666664</v>
      </c>
      <c r="B5160" s="19">
        <v>77.3</v>
      </c>
      <c r="C5160" t="s">
        <v>51</v>
      </c>
      <c r="D5160" t="str">
        <f>T_Stocks[[#This Row],[Ticker]] &amp; "-" &amp; DATE(YEAR(T_Stocks[[#This Row],[Fecha]]),MONTH(T_Stocks[[#This Row],[Fecha]]),DAY(T_Stocks[[#This Row],[Fecha]]))</f>
        <v>PRHSX-43522</v>
      </c>
    </row>
    <row r="5161" spans="1:4" ht="14.65" thickBot="1" x14ac:dyDescent="0.5">
      <c r="A5161" s="17">
        <v>43523.666666666664</v>
      </c>
      <c r="B5161" s="19">
        <v>77.44</v>
      </c>
      <c r="C5161" t="s">
        <v>51</v>
      </c>
      <c r="D5161" t="str">
        <f>T_Stocks[[#This Row],[Ticker]] &amp; "-" &amp; DATE(YEAR(T_Stocks[[#This Row],[Fecha]]),MONTH(T_Stocks[[#This Row],[Fecha]]),DAY(T_Stocks[[#This Row],[Fecha]]))</f>
        <v>PRHSX-43523</v>
      </c>
    </row>
    <row r="5162" spans="1:4" ht="14.65" thickBot="1" x14ac:dyDescent="0.5">
      <c r="A5162" s="17">
        <v>43524.666666666664</v>
      </c>
      <c r="B5162" s="19">
        <v>76.81</v>
      </c>
      <c r="C5162" t="s">
        <v>51</v>
      </c>
      <c r="D5162" t="str">
        <f>T_Stocks[[#This Row],[Ticker]] &amp; "-" &amp; DATE(YEAR(T_Stocks[[#This Row],[Fecha]]),MONTH(T_Stocks[[#This Row],[Fecha]]),DAY(T_Stocks[[#This Row],[Fecha]]))</f>
        <v>PRHSX-43524</v>
      </c>
    </row>
    <row r="5163" spans="1:4" ht="14.65" thickBot="1" x14ac:dyDescent="0.5">
      <c r="A5163" s="17">
        <v>43525.666666666664</v>
      </c>
      <c r="B5163" s="19">
        <v>78.23</v>
      </c>
      <c r="C5163" t="s">
        <v>51</v>
      </c>
      <c r="D5163" t="str">
        <f>T_Stocks[[#This Row],[Ticker]] &amp; "-" &amp; DATE(YEAR(T_Stocks[[#This Row],[Fecha]]),MONTH(T_Stocks[[#This Row],[Fecha]]),DAY(T_Stocks[[#This Row],[Fecha]]))</f>
        <v>PRHSX-43525</v>
      </c>
    </row>
    <row r="5164" spans="1:4" ht="14.65" thickBot="1" x14ac:dyDescent="0.5">
      <c r="A5164" s="17">
        <v>43528.666666666664</v>
      </c>
      <c r="B5164" s="19">
        <v>77.180000000000007</v>
      </c>
      <c r="C5164" t="s">
        <v>51</v>
      </c>
      <c r="D5164" t="str">
        <f>T_Stocks[[#This Row],[Ticker]] &amp; "-" &amp; DATE(YEAR(T_Stocks[[#This Row],[Fecha]]),MONTH(T_Stocks[[#This Row],[Fecha]]),DAY(T_Stocks[[#This Row],[Fecha]]))</f>
        <v>PRHSX-43528</v>
      </c>
    </row>
    <row r="5165" spans="1:4" ht="14.65" thickBot="1" x14ac:dyDescent="0.5">
      <c r="A5165" s="17">
        <v>43529.666666666664</v>
      </c>
      <c r="B5165" s="19">
        <v>77.17</v>
      </c>
      <c r="C5165" t="s">
        <v>51</v>
      </c>
      <c r="D5165" t="str">
        <f>T_Stocks[[#This Row],[Ticker]] &amp; "-" &amp; DATE(YEAR(T_Stocks[[#This Row],[Fecha]]),MONTH(T_Stocks[[#This Row],[Fecha]]),DAY(T_Stocks[[#This Row],[Fecha]]))</f>
        <v>PRHSX-43529</v>
      </c>
    </row>
    <row r="5166" spans="1:4" ht="14.65" thickBot="1" x14ac:dyDescent="0.5">
      <c r="A5166" s="17">
        <v>43530.666666666664</v>
      </c>
      <c r="B5166" s="19">
        <v>75.239999999999995</v>
      </c>
      <c r="C5166" t="s">
        <v>51</v>
      </c>
      <c r="D5166" t="str">
        <f>T_Stocks[[#This Row],[Ticker]] &amp; "-" &amp; DATE(YEAR(T_Stocks[[#This Row],[Fecha]]),MONTH(T_Stocks[[#This Row],[Fecha]]),DAY(T_Stocks[[#This Row],[Fecha]]))</f>
        <v>PRHSX-43530</v>
      </c>
    </row>
    <row r="5167" spans="1:4" ht="14.65" thickBot="1" x14ac:dyDescent="0.5">
      <c r="A5167" s="17">
        <v>43531.666666666664</v>
      </c>
      <c r="B5167" s="19">
        <v>74.930000000000007</v>
      </c>
      <c r="C5167" t="s">
        <v>51</v>
      </c>
      <c r="D5167" t="str">
        <f>T_Stocks[[#This Row],[Ticker]] &amp; "-" &amp; DATE(YEAR(T_Stocks[[#This Row],[Fecha]]),MONTH(T_Stocks[[#This Row],[Fecha]]),DAY(T_Stocks[[#This Row],[Fecha]]))</f>
        <v>PRHSX-43531</v>
      </c>
    </row>
    <row r="5168" spans="1:4" ht="14.65" thickBot="1" x14ac:dyDescent="0.5">
      <c r="A5168" s="17">
        <v>43532.666666666664</v>
      </c>
      <c r="B5168" s="19">
        <v>74.8</v>
      </c>
      <c r="C5168" t="s">
        <v>51</v>
      </c>
      <c r="D5168" t="str">
        <f>T_Stocks[[#This Row],[Ticker]] &amp; "-" &amp; DATE(YEAR(T_Stocks[[#This Row],[Fecha]]),MONTH(T_Stocks[[#This Row],[Fecha]]),DAY(T_Stocks[[#This Row],[Fecha]]))</f>
        <v>PRHSX-43532</v>
      </c>
    </row>
    <row r="5169" spans="1:4" ht="14.65" thickBot="1" x14ac:dyDescent="0.5">
      <c r="A5169" s="17">
        <v>43535.666666666664</v>
      </c>
      <c r="B5169" s="19">
        <v>76.09</v>
      </c>
      <c r="C5169" t="s">
        <v>51</v>
      </c>
      <c r="D5169" t="str">
        <f>T_Stocks[[#This Row],[Ticker]] &amp; "-" &amp; DATE(YEAR(T_Stocks[[#This Row],[Fecha]]),MONTH(T_Stocks[[#This Row],[Fecha]]),DAY(T_Stocks[[#This Row],[Fecha]]))</f>
        <v>PRHSX-43535</v>
      </c>
    </row>
    <row r="5170" spans="1:4" ht="14.65" thickBot="1" x14ac:dyDescent="0.5">
      <c r="A5170" s="17">
        <v>43536.666666666664</v>
      </c>
      <c r="B5170" s="19">
        <v>76.66</v>
      </c>
      <c r="C5170" t="s">
        <v>51</v>
      </c>
      <c r="D5170" t="str">
        <f>T_Stocks[[#This Row],[Ticker]] &amp; "-" &amp; DATE(YEAR(T_Stocks[[#This Row],[Fecha]]),MONTH(T_Stocks[[#This Row],[Fecha]]),DAY(T_Stocks[[#This Row],[Fecha]]))</f>
        <v>PRHSX-43536</v>
      </c>
    </row>
    <row r="5171" spans="1:4" ht="14.65" thickBot="1" x14ac:dyDescent="0.5">
      <c r="A5171" s="17">
        <v>43537.666666666664</v>
      </c>
      <c r="B5171" s="19">
        <v>77.790000000000006</v>
      </c>
      <c r="C5171" t="s">
        <v>51</v>
      </c>
      <c r="D5171" t="str">
        <f>T_Stocks[[#This Row],[Ticker]] &amp; "-" &amp; DATE(YEAR(T_Stocks[[#This Row],[Fecha]]),MONTH(T_Stocks[[#This Row],[Fecha]]),DAY(T_Stocks[[#This Row],[Fecha]]))</f>
        <v>PRHSX-43537</v>
      </c>
    </row>
    <row r="5172" spans="1:4" ht="14.65" thickBot="1" x14ac:dyDescent="0.5">
      <c r="A5172" s="17">
        <v>43538.666666666664</v>
      </c>
      <c r="B5172" s="19">
        <v>77.63</v>
      </c>
      <c r="C5172" t="s">
        <v>51</v>
      </c>
      <c r="D5172" t="str">
        <f>T_Stocks[[#This Row],[Ticker]] &amp; "-" &amp; DATE(YEAR(T_Stocks[[#This Row],[Fecha]]),MONTH(T_Stocks[[#This Row],[Fecha]]),DAY(T_Stocks[[#This Row],[Fecha]]))</f>
        <v>PRHSX-43538</v>
      </c>
    </row>
    <row r="5173" spans="1:4" ht="14.65" thickBot="1" x14ac:dyDescent="0.5">
      <c r="A5173" s="17">
        <v>43539.666666666664</v>
      </c>
      <c r="B5173" s="19">
        <v>78.12</v>
      </c>
      <c r="C5173" t="s">
        <v>51</v>
      </c>
      <c r="D5173" t="str">
        <f>T_Stocks[[#This Row],[Ticker]] &amp; "-" &amp; DATE(YEAR(T_Stocks[[#This Row],[Fecha]]),MONTH(T_Stocks[[#This Row],[Fecha]]),DAY(T_Stocks[[#This Row],[Fecha]]))</f>
        <v>PRHSX-43539</v>
      </c>
    </row>
    <row r="5174" spans="1:4" ht="14.65" thickBot="1" x14ac:dyDescent="0.5">
      <c r="A5174" s="17">
        <v>43542.666666666664</v>
      </c>
      <c r="B5174" s="19">
        <v>78.069999999999993</v>
      </c>
      <c r="C5174" t="s">
        <v>51</v>
      </c>
      <c r="D5174" t="str">
        <f>T_Stocks[[#This Row],[Ticker]] &amp; "-" &amp; DATE(YEAR(T_Stocks[[#This Row],[Fecha]]),MONTH(T_Stocks[[#This Row],[Fecha]]),DAY(T_Stocks[[#This Row],[Fecha]]))</f>
        <v>PRHSX-43542</v>
      </c>
    </row>
    <row r="5175" spans="1:4" ht="14.65" thickBot="1" x14ac:dyDescent="0.5">
      <c r="A5175" s="17">
        <v>43543.666666666664</v>
      </c>
      <c r="B5175" s="19">
        <v>78.34</v>
      </c>
      <c r="C5175" t="s">
        <v>51</v>
      </c>
      <c r="D5175" t="str">
        <f>T_Stocks[[#This Row],[Ticker]] &amp; "-" &amp; DATE(YEAR(T_Stocks[[#This Row],[Fecha]]),MONTH(T_Stocks[[#This Row],[Fecha]]),DAY(T_Stocks[[#This Row],[Fecha]]))</f>
        <v>PRHSX-43543</v>
      </c>
    </row>
    <row r="5176" spans="1:4" ht="14.65" thickBot="1" x14ac:dyDescent="0.5">
      <c r="A5176" s="17">
        <v>43544.666666666664</v>
      </c>
      <c r="B5176" s="19">
        <v>77.75</v>
      </c>
      <c r="C5176" t="s">
        <v>51</v>
      </c>
      <c r="D5176" t="str">
        <f>T_Stocks[[#This Row],[Ticker]] &amp; "-" &amp; DATE(YEAR(T_Stocks[[#This Row],[Fecha]]),MONTH(T_Stocks[[#This Row],[Fecha]]),DAY(T_Stocks[[#This Row],[Fecha]]))</f>
        <v>PRHSX-43544</v>
      </c>
    </row>
    <row r="5177" spans="1:4" ht="14.65" thickBot="1" x14ac:dyDescent="0.5">
      <c r="A5177" s="17">
        <v>43545.666666666664</v>
      </c>
      <c r="B5177" s="19">
        <v>78.39</v>
      </c>
      <c r="C5177" t="s">
        <v>51</v>
      </c>
      <c r="D5177" t="str">
        <f>T_Stocks[[#This Row],[Ticker]] &amp; "-" &amp; DATE(YEAR(T_Stocks[[#This Row],[Fecha]]),MONTH(T_Stocks[[#This Row],[Fecha]]),DAY(T_Stocks[[#This Row],[Fecha]]))</f>
        <v>PRHSX-43545</v>
      </c>
    </row>
    <row r="5178" spans="1:4" ht="14.65" thickBot="1" x14ac:dyDescent="0.5">
      <c r="A5178" s="17">
        <v>43546.666666666664</v>
      </c>
      <c r="B5178" s="19">
        <v>76.3</v>
      </c>
      <c r="C5178" t="s">
        <v>51</v>
      </c>
      <c r="D5178" t="str">
        <f>T_Stocks[[#This Row],[Ticker]] &amp; "-" &amp; DATE(YEAR(T_Stocks[[#This Row],[Fecha]]),MONTH(T_Stocks[[#This Row],[Fecha]]),DAY(T_Stocks[[#This Row],[Fecha]]))</f>
        <v>PRHSX-43546</v>
      </c>
    </row>
    <row r="5179" spans="1:4" ht="14.65" thickBot="1" x14ac:dyDescent="0.5">
      <c r="A5179" s="17">
        <v>43549.666666666664</v>
      </c>
      <c r="B5179" s="19">
        <v>76.27</v>
      </c>
      <c r="C5179" t="s">
        <v>51</v>
      </c>
      <c r="D5179" t="str">
        <f>T_Stocks[[#This Row],[Ticker]] &amp; "-" &amp; DATE(YEAR(T_Stocks[[#This Row],[Fecha]]),MONTH(T_Stocks[[#This Row],[Fecha]]),DAY(T_Stocks[[#This Row],[Fecha]]))</f>
        <v>PRHSX-43549</v>
      </c>
    </row>
    <row r="5180" spans="1:4" ht="14.65" thickBot="1" x14ac:dyDescent="0.5">
      <c r="A5180" s="17">
        <v>43550.666666666664</v>
      </c>
      <c r="B5180" s="19">
        <v>76.89</v>
      </c>
      <c r="C5180" t="s">
        <v>51</v>
      </c>
      <c r="D5180" t="str">
        <f>T_Stocks[[#This Row],[Ticker]] &amp; "-" &amp; DATE(YEAR(T_Stocks[[#This Row],[Fecha]]),MONTH(T_Stocks[[#This Row],[Fecha]]),DAY(T_Stocks[[#This Row],[Fecha]]))</f>
        <v>PRHSX-43550</v>
      </c>
    </row>
    <row r="5181" spans="1:4" ht="14.65" thickBot="1" x14ac:dyDescent="0.5">
      <c r="A5181" s="17">
        <v>43551.666666666664</v>
      </c>
      <c r="B5181" s="19">
        <v>75.92</v>
      </c>
      <c r="C5181" t="s">
        <v>51</v>
      </c>
      <c r="D5181" t="str">
        <f>T_Stocks[[#This Row],[Ticker]] &amp; "-" &amp; DATE(YEAR(T_Stocks[[#This Row],[Fecha]]),MONTH(T_Stocks[[#This Row],[Fecha]]),DAY(T_Stocks[[#This Row],[Fecha]]))</f>
        <v>PRHSX-43551</v>
      </c>
    </row>
    <row r="5182" spans="1:4" ht="14.65" thickBot="1" x14ac:dyDescent="0.5">
      <c r="A5182" s="17">
        <v>43552.666666666664</v>
      </c>
      <c r="B5182" s="19">
        <v>76.36</v>
      </c>
      <c r="C5182" t="s">
        <v>51</v>
      </c>
      <c r="D5182" t="str">
        <f>T_Stocks[[#This Row],[Ticker]] &amp; "-" &amp; DATE(YEAR(T_Stocks[[#This Row],[Fecha]]),MONTH(T_Stocks[[#This Row],[Fecha]]),DAY(T_Stocks[[#This Row],[Fecha]]))</f>
        <v>PRHSX-43552</v>
      </c>
    </row>
    <row r="5183" spans="1:4" ht="14.65" thickBot="1" x14ac:dyDescent="0.5">
      <c r="A5183" s="17">
        <v>43553.666666666664</v>
      </c>
      <c r="B5183" s="19">
        <v>77.400000000000006</v>
      </c>
      <c r="C5183" t="s">
        <v>51</v>
      </c>
      <c r="D5183" t="str">
        <f>T_Stocks[[#This Row],[Ticker]] &amp; "-" &amp; DATE(YEAR(T_Stocks[[#This Row],[Fecha]]),MONTH(T_Stocks[[#This Row],[Fecha]]),DAY(T_Stocks[[#This Row],[Fecha]]))</f>
        <v>PRHSX-43553</v>
      </c>
    </row>
    <row r="5184" spans="1:4" ht="14.65" thickBot="1" x14ac:dyDescent="0.5">
      <c r="A5184" s="17">
        <v>43556.666666666664</v>
      </c>
      <c r="B5184" s="19">
        <v>77.56</v>
      </c>
      <c r="C5184" t="s">
        <v>51</v>
      </c>
      <c r="D5184" t="str">
        <f>T_Stocks[[#This Row],[Ticker]] &amp; "-" &amp; DATE(YEAR(T_Stocks[[#This Row],[Fecha]]),MONTH(T_Stocks[[#This Row],[Fecha]]),DAY(T_Stocks[[#This Row],[Fecha]]))</f>
        <v>PRHSX-43556</v>
      </c>
    </row>
    <row r="5185" spans="1:4" ht="14.65" thickBot="1" x14ac:dyDescent="0.5">
      <c r="A5185" s="17">
        <v>43557.666666666664</v>
      </c>
      <c r="B5185" s="19">
        <v>77.73</v>
      </c>
      <c r="C5185" t="s">
        <v>51</v>
      </c>
      <c r="D5185" t="str">
        <f>T_Stocks[[#This Row],[Ticker]] &amp; "-" &amp; DATE(YEAR(T_Stocks[[#This Row],[Fecha]]),MONTH(T_Stocks[[#This Row],[Fecha]]),DAY(T_Stocks[[#This Row],[Fecha]]))</f>
        <v>PRHSX-43557</v>
      </c>
    </row>
    <row r="5186" spans="1:4" ht="14.65" thickBot="1" x14ac:dyDescent="0.5">
      <c r="A5186" s="17">
        <v>43558.666666666664</v>
      </c>
      <c r="B5186" s="19">
        <v>77.88</v>
      </c>
      <c r="C5186" t="s">
        <v>51</v>
      </c>
      <c r="D5186" t="str">
        <f>T_Stocks[[#This Row],[Ticker]] &amp; "-" &amp; DATE(YEAR(T_Stocks[[#This Row],[Fecha]]),MONTH(T_Stocks[[#This Row],[Fecha]]),DAY(T_Stocks[[#This Row],[Fecha]]))</f>
        <v>PRHSX-43558</v>
      </c>
    </row>
    <row r="5187" spans="1:4" ht="14.65" thickBot="1" x14ac:dyDescent="0.5">
      <c r="A5187" s="17">
        <v>43559.666666666664</v>
      </c>
      <c r="B5187" s="19">
        <v>77.56</v>
      </c>
      <c r="C5187" t="s">
        <v>51</v>
      </c>
      <c r="D5187" t="str">
        <f>T_Stocks[[#This Row],[Ticker]] &amp; "-" &amp; DATE(YEAR(T_Stocks[[#This Row],[Fecha]]),MONTH(T_Stocks[[#This Row],[Fecha]]),DAY(T_Stocks[[#This Row],[Fecha]]))</f>
        <v>PRHSX-43559</v>
      </c>
    </row>
    <row r="5188" spans="1:4" ht="14.65" thickBot="1" x14ac:dyDescent="0.5">
      <c r="A5188" s="17">
        <v>43560.666666666664</v>
      </c>
      <c r="B5188" s="19">
        <v>78.510000000000005</v>
      </c>
      <c r="C5188" t="s">
        <v>51</v>
      </c>
      <c r="D5188" t="str">
        <f>T_Stocks[[#This Row],[Ticker]] &amp; "-" &amp; DATE(YEAR(T_Stocks[[#This Row],[Fecha]]),MONTH(T_Stocks[[#This Row],[Fecha]]),DAY(T_Stocks[[#This Row],[Fecha]]))</f>
        <v>PRHSX-43560</v>
      </c>
    </row>
    <row r="5189" spans="1:4" ht="14.65" thickBot="1" x14ac:dyDescent="0.5">
      <c r="A5189" s="17">
        <v>43563.666666666664</v>
      </c>
      <c r="B5189" s="19">
        <v>78.33</v>
      </c>
      <c r="C5189" t="s">
        <v>51</v>
      </c>
      <c r="D5189" t="str">
        <f>T_Stocks[[#This Row],[Ticker]] &amp; "-" &amp; DATE(YEAR(T_Stocks[[#This Row],[Fecha]]),MONTH(T_Stocks[[#This Row],[Fecha]]),DAY(T_Stocks[[#This Row],[Fecha]]))</f>
        <v>PRHSX-43563</v>
      </c>
    </row>
    <row r="5190" spans="1:4" ht="14.65" thickBot="1" x14ac:dyDescent="0.5">
      <c r="A5190" s="17">
        <v>43564.666666666664</v>
      </c>
      <c r="B5190" s="19">
        <v>77.86</v>
      </c>
      <c r="C5190" t="s">
        <v>51</v>
      </c>
      <c r="D5190" t="str">
        <f>T_Stocks[[#This Row],[Ticker]] &amp; "-" &amp; DATE(YEAR(T_Stocks[[#This Row],[Fecha]]),MONTH(T_Stocks[[#This Row],[Fecha]]),DAY(T_Stocks[[#This Row],[Fecha]]))</f>
        <v>PRHSX-43564</v>
      </c>
    </row>
    <row r="5191" spans="1:4" ht="14.65" thickBot="1" x14ac:dyDescent="0.5">
      <c r="A5191" s="17">
        <v>43565.666666666664</v>
      </c>
      <c r="B5191" s="19">
        <v>78.28</v>
      </c>
      <c r="C5191" t="s">
        <v>51</v>
      </c>
      <c r="D5191" t="str">
        <f>T_Stocks[[#This Row],[Ticker]] &amp; "-" &amp; DATE(YEAR(T_Stocks[[#This Row],[Fecha]]),MONTH(T_Stocks[[#This Row],[Fecha]]),DAY(T_Stocks[[#This Row],[Fecha]]))</f>
        <v>PRHSX-43565</v>
      </c>
    </row>
    <row r="5192" spans="1:4" ht="14.65" thickBot="1" x14ac:dyDescent="0.5">
      <c r="A5192" s="17">
        <v>43566.666666666664</v>
      </c>
      <c r="B5192" s="19">
        <v>76.959999999999994</v>
      </c>
      <c r="C5192" t="s">
        <v>51</v>
      </c>
      <c r="D5192" t="str">
        <f>T_Stocks[[#This Row],[Ticker]] &amp; "-" &amp; DATE(YEAR(T_Stocks[[#This Row],[Fecha]]),MONTH(T_Stocks[[#This Row],[Fecha]]),DAY(T_Stocks[[#This Row],[Fecha]]))</f>
        <v>PRHSX-43566</v>
      </c>
    </row>
    <row r="5193" spans="1:4" ht="14.65" thickBot="1" x14ac:dyDescent="0.5">
      <c r="A5193" s="17">
        <v>43567.666666666664</v>
      </c>
      <c r="B5193" s="19">
        <v>75.900000000000006</v>
      </c>
      <c r="C5193" t="s">
        <v>51</v>
      </c>
      <c r="D5193" t="str">
        <f>T_Stocks[[#This Row],[Ticker]] &amp; "-" &amp; DATE(YEAR(T_Stocks[[#This Row],[Fecha]]),MONTH(T_Stocks[[#This Row],[Fecha]]),DAY(T_Stocks[[#This Row],[Fecha]]))</f>
        <v>PRHSX-43567</v>
      </c>
    </row>
    <row r="5194" spans="1:4" ht="14.65" thickBot="1" x14ac:dyDescent="0.5">
      <c r="A5194" s="17">
        <v>43570.666666666664</v>
      </c>
      <c r="B5194" s="19">
        <v>75.94</v>
      </c>
      <c r="C5194" t="s">
        <v>51</v>
      </c>
      <c r="D5194" t="str">
        <f>T_Stocks[[#This Row],[Ticker]] &amp; "-" &amp; DATE(YEAR(T_Stocks[[#This Row],[Fecha]]),MONTH(T_Stocks[[#This Row],[Fecha]]),DAY(T_Stocks[[#This Row],[Fecha]]))</f>
        <v>PRHSX-43570</v>
      </c>
    </row>
    <row r="5195" spans="1:4" ht="14.65" thickBot="1" x14ac:dyDescent="0.5">
      <c r="A5195" s="17">
        <v>43571.666666666664</v>
      </c>
      <c r="B5195" s="19">
        <v>74.22</v>
      </c>
      <c r="C5195" t="s">
        <v>51</v>
      </c>
      <c r="D5195" t="str">
        <f>T_Stocks[[#This Row],[Ticker]] &amp; "-" &amp; DATE(YEAR(T_Stocks[[#This Row],[Fecha]]),MONTH(T_Stocks[[#This Row],[Fecha]]),DAY(T_Stocks[[#This Row],[Fecha]]))</f>
        <v>PRHSX-43571</v>
      </c>
    </row>
    <row r="5196" spans="1:4" ht="14.65" thickBot="1" x14ac:dyDescent="0.5">
      <c r="A5196" s="17">
        <v>43572.666666666664</v>
      </c>
      <c r="B5196" s="19">
        <v>71.22</v>
      </c>
      <c r="C5196" t="s">
        <v>51</v>
      </c>
      <c r="D5196" t="str">
        <f>T_Stocks[[#This Row],[Ticker]] &amp; "-" &amp; DATE(YEAR(T_Stocks[[#This Row],[Fecha]]),MONTH(T_Stocks[[#This Row],[Fecha]]),DAY(T_Stocks[[#This Row],[Fecha]]))</f>
        <v>PRHSX-43572</v>
      </c>
    </row>
    <row r="5197" spans="1:4" ht="14.65" thickBot="1" x14ac:dyDescent="0.5">
      <c r="A5197" s="17">
        <v>43573.666666666664</v>
      </c>
      <c r="B5197" s="19">
        <v>71.45</v>
      </c>
      <c r="C5197" t="s">
        <v>51</v>
      </c>
      <c r="D5197" t="str">
        <f>T_Stocks[[#This Row],[Ticker]] &amp; "-" &amp; DATE(YEAR(T_Stocks[[#This Row],[Fecha]]),MONTH(T_Stocks[[#This Row],[Fecha]]),DAY(T_Stocks[[#This Row],[Fecha]]))</f>
        <v>PRHSX-43573</v>
      </c>
    </row>
    <row r="5198" spans="1:4" ht="14.65" thickBot="1" x14ac:dyDescent="0.5">
      <c r="A5198" s="17">
        <v>43577.666666666664</v>
      </c>
      <c r="B5198" s="19">
        <v>71.36</v>
      </c>
      <c r="C5198" t="s">
        <v>51</v>
      </c>
      <c r="D5198" t="str">
        <f>T_Stocks[[#This Row],[Ticker]] &amp; "-" &amp; DATE(YEAR(T_Stocks[[#This Row],[Fecha]]),MONTH(T_Stocks[[#This Row],[Fecha]]),DAY(T_Stocks[[#This Row],[Fecha]]))</f>
        <v>PRHSX-43577</v>
      </c>
    </row>
    <row r="5199" spans="1:4" ht="14.65" thickBot="1" x14ac:dyDescent="0.5">
      <c r="A5199" s="17">
        <v>43578.666666666664</v>
      </c>
      <c r="B5199" s="19">
        <v>72.8</v>
      </c>
      <c r="C5199" t="s">
        <v>51</v>
      </c>
      <c r="D5199" t="str">
        <f>T_Stocks[[#This Row],[Ticker]] &amp; "-" &amp; DATE(YEAR(T_Stocks[[#This Row],[Fecha]]),MONTH(T_Stocks[[#This Row],[Fecha]]),DAY(T_Stocks[[#This Row],[Fecha]]))</f>
        <v>PRHSX-43578</v>
      </c>
    </row>
    <row r="5200" spans="1:4" ht="14.65" thickBot="1" x14ac:dyDescent="0.5">
      <c r="A5200" s="17">
        <v>43579.666666666664</v>
      </c>
      <c r="B5200" s="19">
        <v>72.64</v>
      </c>
      <c r="C5200" t="s">
        <v>51</v>
      </c>
      <c r="D5200" t="str">
        <f>T_Stocks[[#This Row],[Ticker]] &amp; "-" &amp; DATE(YEAR(T_Stocks[[#This Row],[Fecha]]),MONTH(T_Stocks[[#This Row],[Fecha]]),DAY(T_Stocks[[#This Row],[Fecha]]))</f>
        <v>PRHSX-43579</v>
      </c>
    </row>
    <row r="5201" spans="1:4" ht="14.65" thickBot="1" x14ac:dyDescent="0.5">
      <c r="A5201" s="17">
        <v>43580.666666666664</v>
      </c>
      <c r="B5201" s="19">
        <v>73.47</v>
      </c>
      <c r="C5201" t="s">
        <v>51</v>
      </c>
      <c r="D5201" t="str">
        <f>T_Stocks[[#This Row],[Ticker]] &amp; "-" &amp; DATE(YEAR(T_Stocks[[#This Row],[Fecha]]),MONTH(T_Stocks[[#This Row],[Fecha]]),DAY(T_Stocks[[#This Row],[Fecha]]))</f>
        <v>PRHSX-43580</v>
      </c>
    </row>
    <row r="5202" spans="1:4" ht="14.65" thickBot="1" x14ac:dyDescent="0.5">
      <c r="A5202" s="17">
        <v>43581.666666666664</v>
      </c>
      <c r="B5202" s="19">
        <v>74.290000000000006</v>
      </c>
      <c r="C5202" t="s">
        <v>51</v>
      </c>
      <c r="D5202" t="str">
        <f>T_Stocks[[#This Row],[Ticker]] &amp; "-" &amp; DATE(YEAR(T_Stocks[[#This Row],[Fecha]]),MONTH(T_Stocks[[#This Row],[Fecha]]),DAY(T_Stocks[[#This Row],[Fecha]]))</f>
        <v>PRHSX-43581</v>
      </c>
    </row>
    <row r="5203" spans="1:4" ht="14.65" thickBot="1" x14ac:dyDescent="0.5">
      <c r="A5203" s="17">
        <v>43584.666666666664</v>
      </c>
      <c r="B5203" s="19">
        <v>74.180000000000007</v>
      </c>
      <c r="C5203" t="s">
        <v>51</v>
      </c>
      <c r="D5203" t="str">
        <f>T_Stocks[[#This Row],[Ticker]] &amp; "-" &amp; DATE(YEAR(T_Stocks[[#This Row],[Fecha]]),MONTH(T_Stocks[[#This Row],[Fecha]]),DAY(T_Stocks[[#This Row],[Fecha]]))</f>
        <v>PRHSX-43584</v>
      </c>
    </row>
    <row r="5204" spans="1:4" ht="14.65" thickBot="1" x14ac:dyDescent="0.5">
      <c r="A5204" s="17">
        <v>43585.666666666664</v>
      </c>
      <c r="B5204" s="19">
        <v>74.02</v>
      </c>
      <c r="C5204" t="s">
        <v>51</v>
      </c>
      <c r="D5204" t="str">
        <f>T_Stocks[[#This Row],[Ticker]] &amp; "-" &amp; DATE(YEAR(T_Stocks[[#This Row],[Fecha]]),MONTH(T_Stocks[[#This Row],[Fecha]]),DAY(T_Stocks[[#This Row],[Fecha]]))</f>
        <v>PRHSX-43585</v>
      </c>
    </row>
    <row r="5205" spans="1:4" ht="14.65" thickBot="1" x14ac:dyDescent="0.5">
      <c r="A5205" s="17">
        <v>43586.666666666664</v>
      </c>
      <c r="B5205" s="19">
        <v>73.28</v>
      </c>
      <c r="C5205" t="s">
        <v>51</v>
      </c>
      <c r="D5205" t="str">
        <f>T_Stocks[[#This Row],[Ticker]] &amp; "-" &amp; DATE(YEAR(T_Stocks[[#This Row],[Fecha]]),MONTH(T_Stocks[[#This Row],[Fecha]]),DAY(T_Stocks[[#This Row],[Fecha]]))</f>
        <v>PRHSX-43586</v>
      </c>
    </row>
    <row r="5206" spans="1:4" ht="14.65" thickBot="1" x14ac:dyDescent="0.5">
      <c r="A5206" s="17">
        <v>43587.666666666664</v>
      </c>
      <c r="B5206" s="19">
        <v>73.8</v>
      </c>
      <c r="C5206" t="s">
        <v>51</v>
      </c>
      <c r="D5206" t="str">
        <f>T_Stocks[[#This Row],[Ticker]] &amp; "-" &amp; DATE(YEAR(T_Stocks[[#This Row],[Fecha]]),MONTH(T_Stocks[[#This Row],[Fecha]]),DAY(T_Stocks[[#This Row],[Fecha]]))</f>
        <v>PRHSX-43587</v>
      </c>
    </row>
    <row r="5207" spans="1:4" ht="14.65" thickBot="1" x14ac:dyDescent="0.5">
      <c r="A5207" s="17">
        <v>43588.666666666664</v>
      </c>
      <c r="B5207" s="19">
        <v>74.75</v>
      </c>
      <c r="C5207" t="s">
        <v>51</v>
      </c>
      <c r="D5207" t="str">
        <f>T_Stocks[[#This Row],[Ticker]] &amp; "-" &amp; DATE(YEAR(T_Stocks[[#This Row],[Fecha]]),MONTH(T_Stocks[[#This Row],[Fecha]]),DAY(T_Stocks[[#This Row],[Fecha]]))</f>
        <v>PRHSX-43588</v>
      </c>
    </row>
    <row r="5208" spans="1:4" ht="14.65" thickBot="1" x14ac:dyDescent="0.5">
      <c r="A5208" s="17">
        <v>43591.666666666664</v>
      </c>
      <c r="B5208" s="19">
        <v>75.42</v>
      </c>
      <c r="C5208" t="s">
        <v>51</v>
      </c>
      <c r="D5208" t="str">
        <f>T_Stocks[[#This Row],[Ticker]] &amp; "-" &amp; DATE(YEAR(T_Stocks[[#This Row],[Fecha]]),MONTH(T_Stocks[[#This Row],[Fecha]]),DAY(T_Stocks[[#This Row],[Fecha]]))</f>
        <v>PRHSX-43591</v>
      </c>
    </row>
    <row r="5209" spans="1:4" ht="14.65" thickBot="1" x14ac:dyDescent="0.5">
      <c r="A5209" s="17">
        <v>43592.666666666664</v>
      </c>
      <c r="B5209" s="19">
        <v>73.7</v>
      </c>
      <c r="C5209" t="s">
        <v>51</v>
      </c>
      <c r="D5209" t="str">
        <f>T_Stocks[[#This Row],[Ticker]] &amp; "-" &amp; DATE(YEAR(T_Stocks[[#This Row],[Fecha]]),MONTH(T_Stocks[[#This Row],[Fecha]]),DAY(T_Stocks[[#This Row],[Fecha]]))</f>
        <v>PRHSX-43592</v>
      </c>
    </row>
    <row r="5210" spans="1:4" ht="14.65" thickBot="1" x14ac:dyDescent="0.5">
      <c r="A5210" s="17">
        <v>43593.666666666664</v>
      </c>
      <c r="B5210" s="19">
        <v>73.930000000000007</v>
      </c>
      <c r="C5210" t="s">
        <v>51</v>
      </c>
      <c r="D5210" t="str">
        <f>T_Stocks[[#This Row],[Ticker]] &amp; "-" &amp; DATE(YEAR(T_Stocks[[#This Row],[Fecha]]),MONTH(T_Stocks[[#This Row],[Fecha]]),DAY(T_Stocks[[#This Row],[Fecha]]))</f>
        <v>PRHSX-43593</v>
      </c>
    </row>
    <row r="5211" spans="1:4" ht="14.65" thickBot="1" x14ac:dyDescent="0.5">
      <c r="A5211" s="17">
        <v>43594.666666666664</v>
      </c>
      <c r="B5211" s="19">
        <v>73.739999999999995</v>
      </c>
      <c r="C5211" t="s">
        <v>51</v>
      </c>
      <c r="D5211" t="str">
        <f>T_Stocks[[#This Row],[Ticker]] &amp; "-" &amp; DATE(YEAR(T_Stocks[[#This Row],[Fecha]]),MONTH(T_Stocks[[#This Row],[Fecha]]),DAY(T_Stocks[[#This Row],[Fecha]]))</f>
        <v>PRHSX-43594</v>
      </c>
    </row>
    <row r="5212" spans="1:4" ht="14.65" thickBot="1" x14ac:dyDescent="0.5">
      <c r="A5212" s="17">
        <v>43595.666666666664</v>
      </c>
      <c r="B5212" s="19">
        <v>73.739999999999995</v>
      </c>
      <c r="C5212" t="s">
        <v>51</v>
      </c>
      <c r="D5212" t="str">
        <f>T_Stocks[[#This Row],[Ticker]] &amp; "-" &amp; DATE(YEAR(T_Stocks[[#This Row],[Fecha]]),MONTH(T_Stocks[[#This Row],[Fecha]]),DAY(T_Stocks[[#This Row],[Fecha]]))</f>
        <v>PRHSX-43595</v>
      </c>
    </row>
    <row r="5213" spans="1:4" ht="14.65" thickBot="1" x14ac:dyDescent="0.5">
      <c r="A5213" s="17">
        <v>43598.666666666664</v>
      </c>
      <c r="B5213" s="19">
        <v>71.87</v>
      </c>
      <c r="C5213" t="s">
        <v>51</v>
      </c>
      <c r="D5213" t="str">
        <f>T_Stocks[[#This Row],[Ticker]] &amp; "-" &amp; DATE(YEAR(T_Stocks[[#This Row],[Fecha]]),MONTH(T_Stocks[[#This Row],[Fecha]]),DAY(T_Stocks[[#This Row],[Fecha]]))</f>
        <v>PRHSX-43598</v>
      </c>
    </row>
    <row r="5214" spans="1:4" ht="14.65" thickBot="1" x14ac:dyDescent="0.5">
      <c r="A5214" s="17">
        <v>43599.666666666664</v>
      </c>
      <c r="B5214" s="19">
        <v>72.599999999999994</v>
      </c>
      <c r="C5214" t="s">
        <v>51</v>
      </c>
      <c r="D5214" t="str">
        <f>T_Stocks[[#This Row],[Ticker]] &amp; "-" &amp; DATE(YEAR(T_Stocks[[#This Row],[Fecha]]),MONTH(T_Stocks[[#This Row],[Fecha]]),DAY(T_Stocks[[#This Row],[Fecha]]))</f>
        <v>PRHSX-43599</v>
      </c>
    </row>
    <row r="5215" spans="1:4" ht="14.65" thickBot="1" x14ac:dyDescent="0.5">
      <c r="A5215" s="17">
        <v>43600.666666666664</v>
      </c>
      <c r="B5215" s="19">
        <v>72.849999999999994</v>
      </c>
      <c r="C5215" t="s">
        <v>51</v>
      </c>
      <c r="D5215" t="str">
        <f>T_Stocks[[#This Row],[Ticker]] &amp; "-" &amp; DATE(YEAR(T_Stocks[[#This Row],[Fecha]]),MONTH(T_Stocks[[#This Row],[Fecha]]),DAY(T_Stocks[[#This Row],[Fecha]]))</f>
        <v>PRHSX-43600</v>
      </c>
    </row>
    <row r="5216" spans="1:4" ht="14.65" thickBot="1" x14ac:dyDescent="0.5">
      <c r="A5216" s="17">
        <v>43601.666666666664</v>
      </c>
      <c r="B5216" s="19">
        <v>73.64</v>
      </c>
      <c r="C5216" t="s">
        <v>51</v>
      </c>
      <c r="D5216" t="str">
        <f>T_Stocks[[#This Row],[Ticker]] &amp; "-" &amp; DATE(YEAR(T_Stocks[[#This Row],[Fecha]]),MONTH(T_Stocks[[#This Row],[Fecha]]),DAY(T_Stocks[[#This Row],[Fecha]]))</f>
        <v>PRHSX-43601</v>
      </c>
    </row>
    <row r="5217" spans="1:4" ht="14.65" thickBot="1" x14ac:dyDescent="0.5">
      <c r="A5217" s="17">
        <v>43602.666666666664</v>
      </c>
      <c r="B5217" s="19">
        <v>73.349999999999994</v>
      </c>
      <c r="C5217" t="s">
        <v>51</v>
      </c>
      <c r="D5217" t="str">
        <f>T_Stocks[[#This Row],[Ticker]] &amp; "-" &amp; DATE(YEAR(T_Stocks[[#This Row],[Fecha]]),MONTH(T_Stocks[[#This Row],[Fecha]]),DAY(T_Stocks[[#This Row],[Fecha]]))</f>
        <v>PRHSX-43602</v>
      </c>
    </row>
    <row r="5218" spans="1:4" ht="14.65" thickBot="1" x14ac:dyDescent="0.5">
      <c r="A5218" s="17">
        <v>43605.666666666664</v>
      </c>
      <c r="B5218" s="19">
        <v>72.819999999999993</v>
      </c>
      <c r="C5218" t="s">
        <v>51</v>
      </c>
      <c r="D5218" t="str">
        <f>T_Stocks[[#This Row],[Ticker]] &amp; "-" &amp; DATE(YEAR(T_Stocks[[#This Row],[Fecha]]),MONTH(T_Stocks[[#This Row],[Fecha]]),DAY(T_Stocks[[#This Row],[Fecha]]))</f>
        <v>PRHSX-43605</v>
      </c>
    </row>
    <row r="5219" spans="1:4" ht="14.65" thickBot="1" x14ac:dyDescent="0.5">
      <c r="A5219" s="17">
        <v>43606.666666666664</v>
      </c>
      <c r="B5219" s="19">
        <v>74.05</v>
      </c>
      <c r="C5219" t="s">
        <v>51</v>
      </c>
      <c r="D5219" t="str">
        <f>T_Stocks[[#This Row],[Ticker]] &amp; "-" &amp; DATE(YEAR(T_Stocks[[#This Row],[Fecha]]),MONTH(T_Stocks[[#This Row],[Fecha]]),DAY(T_Stocks[[#This Row],[Fecha]]))</f>
        <v>PRHSX-43606</v>
      </c>
    </row>
    <row r="5220" spans="1:4" ht="14.65" thickBot="1" x14ac:dyDescent="0.5">
      <c r="A5220" s="17">
        <v>43607.666666666664</v>
      </c>
      <c r="B5220" s="19">
        <v>74.319999999999993</v>
      </c>
      <c r="C5220" t="s">
        <v>51</v>
      </c>
      <c r="D5220" t="str">
        <f>T_Stocks[[#This Row],[Ticker]] &amp; "-" &amp; DATE(YEAR(T_Stocks[[#This Row],[Fecha]]),MONTH(T_Stocks[[#This Row],[Fecha]]),DAY(T_Stocks[[#This Row],[Fecha]]))</f>
        <v>PRHSX-43607</v>
      </c>
    </row>
    <row r="5221" spans="1:4" ht="14.65" thickBot="1" x14ac:dyDescent="0.5">
      <c r="A5221" s="17">
        <v>43608.666666666664</v>
      </c>
      <c r="B5221" s="19">
        <v>73.66</v>
      </c>
      <c r="C5221" t="s">
        <v>51</v>
      </c>
      <c r="D5221" t="str">
        <f>T_Stocks[[#This Row],[Ticker]] &amp; "-" &amp; DATE(YEAR(T_Stocks[[#This Row],[Fecha]]),MONTH(T_Stocks[[#This Row],[Fecha]]),DAY(T_Stocks[[#This Row],[Fecha]]))</f>
        <v>PRHSX-43608</v>
      </c>
    </row>
    <row r="5222" spans="1:4" ht="14.65" thickBot="1" x14ac:dyDescent="0.5">
      <c r="A5222" s="17">
        <v>43609.666666666664</v>
      </c>
      <c r="B5222" s="19">
        <v>74.17</v>
      </c>
      <c r="C5222" t="s">
        <v>51</v>
      </c>
      <c r="D5222" t="str">
        <f>T_Stocks[[#This Row],[Ticker]] &amp; "-" &amp; DATE(YEAR(T_Stocks[[#This Row],[Fecha]]),MONTH(T_Stocks[[#This Row],[Fecha]]),DAY(T_Stocks[[#This Row],[Fecha]]))</f>
        <v>PRHSX-43609</v>
      </c>
    </row>
    <row r="5223" spans="1:4" ht="14.65" thickBot="1" x14ac:dyDescent="0.5">
      <c r="A5223" s="17">
        <v>43613.666666666664</v>
      </c>
      <c r="B5223" s="19">
        <v>73.44</v>
      </c>
      <c r="C5223" t="s">
        <v>51</v>
      </c>
      <c r="D5223" t="str">
        <f>T_Stocks[[#This Row],[Ticker]] &amp; "-" &amp; DATE(YEAR(T_Stocks[[#This Row],[Fecha]]),MONTH(T_Stocks[[#This Row],[Fecha]]),DAY(T_Stocks[[#This Row],[Fecha]]))</f>
        <v>PRHSX-43613</v>
      </c>
    </row>
    <row r="5224" spans="1:4" ht="14.65" thickBot="1" x14ac:dyDescent="0.5">
      <c r="A5224" s="17">
        <v>43614.666666666664</v>
      </c>
      <c r="B5224" s="19">
        <v>72.89</v>
      </c>
      <c r="C5224" t="s">
        <v>51</v>
      </c>
      <c r="D5224" t="str">
        <f>T_Stocks[[#This Row],[Ticker]] &amp; "-" &amp; DATE(YEAR(T_Stocks[[#This Row],[Fecha]]),MONTH(T_Stocks[[#This Row],[Fecha]]),DAY(T_Stocks[[#This Row],[Fecha]]))</f>
        <v>PRHSX-43614</v>
      </c>
    </row>
    <row r="5225" spans="1:4" ht="14.65" thickBot="1" x14ac:dyDescent="0.5">
      <c r="A5225" s="17">
        <v>43615.666666666664</v>
      </c>
      <c r="B5225" s="19">
        <v>73.27</v>
      </c>
      <c r="C5225" t="s">
        <v>51</v>
      </c>
      <c r="D5225" t="str">
        <f>T_Stocks[[#This Row],[Ticker]] &amp; "-" &amp; DATE(YEAR(T_Stocks[[#This Row],[Fecha]]),MONTH(T_Stocks[[#This Row],[Fecha]]),DAY(T_Stocks[[#This Row],[Fecha]]))</f>
        <v>PRHSX-43615</v>
      </c>
    </row>
    <row r="5226" spans="1:4" ht="14.65" thickBot="1" x14ac:dyDescent="0.5">
      <c r="A5226" s="17">
        <v>43616.666666666664</v>
      </c>
      <c r="B5226" s="19">
        <v>72.48</v>
      </c>
      <c r="C5226" t="s">
        <v>51</v>
      </c>
      <c r="D5226" t="str">
        <f>T_Stocks[[#This Row],[Ticker]] &amp; "-" &amp; DATE(YEAR(T_Stocks[[#This Row],[Fecha]]),MONTH(T_Stocks[[#This Row],[Fecha]]),DAY(T_Stocks[[#This Row],[Fecha]]))</f>
        <v>PRHSX-43616</v>
      </c>
    </row>
    <row r="5227" spans="1:4" ht="14.65" thickBot="1" x14ac:dyDescent="0.5">
      <c r="A5227" s="17">
        <v>43619.666666666664</v>
      </c>
      <c r="B5227" s="19">
        <v>72.64</v>
      </c>
      <c r="C5227" t="s">
        <v>51</v>
      </c>
      <c r="D5227" t="str">
        <f>T_Stocks[[#This Row],[Ticker]] &amp; "-" &amp; DATE(YEAR(T_Stocks[[#This Row],[Fecha]]),MONTH(T_Stocks[[#This Row],[Fecha]]),DAY(T_Stocks[[#This Row],[Fecha]]))</f>
        <v>PRHSX-43619</v>
      </c>
    </row>
    <row r="5228" spans="1:4" ht="14.65" thickBot="1" x14ac:dyDescent="0.5">
      <c r="A5228" s="17">
        <v>43620.666666666664</v>
      </c>
      <c r="B5228" s="19">
        <v>74.010000000000005</v>
      </c>
      <c r="C5228" t="s">
        <v>51</v>
      </c>
      <c r="D5228" t="str">
        <f>T_Stocks[[#This Row],[Ticker]] &amp; "-" &amp; DATE(YEAR(T_Stocks[[#This Row],[Fecha]]),MONTH(T_Stocks[[#This Row],[Fecha]]),DAY(T_Stocks[[#This Row],[Fecha]]))</f>
        <v>PRHSX-43620</v>
      </c>
    </row>
    <row r="5229" spans="1:4" ht="14.65" thickBot="1" x14ac:dyDescent="0.5">
      <c r="A5229" s="17">
        <v>43621.666666666664</v>
      </c>
      <c r="B5229" s="19">
        <v>74.349999999999994</v>
      </c>
      <c r="C5229" t="s">
        <v>51</v>
      </c>
      <c r="D5229" t="str">
        <f>T_Stocks[[#This Row],[Ticker]] &amp; "-" &amp; DATE(YEAR(T_Stocks[[#This Row],[Fecha]]),MONTH(T_Stocks[[#This Row],[Fecha]]),DAY(T_Stocks[[#This Row],[Fecha]]))</f>
        <v>PRHSX-43621</v>
      </c>
    </row>
    <row r="5230" spans="1:4" ht="14.65" thickBot="1" x14ac:dyDescent="0.5">
      <c r="A5230" s="17">
        <v>43622.666666666664</v>
      </c>
      <c r="B5230" s="19">
        <v>74.11</v>
      </c>
      <c r="C5230" t="s">
        <v>51</v>
      </c>
      <c r="D5230" t="str">
        <f>T_Stocks[[#This Row],[Ticker]] &amp; "-" &amp; DATE(YEAR(T_Stocks[[#This Row],[Fecha]]),MONTH(T_Stocks[[#This Row],[Fecha]]),DAY(T_Stocks[[#This Row],[Fecha]]))</f>
        <v>PRHSX-43622</v>
      </c>
    </row>
    <row r="5231" spans="1:4" ht="14.65" thickBot="1" x14ac:dyDescent="0.5">
      <c r="A5231" s="17">
        <v>43623.666666666664</v>
      </c>
      <c r="B5231" s="19">
        <v>75.22</v>
      </c>
      <c r="C5231" t="s">
        <v>51</v>
      </c>
      <c r="D5231" t="str">
        <f>T_Stocks[[#This Row],[Ticker]] &amp; "-" &amp; DATE(YEAR(T_Stocks[[#This Row],[Fecha]]),MONTH(T_Stocks[[#This Row],[Fecha]]),DAY(T_Stocks[[#This Row],[Fecha]]))</f>
        <v>PRHSX-43623</v>
      </c>
    </row>
    <row r="5232" spans="1:4" ht="14.65" thickBot="1" x14ac:dyDescent="0.5">
      <c r="A5232" s="17">
        <v>43626.666666666664</v>
      </c>
      <c r="B5232" s="19">
        <v>75.38</v>
      </c>
      <c r="C5232" t="s">
        <v>51</v>
      </c>
      <c r="D5232" t="str">
        <f>T_Stocks[[#This Row],[Ticker]] &amp; "-" &amp; DATE(YEAR(T_Stocks[[#This Row],[Fecha]]),MONTH(T_Stocks[[#This Row],[Fecha]]),DAY(T_Stocks[[#This Row],[Fecha]]))</f>
        <v>PRHSX-43626</v>
      </c>
    </row>
    <row r="5233" spans="1:4" ht="14.65" thickBot="1" x14ac:dyDescent="0.5">
      <c r="A5233" s="17">
        <v>43627.666666666664</v>
      </c>
      <c r="B5233" s="19">
        <v>74.900000000000006</v>
      </c>
      <c r="C5233" t="s">
        <v>51</v>
      </c>
      <c r="D5233" t="str">
        <f>T_Stocks[[#This Row],[Ticker]] &amp; "-" &amp; DATE(YEAR(T_Stocks[[#This Row],[Fecha]]),MONTH(T_Stocks[[#This Row],[Fecha]]),DAY(T_Stocks[[#This Row],[Fecha]]))</f>
        <v>PRHSX-43627</v>
      </c>
    </row>
    <row r="5234" spans="1:4" ht="14.65" thickBot="1" x14ac:dyDescent="0.5">
      <c r="A5234" s="17">
        <v>43628.666666666664</v>
      </c>
      <c r="B5234" s="19">
        <v>75.2</v>
      </c>
      <c r="C5234" t="s">
        <v>51</v>
      </c>
      <c r="D5234" t="str">
        <f>T_Stocks[[#This Row],[Ticker]] &amp; "-" &amp; DATE(YEAR(T_Stocks[[#This Row],[Fecha]]),MONTH(T_Stocks[[#This Row],[Fecha]]),DAY(T_Stocks[[#This Row],[Fecha]]))</f>
        <v>PRHSX-43628</v>
      </c>
    </row>
    <row r="5235" spans="1:4" ht="14.65" thickBot="1" x14ac:dyDescent="0.5">
      <c r="A5235" s="17">
        <v>43629.666666666664</v>
      </c>
      <c r="B5235" s="19">
        <v>75.59</v>
      </c>
      <c r="C5235" t="s">
        <v>51</v>
      </c>
      <c r="D5235" t="str">
        <f>T_Stocks[[#This Row],[Ticker]] &amp; "-" &amp; DATE(YEAR(T_Stocks[[#This Row],[Fecha]]),MONTH(T_Stocks[[#This Row],[Fecha]]),DAY(T_Stocks[[#This Row],[Fecha]]))</f>
        <v>PRHSX-43629</v>
      </c>
    </row>
    <row r="5236" spans="1:4" ht="14.65" thickBot="1" x14ac:dyDescent="0.5">
      <c r="A5236" s="17">
        <v>43630.666666666664</v>
      </c>
      <c r="B5236" s="19">
        <v>75.010000000000005</v>
      </c>
      <c r="C5236" t="s">
        <v>51</v>
      </c>
      <c r="D5236" t="str">
        <f>T_Stocks[[#This Row],[Ticker]] &amp; "-" &amp; DATE(YEAR(T_Stocks[[#This Row],[Fecha]]),MONTH(T_Stocks[[#This Row],[Fecha]]),DAY(T_Stocks[[#This Row],[Fecha]]))</f>
        <v>PRHSX-43630</v>
      </c>
    </row>
    <row r="5237" spans="1:4" ht="14.65" thickBot="1" x14ac:dyDescent="0.5">
      <c r="A5237" s="17">
        <v>43633.666666666664</v>
      </c>
      <c r="B5237" s="19">
        <v>76.52</v>
      </c>
      <c r="C5237" t="s">
        <v>51</v>
      </c>
      <c r="D5237" t="str">
        <f>T_Stocks[[#This Row],[Ticker]] &amp; "-" &amp; DATE(YEAR(T_Stocks[[#This Row],[Fecha]]),MONTH(T_Stocks[[#This Row],[Fecha]]),DAY(T_Stocks[[#This Row],[Fecha]]))</f>
        <v>PRHSX-43633</v>
      </c>
    </row>
    <row r="5238" spans="1:4" ht="14.65" thickBot="1" x14ac:dyDescent="0.5">
      <c r="A5238" s="17">
        <v>43634.666666666664</v>
      </c>
      <c r="B5238" s="19">
        <v>77.48</v>
      </c>
      <c r="C5238" t="s">
        <v>51</v>
      </c>
      <c r="D5238" t="str">
        <f>T_Stocks[[#This Row],[Ticker]] &amp; "-" &amp; DATE(YEAR(T_Stocks[[#This Row],[Fecha]]),MONTH(T_Stocks[[#This Row],[Fecha]]),DAY(T_Stocks[[#This Row],[Fecha]]))</f>
        <v>PRHSX-43634</v>
      </c>
    </row>
    <row r="5239" spans="1:4" ht="14.65" thickBot="1" x14ac:dyDescent="0.5">
      <c r="A5239" s="17">
        <v>43635.666666666664</v>
      </c>
      <c r="B5239" s="19">
        <v>78.150000000000006</v>
      </c>
      <c r="C5239" t="s">
        <v>51</v>
      </c>
      <c r="D5239" t="str">
        <f>T_Stocks[[#This Row],[Ticker]] &amp; "-" &amp; DATE(YEAR(T_Stocks[[#This Row],[Fecha]]),MONTH(T_Stocks[[#This Row],[Fecha]]),DAY(T_Stocks[[#This Row],[Fecha]]))</f>
        <v>PRHSX-43635</v>
      </c>
    </row>
    <row r="5240" spans="1:4" ht="14.65" thickBot="1" x14ac:dyDescent="0.5">
      <c r="A5240" s="17">
        <v>43636.666666666664</v>
      </c>
      <c r="B5240" s="19">
        <v>78.45</v>
      </c>
      <c r="C5240" t="s">
        <v>51</v>
      </c>
      <c r="D5240" t="str">
        <f>T_Stocks[[#This Row],[Ticker]] &amp; "-" &amp; DATE(YEAR(T_Stocks[[#This Row],[Fecha]]),MONTH(T_Stocks[[#This Row],[Fecha]]),DAY(T_Stocks[[#This Row],[Fecha]]))</f>
        <v>PRHSX-43636</v>
      </c>
    </row>
    <row r="5241" spans="1:4" ht="14.65" thickBot="1" x14ac:dyDescent="0.5">
      <c r="A5241" s="17">
        <v>43637.666666666664</v>
      </c>
      <c r="B5241" s="19">
        <v>78.67</v>
      </c>
      <c r="C5241" t="s">
        <v>51</v>
      </c>
      <c r="D5241" t="str">
        <f>T_Stocks[[#This Row],[Ticker]] &amp; "-" &amp; DATE(YEAR(T_Stocks[[#This Row],[Fecha]]),MONTH(T_Stocks[[#This Row],[Fecha]]),DAY(T_Stocks[[#This Row],[Fecha]]))</f>
        <v>PRHSX-43637</v>
      </c>
    </row>
    <row r="5242" spans="1:4" ht="14.65" thickBot="1" x14ac:dyDescent="0.5">
      <c r="A5242" s="17">
        <v>43640.666666666664</v>
      </c>
      <c r="B5242" s="19">
        <v>77.95</v>
      </c>
      <c r="C5242" t="s">
        <v>51</v>
      </c>
      <c r="D5242" t="str">
        <f>T_Stocks[[#This Row],[Ticker]] &amp; "-" &amp; DATE(YEAR(T_Stocks[[#This Row],[Fecha]]),MONTH(T_Stocks[[#This Row],[Fecha]]),DAY(T_Stocks[[#This Row],[Fecha]]))</f>
        <v>PRHSX-43640</v>
      </c>
    </row>
    <row r="5243" spans="1:4" ht="14.65" thickBot="1" x14ac:dyDescent="0.5">
      <c r="A5243" s="17">
        <v>43641.666666666664</v>
      </c>
      <c r="B5243" s="19">
        <v>77.709999999999994</v>
      </c>
      <c r="C5243" t="s">
        <v>51</v>
      </c>
      <c r="D5243" t="str">
        <f>T_Stocks[[#This Row],[Ticker]] &amp; "-" &amp; DATE(YEAR(T_Stocks[[#This Row],[Fecha]]),MONTH(T_Stocks[[#This Row],[Fecha]]),DAY(T_Stocks[[#This Row],[Fecha]]))</f>
        <v>PRHSX-43641</v>
      </c>
    </row>
    <row r="5244" spans="1:4" ht="14.65" thickBot="1" x14ac:dyDescent="0.5">
      <c r="A5244" s="17">
        <v>43642.666666666664</v>
      </c>
      <c r="B5244" s="19">
        <v>76.64</v>
      </c>
      <c r="C5244" t="s">
        <v>51</v>
      </c>
      <c r="D5244" t="str">
        <f>T_Stocks[[#This Row],[Ticker]] &amp; "-" &amp; DATE(YEAR(T_Stocks[[#This Row],[Fecha]]),MONTH(T_Stocks[[#This Row],[Fecha]]),DAY(T_Stocks[[#This Row],[Fecha]]))</f>
        <v>PRHSX-43642</v>
      </c>
    </row>
    <row r="5245" spans="1:4" ht="14.65" thickBot="1" x14ac:dyDescent="0.5">
      <c r="A5245" s="17">
        <v>43643.666666666664</v>
      </c>
      <c r="B5245" s="19">
        <v>77.7</v>
      </c>
      <c r="C5245" t="s">
        <v>51</v>
      </c>
      <c r="D5245" t="str">
        <f>T_Stocks[[#This Row],[Ticker]] &amp; "-" &amp; DATE(YEAR(T_Stocks[[#This Row],[Fecha]]),MONTH(T_Stocks[[#This Row],[Fecha]]),DAY(T_Stocks[[#This Row],[Fecha]]))</f>
        <v>PRHSX-43643</v>
      </c>
    </row>
    <row r="5246" spans="1:4" ht="14.65" thickBot="1" x14ac:dyDescent="0.5">
      <c r="A5246" s="17">
        <v>43644.666666666664</v>
      </c>
      <c r="B5246" s="19">
        <v>78.739999999999995</v>
      </c>
      <c r="C5246" t="s">
        <v>51</v>
      </c>
      <c r="D5246" t="str">
        <f>T_Stocks[[#This Row],[Ticker]] &amp; "-" &amp; DATE(YEAR(T_Stocks[[#This Row],[Fecha]]),MONTH(T_Stocks[[#This Row],[Fecha]]),DAY(T_Stocks[[#This Row],[Fecha]]))</f>
        <v>PRHSX-43644</v>
      </c>
    </row>
    <row r="5247" spans="1:4" ht="14.65" thickBot="1" x14ac:dyDescent="0.5">
      <c r="A5247" s="17">
        <v>43647.666666666664</v>
      </c>
      <c r="B5247" s="19">
        <v>79.16</v>
      </c>
      <c r="C5247" t="s">
        <v>51</v>
      </c>
      <c r="D5247" t="str">
        <f>T_Stocks[[#This Row],[Ticker]] &amp; "-" &amp; DATE(YEAR(T_Stocks[[#This Row],[Fecha]]),MONTH(T_Stocks[[#This Row],[Fecha]]),DAY(T_Stocks[[#This Row],[Fecha]]))</f>
        <v>PRHSX-43647</v>
      </c>
    </row>
    <row r="5248" spans="1:4" ht="14.65" thickBot="1" x14ac:dyDescent="0.5">
      <c r="A5248" s="17">
        <v>43648.666666666664</v>
      </c>
      <c r="B5248" s="19">
        <v>79</v>
      </c>
      <c r="C5248" t="s">
        <v>51</v>
      </c>
      <c r="D5248" t="str">
        <f>T_Stocks[[#This Row],[Ticker]] &amp; "-" &amp; DATE(YEAR(T_Stocks[[#This Row],[Fecha]]),MONTH(T_Stocks[[#This Row],[Fecha]]),DAY(T_Stocks[[#This Row],[Fecha]]))</f>
        <v>PRHSX-43648</v>
      </c>
    </row>
    <row r="5249" spans="1:4" ht="14.65" thickBot="1" x14ac:dyDescent="0.5">
      <c r="A5249" s="17">
        <v>43649.541666666664</v>
      </c>
      <c r="B5249" s="19">
        <v>79.709999999999994</v>
      </c>
      <c r="C5249" t="s">
        <v>51</v>
      </c>
      <c r="D5249" t="str">
        <f>T_Stocks[[#This Row],[Ticker]] &amp; "-" &amp; DATE(YEAR(T_Stocks[[#This Row],[Fecha]]),MONTH(T_Stocks[[#This Row],[Fecha]]),DAY(T_Stocks[[#This Row],[Fecha]]))</f>
        <v>PRHSX-43649</v>
      </c>
    </row>
    <row r="5250" spans="1:4" ht="14.65" thickBot="1" x14ac:dyDescent="0.5">
      <c r="A5250" s="17">
        <v>43651.666666666664</v>
      </c>
      <c r="B5250" s="19">
        <v>79</v>
      </c>
      <c r="C5250" t="s">
        <v>51</v>
      </c>
      <c r="D5250" t="str">
        <f>T_Stocks[[#This Row],[Ticker]] &amp; "-" &amp; DATE(YEAR(T_Stocks[[#This Row],[Fecha]]),MONTH(T_Stocks[[#This Row],[Fecha]]),DAY(T_Stocks[[#This Row],[Fecha]]))</f>
        <v>PRHSX-43651</v>
      </c>
    </row>
    <row r="5251" spans="1:4" ht="14.65" thickBot="1" x14ac:dyDescent="0.5">
      <c r="A5251" s="17">
        <v>43654.666666666664</v>
      </c>
      <c r="B5251" s="19">
        <v>78.17</v>
      </c>
      <c r="C5251" t="s">
        <v>51</v>
      </c>
      <c r="D5251" t="str">
        <f>T_Stocks[[#This Row],[Ticker]] &amp; "-" &amp; DATE(YEAR(T_Stocks[[#This Row],[Fecha]]),MONTH(T_Stocks[[#This Row],[Fecha]]),DAY(T_Stocks[[#This Row],[Fecha]]))</f>
        <v>PRHSX-43654</v>
      </c>
    </row>
    <row r="5252" spans="1:4" ht="14.65" thickBot="1" x14ac:dyDescent="0.5">
      <c r="A5252" s="17">
        <v>43655.666666666664</v>
      </c>
      <c r="B5252" s="19">
        <v>78.459999999999994</v>
      </c>
      <c r="C5252" t="s">
        <v>51</v>
      </c>
      <c r="D5252" t="str">
        <f>T_Stocks[[#This Row],[Ticker]] &amp; "-" &amp; DATE(YEAR(T_Stocks[[#This Row],[Fecha]]),MONTH(T_Stocks[[#This Row],[Fecha]]),DAY(T_Stocks[[#This Row],[Fecha]]))</f>
        <v>PRHSX-43655</v>
      </c>
    </row>
    <row r="5253" spans="1:4" ht="14.65" thickBot="1" x14ac:dyDescent="0.5">
      <c r="A5253" s="17">
        <v>43656.666666666664</v>
      </c>
      <c r="B5253" s="19">
        <v>78.75</v>
      </c>
      <c r="C5253" t="s">
        <v>51</v>
      </c>
      <c r="D5253" t="str">
        <f>T_Stocks[[#This Row],[Ticker]] &amp; "-" &amp; DATE(YEAR(T_Stocks[[#This Row],[Fecha]]),MONTH(T_Stocks[[#This Row],[Fecha]]),DAY(T_Stocks[[#This Row],[Fecha]]))</f>
        <v>PRHSX-43656</v>
      </c>
    </row>
    <row r="5254" spans="1:4" ht="14.65" thickBot="1" x14ac:dyDescent="0.5">
      <c r="A5254" s="17">
        <v>43657.666666666664</v>
      </c>
      <c r="B5254" s="19">
        <v>79.02</v>
      </c>
      <c r="C5254" t="s">
        <v>51</v>
      </c>
      <c r="D5254" t="str">
        <f>T_Stocks[[#This Row],[Ticker]] &amp; "-" &amp; DATE(YEAR(T_Stocks[[#This Row],[Fecha]]),MONTH(T_Stocks[[#This Row],[Fecha]]),DAY(T_Stocks[[#This Row],[Fecha]]))</f>
        <v>PRHSX-43657</v>
      </c>
    </row>
    <row r="5255" spans="1:4" ht="14.65" thickBot="1" x14ac:dyDescent="0.5">
      <c r="A5255" s="17">
        <v>43658.666666666664</v>
      </c>
      <c r="B5255" s="19">
        <v>78.709999999999994</v>
      </c>
      <c r="C5255" t="s">
        <v>51</v>
      </c>
      <c r="D5255" t="str">
        <f>T_Stocks[[#This Row],[Ticker]] &amp; "-" &amp; DATE(YEAR(T_Stocks[[#This Row],[Fecha]]),MONTH(T_Stocks[[#This Row],[Fecha]]),DAY(T_Stocks[[#This Row],[Fecha]]))</f>
        <v>PRHSX-43658</v>
      </c>
    </row>
    <row r="5256" spans="1:4" ht="14.65" thickBot="1" x14ac:dyDescent="0.5">
      <c r="A5256" s="17">
        <v>43661.666666666664</v>
      </c>
      <c r="B5256" s="19">
        <v>78.86</v>
      </c>
      <c r="C5256" t="s">
        <v>51</v>
      </c>
      <c r="D5256" t="str">
        <f>T_Stocks[[#This Row],[Ticker]] &amp; "-" &amp; DATE(YEAR(T_Stocks[[#This Row],[Fecha]]),MONTH(T_Stocks[[#This Row],[Fecha]]),DAY(T_Stocks[[#This Row],[Fecha]]))</f>
        <v>PRHSX-43661</v>
      </c>
    </row>
    <row r="5257" spans="1:4" ht="14.65" thickBot="1" x14ac:dyDescent="0.5">
      <c r="A5257" s="17">
        <v>43662.666666666664</v>
      </c>
      <c r="B5257" s="19">
        <v>78.37</v>
      </c>
      <c r="C5257" t="s">
        <v>51</v>
      </c>
      <c r="D5257" t="str">
        <f>T_Stocks[[#This Row],[Ticker]] &amp; "-" &amp; DATE(YEAR(T_Stocks[[#This Row],[Fecha]]),MONTH(T_Stocks[[#This Row],[Fecha]]),DAY(T_Stocks[[#This Row],[Fecha]]))</f>
        <v>PRHSX-43662</v>
      </c>
    </row>
    <row r="5258" spans="1:4" ht="14.65" thickBot="1" x14ac:dyDescent="0.5">
      <c r="A5258" s="17">
        <v>43663.666666666664</v>
      </c>
      <c r="B5258" s="19">
        <v>78.58</v>
      </c>
      <c r="C5258" t="s">
        <v>51</v>
      </c>
      <c r="D5258" t="str">
        <f>T_Stocks[[#This Row],[Ticker]] &amp; "-" &amp; DATE(YEAR(T_Stocks[[#This Row],[Fecha]]),MONTH(T_Stocks[[#This Row],[Fecha]]),DAY(T_Stocks[[#This Row],[Fecha]]))</f>
        <v>PRHSX-43663</v>
      </c>
    </row>
    <row r="5259" spans="1:4" ht="14.65" thickBot="1" x14ac:dyDescent="0.5">
      <c r="A5259" s="17">
        <v>43664.666666666664</v>
      </c>
      <c r="B5259" s="19">
        <v>79.33</v>
      </c>
      <c r="C5259" t="s">
        <v>51</v>
      </c>
      <c r="D5259" t="str">
        <f>T_Stocks[[#This Row],[Ticker]] &amp; "-" &amp; DATE(YEAR(T_Stocks[[#This Row],[Fecha]]),MONTH(T_Stocks[[#This Row],[Fecha]]),DAY(T_Stocks[[#This Row],[Fecha]]))</f>
        <v>PRHSX-43664</v>
      </c>
    </row>
    <row r="5260" spans="1:4" ht="14.65" thickBot="1" x14ac:dyDescent="0.5">
      <c r="A5260" s="17">
        <v>43665.666666666664</v>
      </c>
      <c r="B5260" s="19">
        <v>78.430000000000007</v>
      </c>
      <c r="C5260" t="s">
        <v>51</v>
      </c>
      <c r="D5260" t="str">
        <f>T_Stocks[[#This Row],[Ticker]] &amp; "-" &amp; DATE(YEAR(T_Stocks[[#This Row],[Fecha]]),MONTH(T_Stocks[[#This Row],[Fecha]]),DAY(T_Stocks[[#This Row],[Fecha]]))</f>
        <v>PRHSX-43665</v>
      </c>
    </row>
    <row r="5261" spans="1:4" ht="14.65" thickBot="1" x14ac:dyDescent="0.5">
      <c r="A5261" s="17">
        <v>43668.666666666664</v>
      </c>
      <c r="B5261" s="19">
        <v>78.58</v>
      </c>
      <c r="C5261" t="s">
        <v>51</v>
      </c>
      <c r="D5261" t="str">
        <f>T_Stocks[[#This Row],[Ticker]] &amp; "-" &amp; DATE(YEAR(T_Stocks[[#This Row],[Fecha]]),MONTH(T_Stocks[[#This Row],[Fecha]]),DAY(T_Stocks[[#This Row],[Fecha]]))</f>
        <v>PRHSX-43668</v>
      </c>
    </row>
    <row r="5262" spans="1:4" ht="14.65" thickBot="1" x14ac:dyDescent="0.5">
      <c r="A5262" s="17">
        <v>43669.666666666664</v>
      </c>
      <c r="B5262" s="19">
        <v>78.67</v>
      </c>
      <c r="C5262" t="s">
        <v>51</v>
      </c>
      <c r="D5262" t="str">
        <f>T_Stocks[[#This Row],[Ticker]] &amp; "-" &amp; DATE(YEAR(T_Stocks[[#This Row],[Fecha]]),MONTH(T_Stocks[[#This Row],[Fecha]]),DAY(T_Stocks[[#This Row],[Fecha]]))</f>
        <v>PRHSX-43669</v>
      </c>
    </row>
    <row r="5263" spans="1:4" ht="14.65" thickBot="1" x14ac:dyDescent="0.5">
      <c r="A5263" s="17">
        <v>43670.666666666664</v>
      </c>
      <c r="B5263" s="19">
        <v>78.62</v>
      </c>
      <c r="C5263" t="s">
        <v>51</v>
      </c>
      <c r="D5263" t="str">
        <f>T_Stocks[[#This Row],[Ticker]] &amp; "-" &amp; DATE(YEAR(T_Stocks[[#This Row],[Fecha]]),MONTH(T_Stocks[[#This Row],[Fecha]]),DAY(T_Stocks[[#This Row],[Fecha]]))</f>
        <v>PRHSX-43670</v>
      </c>
    </row>
    <row r="5264" spans="1:4" ht="14.65" thickBot="1" x14ac:dyDescent="0.5">
      <c r="A5264" s="17">
        <v>43671.666666666664</v>
      </c>
      <c r="B5264" s="19">
        <v>77.75</v>
      </c>
      <c r="C5264" t="s">
        <v>51</v>
      </c>
      <c r="D5264" t="str">
        <f>T_Stocks[[#This Row],[Ticker]] &amp; "-" &amp; DATE(YEAR(T_Stocks[[#This Row],[Fecha]]),MONTH(T_Stocks[[#This Row],[Fecha]]),DAY(T_Stocks[[#This Row],[Fecha]]))</f>
        <v>PRHSX-43671</v>
      </c>
    </row>
    <row r="5265" spans="1:4" ht="14.65" thickBot="1" x14ac:dyDescent="0.5">
      <c r="A5265" s="17">
        <v>43672.666666666664</v>
      </c>
      <c r="B5265" s="19">
        <v>78.39</v>
      </c>
      <c r="C5265" t="s">
        <v>51</v>
      </c>
      <c r="D5265" t="str">
        <f>T_Stocks[[#This Row],[Ticker]] &amp; "-" &amp; DATE(YEAR(T_Stocks[[#This Row],[Fecha]]),MONTH(T_Stocks[[#This Row],[Fecha]]),DAY(T_Stocks[[#This Row],[Fecha]]))</f>
        <v>PRHSX-43672</v>
      </c>
    </row>
    <row r="5266" spans="1:4" ht="14.65" thickBot="1" x14ac:dyDescent="0.5">
      <c r="A5266" s="17">
        <v>43675.666666666664</v>
      </c>
      <c r="B5266" s="19">
        <v>78.44</v>
      </c>
      <c r="C5266" t="s">
        <v>51</v>
      </c>
      <c r="D5266" t="str">
        <f>T_Stocks[[#This Row],[Ticker]] &amp; "-" &amp; DATE(YEAR(T_Stocks[[#This Row],[Fecha]]),MONTH(T_Stocks[[#This Row],[Fecha]]),DAY(T_Stocks[[#This Row],[Fecha]]))</f>
        <v>PRHSX-43675</v>
      </c>
    </row>
    <row r="5267" spans="1:4" ht="14.65" thickBot="1" x14ac:dyDescent="0.5">
      <c r="A5267" s="17">
        <v>43676.666666666664</v>
      </c>
      <c r="B5267" s="19">
        <v>78.52</v>
      </c>
      <c r="C5267" t="s">
        <v>51</v>
      </c>
      <c r="D5267" t="str">
        <f>T_Stocks[[#This Row],[Ticker]] &amp; "-" &amp; DATE(YEAR(T_Stocks[[#This Row],[Fecha]]),MONTH(T_Stocks[[#This Row],[Fecha]]),DAY(T_Stocks[[#This Row],[Fecha]]))</f>
        <v>PRHSX-43676</v>
      </c>
    </row>
    <row r="5268" spans="1:4" ht="14.65" thickBot="1" x14ac:dyDescent="0.5">
      <c r="A5268" s="17">
        <v>43677.666666666664</v>
      </c>
      <c r="B5268" s="19">
        <v>77.73</v>
      </c>
      <c r="C5268" t="s">
        <v>51</v>
      </c>
      <c r="D5268" t="str">
        <f>T_Stocks[[#This Row],[Ticker]] &amp; "-" &amp; DATE(YEAR(T_Stocks[[#This Row],[Fecha]]),MONTH(T_Stocks[[#This Row],[Fecha]]),DAY(T_Stocks[[#This Row],[Fecha]]))</f>
        <v>PRHSX-43677</v>
      </c>
    </row>
    <row r="5269" spans="1:4" ht="14.65" thickBot="1" x14ac:dyDescent="0.5">
      <c r="A5269" s="17">
        <v>43678.666666666664</v>
      </c>
      <c r="B5269" s="19">
        <v>77.849999999999994</v>
      </c>
      <c r="C5269" t="s">
        <v>51</v>
      </c>
      <c r="D5269" t="str">
        <f>T_Stocks[[#This Row],[Ticker]] &amp; "-" &amp; DATE(YEAR(T_Stocks[[#This Row],[Fecha]]),MONTH(T_Stocks[[#This Row],[Fecha]]),DAY(T_Stocks[[#This Row],[Fecha]]))</f>
        <v>PRHSX-43678</v>
      </c>
    </row>
    <row r="5270" spans="1:4" ht="14.65" thickBot="1" x14ac:dyDescent="0.5">
      <c r="A5270" s="17">
        <v>43679.666666666664</v>
      </c>
      <c r="B5270" s="19">
        <v>76.97</v>
      </c>
      <c r="C5270" t="s">
        <v>51</v>
      </c>
      <c r="D5270" t="str">
        <f>T_Stocks[[#This Row],[Ticker]] &amp; "-" &amp; DATE(YEAR(T_Stocks[[#This Row],[Fecha]]),MONTH(T_Stocks[[#This Row],[Fecha]]),DAY(T_Stocks[[#This Row],[Fecha]]))</f>
        <v>PRHSX-43679</v>
      </c>
    </row>
    <row r="5271" spans="1:4" ht="14.65" thickBot="1" x14ac:dyDescent="0.5">
      <c r="A5271" s="17">
        <v>43682.666666666664</v>
      </c>
      <c r="B5271" s="19">
        <v>74.760000000000005</v>
      </c>
      <c r="C5271" t="s">
        <v>51</v>
      </c>
      <c r="D5271" t="str">
        <f>T_Stocks[[#This Row],[Ticker]] &amp; "-" &amp; DATE(YEAR(T_Stocks[[#This Row],[Fecha]]),MONTH(T_Stocks[[#This Row],[Fecha]]),DAY(T_Stocks[[#This Row],[Fecha]]))</f>
        <v>PRHSX-43682</v>
      </c>
    </row>
    <row r="5272" spans="1:4" ht="14.65" thickBot="1" x14ac:dyDescent="0.5">
      <c r="A5272" s="17">
        <v>43683.666666666664</v>
      </c>
      <c r="B5272" s="19">
        <v>76.150000000000006</v>
      </c>
      <c r="C5272" t="s">
        <v>51</v>
      </c>
      <c r="D5272" t="str">
        <f>T_Stocks[[#This Row],[Ticker]] &amp; "-" &amp; DATE(YEAR(T_Stocks[[#This Row],[Fecha]]),MONTH(T_Stocks[[#This Row],[Fecha]]),DAY(T_Stocks[[#This Row],[Fecha]]))</f>
        <v>PRHSX-43683</v>
      </c>
    </row>
    <row r="5273" spans="1:4" ht="14.65" thickBot="1" x14ac:dyDescent="0.5">
      <c r="A5273" s="17">
        <v>43684.666666666664</v>
      </c>
      <c r="B5273" s="19">
        <v>76.3</v>
      </c>
      <c r="C5273" t="s">
        <v>51</v>
      </c>
      <c r="D5273" t="str">
        <f>T_Stocks[[#This Row],[Ticker]] &amp; "-" &amp; DATE(YEAR(T_Stocks[[#This Row],[Fecha]]),MONTH(T_Stocks[[#This Row],[Fecha]]),DAY(T_Stocks[[#This Row],[Fecha]]))</f>
        <v>PRHSX-43684</v>
      </c>
    </row>
    <row r="5274" spans="1:4" ht="14.65" thickBot="1" x14ac:dyDescent="0.5">
      <c r="A5274" s="17">
        <v>43685.666666666664</v>
      </c>
      <c r="B5274" s="19">
        <v>77.400000000000006</v>
      </c>
      <c r="C5274" t="s">
        <v>51</v>
      </c>
      <c r="D5274" t="str">
        <f>T_Stocks[[#This Row],[Ticker]] &amp; "-" &amp; DATE(YEAR(T_Stocks[[#This Row],[Fecha]]),MONTH(T_Stocks[[#This Row],[Fecha]]),DAY(T_Stocks[[#This Row],[Fecha]]))</f>
        <v>PRHSX-43685</v>
      </c>
    </row>
    <row r="5275" spans="1:4" ht="14.65" thickBot="1" x14ac:dyDescent="0.5">
      <c r="A5275" s="17">
        <v>43686.666666666664</v>
      </c>
      <c r="B5275" s="19">
        <v>77.209999999999994</v>
      </c>
      <c r="C5275" t="s">
        <v>51</v>
      </c>
      <c r="D5275" t="str">
        <f>T_Stocks[[#This Row],[Ticker]] &amp; "-" &amp; DATE(YEAR(T_Stocks[[#This Row],[Fecha]]),MONTH(T_Stocks[[#This Row],[Fecha]]),DAY(T_Stocks[[#This Row],[Fecha]]))</f>
        <v>PRHSX-43686</v>
      </c>
    </row>
    <row r="5276" spans="1:4" ht="14.65" thickBot="1" x14ac:dyDescent="0.5">
      <c r="A5276" s="17">
        <v>43689.666666666664</v>
      </c>
      <c r="B5276" s="19">
        <v>76.180000000000007</v>
      </c>
      <c r="C5276" t="s">
        <v>51</v>
      </c>
      <c r="D5276" t="str">
        <f>T_Stocks[[#This Row],[Ticker]] &amp; "-" &amp; DATE(YEAR(T_Stocks[[#This Row],[Fecha]]),MONTH(T_Stocks[[#This Row],[Fecha]]),DAY(T_Stocks[[#This Row],[Fecha]]))</f>
        <v>PRHSX-43689</v>
      </c>
    </row>
    <row r="5277" spans="1:4" ht="14.65" thickBot="1" x14ac:dyDescent="0.5">
      <c r="A5277" s="17">
        <v>43690.666666666664</v>
      </c>
      <c r="B5277" s="19">
        <v>77.23</v>
      </c>
      <c r="C5277" t="s">
        <v>51</v>
      </c>
      <c r="D5277" t="str">
        <f>T_Stocks[[#This Row],[Ticker]] &amp; "-" &amp; DATE(YEAR(T_Stocks[[#This Row],[Fecha]]),MONTH(T_Stocks[[#This Row],[Fecha]]),DAY(T_Stocks[[#This Row],[Fecha]]))</f>
        <v>PRHSX-43690</v>
      </c>
    </row>
    <row r="5278" spans="1:4" ht="14.65" thickBot="1" x14ac:dyDescent="0.5">
      <c r="A5278" s="17">
        <v>43691.666666666664</v>
      </c>
      <c r="B5278" s="19">
        <v>75.22</v>
      </c>
      <c r="C5278" t="s">
        <v>51</v>
      </c>
      <c r="D5278" t="str">
        <f>T_Stocks[[#This Row],[Ticker]] &amp; "-" &amp; DATE(YEAR(T_Stocks[[#This Row],[Fecha]]),MONTH(T_Stocks[[#This Row],[Fecha]]),DAY(T_Stocks[[#This Row],[Fecha]]))</f>
        <v>PRHSX-43691</v>
      </c>
    </row>
    <row r="5279" spans="1:4" ht="14.65" thickBot="1" x14ac:dyDescent="0.5">
      <c r="A5279" s="17">
        <v>43692.666666666664</v>
      </c>
      <c r="B5279" s="19">
        <v>75.39</v>
      </c>
      <c r="C5279" t="s">
        <v>51</v>
      </c>
      <c r="D5279" t="str">
        <f>T_Stocks[[#This Row],[Ticker]] &amp; "-" &amp; DATE(YEAR(T_Stocks[[#This Row],[Fecha]]),MONTH(T_Stocks[[#This Row],[Fecha]]),DAY(T_Stocks[[#This Row],[Fecha]]))</f>
        <v>PRHSX-43692</v>
      </c>
    </row>
    <row r="5280" spans="1:4" ht="14.65" thickBot="1" x14ac:dyDescent="0.5">
      <c r="A5280" s="17">
        <v>43693.666666666664</v>
      </c>
      <c r="B5280" s="19">
        <v>76.459999999999994</v>
      </c>
      <c r="C5280" t="s">
        <v>51</v>
      </c>
      <c r="D5280" t="str">
        <f>T_Stocks[[#This Row],[Ticker]] &amp; "-" &amp; DATE(YEAR(T_Stocks[[#This Row],[Fecha]]),MONTH(T_Stocks[[#This Row],[Fecha]]),DAY(T_Stocks[[#This Row],[Fecha]]))</f>
        <v>PRHSX-43693</v>
      </c>
    </row>
    <row r="5281" spans="1:4" ht="14.65" thickBot="1" x14ac:dyDescent="0.5">
      <c r="A5281" s="17">
        <v>43696.666666666664</v>
      </c>
      <c r="B5281" s="19">
        <v>76.94</v>
      </c>
      <c r="C5281" t="s">
        <v>51</v>
      </c>
      <c r="D5281" t="str">
        <f>T_Stocks[[#This Row],[Ticker]] &amp; "-" &amp; DATE(YEAR(T_Stocks[[#This Row],[Fecha]]),MONTH(T_Stocks[[#This Row],[Fecha]]),DAY(T_Stocks[[#This Row],[Fecha]]))</f>
        <v>PRHSX-43696</v>
      </c>
    </row>
    <row r="5282" spans="1:4" ht="14.65" thickBot="1" x14ac:dyDescent="0.5">
      <c r="A5282" s="17">
        <v>43697.666666666664</v>
      </c>
      <c r="B5282" s="19">
        <v>76.14</v>
      </c>
      <c r="C5282" t="s">
        <v>51</v>
      </c>
      <c r="D5282" t="str">
        <f>T_Stocks[[#This Row],[Ticker]] &amp; "-" &amp; DATE(YEAR(T_Stocks[[#This Row],[Fecha]]),MONTH(T_Stocks[[#This Row],[Fecha]]),DAY(T_Stocks[[#This Row],[Fecha]]))</f>
        <v>PRHSX-43697</v>
      </c>
    </row>
    <row r="5283" spans="1:4" ht="14.65" thickBot="1" x14ac:dyDescent="0.5">
      <c r="A5283" s="17">
        <v>43698.666666666664</v>
      </c>
      <c r="B5283" s="19">
        <v>76.84</v>
      </c>
      <c r="C5283" t="s">
        <v>51</v>
      </c>
      <c r="D5283" t="str">
        <f>T_Stocks[[#This Row],[Ticker]] &amp; "-" &amp; DATE(YEAR(T_Stocks[[#This Row],[Fecha]]),MONTH(T_Stocks[[#This Row],[Fecha]]),DAY(T_Stocks[[#This Row],[Fecha]]))</f>
        <v>PRHSX-43698</v>
      </c>
    </row>
    <row r="5284" spans="1:4" ht="14.65" thickBot="1" x14ac:dyDescent="0.5">
      <c r="A5284" s="17">
        <v>43699.666666666664</v>
      </c>
      <c r="B5284" s="19">
        <v>76.069999999999993</v>
      </c>
      <c r="C5284" t="s">
        <v>51</v>
      </c>
      <c r="D5284" t="str">
        <f>T_Stocks[[#This Row],[Ticker]] &amp; "-" &amp; DATE(YEAR(T_Stocks[[#This Row],[Fecha]]),MONTH(T_Stocks[[#This Row],[Fecha]]),DAY(T_Stocks[[#This Row],[Fecha]]))</f>
        <v>PRHSX-43699</v>
      </c>
    </row>
    <row r="5285" spans="1:4" ht="14.65" thickBot="1" x14ac:dyDescent="0.5">
      <c r="A5285" s="17">
        <v>43700.666666666664</v>
      </c>
      <c r="B5285" s="19">
        <v>74.430000000000007</v>
      </c>
      <c r="C5285" t="s">
        <v>51</v>
      </c>
      <c r="D5285" t="str">
        <f>T_Stocks[[#This Row],[Ticker]] &amp; "-" &amp; DATE(YEAR(T_Stocks[[#This Row],[Fecha]]),MONTH(T_Stocks[[#This Row],[Fecha]]),DAY(T_Stocks[[#This Row],[Fecha]]))</f>
        <v>PRHSX-43700</v>
      </c>
    </row>
    <row r="5286" spans="1:4" ht="14.65" thickBot="1" x14ac:dyDescent="0.5">
      <c r="A5286" s="17">
        <v>43703.666666666664</v>
      </c>
      <c r="B5286" s="19">
        <v>74.900000000000006</v>
      </c>
      <c r="C5286" t="s">
        <v>51</v>
      </c>
      <c r="D5286" t="str">
        <f>T_Stocks[[#This Row],[Ticker]] &amp; "-" &amp; DATE(YEAR(T_Stocks[[#This Row],[Fecha]]),MONTH(T_Stocks[[#This Row],[Fecha]]),DAY(T_Stocks[[#This Row],[Fecha]]))</f>
        <v>PRHSX-43703</v>
      </c>
    </row>
    <row r="5287" spans="1:4" ht="14.65" thickBot="1" x14ac:dyDescent="0.5">
      <c r="A5287" s="17">
        <v>43704.666666666664</v>
      </c>
      <c r="B5287" s="19">
        <v>74.16</v>
      </c>
      <c r="C5287" t="s">
        <v>51</v>
      </c>
      <c r="D5287" t="str">
        <f>T_Stocks[[#This Row],[Ticker]] &amp; "-" &amp; DATE(YEAR(T_Stocks[[#This Row],[Fecha]]),MONTH(T_Stocks[[#This Row],[Fecha]]),DAY(T_Stocks[[#This Row],[Fecha]]))</f>
        <v>PRHSX-43704</v>
      </c>
    </row>
    <row r="5288" spans="1:4" ht="14.65" thickBot="1" x14ac:dyDescent="0.5">
      <c r="A5288" s="17">
        <v>43705.666666666664</v>
      </c>
      <c r="B5288" s="19">
        <v>74.709999999999994</v>
      </c>
      <c r="C5288" t="s">
        <v>51</v>
      </c>
      <c r="D5288" t="str">
        <f>T_Stocks[[#This Row],[Ticker]] &amp; "-" &amp; DATE(YEAR(T_Stocks[[#This Row],[Fecha]]),MONTH(T_Stocks[[#This Row],[Fecha]]),DAY(T_Stocks[[#This Row],[Fecha]]))</f>
        <v>PRHSX-43705</v>
      </c>
    </row>
    <row r="5289" spans="1:4" ht="14.65" thickBot="1" x14ac:dyDescent="0.5">
      <c r="A5289" s="17">
        <v>43706.666666666664</v>
      </c>
      <c r="B5289" s="19">
        <v>75.62</v>
      </c>
      <c r="C5289" t="s">
        <v>51</v>
      </c>
      <c r="D5289" t="str">
        <f>T_Stocks[[#This Row],[Ticker]] &amp; "-" &amp; DATE(YEAR(T_Stocks[[#This Row],[Fecha]]),MONTH(T_Stocks[[#This Row],[Fecha]]),DAY(T_Stocks[[#This Row],[Fecha]]))</f>
        <v>PRHSX-43706</v>
      </c>
    </row>
    <row r="5290" spans="1:4" ht="14.65" thickBot="1" x14ac:dyDescent="0.5">
      <c r="A5290" s="17">
        <v>43707.666666666664</v>
      </c>
      <c r="B5290" s="19">
        <v>75.489999999999995</v>
      </c>
      <c r="C5290" t="s">
        <v>51</v>
      </c>
      <c r="D5290" t="str">
        <f>T_Stocks[[#This Row],[Ticker]] &amp; "-" &amp; DATE(YEAR(T_Stocks[[#This Row],[Fecha]]),MONTH(T_Stocks[[#This Row],[Fecha]]),DAY(T_Stocks[[#This Row],[Fecha]]))</f>
        <v>PRHSX-43707</v>
      </c>
    </row>
    <row r="5291" spans="1:4" ht="14.65" thickBot="1" x14ac:dyDescent="0.5">
      <c r="A5291" s="17">
        <v>43711.666666666664</v>
      </c>
      <c r="B5291" s="19">
        <v>74.25</v>
      </c>
      <c r="C5291" t="s">
        <v>51</v>
      </c>
      <c r="D5291" t="str">
        <f>T_Stocks[[#This Row],[Ticker]] &amp; "-" &amp; DATE(YEAR(T_Stocks[[#This Row],[Fecha]]),MONTH(T_Stocks[[#This Row],[Fecha]]),DAY(T_Stocks[[#This Row],[Fecha]]))</f>
        <v>PRHSX-43711</v>
      </c>
    </row>
    <row r="5292" spans="1:4" ht="14.65" thickBot="1" x14ac:dyDescent="0.5">
      <c r="A5292" s="17">
        <v>43712.666666666664</v>
      </c>
      <c r="B5292" s="19">
        <v>74.319999999999993</v>
      </c>
      <c r="C5292" t="s">
        <v>51</v>
      </c>
      <c r="D5292" t="str">
        <f>T_Stocks[[#This Row],[Ticker]] &amp; "-" &amp; DATE(YEAR(T_Stocks[[#This Row],[Fecha]]),MONTH(T_Stocks[[#This Row],[Fecha]]),DAY(T_Stocks[[#This Row],[Fecha]]))</f>
        <v>PRHSX-43712</v>
      </c>
    </row>
    <row r="5293" spans="1:4" ht="14.65" thickBot="1" x14ac:dyDescent="0.5">
      <c r="A5293" s="17">
        <v>43713.666666666664</v>
      </c>
      <c r="B5293" s="19">
        <v>75.09</v>
      </c>
      <c r="C5293" t="s">
        <v>51</v>
      </c>
      <c r="D5293" t="str">
        <f>T_Stocks[[#This Row],[Ticker]] &amp; "-" &amp; DATE(YEAR(T_Stocks[[#This Row],[Fecha]]),MONTH(T_Stocks[[#This Row],[Fecha]]),DAY(T_Stocks[[#This Row],[Fecha]]))</f>
        <v>PRHSX-43713</v>
      </c>
    </row>
    <row r="5294" spans="1:4" ht="14.65" thickBot="1" x14ac:dyDescent="0.5">
      <c r="A5294" s="17">
        <v>43714.666666666664</v>
      </c>
      <c r="B5294" s="19">
        <v>75.03</v>
      </c>
      <c r="C5294" t="s">
        <v>51</v>
      </c>
      <c r="D5294" t="str">
        <f>T_Stocks[[#This Row],[Ticker]] &amp; "-" &amp; DATE(YEAR(T_Stocks[[#This Row],[Fecha]]),MONTH(T_Stocks[[#This Row],[Fecha]]),DAY(T_Stocks[[#This Row],[Fecha]]))</f>
        <v>PRHSX-43714</v>
      </c>
    </row>
    <row r="5295" spans="1:4" ht="14.65" thickBot="1" x14ac:dyDescent="0.5">
      <c r="A5295" s="17">
        <v>43717.666666666664</v>
      </c>
      <c r="B5295" s="19">
        <v>74.260000000000005</v>
      </c>
      <c r="C5295" t="s">
        <v>51</v>
      </c>
      <c r="D5295" t="str">
        <f>T_Stocks[[#This Row],[Ticker]] &amp; "-" &amp; DATE(YEAR(T_Stocks[[#This Row],[Fecha]]),MONTH(T_Stocks[[#This Row],[Fecha]]),DAY(T_Stocks[[#This Row],[Fecha]]))</f>
        <v>PRHSX-43717</v>
      </c>
    </row>
    <row r="5296" spans="1:4" ht="14.65" thickBot="1" x14ac:dyDescent="0.5">
      <c r="A5296" s="17">
        <v>43718.666666666664</v>
      </c>
      <c r="B5296" s="19">
        <v>74.47</v>
      </c>
      <c r="C5296" t="s">
        <v>51</v>
      </c>
      <c r="D5296" t="str">
        <f>T_Stocks[[#This Row],[Ticker]] &amp; "-" &amp; DATE(YEAR(T_Stocks[[#This Row],[Fecha]]),MONTH(T_Stocks[[#This Row],[Fecha]]),DAY(T_Stocks[[#This Row],[Fecha]]))</f>
        <v>PRHSX-43718</v>
      </c>
    </row>
    <row r="5297" spans="1:4" ht="14.65" thickBot="1" x14ac:dyDescent="0.5">
      <c r="A5297" s="17">
        <v>43719.666666666664</v>
      </c>
      <c r="B5297" s="19">
        <v>75.400000000000006</v>
      </c>
      <c r="C5297" t="s">
        <v>51</v>
      </c>
      <c r="D5297" t="str">
        <f>T_Stocks[[#This Row],[Ticker]] &amp; "-" &amp; DATE(YEAR(T_Stocks[[#This Row],[Fecha]]),MONTH(T_Stocks[[#This Row],[Fecha]]),DAY(T_Stocks[[#This Row],[Fecha]]))</f>
        <v>PRHSX-43719</v>
      </c>
    </row>
    <row r="5298" spans="1:4" ht="14.65" thickBot="1" x14ac:dyDescent="0.5">
      <c r="A5298" s="17">
        <v>43720.666666666664</v>
      </c>
      <c r="B5298" s="19">
        <v>75.09</v>
      </c>
      <c r="C5298" t="s">
        <v>51</v>
      </c>
      <c r="D5298" t="str">
        <f>T_Stocks[[#This Row],[Ticker]] &amp; "-" &amp; DATE(YEAR(T_Stocks[[#This Row],[Fecha]]),MONTH(T_Stocks[[#This Row],[Fecha]]),DAY(T_Stocks[[#This Row],[Fecha]]))</f>
        <v>PRHSX-43720</v>
      </c>
    </row>
    <row r="5299" spans="1:4" ht="14.65" thickBot="1" x14ac:dyDescent="0.5">
      <c r="A5299" s="17">
        <v>43721.666666666664</v>
      </c>
      <c r="B5299" s="19">
        <v>75.17</v>
      </c>
      <c r="C5299" t="s">
        <v>51</v>
      </c>
      <c r="D5299" t="str">
        <f>T_Stocks[[#This Row],[Ticker]] &amp; "-" &amp; DATE(YEAR(T_Stocks[[#This Row],[Fecha]]),MONTH(T_Stocks[[#This Row],[Fecha]]),DAY(T_Stocks[[#This Row],[Fecha]]))</f>
        <v>PRHSX-43721</v>
      </c>
    </row>
    <row r="5300" spans="1:4" ht="14.65" thickBot="1" x14ac:dyDescent="0.5">
      <c r="A5300" s="17">
        <v>43724.666666666664</v>
      </c>
      <c r="B5300" s="19">
        <v>75.52</v>
      </c>
      <c r="C5300" t="s">
        <v>51</v>
      </c>
      <c r="D5300" t="str">
        <f>T_Stocks[[#This Row],[Ticker]] &amp; "-" &amp; DATE(YEAR(T_Stocks[[#This Row],[Fecha]]),MONTH(T_Stocks[[#This Row],[Fecha]]),DAY(T_Stocks[[#This Row],[Fecha]]))</f>
        <v>PRHSX-43724</v>
      </c>
    </row>
    <row r="5301" spans="1:4" ht="14.65" thickBot="1" x14ac:dyDescent="0.5">
      <c r="A5301" s="17">
        <v>43725.666666666664</v>
      </c>
      <c r="B5301" s="19">
        <v>75.63</v>
      </c>
      <c r="C5301" t="s">
        <v>51</v>
      </c>
      <c r="D5301" t="str">
        <f>T_Stocks[[#This Row],[Ticker]] &amp; "-" &amp; DATE(YEAR(T_Stocks[[#This Row],[Fecha]]),MONTH(T_Stocks[[#This Row],[Fecha]]),DAY(T_Stocks[[#This Row],[Fecha]]))</f>
        <v>PRHSX-43725</v>
      </c>
    </row>
    <row r="5302" spans="1:4" ht="14.65" thickBot="1" x14ac:dyDescent="0.5">
      <c r="A5302" s="17">
        <v>43726.666666666664</v>
      </c>
      <c r="B5302" s="19">
        <v>75.45</v>
      </c>
      <c r="C5302" t="s">
        <v>51</v>
      </c>
      <c r="D5302" t="str">
        <f>T_Stocks[[#This Row],[Ticker]] &amp; "-" &amp; DATE(YEAR(T_Stocks[[#This Row],[Fecha]]),MONTH(T_Stocks[[#This Row],[Fecha]]),DAY(T_Stocks[[#This Row],[Fecha]]))</f>
        <v>PRHSX-43726</v>
      </c>
    </row>
    <row r="5303" spans="1:4" ht="14.65" thickBot="1" x14ac:dyDescent="0.5">
      <c r="A5303" s="17">
        <v>43727.666666666664</v>
      </c>
      <c r="B5303" s="19">
        <v>75.849999999999994</v>
      </c>
      <c r="C5303" t="s">
        <v>51</v>
      </c>
      <c r="D5303" t="str">
        <f>T_Stocks[[#This Row],[Ticker]] &amp; "-" &amp; DATE(YEAR(T_Stocks[[#This Row],[Fecha]]),MONTH(T_Stocks[[#This Row],[Fecha]]),DAY(T_Stocks[[#This Row],[Fecha]]))</f>
        <v>PRHSX-43727</v>
      </c>
    </row>
    <row r="5304" spans="1:4" ht="14.65" thickBot="1" x14ac:dyDescent="0.5">
      <c r="A5304" s="17">
        <v>43728.666666666664</v>
      </c>
      <c r="B5304" s="19">
        <v>76.099999999999994</v>
      </c>
      <c r="C5304" t="s">
        <v>51</v>
      </c>
      <c r="D5304" t="str">
        <f>T_Stocks[[#This Row],[Ticker]] &amp; "-" &amp; DATE(YEAR(T_Stocks[[#This Row],[Fecha]]),MONTH(T_Stocks[[#This Row],[Fecha]]),DAY(T_Stocks[[#This Row],[Fecha]]))</f>
        <v>PRHSX-43728</v>
      </c>
    </row>
    <row r="5305" spans="1:4" ht="14.65" thickBot="1" x14ac:dyDescent="0.5">
      <c r="A5305" s="17">
        <v>43731.666666666664</v>
      </c>
      <c r="B5305" s="19">
        <v>75.540000000000006</v>
      </c>
      <c r="C5305" t="s">
        <v>51</v>
      </c>
      <c r="D5305" t="str">
        <f>T_Stocks[[#This Row],[Ticker]] &amp; "-" &amp; DATE(YEAR(T_Stocks[[#This Row],[Fecha]]),MONTH(T_Stocks[[#This Row],[Fecha]]),DAY(T_Stocks[[#This Row],[Fecha]]))</f>
        <v>PRHSX-43731</v>
      </c>
    </row>
    <row r="5306" spans="1:4" ht="14.65" thickBot="1" x14ac:dyDescent="0.5">
      <c r="A5306" s="17">
        <v>43732.666666666664</v>
      </c>
      <c r="B5306" s="19">
        <v>74.52</v>
      </c>
      <c r="C5306" t="s">
        <v>51</v>
      </c>
      <c r="D5306" t="str">
        <f>T_Stocks[[#This Row],[Ticker]] &amp; "-" &amp; DATE(YEAR(T_Stocks[[#This Row],[Fecha]]),MONTH(T_Stocks[[#This Row],[Fecha]]),DAY(T_Stocks[[#This Row],[Fecha]]))</f>
        <v>PRHSX-43732</v>
      </c>
    </row>
    <row r="5307" spans="1:4" ht="14.65" thickBot="1" x14ac:dyDescent="0.5">
      <c r="A5307" s="17">
        <v>43733.666666666664</v>
      </c>
      <c r="B5307" s="19">
        <v>74.05</v>
      </c>
      <c r="C5307" t="s">
        <v>51</v>
      </c>
      <c r="D5307" t="str">
        <f>T_Stocks[[#This Row],[Ticker]] &amp; "-" &amp; DATE(YEAR(T_Stocks[[#This Row],[Fecha]]),MONTH(T_Stocks[[#This Row],[Fecha]]),DAY(T_Stocks[[#This Row],[Fecha]]))</f>
        <v>PRHSX-43733</v>
      </c>
    </row>
    <row r="5308" spans="1:4" ht="14.65" thickBot="1" x14ac:dyDescent="0.5">
      <c r="A5308" s="17">
        <v>43734.666666666664</v>
      </c>
      <c r="B5308" s="19">
        <v>72.88</v>
      </c>
      <c r="C5308" t="s">
        <v>51</v>
      </c>
      <c r="D5308" t="str">
        <f>T_Stocks[[#This Row],[Ticker]] &amp; "-" &amp; DATE(YEAR(T_Stocks[[#This Row],[Fecha]]),MONTH(T_Stocks[[#This Row],[Fecha]]),DAY(T_Stocks[[#This Row],[Fecha]]))</f>
        <v>PRHSX-43734</v>
      </c>
    </row>
    <row r="5309" spans="1:4" ht="14.65" thickBot="1" x14ac:dyDescent="0.5">
      <c r="A5309" s="17">
        <v>43735.666666666664</v>
      </c>
      <c r="B5309" s="19">
        <v>72.3</v>
      </c>
      <c r="C5309" t="s">
        <v>51</v>
      </c>
      <c r="D5309" t="str">
        <f>T_Stocks[[#This Row],[Ticker]] &amp; "-" &amp; DATE(YEAR(T_Stocks[[#This Row],[Fecha]]),MONTH(T_Stocks[[#This Row],[Fecha]]),DAY(T_Stocks[[#This Row],[Fecha]]))</f>
        <v>PRHSX-43735</v>
      </c>
    </row>
    <row r="5310" spans="1:4" ht="14.65" thickBot="1" x14ac:dyDescent="0.5">
      <c r="A5310" s="17">
        <v>43738.666666666664</v>
      </c>
      <c r="B5310" s="19">
        <v>72.709999999999994</v>
      </c>
      <c r="C5310" t="s">
        <v>51</v>
      </c>
      <c r="D5310" t="str">
        <f>T_Stocks[[#This Row],[Ticker]] &amp; "-" &amp; DATE(YEAR(T_Stocks[[#This Row],[Fecha]]),MONTH(T_Stocks[[#This Row],[Fecha]]),DAY(T_Stocks[[#This Row],[Fecha]]))</f>
        <v>PRHSX-43738</v>
      </c>
    </row>
    <row r="5311" spans="1:4" ht="14.65" thickBot="1" x14ac:dyDescent="0.5">
      <c r="A5311" s="17">
        <v>43739.666666666664</v>
      </c>
      <c r="B5311" s="19">
        <v>71.52</v>
      </c>
      <c r="C5311" t="s">
        <v>51</v>
      </c>
      <c r="D5311" t="str">
        <f>T_Stocks[[#This Row],[Ticker]] &amp; "-" &amp; DATE(YEAR(T_Stocks[[#This Row],[Fecha]]),MONTH(T_Stocks[[#This Row],[Fecha]]),DAY(T_Stocks[[#This Row],[Fecha]]))</f>
        <v>PRHSX-43739</v>
      </c>
    </row>
    <row r="5312" spans="1:4" ht="14.65" thickBot="1" x14ac:dyDescent="0.5">
      <c r="A5312" s="17">
        <v>43740.666666666664</v>
      </c>
      <c r="B5312" s="19">
        <v>70.75</v>
      </c>
      <c r="C5312" t="s">
        <v>51</v>
      </c>
      <c r="D5312" t="str">
        <f>T_Stocks[[#This Row],[Ticker]] &amp; "-" &amp; DATE(YEAR(T_Stocks[[#This Row],[Fecha]]),MONTH(T_Stocks[[#This Row],[Fecha]]),DAY(T_Stocks[[#This Row],[Fecha]]))</f>
        <v>PRHSX-43740</v>
      </c>
    </row>
    <row r="5313" spans="1:4" ht="14.65" thickBot="1" x14ac:dyDescent="0.5">
      <c r="A5313" s="17">
        <v>43741.666666666664</v>
      </c>
      <c r="B5313" s="19">
        <v>71.760000000000005</v>
      </c>
      <c r="C5313" t="s">
        <v>51</v>
      </c>
      <c r="D5313" t="str">
        <f>T_Stocks[[#This Row],[Ticker]] &amp; "-" &amp; DATE(YEAR(T_Stocks[[#This Row],[Fecha]]),MONTH(T_Stocks[[#This Row],[Fecha]]),DAY(T_Stocks[[#This Row],[Fecha]]))</f>
        <v>PRHSX-43741</v>
      </c>
    </row>
    <row r="5314" spans="1:4" ht="14.65" thickBot="1" x14ac:dyDescent="0.5">
      <c r="A5314" s="17">
        <v>43742.666666666664</v>
      </c>
      <c r="B5314" s="19">
        <v>72.62</v>
      </c>
      <c r="C5314" t="s">
        <v>51</v>
      </c>
      <c r="D5314" t="str">
        <f>T_Stocks[[#This Row],[Ticker]] &amp; "-" &amp; DATE(YEAR(T_Stocks[[#This Row],[Fecha]]),MONTH(T_Stocks[[#This Row],[Fecha]]),DAY(T_Stocks[[#This Row],[Fecha]]))</f>
        <v>PRHSX-43742</v>
      </c>
    </row>
    <row r="5315" spans="1:4" ht="14.65" thickBot="1" x14ac:dyDescent="0.5">
      <c r="A5315" s="17">
        <v>43745.666666666664</v>
      </c>
      <c r="B5315" s="19">
        <v>72.239999999999995</v>
      </c>
      <c r="C5315" t="s">
        <v>51</v>
      </c>
      <c r="D5315" t="str">
        <f>T_Stocks[[#This Row],[Ticker]] &amp; "-" &amp; DATE(YEAR(T_Stocks[[#This Row],[Fecha]]),MONTH(T_Stocks[[#This Row],[Fecha]]),DAY(T_Stocks[[#This Row],[Fecha]]))</f>
        <v>PRHSX-43745</v>
      </c>
    </row>
    <row r="5316" spans="1:4" ht="14.65" thickBot="1" x14ac:dyDescent="0.5">
      <c r="A5316" s="17">
        <v>43746.666666666664</v>
      </c>
      <c r="B5316" s="19">
        <v>70.760000000000005</v>
      </c>
      <c r="C5316" t="s">
        <v>51</v>
      </c>
      <c r="D5316" t="str">
        <f>T_Stocks[[#This Row],[Ticker]] &amp; "-" &amp; DATE(YEAR(T_Stocks[[#This Row],[Fecha]]),MONTH(T_Stocks[[#This Row],[Fecha]]),DAY(T_Stocks[[#This Row],[Fecha]]))</f>
        <v>PRHSX-43746</v>
      </c>
    </row>
    <row r="5317" spans="1:4" ht="14.65" thickBot="1" x14ac:dyDescent="0.5">
      <c r="A5317" s="17">
        <v>43747.666666666664</v>
      </c>
      <c r="B5317" s="19">
        <v>71.19</v>
      </c>
      <c r="C5317" t="s">
        <v>51</v>
      </c>
      <c r="D5317" t="str">
        <f>T_Stocks[[#This Row],[Ticker]] &amp; "-" &amp; DATE(YEAR(T_Stocks[[#This Row],[Fecha]]),MONTH(T_Stocks[[#This Row],[Fecha]]),DAY(T_Stocks[[#This Row],[Fecha]]))</f>
        <v>PRHSX-43747</v>
      </c>
    </row>
    <row r="5318" spans="1:4" ht="14.65" thickBot="1" x14ac:dyDescent="0.5">
      <c r="A5318" s="17">
        <v>43748.666666666664</v>
      </c>
      <c r="B5318" s="19">
        <v>71.650000000000006</v>
      </c>
      <c r="C5318" t="s">
        <v>51</v>
      </c>
      <c r="D5318" t="str">
        <f>T_Stocks[[#This Row],[Ticker]] &amp; "-" &amp; DATE(YEAR(T_Stocks[[#This Row],[Fecha]]),MONTH(T_Stocks[[#This Row],[Fecha]]),DAY(T_Stocks[[#This Row],[Fecha]]))</f>
        <v>PRHSX-43748</v>
      </c>
    </row>
    <row r="5319" spans="1:4" ht="14.65" thickBot="1" x14ac:dyDescent="0.5">
      <c r="A5319" s="17">
        <v>43749.666666666664</v>
      </c>
      <c r="B5319" s="19">
        <v>72.42</v>
      </c>
      <c r="C5319" t="s">
        <v>51</v>
      </c>
      <c r="D5319" t="str">
        <f>T_Stocks[[#This Row],[Ticker]] &amp; "-" &amp; DATE(YEAR(T_Stocks[[#This Row],[Fecha]]),MONTH(T_Stocks[[#This Row],[Fecha]]),DAY(T_Stocks[[#This Row],[Fecha]]))</f>
        <v>PRHSX-43749</v>
      </c>
    </row>
    <row r="5320" spans="1:4" ht="14.65" thickBot="1" x14ac:dyDescent="0.5">
      <c r="A5320" s="17">
        <v>43752.666666666664</v>
      </c>
      <c r="B5320" s="19">
        <v>72.41</v>
      </c>
      <c r="C5320" t="s">
        <v>51</v>
      </c>
      <c r="D5320" t="str">
        <f>T_Stocks[[#This Row],[Ticker]] &amp; "-" &amp; DATE(YEAR(T_Stocks[[#This Row],[Fecha]]),MONTH(T_Stocks[[#This Row],[Fecha]]),DAY(T_Stocks[[#This Row],[Fecha]]))</f>
        <v>PRHSX-43752</v>
      </c>
    </row>
    <row r="5321" spans="1:4" ht="14.65" thickBot="1" x14ac:dyDescent="0.5">
      <c r="A5321" s="17">
        <v>43753.666666666664</v>
      </c>
      <c r="B5321" s="19">
        <v>73.989999999999995</v>
      </c>
      <c r="C5321" t="s">
        <v>51</v>
      </c>
      <c r="D5321" t="str">
        <f>T_Stocks[[#This Row],[Ticker]] &amp; "-" &amp; DATE(YEAR(T_Stocks[[#This Row],[Fecha]]),MONTH(T_Stocks[[#This Row],[Fecha]]),DAY(T_Stocks[[#This Row],[Fecha]]))</f>
        <v>PRHSX-43753</v>
      </c>
    </row>
    <row r="5322" spans="1:4" ht="14.65" thickBot="1" x14ac:dyDescent="0.5">
      <c r="A5322" s="17">
        <v>43754.666666666664</v>
      </c>
      <c r="B5322" s="19">
        <v>73.760000000000005</v>
      </c>
      <c r="C5322" t="s">
        <v>51</v>
      </c>
      <c r="D5322" t="str">
        <f>T_Stocks[[#This Row],[Ticker]] &amp; "-" &amp; DATE(YEAR(T_Stocks[[#This Row],[Fecha]]),MONTH(T_Stocks[[#This Row],[Fecha]]),DAY(T_Stocks[[#This Row],[Fecha]]))</f>
        <v>PRHSX-43754</v>
      </c>
    </row>
    <row r="5323" spans="1:4" ht="14.65" thickBot="1" x14ac:dyDescent="0.5">
      <c r="A5323" s="17">
        <v>43755.666666666664</v>
      </c>
      <c r="B5323" s="19">
        <v>74.58</v>
      </c>
      <c r="C5323" t="s">
        <v>51</v>
      </c>
      <c r="D5323" t="str">
        <f>T_Stocks[[#This Row],[Ticker]] &amp; "-" &amp; DATE(YEAR(T_Stocks[[#This Row],[Fecha]]),MONTH(T_Stocks[[#This Row],[Fecha]]),DAY(T_Stocks[[#This Row],[Fecha]]))</f>
        <v>PRHSX-43755</v>
      </c>
    </row>
    <row r="5324" spans="1:4" ht="14.65" thickBot="1" x14ac:dyDescent="0.5">
      <c r="A5324" s="17">
        <v>43756.666666666664</v>
      </c>
      <c r="B5324" s="19">
        <v>74.7</v>
      </c>
      <c r="C5324" t="s">
        <v>51</v>
      </c>
      <c r="D5324" t="str">
        <f>T_Stocks[[#This Row],[Ticker]] &amp; "-" &amp; DATE(YEAR(T_Stocks[[#This Row],[Fecha]]),MONTH(T_Stocks[[#This Row],[Fecha]]),DAY(T_Stocks[[#This Row],[Fecha]]))</f>
        <v>PRHSX-43756</v>
      </c>
    </row>
    <row r="5325" spans="1:4" ht="14.65" thickBot="1" x14ac:dyDescent="0.5">
      <c r="A5325" s="17">
        <v>43759.666666666664</v>
      </c>
      <c r="B5325" s="19">
        <v>75.11</v>
      </c>
      <c r="C5325" t="s">
        <v>51</v>
      </c>
      <c r="D5325" t="str">
        <f>T_Stocks[[#This Row],[Ticker]] &amp; "-" &amp; DATE(YEAR(T_Stocks[[#This Row],[Fecha]]),MONTH(T_Stocks[[#This Row],[Fecha]]),DAY(T_Stocks[[#This Row],[Fecha]]))</f>
        <v>PRHSX-43759</v>
      </c>
    </row>
    <row r="5326" spans="1:4" ht="14.65" thickBot="1" x14ac:dyDescent="0.5">
      <c r="A5326" s="17">
        <v>43760.666666666664</v>
      </c>
      <c r="B5326" s="19">
        <v>75.06</v>
      </c>
      <c r="C5326" t="s">
        <v>51</v>
      </c>
      <c r="D5326" t="str">
        <f>T_Stocks[[#This Row],[Ticker]] &amp; "-" &amp; DATE(YEAR(T_Stocks[[#This Row],[Fecha]]),MONTH(T_Stocks[[#This Row],[Fecha]]),DAY(T_Stocks[[#This Row],[Fecha]]))</f>
        <v>PRHSX-43760</v>
      </c>
    </row>
    <row r="5327" spans="1:4" ht="14.65" thickBot="1" x14ac:dyDescent="0.5">
      <c r="A5327" s="17">
        <v>43761.666666666664</v>
      </c>
      <c r="B5327" s="19">
        <v>75.39</v>
      </c>
      <c r="C5327" t="s">
        <v>51</v>
      </c>
      <c r="D5327" t="str">
        <f>T_Stocks[[#This Row],[Ticker]] &amp; "-" &amp; DATE(YEAR(T_Stocks[[#This Row],[Fecha]]),MONTH(T_Stocks[[#This Row],[Fecha]]),DAY(T_Stocks[[#This Row],[Fecha]]))</f>
        <v>PRHSX-43761</v>
      </c>
    </row>
    <row r="5328" spans="1:4" ht="14.65" thickBot="1" x14ac:dyDescent="0.5">
      <c r="A5328" s="17">
        <v>43762.666666666664</v>
      </c>
      <c r="B5328" s="19">
        <v>75.36</v>
      </c>
      <c r="C5328" t="s">
        <v>51</v>
      </c>
      <c r="D5328" t="str">
        <f>T_Stocks[[#This Row],[Ticker]] &amp; "-" &amp; DATE(YEAR(T_Stocks[[#This Row],[Fecha]]),MONTH(T_Stocks[[#This Row],[Fecha]]),DAY(T_Stocks[[#This Row],[Fecha]]))</f>
        <v>PRHSX-43762</v>
      </c>
    </row>
    <row r="5329" spans="1:4" ht="14.65" thickBot="1" x14ac:dyDescent="0.5">
      <c r="A5329" s="17">
        <v>43763.666666666664</v>
      </c>
      <c r="B5329" s="19">
        <v>75.8</v>
      </c>
      <c r="C5329" t="s">
        <v>51</v>
      </c>
      <c r="D5329" t="str">
        <f>T_Stocks[[#This Row],[Ticker]] &amp; "-" &amp; DATE(YEAR(T_Stocks[[#This Row],[Fecha]]),MONTH(T_Stocks[[#This Row],[Fecha]]),DAY(T_Stocks[[#This Row],[Fecha]]))</f>
        <v>PRHSX-43763</v>
      </c>
    </row>
    <row r="5330" spans="1:4" ht="14.65" thickBot="1" x14ac:dyDescent="0.5">
      <c r="A5330" s="17">
        <v>43766.666666666664</v>
      </c>
      <c r="B5330" s="19">
        <v>76.540000000000006</v>
      </c>
      <c r="C5330" t="s">
        <v>51</v>
      </c>
      <c r="D5330" t="str">
        <f>T_Stocks[[#This Row],[Ticker]] &amp; "-" &amp; DATE(YEAR(T_Stocks[[#This Row],[Fecha]]),MONTH(T_Stocks[[#This Row],[Fecha]]),DAY(T_Stocks[[#This Row],[Fecha]]))</f>
        <v>PRHSX-43766</v>
      </c>
    </row>
    <row r="5331" spans="1:4" ht="14.65" thickBot="1" x14ac:dyDescent="0.5">
      <c r="A5331" s="17">
        <v>43767.666666666664</v>
      </c>
      <c r="B5331" s="19">
        <v>77.28</v>
      </c>
      <c r="C5331" t="s">
        <v>51</v>
      </c>
      <c r="D5331" t="str">
        <f>T_Stocks[[#This Row],[Ticker]] &amp; "-" &amp; DATE(YEAR(T_Stocks[[#This Row],[Fecha]]),MONTH(T_Stocks[[#This Row],[Fecha]]),DAY(T_Stocks[[#This Row],[Fecha]]))</f>
        <v>PRHSX-43767</v>
      </c>
    </row>
    <row r="5332" spans="1:4" ht="14.65" thickBot="1" x14ac:dyDescent="0.5">
      <c r="A5332" s="17">
        <v>43768.666666666664</v>
      </c>
      <c r="B5332" s="19">
        <v>77.63</v>
      </c>
      <c r="C5332" t="s">
        <v>51</v>
      </c>
      <c r="D5332" t="str">
        <f>T_Stocks[[#This Row],[Ticker]] &amp; "-" &amp; DATE(YEAR(T_Stocks[[#This Row],[Fecha]]),MONTH(T_Stocks[[#This Row],[Fecha]]),DAY(T_Stocks[[#This Row],[Fecha]]))</f>
        <v>PRHSX-43768</v>
      </c>
    </row>
    <row r="5333" spans="1:4" ht="14.65" thickBot="1" x14ac:dyDescent="0.5">
      <c r="A5333" s="17">
        <v>43769.666666666664</v>
      </c>
      <c r="B5333" s="19">
        <v>77.489999999999995</v>
      </c>
      <c r="C5333" t="s">
        <v>51</v>
      </c>
      <c r="D5333" t="str">
        <f>T_Stocks[[#This Row],[Ticker]] &amp; "-" &amp; DATE(YEAR(T_Stocks[[#This Row],[Fecha]]),MONTH(T_Stocks[[#This Row],[Fecha]]),DAY(T_Stocks[[#This Row],[Fecha]]))</f>
        <v>PRHSX-43769</v>
      </c>
    </row>
    <row r="5334" spans="1:4" ht="14.65" thickBot="1" x14ac:dyDescent="0.5">
      <c r="A5334" s="17">
        <v>43770.666666666664</v>
      </c>
      <c r="B5334" s="19">
        <v>78.5</v>
      </c>
      <c r="C5334" t="s">
        <v>51</v>
      </c>
      <c r="D5334" t="str">
        <f>T_Stocks[[#This Row],[Ticker]] &amp; "-" &amp; DATE(YEAR(T_Stocks[[#This Row],[Fecha]]),MONTH(T_Stocks[[#This Row],[Fecha]]),DAY(T_Stocks[[#This Row],[Fecha]]))</f>
        <v>PRHSX-43770</v>
      </c>
    </row>
    <row r="5335" spans="1:4" ht="14.65" thickBot="1" x14ac:dyDescent="0.5">
      <c r="A5335" s="17">
        <v>43773.666666666664</v>
      </c>
      <c r="B5335" s="19">
        <v>78.44</v>
      </c>
      <c r="C5335" t="s">
        <v>51</v>
      </c>
      <c r="D5335" t="str">
        <f>T_Stocks[[#This Row],[Ticker]] &amp; "-" &amp; DATE(YEAR(T_Stocks[[#This Row],[Fecha]]),MONTH(T_Stocks[[#This Row],[Fecha]]),DAY(T_Stocks[[#This Row],[Fecha]]))</f>
        <v>PRHSX-43773</v>
      </c>
    </row>
    <row r="5336" spans="1:4" ht="14.65" thickBot="1" x14ac:dyDescent="0.5">
      <c r="A5336" s="17">
        <v>43774.666666666664</v>
      </c>
      <c r="B5336" s="19">
        <v>77.819999999999993</v>
      </c>
      <c r="C5336" t="s">
        <v>51</v>
      </c>
      <c r="D5336" t="str">
        <f>T_Stocks[[#This Row],[Ticker]] &amp; "-" &amp; DATE(YEAR(T_Stocks[[#This Row],[Fecha]]),MONTH(T_Stocks[[#This Row],[Fecha]]),DAY(T_Stocks[[#This Row],[Fecha]]))</f>
        <v>PRHSX-43774</v>
      </c>
    </row>
    <row r="5337" spans="1:4" ht="14.65" thickBot="1" x14ac:dyDescent="0.5">
      <c r="A5337" s="17">
        <v>43775.666666666664</v>
      </c>
      <c r="B5337" s="19">
        <v>77.569999999999993</v>
      </c>
      <c r="C5337" t="s">
        <v>51</v>
      </c>
      <c r="D5337" t="str">
        <f>T_Stocks[[#This Row],[Ticker]] &amp; "-" &amp; DATE(YEAR(T_Stocks[[#This Row],[Fecha]]),MONTH(T_Stocks[[#This Row],[Fecha]]),DAY(T_Stocks[[#This Row],[Fecha]]))</f>
        <v>PRHSX-43775</v>
      </c>
    </row>
    <row r="5338" spans="1:4" ht="14.65" thickBot="1" x14ac:dyDescent="0.5">
      <c r="A5338" s="17">
        <v>43776.666666666664</v>
      </c>
      <c r="B5338" s="19">
        <v>77.97</v>
      </c>
      <c r="C5338" t="s">
        <v>51</v>
      </c>
      <c r="D5338" t="str">
        <f>T_Stocks[[#This Row],[Ticker]] &amp; "-" &amp; DATE(YEAR(T_Stocks[[#This Row],[Fecha]]),MONTH(T_Stocks[[#This Row],[Fecha]]),DAY(T_Stocks[[#This Row],[Fecha]]))</f>
        <v>PRHSX-43776</v>
      </c>
    </row>
    <row r="5339" spans="1:4" ht="14.65" thickBot="1" x14ac:dyDescent="0.5">
      <c r="A5339" s="17">
        <v>43777.666666666664</v>
      </c>
      <c r="B5339" s="19">
        <v>78.989999999999995</v>
      </c>
      <c r="C5339" t="s">
        <v>51</v>
      </c>
      <c r="D5339" t="str">
        <f>T_Stocks[[#This Row],[Ticker]] &amp; "-" &amp; DATE(YEAR(T_Stocks[[#This Row],[Fecha]]),MONTH(T_Stocks[[#This Row],[Fecha]]),DAY(T_Stocks[[#This Row],[Fecha]]))</f>
        <v>PRHSX-43777</v>
      </c>
    </row>
    <row r="5340" spans="1:4" ht="14.65" thickBot="1" x14ac:dyDescent="0.5">
      <c r="A5340" s="17">
        <v>43780.666666666664</v>
      </c>
      <c r="B5340" s="19">
        <v>78.66</v>
      </c>
      <c r="C5340" t="s">
        <v>51</v>
      </c>
      <c r="D5340" t="str">
        <f>T_Stocks[[#This Row],[Ticker]] &amp; "-" &amp; DATE(YEAR(T_Stocks[[#This Row],[Fecha]]),MONTH(T_Stocks[[#This Row],[Fecha]]),DAY(T_Stocks[[#This Row],[Fecha]]))</f>
        <v>PRHSX-43780</v>
      </c>
    </row>
    <row r="5341" spans="1:4" ht="14.65" thickBot="1" x14ac:dyDescent="0.5">
      <c r="A5341" s="17">
        <v>43781.666666666664</v>
      </c>
      <c r="B5341" s="19">
        <v>79.09</v>
      </c>
      <c r="C5341" t="s">
        <v>51</v>
      </c>
      <c r="D5341" t="str">
        <f>T_Stocks[[#This Row],[Ticker]] &amp; "-" &amp; DATE(YEAR(T_Stocks[[#This Row],[Fecha]]),MONTH(T_Stocks[[#This Row],[Fecha]]),DAY(T_Stocks[[#This Row],[Fecha]]))</f>
        <v>PRHSX-43781</v>
      </c>
    </row>
    <row r="5342" spans="1:4" ht="14.65" thickBot="1" x14ac:dyDescent="0.5">
      <c r="A5342" s="17">
        <v>43782.666666666664</v>
      </c>
      <c r="B5342" s="19">
        <v>79.41</v>
      </c>
      <c r="C5342" t="s">
        <v>51</v>
      </c>
      <c r="D5342" t="str">
        <f>T_Stocks[[#This Row],[Ticker]] &amp; "-" &amp; DATE(YEAR(T_Stocks[[#This Row],[Fecha]]),MONTH(T_Stocks[[#This Row],[Fecha]]),DAY(T_Stocks[[#This Row],[Fecha]]))</f>
        <v>PRHSX-43782</v>
      </c>
    </row>
    <row r="5343" spans="1:4" ht="14.65" thickBot="1" x14ac:dyDescent="0.5">
      <c r="A5343" s="17">
        <v>43783.666666666664</v>
      </c>
      <c r="B5343" s="19">
        <v>79.319999999999993</v>
      </c>
      <c r="C5343" t="s">
        <v>51</v>
      </c>
      <c r="D5343" t="str">
        <f>T_Stocks[[#This Row],[Ticker]] &amp; "-" &amp; DATE(YEAR(T_Stocks[[#This Row],[Fecha]]),MONTH(T_Stocks[[#This Row],[Fecha]]),DAY(T_Stocks[[#This Row],[Fecha]]))</f>
        <v>PRHSX-43783</v>
      </c>
    </row>
    <row r="5344" spans="1:4" ht="14.65" thickBot="1" x14ac:dyDescent="0.5">
      <c r="A5344" s="17">
        <v>43784.666666666664</v>
      </c>
      <c r="B5344" s="19">
        <v>80.88</v>
      </c>
      <c r="C5344" t="s">
        <v>51</v>
      </c>
      <c r="D5344" t="str">
        <f>T_Stocks[[#This Row],[Ticker]] &amp; "-" &amp; DATE(YEAR(T_Stocks[[#This Row],[Fecha]]),MONTH(T_Stocks[[#This Row],[Fecha]]),DAY(T_Stocks[[#This Row],[Fecha]]))</f>
        <v>PRHSX-43784</v>
      </c>
    </row>
    <row r="5345" spans="1:4" ht="14.65" thickBot="1" x14ac:dyDescent="0.5">
      <c r="A5345" s="17">
        <v>43787.666666666664</v>
      </c>
      <c r="B5345" s="19">
        <v>80.86</v>
      </c>
      <c r="C5345" t="s">
        <v>51</v>
      </c>
      <c r="D5345" t="str">
        <f>T_Stocks[[#This Row],[Ticker]] &amp; "-" &amp; DATE(YEAR(T_Stocks[[#This Row],[Fecha]]),MONTH(T_Stocks[[#This Row],[Fecha]]),DAY(T_Stocks[[#This Row],[Fecha]]))</f>
        <v>PRHSX-43787</v>
      </c>
    </row>
    <row r="5346" spans="1:4" ht="14.65" thickBot="1" x14ac:dyDescent="0.5">
      <c r="A5346" s="17">
        <v>43788.666666666664</v>
      </c>
      <c r="B5346" s="19">
        <v>82.07</v>
      </c>
      <c r="C5346" t="s">
        <v>51</v>
      </c>
      <c r="D5346" t="str">
        <f>T_Stocks[[#This Row],[Ticker]] &amp; "-" &amp; DATE(YEAR(T_Stocks[[#This Row],[Fecha]]),MONTH(T_Stocks[[#This Row],[Fecha]]),DAY(T_Stocks[[#This Row],[Fecha]]))</f>
        <v>PRHSX-43788</v>
      </c>
    </row>
    <row r="5347" spans="1:4" ht="14.65" thickBot="1" x14ac:dyDescent="0.5">
      <c r="A5347" s="17">
        <v>43789.666666666664</v>
      </c>
      <c r="B5347" s="19">
        <v>82.16</v>
      </c>
      <c r="C5347" t="s">
        <v>51</v>
      </c>
      <c r="D5347" t="str">
        <f>T_Stocks[[#This Row],[Ticker]] &amp; "-" &amp; DATE(YEAR(T_Stocks[[#This Row],[Fecha]]),MONTH(T_Stocks[[#This Row],[Fecha]]),DAY(T_Stocks[[#This Row],[Fecha]]))</f>
        <v>PRHSX-43789</v>
      </c>
    </row>
    <row r="5348" spans="1:4" ht="14.65" thickBot="1" x14ac:dyDescent="0.5">
      <c r="A5348" s="17">
        <v>43790.666666666664</v>
      </c>
      <c r="B5348" s="19">
        <v>82.07</v>
      </c>
      <c r="C5348" t="s">
        <v>51</v>
      </c>
      <c r="D5348" t="str">
        <f>T_Stocks[[#This Row],[Ticker]] &amp; "-" &amp; DATE(YEAR(T_Stocks[[#This Row],[Fecha]]),MONTH(T_Stocks[[#This Row],[Fecha]]),DAY(T_Stocks[[#This Row],[Fecha]]))</f>
        <v>PRHSX-43790</v>
      </c>
    </row>
    <row r="5349" spans="1:4" ht="14.65" thickBot="1" x14ac:dyDescent="0.5">
      <c r="A5349" s="17">
        <v>43791.666666666664</v>
      </c>
      <c r="B5349" s="19">
        <v>82.33</v>
      </c>
      <c r="C5349" t="s">
        <v>51</v>
      </c>
      <c r="D5349" t="str">
        <f>T_Stocks[[#This Row],[Ticker]] &amp; "-" &amp; DATE(YEAR(T_Stocks[[#This Row],[Fecha]]),MONTH(T_Stocks[[#This Row],[Fecha]]),DAY(T_Stocks[[#This Row],[Fecha]]))</f>
        <v>PRHSX-43791</v>
      </c>
    </row>
    <row r="5350" spans="1:4" ht="14.65" thickBot="1" x14ac:dyDescent="0.5">
      <c r="A5350" s="17">
        <v>43794.666666666664</v>
      </c>
      <c r="B5350" s="19">
        <v>83.83</v>
      </c>
      <c r="C5350" t="s">
        <v>51</v>
      </c>
      <c r="D5350" t="str">
        <f>T_Stocks[[#This Row],[Ticker]] &amp; "-" &amp; DATE(YEAR(T_Stocks[[#This Row],[Fecha]]),MONTH(T_Stocks[[#This Row],[Fecha]]),DAY(T_Stocks[[#This Row],[Fecha]]))</f>
        <v>PRHSX-43794</v>
      </c>
    </row>
    <row r="5351" spans="1:4" ht="14.65" thickBot="1" x14ac:dyDescent="0.5">
      <c r="A5351" s="17">
        <v>43795.666666666664</v>
      </c>
      <c r="B5351" s="19">
        <v>83.7</v>
      </c>
      <c r="C5351" t="s">
        <v>51</v>
      </c>
      <c r="D5351" t="str">
        <f>T_Stocks[[#This Row],[Ticker]] &amp; "-" &amp; DATE(YEAR(T_Stocks[[#This Row],[Fecha]]),MONTH(T_Stocks[[#This Row],[Fecha]]),DAY(T_Stocks[[#This Row],[Fecha]]))</f>
        <v>PRHSX-43795</v>
      </c>
    </row>
    <row r="5352" spans="1:4" ht="14.65" thickBot="1" x14ac:dyDescent="0.5">
      <c r="A5352" s="17">
        <v>43796.666666666664</v>
      </c>
      <c r="B5352" s="19">
        <v>84.23</v>
      </c>
      <c r="C5352" t="s">
        <v>51</v>
      </c>
      <c r="D5352" t="str">
        <f>T_Stocks[[#This Row],[Ticker]] &amp; "-" &amp; DATE(YEAR(T_Stocks[[#This Row],[Fecha]]),MONTH(T_Stocks[[#This Row],[Fecha]]),DAY(T_Stocks[[#This Row],[Fecha]]))</f>
        <v>PRHSX-43796</v>
      </c>
    </row>
    <row r="5353" spans="1:4" ht="14.65" thickBot="1" x14ac:dyDescent="0.5">
      <c r="A5353" s="17">
        <v>43798.541666666664</v>
      </c>
      <c r="B5353" s="19">
        <v>84.11</v>
      </c>
      <c r="C5353" t="s">
        <v>51</v>
      </c>
      <c r="D5353" t="str">
        <f>T_Stocks[[#This Row],[Ticker]] &amp; "-" &amp; DATE(YEAR(T_Stocks[[#This Row],[Fecha]]),MONTH(T_Stocks[[#This Row],[Fecha]]),DAY(T_Stocks[[#This Row],[Fecha]]))</f>
        <v>PRHSX-43798</v>
      </c>
    </row>
    <row r="5354" spans="1:4" ht="14.65" thickBot="1" x14ac:dyDescent="0.5">
      <c r="A5354" s="17">
        <v>43801.666666666664</v>
      </c>
      <c r="B5354" s="19">
        <v>83.81</v>
      </c>
      <c r="C5354" t="s">
        <v>51</v>
      </c>
      <c r="D5354" t="str">
        <f>T_Stocks[[#This Row],[Ticker]] &amp; "-" &amp; DATE(YEAR(T_Stocks[[#This Row],[Fecha]]),MONTH(T_Stocks[[#This Row],[Fecha]]),DAY(T_Stocks[[#This Row],[Fecha]]))</f>
        <v>PRHSX-43801</v>
      </c>
    </row>
    <row r="5355" spans="1:4" ht="14.65" thickBot="1" x14ac:dyDescent="0.5">
      <c r="A5355" s="17">
        <v>43802.666666666664</v>
      </c>
      <c r="B5355" s="19">
        <v>83.84</v>
      </c>
      <c r="C5355" t="s">
        <v>51</v>
      </c>
      <c r="D5355" t="str">
        <f>T_Stocks[[#This Row],[Ticker]] &amp; "-" &amp; DATE(YEAR(T_Stocks[[#This Row],[Fecha]]),MONTH(T_Stocks[[#This Row],[Fecha]]),DAY(T_Stocks[[#This Row],[Fecha]]))</f>
        <v>PRHSX-43802</v>
      </c>
    </row>
    <row r="5356" spans="1:4" ht="14.65" thickBot="1" x14ac:dyDescent="0.5">
      <c r="A5356" s="17">
        <v>43803.666666666664</v>
      </c>
      <c r="B5356" s="19">
        <v>84.7</v>
      </c>
      <c r="C5356" t="s">
        <v>51</v>
      </c>
      <c r="D5356" t="str">
        <f>T_Stocks[[#This Row],[Ticker]] &amp; "-" &amp; DATE(YEAR(T_Stocks[[#This Row],[Fecha]]),MONTH(T_Stocks[[#This Row],[Fecha]]),DAY(T_Stocks[[#This Row],[Fecha]]))</f>
        <v>PRHSX-43803</v>
      </c>
    </row>
    <row r="5357" spans="1:4" ht="14.65" thickBot="1" x14ac:dyDescent="0.5">
      <c r="A5357" s="17">
        <v>43804.666666666664</v>
      </c>
      <c r="B5357" s="19">
        <v>83.72</v>
      </c>
      <c r="C5357" t="s">
        <v>51</v>
      </c>
      <c r="D5357" t="str">
        <f>T_Stocks[[#This Row],[Ticker]] &amp; "-" &amp; DATE(YEAR(T_Stocks[[#This Row],[Fecha]]),MONTH(T_Stocks[[#This Row],[Fecha]]),DAY(T_Stocks[[#This Row],[Fecha]]))</f>
        <v>PRHSX-43804</v>
      </c>
    </row>
    <row r="5358" spans="1:4" ht="14.65" thickBot="1" x14ac:dyDescent="0.5">
      <c r="A5358" s="17">
        <v>43805.666666666664</v>
      </c>
      <c r="B5358" s="19">
        <v>84.38</v>
      </c>
      <c r="C5358" t="s">
        <v>51</v>
      </c>
      <c r="D5358" t="str">
        <f>T_Stocks[[#This Row],[Ticker]] &amp; "-" &amp; DATE(YEAR(T_Stocks[[#This Row],[Fecha]]),MONTH(T_Stocks[[#This Row],[Fecha]]),DAY(T_Stocks[[#This Row],[Fecha]]))</f>
        <v>PRHSX-43805</v>
      </c>
    </row>
    <row r="5359" spans="1:4" ht="14.65" thickBot="1" x14ac:dyDescent="0.5">
      <c r="A5359" s="17">
        <v>43808.666666666664</v>
      </c>
      <c r="B5359" s="19">
        <v>83.4</v>
      </c>
      <c r="C5359" t="s">
        <v>51</v>
      </c>
      <c r="D5359" t="str">
        <f>T_Stocks[[#This Row],[Ticker]] &amp; "-" &amp; DATE(YEAR(T_Stocks[[#This Row],[Fecha]]),MONTH(T_Stocks[[#This Row],[Fecha]]),DAY(T_Stocks[[#This Row],[Fecha]]))</f>
        <v>PRHSX-43808</v>
      </c>
    </row>
    <row r="5360" spans="1:4" ht="14.65" thickBot="1" x14ac:dyDescent="0.5">
      <c r="A5360" s="17">
        <v>43809.666666666664</v>
      </c>
      <c r="B5360" s="19">
        <v>83.73</v>
      </c>
      <c r="C5360" t="s">
        <v>51</v>
      </c>
      <c r="D5360" t="str">
        <f>T_Stocks[[#This Row],[Ticker]] &amp; "-" &amp; DATE(YEAR(T_Stocks[[#This Row],[Fecha]]),MONTH(T_Stocks[[#This Row],[Fecha]]),DAY(T_Stocks[[#This Row],[Fecha]]))</f>
        <v>PRHSX-43809</v>
      </c>
    </row>
    <row r="5361" spans="1:4" ht="14.65" thickBot="1" x14ac:dyDescent="0.5">
      <c r="A5361" s="17">
        <v>43810.666666666664</v>
      </c>
      <c r="B5361" s="19">
        <v>83.58</v>
      </c>
      <c r="C5361" t="s">
        <v>51</v>
      </c>
      <c r="D5361" t="str">
        <f>T_Stocks[[#This Row],[Ticker]] &amp; "-" &amp; DATE(YEAR(T_Stocks[[#This Row],[Fecha]]),MONTH(T_Stocks[[#This Row],[Fecha]]),DAY(T_Stocks[[#This Row],[Fecha]]))</f>
        <v>PRHSX-43810</v>
      </c>
    </row>
    <row r="5362" spans="1:4" ht="14.65" thickBot="1" x14ac:dyDescent="0.5">
      <c r="A5362" s="17">
        <v>43811.666666666664</v>
      </c>
      <c r="B5362" s="19">
        <v>84.12</v>
      </c>
      <c r="C5362" t="s">
        <v>51</v>
      </c>
      <c r="D5362" t="str">
        <f>T_Stocks[[#This Row],[Ticker]] &amp; "-" &amp; DATE(YEAR(T_Stocks[[#This Row],[Fecha]]),MONTH(T_Stocks[[#This Row],[Fecha]]),DAY(T_Stocks[[#This Row],[Fecha]]))</f>
        <v>PRHSX-43811</v>
      </c>
    </row>
    <row r="5363" spans="1:4" ht="14.65" thickBot="1" x14ac:dyDescent="0.5">
      <c r="A5363" s="17">
        <v>43812.666666666664</v>
      </c>
      <c r="B5363" s="19">
        <v>84.38</v>
      </c>
      <c r="C5363" t="s">
        <v>51</v>
      </c>
      <c r="D5363" t="str">
        <f>T_Stocks[[#This Row],[Ticker]] &amp; "-" &amp; DATE(YEAR(T_Stocks[[#This Row],[Fecha]]),MONTH(T_Stocks[[#This Row],[Fecha]]),DAY(T_Stocks[[#This Row],[Fecha]]))</f>
        <v>PRHSX-43812</v>
      </c>
    </row>
    <row r="5364" spans="1:4" ht="14.65" thickBot="1" x14ac:dyDescent="0.5">
      <c r="A5364" s="17">
        <v>43815.666666666664</v>
      </c>
      <c r="B5364" s="19">
        <v>80.56</v>
      </c>
      <c r="C5364" t="s">
        <v>51</v>
      </c>
      <c r="D5364" t="str">
        <f>T_Stocks[[#This Row],[Ticker]] &amp; "-" &amp; DATE(YEAR(T_Stocks[[#This Row],[Fecha]]),MONTH(T_Stocks[[#This Row],[Fecha]]),DAY(T_Stocks[[#This Row],[Fecha]]))</f>
        <v>PRHSX-43815</v>
      </c>
    </row>
    <row r="5365" spans="1:4" ht="14.65" thickBot="1" x14ac:dyDescent="0.5">
      <c r="A5365" s="17">
        <v>43816.666666666664</v>
      </c>
      <c r="B5365" s="19">
        <v>80.489999999999995</v>
      </c>
      <c r="C5365" t="s">
        <v>51</v>
      </c>
      <c r="D5365" t="str">
        <f>T_Stocks[[#This Row],[Ticker]] &amp; "-" &amp; DATE(YEAR(T_Stocks[[#This Row],[Fecha]]),MONTH(T_Stocks[[#This Row],[Fecha]]),DAY(T_Stocks[[#This Row],[Fecha]]))</f>
        <v>PRHSX-43816</v>
      </c>
    </row>
    <row r="5366" spans="1:4" ht="14.65" thickBot="1" x14ac:dyDescent="0.5">
      <c r="A5366" s="17">
        <v>43817.666666666664</v>
      </c>
      <c r="B5366" s="19">
        <v>80.430000000000007</v>
      </c>
      <c r="C5366" t="s">
        <v>51</v>
      </c>
      <c r="D5366" t="str">
        <f>T_Stocks[[#This Row],[Ticker]] &amp; "-" &amp; DATE(YEAR(T_Stocks[[#This Row],[Fecha]]),MONTH(T_Stocks[[#This Row],[Fecha]]),DAY(T_Stocks[[#This Row],[Fecha]]))</f>
        <v>PRHSX-43817</v>
      </c>
    </row>
    <row r="5367" spans="1:4" ht="14.65" thickBot="1" x14ac:dyDescent="0.5">
      <c r="A5367" s="17">
        <v>43818.666666666664</v>
      </c>
      <c r="B5367" s="19">
        <v>80.91</v>
      </c>
      <c r="C5367" t="s">
        <v>51</v>
      </c>
      <c r="D5367" t="str">
        <f>T_Stocks[[#This Row],[Ticker]] &amp; "-" &amp; DATE(YEAR(T_Stocks[[#This Row],[Fecha]]),MONTH(T_Stocks[[#This Row],[Fecha]]),DAY(T_Stocks[[#This Row],[Fecha]]))</f>
        <v>PRHSX-43818</v>
      </c>
    </row>
    <row r="5368" spans="1:4" ht="14.65" thickBot="1" x14ac:dyDescent="0.5">
      <c r="A5368" s="17">
        <v>43819.666666666664</v>
      </c>
      <c r="B5368" s="19">
        <v>81.53</v>
      </c>
      <c r="C5368" t="s">
        <v>51</v>
      </c>
      <c r="D5368" t="str">
        <f>T_Stocks[[#This Row],[Ticker]] &amp; "-" &amp; DATE(YEAR(T_Stocks[[#This Row],[Fecha]]),MONTH(T_Stocks[[#This Row],[Fecha]]),DAY(T_Stocks[[#This Row],[Fecha]]))</f>
        <v>PRHSX-43819</v>
      </c>
    </row>
    <row r="5369" spans="1:4" ht="14.65" thickBot="1" x14ac:dyDescent="0.5">
      <c r="A5369" s="17">
        <v>43822.666666666664</v>
      </c>
      <c r="B5369" s="19">
        <v>82.05</v>
      </c>
      <c r="C5369" t="s">
        <v>51</v>
      </c>
      <c r="D5369" t="str">
        <f>T_Stocks[[#This Row],[Ticker]] &amp; "-" &amp; DATE(YEAR(T_Stocks[[#This Row],[Fecha]]),MONTH(T_Stocks[[#This Row],[Fecha]]),DAY(T_Stocks[[#This Row],[Fecha]]))</f>
        <v>PRHSX-43822</v>
      </c>
    </row>
    <row r="5370" spans="1:4" ht="14.65" thickBot="1" x14ac:dyDescent="0.5">
      <c r="A5370" s="17">
        <v>43823.541666666664</v>
      </c>
      <c r="B5370" s="19">
        <v>82.3</v>
      </c>
      <c r="C5370" t="s">
        <v>51</v>
      </c>
      <c r="D5370" t="str">
        <f>T_Stocks[[#This Row],[Ticker]] &amp; "-" &amp; DATE(YEAR(T_Stocks[[#This Row],[Fecha]]),MONTH(T_Stocks[[#This Row],[Fecha]]),DAY(T_Stocks[[#This Row],[Fecha]]))</f>
        <v>PRHSX-43823</v>
      </c>
    </row>
    <row r="5371" spans="1:4" ht="14.65" thickBot="1" x14ac:dyDescent="0.5">
      <c r="A5371" s="17">
        <v>43825.666666666664</v>
      </c>
      <c r="B5371" s="19">
        <v>82.14</v>
      </c>
      <c r="C5371" t="s">
        <v>51</v>
      </c>
      <c r="D5371" t="str">
        <f>T_Stocks[[#This Row],[Ticker]] &amp; "-" &amp; DATE(YEAR(T_Stocks[[#This Row],[Fecha]]),MONTH(T_Stocks[[#This Row],[Fecha]]),DAY(T_Stocks[[#This Row],[Fecha]]))</f>
        <v>PRHSX-43825</v>
      </c>
    </row>
    <row r="5372" spans="1:4" ht="14.65" thickBot="1" x14ac:dyDescent="0.5">
      <c r="A5372" s="17">
        <v>43826.666666666664</v>
      </c>
      <c r="B5372" s="19">
        <v>81.87</v>
      </c>
      <c r="C5372" t="s">
        <v>51</v>
      </c>
      <c r="D5372" t="str">
        <f>T_Stocks[[#This Row],[Ticker]] &amp; "-" &amp; DATE(YEAR(T_Stocks[[#This Row],[Fecha]]),MONTH(T_Stocks[[#This Row],[Fecha]]),DAY(T_Stocks[[#This Row],[Fecha]]))</f>
        <v>PRHSX-43826</v>
      </c>
    </row>
    <row r="5373" spans="1:4" ht="14.65" thickBot="1" x14ac:dyDescent="0.5">
      <c r="A5373" s="17">
        <v>43829.666666666664</v>
      </c>
      <c r="B5373" s="19">
        <v>81.23</v>
      </c>
      <c r="C5373" t="s">
        <v>51</v>
      </c>
      <c r="D5373" t="str">
        <f>T_Stocks[[#This Row],[Ticker]] &amp; "-" &amp; DATE(YEAR(T_Stocks[[#This Row],[Fecha]]),MONTH(T_Stocks[[#This Row],[Fecha]]),DAY(T_Stocks[[#This Row],[Fecha]]))</f>
        <v>PRHSX-43829</v>
      </c>
    </row>
    <row r="5374" spans="1:4" ht="14.65" thickBot="1" x14ac:dyDescent="0.5">
      <c r="A5374" s="17">
        <v>43830.666666666664</v>
      </c>
      <c r="B5374" s="19">
        <v>81.430000000000007</v>
      </c>
      <c r="C5374" t="s">
        <v>51</v>
      </c>
      <c r="D5374" t="str">
        <f>T_Stocks[[#This Row],[Ticker]] &amp; "-" &amp; DATE(YEAR(T_Stocks[[#This Row],[Fecha]]),MONTH(T_Stocks[[#This Row],[Fecha]]),DAY(T_Stocks[[#This Row],[Fecha]]))</f>
        <v>PRHSX-43830</v>
      </c>
    </row>
    <row r="5375" spans="1:4" ht="14.65" thickBot="1" x14ac:dyDescent="0.5">
      <c r="A5375" s="17">
        <v>43832.666666666664</v>
      </c>
      <c r="B5375" s="19">
        <v>81.39</v>
      </c>
      <c r="C5375" t="s">
        <v>51</v>
      </c>
      <c r="D5375" t="str">
        <f>T_Stocks[[#This Row],[Ticker]] &amp; "-" &amp; DATE(YEAR(T_Stocks[[#This Row],[Fecha]]),MONTH(T_Stocks[[#This Row],[Fecha]]),DAY(T_Stocks[[#This Row],[Fecha]]))</f>
        <v>PRHSX-43832</v>
      </c>
    </row>
    <row r="5376" spans="1:4" ht="14.65" thickBot="1" x14ac:dyDescent="0.5">
      <c r="A5376" s="17">
        <v>43833.666666666664</v>
      </c>
      <c r="B5376" s="19">
        <v>80.61</v>
      </c>
      <c r="C5376" t="s">
        <v>51</v>
      </c>
      <c r="D5376" t="str">
        <f>T_Stocks[[#This Row],[Ticker]] &amp; "-" &amp; DATE(YEAR(T_Stocks[[#This Row],[Fecha]]),MONTH(T_Stocks[[#This Row],[Fecha]]),DAY(T_Stocks[[#This Row],[Fecha]]))</f>
        <v>PRHSX-43833</v>
      </c>
    </row>
    <row r="5377" spans="1:4" ht="14.65" thickBot="1" x14ac:dyDescent="0.5">
      <c r="A5377" s="17">
        <v>43836.666666666664</v>
      </c>
      <c r="B5377" s="19">
        <v>81.290000000000006</v>
      </c>
      <c r="C5377" t="s">
        <v>51</v>
      </c>
      <c r="D5377" t="str">
        <f>T_Stocks[[#This Row],[Ticker]] &amp; "-" &amp; DATE(YEAR(T_Stocks[[#This Row],[Fecha]]),MONTH(T_Stocks[[#This Row],[Fecha]]),DAY(T_Stocks[[#This Row],[Fecha]]))</f>
        <v>PRHSX-43836</v>
      </c>
    </row>
    <row r="5378" spans="1:4" ht="14.65" thickBot="1" x14ac:dyDescent="0.5">
      <c r="A5378" s="17">
        <v>43837.666666666664</v>
      </c>
      <c r="B5378" s="19">
        <v>81.16</v>
      </c>
      <c r="C5378" t="s">
        <v>51</v>
      </c>
      <c r="D5378" t="str">
        <f>T_Stocks[[#This Row],[Ticker]] &amp; "-" &amp; DATE(YEAR(T_Stocks[[#This Row],[Fecha]]),MONTH(T_Stocks[[#This Row],[Fecha]]),DAY(T_Stocks[[#This Row],[Fecha]]))</f>
        <v>PRHSX-43837</v>
      </c>
    </row>
    <row r="5379" spans="1:4" ht="14.65" thickBot="1" x14ac:dyDescent="0.5">
      <c r="A5379" s="17">
        <v>43838.666666666664</v>
      </c>
      <c r="B5379" s="19">
        <v>81.84</v>
      </c>
      <c r="C5379" t="s">
        <v>51</v>
      </c>
      <c r="D5379" t="str">
        <f>T_Stocks[[#This Row],[Ticker]] &amp; "-" &amp; DATE(YEAR(T_Stocks[[#This Row],[Fecha]]),MONTH(T_Stocks[[#This Row],[Fecha]]),DAY(T_Stocks[[#This Row],[Fecha]]))</f>
        <v>PRHSX-43838</v>
      </c>
    </row>
    <row r="5380" spans="1:4" ht="14.65" thickBot="1" x14ac:dyDescent="0.5">
      <c r="A5380" s="17">
        <v>43839.666666666664</v>
      </c>
      <c r="B5380" s="19">
        <v>82.23</v>
      </c>
      <c r="C5380" t="s">
        <v>51</v>
      </c>
      <c r="D5380" t="str">
        <f>T_Stocks[[#This Row],[Ticker]] &amp; "-" &amp; DATE(YEAR(T_Stocks[[#This Row],[Fecha]]),MONTH(T_Stocks[[#This Row],[Fecha]]),DAY(T_Stocks[[#This Row],[Fecha]]))</f>
        <v>PRHSX-43839</v>
      </c>
    </row>
    <row r="5381" spans="1:4" ht="14.65" thickBot="1" x14ac:dyDescent="0.5">
      <c r="A5381" s="17">
        <v>43840.666666666664</v>
      </c>
      <c r="B5381" s="19">
        <v>82.26</v>
      </c>
      <c r="C5381" t="s">
        <v>51</v>
      </c>
      <c r="D5381" t="str">
        <f>T_Stocks[[#This Row],[Ticker]] &amp; "-" &amp; DATE(YEAR(T_Stocks[[#This Row],[Fecha]]),MONTH(T_Stocks[[#This Row],[Fecha]]),DAY(T_Stocks[[#This Row],[Fecha]]))</f>
        <v>PRHSX-43840</v>
      </c>
    </row>
    <row r="5382" spans="1:4" ht="14.65" thickBot="1" x14ac:dyDescent="0.5">
      <c r="A5382" s="17">
        <v>43843.666666666664</v>
      </c>
      <c r="B5382" s="19">
        <v>81.41</v>
      </c>
      <c r="C5382" t="s">
        <v>51</v>
      </c>
      <c r="D5382" t="str">
        <f>T_Stocks[[#This Row],[Ticker]] &amp; "-" &amp; DATE(YEAR(T_Stocks[[#This Row],[Fecha]]),MONTH(T_Stocks[[#This Row],[Fecha]]),DAY(T_Stocks[[#This Row],[Fecha]]))</f>
        <v>PRHSX-43843</v>
      </c>
    </row>
    <row r="5383" spans="1:4" ht="14.65" thickBot="1" x14ac:dyDescent="0.5">
      <c r="A5383" s="17">
        <v>43844.666666666664</v>
      </c>
      <c r="B5383" s="19">
        <v>82.18</v>
      </c>
      <c r="C5383" t="s">
        <v>51</v>
      </c>
      <c r="D5383" t="str">
        <f>T_Stocks[[#This Row],[Ticker]] &amp; "-" &amp; DATE(YEAR(T_Stocks[[#This Row],[Fecha]]),MONTH(T_Stocks[[#This Row],[Fecha]]),DAY(T_Stocks[[#This Row],[Fecha]]))</f>
        <v>PRHSX-43844</v>
      </c>
    </row>
    <row r="5384" spans="1:4" ht="14.65" thickBot="1" x14ac:dyDescent="0.5">
      <c r="A5384" s="17">
        <v>43845.666666666664</v>
      </c>
      <c r="B5384" s="19">
        <v>82.74</v>
      </c>
      <c r="C5384" t="s">
        <v>51</v>
      </c>
      <c r="D5384" t="str">
        <f>T_Stocks[[#This Row],[Ticker]] &amp; "-" &amp; DATE(YEAR(T_Stocks[[#This Row],[Fecha]]),MONTH(T_Stocks[[#This Row],[Fecha]]),DAY(T_Stocks[[#This Row],[Fecha]]))</f>
        <v>PRHSX-43845</v>
      </c>
    </row>
    <row r="5385" spans="1:4" ht="14.65" thickBot="1" x14ac:dyDescent="0.5">
      <c r="A5385" s="17">
        <v>43846.666666666664</v>
      </c>
      <c r="B5385" s="19">
        <v>83.34</v>
      </c>
      <c r="C5385" t="s">
        <v>51</v>
      </c>
      <c r="D5385" t="str">
        <f>T_Stocks[[#This Row],[Ticker]] &amp; "-" &amp; DATE(YEAR(T_Stocks[[#This Row],[Fecha]]),MONTH(T_Stocks[[#This Row],[Fecha]]),DAY(T_Stocks[[#This Row],[Fecha]]))</f>
        <v>PRHSX-43846</v>
      </c>
    </row>
    <row r="5386" spans="1:4" ht="14.65" thickBot="1" x14ac:dyDescent="0.5">
      <c r="A5386" s="17">
        <v>43847.666666666664</v>
      </c>
      <c r="B5386" s="19">
        <v>83.31</v>
      </c>
      <c r="C5386" t="s">
        <v>51</v>
      </c>
      <c r="D5386" t="str">
        <f>T_Stocks[[#This Row],[Ticker]] &amp; "-" &amp; DATE(YEAR(T_Stocks[[#This Row],[Fecha]]),MONTH(T_Stocks[[#This Row],[Fecha]]),DAY(T_Stocks[[#This Row],[Fecha]]))</f>
        <v>PRHSX-43847</v>
      </c>
    </row>
    <row r="5387" spans="1:4" ht="14.65" thickBot="1" x14ac:dyDescent="0.5">
      <c r="A5387" s="17">
        <v>43851.666666666664</v>
      </c>
      <c r="B5387" s="19">
        <v>83.09</v>
      </c>
      <c r="C5387" t="s">
        <v>51</v>
      </c>
      <c r="D5387" t="str">
        <f>T_Stocks[[#This Row],[Ticker]] &amp; "-" &amp; DATE(YEAR(T_Stocks[[#This Row],[Fecha]]),MONTH(T_Stocks[[#This Row],[Fecha]]),DAY(T_Stocks[[#This Row],[Fecha]]))</f>
        <v>PRHSX-43851</v>
      </c>
    </row>
    <row r="5388" spans="1:4" ht="14.65" thickBot="1" x14ac:dyDescent="0.5">
      <c r="A5388" s="17">
        <v>43852.666666666664</v>
      </c>
      <c r="B5388" s="19">
        <v>83.17</v>
      </c>
      <c r="C5388" t="s">
        <v>51</v>
      </c>
      <c r="D5388" t="str">
        <f>T_Stocks[[#This Row],[Ticker]] &amp; "-" &amp; DATE(YEAR(T_Stocks[[#This Row],[Fecha]]),MONTH(T_Stocks[[#This Row],[Fecha]]),DAY(T_Stocks[[#This Row],[Fecha]]))</f>
        <v>PRHSX-43852</v>
      </c>
    </row>
    <row r="5389" spans="1:4" ht="14.65" thickBot="1" x14ac:dyDescent="0.5">
      <c r="A5389" s="17">
        <v>43853.666666666664</v>
      </c>
      <c r="B5389" s="19">
        <v>82.75</v>
      </c>
      <c r="C5389" t="s">
        <v>51</v>
      </c>
      <c r="D5389" t="str">
        <f>T_Stocks[[#This Row],[Ticker]] &amp; "-" &amp; DATE(YEAR(T_Stocks[[#This Row],[Fecha]]),MONTH(T_Stocks[[#This Row],[Fecha]]),DAY(T_Stocks[[#This Row],[Fecha]]))</f>
        <v>PRHSX-43853</v>
      </c>
    </row>
    <row r="5390" spans="1:4" ht="14.65" thickBot="1" x14ac:dyDescent="0.5">
      <c r="A5390" s="17">
        <v>43854.666666666664</v>
      </c>
      <c r="B5390" s="19">
        <v>81.2</v>
      </c>
      <c r="C5390" t="s">
        <v>51</v>
      </c>
      <c r="D5390" t="str">
        <f>T_Stocks[[#This Row],[Ticker]] &amp; "-" &amp; DATE(YEAR(T_Stocks[[#This Row],[Fecha]]),MONTH(T_Stocks[[#This Row],[Fecha]]),DAY(T_Stocks[[#This Row],[Fecha]]))</f>
        <v>PRHSX-43854</v>
      </c>
    </row>
    <row r="5391" spans="1:4" ht="14.65" thickBot="1" x14ac:dyDescent="0.5">
      <c r="A5391" s="17">
        <v>43857.666666666664</v>
      </c>
      <c r="B5391" s="19">
        <v>80.290000000000006</v>
      </c>
      <c r="C5391" t="s">
        <v>51</v>
      </c>
      <c r="D5391" t="str">
        <f>T_Stocks[[#This Row],[Ticker]] &amp; "-" &amp; DATE(YEAR(T_Stocks[[#This Row],[Fecha]]),MONTH(T_Stocks[[#This Row],[Fecha]]),DAY(T_Stocks[[#This Row],[Fecha]]))</f>
        <v>PRHSX-43857</v>
      </c>
    </row>
    <row r="5392" spans="1:4" ht="14.65" thickBot="1" x14ac:dyDescent="0.5">
      <c r="A5392" s="17">
        <v>43858.666666666664</v>
      </c>
      <c r="B5392" s="19">
        <v>81.31</v>
      </c>
      <c r="C5392" t="s">
        <v>51</v>
      </c>
      <c r="D5392" t="str">
        <f>T_Stocks[[#This Row],[Ticker]] &amp; "-" &amp; DATE(YEAR(T_Stocks[[#This Row],[Fecha]]),MONTH(T_Stocks[[#This Row],[Fecha]]),DAY(T_Stocks[[#This Row],[Fecha]]))</f>
        <v>PRHSX-43858</v>
      </c>
    </row>
    <row r="5393" spans="1:4" ht="14.65" thickBot="1" x14ac:dyDescent="0.5">
      <c r="A5393" s="17">
        <v>43859.666666666664</v>
      </c>
      <c r="B5393" s="19">
        <v>81.239999999999995</v>
      </c>
      <c r="C5393" t="s">
        <v>51</v>
      </c>
      <c r="D5393" t="str">
        <f>T_Stocks[[#This Row],[Ticker]] &amp; "-" &amp; DATE(YEAR(T_Stocks[[#This Row],[Fecha]]),MONTH(T_Stocks[[#This Row],[Fecha]]),DAY(T_Stocks[[#This Row],[Fecha]]))</f>
        <v>PRHSX-43859</v>
      </c>
    </row>
    <row r="5394" spans="1:4" ht="14.65" thickBot="1" x14ac:dyDescent="0.5">
      <c r="A5394" s="17">
        <v>43860.666666666664</v>
      </c>
      <c r="B5394" s="19">
        <v>80.5</v>
      </c>
      <c r="C5394" t="s">
        <v>51</v>
      </c>
      <c r="D5394" t="str">
        <f>T_Stocks[[#This Row],[Ticker]] &amp; "-" &amp; DATE(YEAR(T_Stocks[[#This Row],[Fecha]]),MONTH(T_Stocks[[#This Row],[Fecha]]),DAY(T_Stocks[[#This Row],[Fecha]]))</f>
        <v>PRHSX-43860</v>
      </c>
    </row>
    <row r="5395" spans="1:4" ht="14.65" thickBot="1" x14ac:dyDescent="0.5">
      <c r="A5395" s="17">
        <v>43861.666666666664</v>
      </c>
      <c r="B5395" s="19">
        <v>79.239999999999995</v>
      </c>
      <c r="C5395" t="s">
        <v>51</v>
      </c>
      <c r="D5395" t="str">
        <f>T_Stocks[[#This Row],[Ticker]] &amp; "-" &amp; DATE(YEAR(T_Stocks[[#This Row],[Fecha]]),MONTH(T_Stocks[[#This Row],[Fecha]]),DAY(T_Stocks[[#This Row],[Fecha]]))</f>
        <v>PRHSX-43861</v>
      </c>
    </row>
    <row r="5396" spans="1:4" ht="14.65" thickBot="1" x14ac:dyDescent="0.5">
      <c r="A5396" s="17">
        <v>43864.666666666664</v>
      </c>
      <c r="B5396" s="19">
        <v>80.209999999999994</v>
      </c>
      <c r="C5396" t="s">
        <v>51</v>
      </c>
      <c r="D5396" t="str">
        <f>T_Stocks[[#This Row],[Ticker]] &amp; "-" &amp; DATE(YEAR(T_Stocks[[#This Row],[Fecha]]),MONTH(T_Stocks[[#This Row],[Fecha]]),DAY(T_Stocks[[#This Row],[Fecha]]))</f>
        <v>PRHSX-43864</v>
      </c>
    </row>
    <row r="5397" spans="1:4" ht="14.65" thickBot="1" x14ac:dyDescent="0.5">
      <c r="A5397" s="17">
        <v>43865.666666666664</v>
      </c>
      <c r="B5397" s="19">
        <v>81.86</v>
      </c>
      <c r="C5397" t="s">
        <v>51</v>
      </c>
      <c r="D5397" t="str">
        <f>T_Stocks[[#This Row],[Ticker]] &amp; "-" &amp; DATE(YEAR(T_Stocks[[#This Row],[Fecha]]),MONTH(T_Stocks[[#This Row],[Fecha]]),DAY(T_Stocks[[#This Row],[Fecha]]))</f>
        <v>PRHSX-43865</v>
      </c>
    </row>
    <row r="5398" spans="1:4" ht="14.65" thickBot="1" x14ac:dyDescent="0.5">
      <c r="A5398" s="17">
        <v>43866.666666666664</v>
      </c>
      <c r="B5398" s="19">
        <v>83.37</v>
      </c>
      <c r="C5398" t="s">
        <v>51</v>
      </c>
      <c r="D5398" t="str">
        <f>T_Stocks[[#This Row],[Ticker]] &amp; "-" &amp; DATE(YEAR(T_Stocks[[#This Row],[Fecha]]),MONTH(T_Stocks[[#This Row],[Fecha]]),DAY(T_Stocks[[#This Row],[Fecha]]))</f>
        <v>PRHSX-43866</v>
      </c>
    </row>
    <row r="5399" spans="1:4" ht="14.65" thickBot="1" x14ac:dyDescent="0.5">
      <c r="A5399" s="17">
        <v>43867.666666666664</v>
      </c>
      <c r="B5399" s="19">
        <v>83.21</v>
      </c>
      <c r="C5399" t="s">
        <v>51</v>
      </c>
      <c r="D5399" t="str">
        <f>T_Stocks[[#This Row],[Ticker]] &amp; "-" &amp; DATE(YEAR(T_Stocks[[#This Row],[Fecha]]),MONTH(T_Stocks[[#This Row],[Fecha]]),DAY(T_Stocks[[#This Row],[Fecha]]))</f>
        <v>PRHSX-43867</v>
      </c>
    </row>
    <row r="5400" spans="1:4" ht="14.65" thickBot="1" x14ac:dyDescent="0.5">
      <c r="A5400" s="17">
        <v>43868.666666666664</v>
      </c>
      <c r="B5400" s="19">
        <v>82.48</v>
      </c>
      <c r="C5400" t="s">
        <v>51</v>
      </c>
      <c r="D5400" t="str">
        <f>T_Stocks[[#This Row],[Ticker]] &amp; "-" &amp; DATE(YEAR(T_Stocks[[#This Row],[Fecha]]),MONTH(T_Stocks[[#This Row],[Fecha]]),DAY(T_Stocks[[#This Row],[Fecha]]))</f>
        <v>PRHSX-43868</v>
      </c>
    </row>
    <row r="5401" spans="1:4" ht="14.65" thickBot="1" x14ac:dyDescent="0.5">
      <c r="A5401" s="17">
        <v>43871.666666666664</v>
      </c>
      <c r="B5401" s="19">
        <v>83.32</v>
      </c>
      <c r="C5401" t="s">
        <v>51</v>
      </c>
      <c r="D5401" t="str">
        <f>T_Stocks[[#This Row],[Ticker]] &amp; "-" &amp; DATE(YEAR(T_Stocks[[#This Row],[Fecha]]),MONTH(T_Stocks[[#This Row],[Fecha]]),DAY(T_Stocks[[#This Row],[Fecha]]))</f>
        <v>PRHSX-43871</v>
      </c>
    </row>
    <row r="5402" spans="1:4" ht="14.65" thickBot="1" x14ac:dyDescent="0.5">
      <c r="A5402" s="17">
        <v>43872.666666666664</v>
      </c>
      <c r="B5402" s="19">
        <v>83.81</v>
      </c>
      <c r="C5402" t="s">
        <v>51</v>
      </c>
      <c r="D5402" t="str">
        <f>T_Stocks[[#This Row],[Ticker]] &amp; "-" &amp; DATE(YEAR(T_Stocks[[#This Row],[Fecha]]),MONTH(T_Stocks[[#This Row],[Fecha]]),DAY(T_Stocks[[#This Row],[Fecha]]))</f>
        <v>PRHSX-43872</v>
      </c>
    </row>
    <row r="5403" spans="1:4" ht="14.65" thickBot="1" x14ac:dyDescent="0.5">
      <c r="A5403" s="17">
        <v>43873.666666666664</v>
      </c>
      <c r="B5403" s="19">
        <v>84.33</v>
      </c>
      <c r="C5403" t="s">
        <v>51</v>
      </c>
      <c r="D5403" t="str">
        <f>T_Stocks[[#This Row],[Ticker]] &amp; "-" &amp; DATE(YEAR(T_Stocks[[#This Row],[Fecha]]),MONTH(T_Stocks[[#This Row],[Fecha]]),DAY(T_Stocks[[#This Row],[Fecha]]))</f>
        <v>PRHSX-43873</v>
      </c>
    </row>
    <row r="5404" spans="1:4" ht="14.65" thickBot="1" x14ac:dyDescent="0.5">
      <c r="A5404" s="17">
        <v>43874.666666666664</v>
      </c>
      <c r="B5404" s="19">
        <v>84.13</v>
      </c>
      <c r="C5404" t="s">
        <v>51</v>
      </c>
      <c r="D5404" t="str">
        <f>T_Stocks[[#This Row],[Ticker]] &amp; "-" &amp; DATE(YEAR(T_Stocks[[#This Row],[Fecha]]),MONTH(T_Stocks[[#This Row],[Fecha]]),DAY(T_Stocks[[#This Row],[Fecha]]))</f>
        <v>PRHSX-43874</v>
      </c>
    </row>
    <row r="5405" spans="1:4" ht="14.65" thickBot="1" x14ac:dyDescent="0.5">
      <c r="A5405" s="17">
        <v>43875.666666666664</v>
      </c>
      <c r="B5405" s="19">
        <v>84.27</v>
      </c>
      <c r="C5405" t="s">
        <v>51</v>
      </c>
      <c r="D5405" t="str">
        <f>T_Stocks[[#This Row],[Ticker]] &amp; "-" &amp; DATE(YEAR(T_Stocks[[#This Row],[Fecha]]),MONTH(T_Stocks[[#This Row],[Fecha]]),DAY(T_Stocks[[#This Row],[Fecha]]))</f>
        <v>PRHSX-43875</v>
      </c>
    </row>
    <row r="5406" spans="1:4" ht="14.65" thickBot="1" x14ac:dyDescent="0.5">
      <c r="A5406" s="17">
        <v>43879.666666666664</v>
      </c>
      <c r="B5406" s="19">
        <v>84.43</v>
      </c>
      <c r="C5406" t="s">
        <v>51</v>
      </c>
      <c r="D5406" t="str">
        <f>T_Stocks[[#This Row],[Ticker]] &amp; "-" &amp; DATE(YEAR(T_Stocks[[#This Row],[Fecha]]),MONTH(T_Stocks[[#This Row],[Fecha]]),DAY(T_Stocks[[#This Row],[Fecha]]))</f>
        <v>PRHSX-43879</v>
      </c>
    </row>
    <row r="5407" spans="1:4" ht="14.65" thickBot="1" x14ac:dyDescent="0.5">
      <c r="A5407" s="17">
        <v>43880.666666666664</v>
      </c>
      <c r="B5407" s="19">
        <v>85.01</v>
      </c>
      <c r="C5407" t="s">
        <v>51</v>
      </c>
      <c r="D5407" t="str">
        <f>T_Stocks[[#This Row],[Ticker]] &amp; "-" &amp; DATE(YEAR(T_Stocks[[#This Row],[Fecha]]),MONTH(T_Stocks[[#This Row],[Fecha]]),DAY(T_Stocks[[#This Row],[Fecha]]))</f>
        <v>PRHSX-43880</v>
      </c>
    </row>
    <row r="5408" spans="1:4" ht="14.65" thickBot="1" x14ac:dyDescent="0.5">
      <c r="A5408" s="17">
        <v>43881.666666666664</v>
      </c>
      <c r="B5408" s="19">
        <v>84.5</v>
      </c>
      <c r="C5408" t="s">
        <v>51</v>
      </c>
      <c r="D5408" t="str">
        <f>T_Stocks[[#This Row],[Ticker]] &amp; "-" &amp; DATE(YEAR(T_Stocks[[#This Row],[Fecha]]),MONTH(T_Stocks[[#This Row],[Fecha]]),DAY(T_Stocks[[#This Row],[Fecha]]))</f>
        <v>PRHSX-43881</v>
      </c>
    </row>
    <row r="5409" spans="1:4" ht="14.65" thickBot="1" x14ac:dyDescent="0.5">
      <c r="A5409" s="17">
        <v>43882.666666666664</v>
      </c>
      <c r="B5409" s="19">
        <v>84.3</v>
      </c>
      <c r="C5409" t="s">
        <v>51</v>
      </c>
      <c r="D5409" t="str">
        <f>T_Stocks[[#This Row],[Ticker]] &amp; "-" &amp; DATE(YEAR(T_Stocks[[#This Row],[Fecha]]),MONTH(T_Stocks[[#This Row],[Fecha]]),DAY(T_Stocks[[#This Row],[Fecha]]))</f>
        <v>PRHSX-43882</v>
      </c>
    </row>
    <row r="5410" spans="1:4" ht="14.65" thickBot="1" x14ac:dyDescent="0.5">
      <c r="A5410" s="17">
        <v>43885.666666666664</v>
      </c>
      <c r="B5410" s="19">
        <v>80.930000000000007</v>
      </c>
      <c r="C5410" t="s">
        <v>51</v>
      </c>
      <c r="D5410" t="str">
        <f>T_Stocks[[#This Row],[Ticker]] &amp; "-" &amp; DATE(YEAR(T_Stocks[[#This Row],[Fecha]]),MONTH(T_Stocks[[#This Row],[Fecha]]),DAY(T_Stocks[[#This Row],[Fecha]]))</f>
        <v>PRHSX-43885</v>
      </c>
    </row>
    <row r="5411" spans="1:4" ht="14.65" thickBot="1" x14ac:dyDescent="0.5">
      <c r="A5411" s="17">
        <v>43886.666666666664</v>
      </c>
      <c r="B5411" s="19">
        <v>78.42</v>
      </c>
      <c r="C5411" t="s">
        <v>51</v>
      </c>
      <c r="D5411" t="str">
        <f>T_Stocks[[#This Row],[Ticker]] &amp; "-" &amp; DATE(YEAR(T_Stocks[[#This Row],[Fecha]]),MONTH(T_Stocks[[#This Row],[Fecha]]),DAY(T_Stocks[[#This Row],[Fecha]]))</f>
        <v>PRHSX-43886</v>
      </c>
    </row>
    <row r="5412" spans="1:4" ht="14.65" thickBot="1" x14ac:dyDescent="0.5">
      <c r="A5412" s="17">
        <v>43887.666666666664</v>
      </c>
      <c r="B5412" s="19">
        <v>78.239999999999995</v>
      </c>
      <c r="C5412" t="s">
        <v>51</v>
      </c>
      <c r="D5412" t="str">
        <f>T_Stocks[[#This Row],[Ticker]] &amp; "-" &amp; DATE(YEAR(T_Stocks[[#This Row],[Fecha]]),MONTH(T_Stocks[[#This Row],[Fecha]]),DAY(T_Stocks[[#This Row],[Fecha]]))</f>
        <v>PRHSX-43887</v>
      </c>
    </row>
    <row r="5413" spans="1:4" ht="14.65" thickBot="1" x14ac:dyDescent="0.5">
      <c r="A5413" s="17">
        <v>43888.666666666664</v>
      </c>
      <c r="B5413" s="19">
        <v>75.8</v>
      </c>
      <c r="C5413" t="s">
        <v>51</v>
      </c>
      <c r="D5413" t="str">
        <f>T_Stocks[[#This Row],[Ticker]] &amp; "-" &amp; DATE(YEAR(T_Stocks[[#This Row],[Fecha]]),MONTH(T_Stocks[[#This Row],[Fecha]]),DAY(T_Stocks[[#This Row],[Fecha]]))</f>
        <v>PRHSX-43888</v>
      </c>
    </row>
    <row r="5414" spans="1:4" ht="14.65" thickBot="1" x14ac:dyDescent="0.5">
      <c r="A5414" s="17">
        <v>43889.666666666664</v>
      </c>
      <c r="B5414" s="19">
        <v>75.790000000000006</v>
      </c>
      <c r="C5414" t="s">
        <v>51</v>
      </c>
      <c r="D5414" t="str">
        <f>T_Stocks[[#This Row],[Ticker]] &amp; "-" &amp; DATE(YEAR(T_Stocks[[#This Row],[Fecha]]),MONTH(T_Stocks[[#This Row],[Fecha]]),DAY(T_Stocks[[#This Row],[Fecha]]))</f>
        <v>PRHSX-43889</v>
      </c>
    </row>
    <row r="5415" spans="1:4" ht="14.65" thickBot="1" x14ac:dyDescent="0.5">
      <c r="A5415" s="17">
        <v>43892.666666666664</v>
      </c>
      <c r="B5415" s="19">
        <v>78.75</v>
      </c>
      <c r="C5415" t="s">
        <v>51</v>
      </c>
      <c r="D5415" t="str">
        <f>T_Stocks[[#This Row],[Ticker]] &amp; "-" &amp; DATE(YEAR(T_Stocks[[#This Row],[Fecha]]),MONTH(T_Stocks[[#This Row],[Fecha]]),DAY(T_Stocks[[#This Row],[Fecha]]))</f>
        <v>PRHSX-43892</v>
      </c>
    </row>
    <row r="5416" spans="1:4" ht="14.65" thickBot="1" x14ac:dyDescent="0.5">
      <c r="A5416" s="17">
        <v>43893.666666666664</v>
      </c>
      <c r="B5416" s="19">
        <v>76.989999999999995</v>
      </c>
      <c r="C5416" t="s">
        <v>51</v>
      </c>
      <c r="D5416" t="str">
        <f>T_Stocks[[#This Row],[Ticker]] &amp; "-" &amp; DATE(YEAR(T_Stocks[[#This Row],[Fecha]]),MONTH(T_Stocks[[#This Row],[Fecha]]),DAY(T_Stocks[[#This Row],[Fecha]]))</f>
        <v>PRHSX-43893</v>
      </c>
    </row>
    <row r="5417" spans="1:4" ht="14.65" thickBot="1" x14ac:dyDescent="0.5">
      <c r="A5417" s="17">
        <v>43894.666666666664</v>
      </c>
      <c r="B5417" s="19">
        <v>81.22</v>
      </c>
      <c r="C5417" t="s">
        <v>51</v>
      </c>
      <c r="D5417" t="str">
        <f>T_Stocks[[#This Row],[Ticker]] &amp; "-" &amp; DATE(YEAR(T_Stocks[[#This Row],[Fecha]]),MONTH(T_Stocks[[#This Row],[Fecha]]),DAY(T_Stocks[[#This Row],[Fecha]]))</f>
        <v>PRHSX-43894</v>
      </c>
    </row>
    <row r="5418" spans="1:4" ht="14.65" thickBot="1" x14ac:dyDescent="0.5">
      <c r="A5418" s="17">
        <v>43895.666666666664</v>
      </c>
      <c r="B5418" s="19">
        <v>79.319999999999993</v>
      </c>
      <c r="C5418" t="s">
        <v>51</v>
      </c>
      <c r="D5418" t="str">
        <f>T_Stocks[[#This Row],[Ticker]] &amp; "-" &amp; DATE(YEAR(T_Stocks[[#This Row],[Fecha]]),MONTH(T_Stocks[[#This Row],[Fecha]]),DAY(T_Stocks[[#This Row],[Fecha]]))</f>
        <v>PRHSX-43895</v>
      </c>
    </row>
    <row r="5419" spans="1:4" ht="14.65" thickBot="1" x14ac:dyDescent="0.5">
      <c r="A5419" s="17">
        <v>43896.666666666664</v>
      </c>
      <c r="B5419" s="19">
        <v>78.06</v>
      </c>
      <c r="C5419" t="s">
        <v>51</v>
      </c>
      <c r="D5419" t="str">
        <f>T_Stocks[[#This Row],[Ticker]] &amp; "-" &amp; DATE(YEAR(T_Stocks[[#This Row],[Fecha]]),MONTH(T_Stocks[[#This Row],[Fecha]]),DAY(T_Stocks[[#This Row],[Fecha]]))</f>
        <v>PRHSX-43896</v>
      </c>
    </row>
    <row r="5420" spans="1:4" ht="14.65" thickBot="1" x14ac:dyDescent="0.5">
      <c r="A5420" s="17">
        <v>43899.666666666664</v>
      </c>
      <c r="B5420" s="19">
        <v>73.53</v>
      </c>
      <c r="C5420" t="s">
        <v>51</v>
      </c>
      <c r="D5420" t="str">
        <f>T_Stocks[[#This Row],[Ticker]] &amp; "-" &amp; DATE(YEAR(T_Stocks[[#This Row],[Fecha]]),MONTH(T_Stocks[[#This Row],[Fecha]]),DAY(T_Stocks[[#This Row],[Fecha]]))</f>
        <v>PRHSX-43899</v>
      </c>
    </row>
    <row r="5421" spans="1:4" ht="14.65" thickBot="1" x14ac:dyDescent="0.5">
      <c r="A5421" s="17">
        <v>43900.666666666664</v>
      </c>
      <c r="B5421" s="19">
        <v>76.02</v>
      </c>
      <c r="C5421" t="s">
        <v>51</v>
      </c>
      <c r="D5421" t="str">
        <f>T_Stocks[[#This Row],[Ticker]] &amp; "-" &amp; DATE(YEAR(T_Stocks[[#This Row],[Fecha]]),MONTH(T_Stocks[[#This Row],[Fecha]]),DAY(T_Stocks[[#This Row],[Fecha]]))</f>
        <v>PRHSX-43900</v>
      </c>
    </row>
    <row r="5422" spans="1:4" ht="14.65" thickBot="1" x14ac:dyDescent="0.5">
      <c r="A5422" s="17">
        <v>43901.666666666664</v>
      </c>
      <c r="B5422" s="19">
        <v>72.56</v>
      </c>
      <c r="C5422" t="s">
        <v>51</v>
      </c>
      <c r="D5422" t="str">
        <f>T_Stocks[[#This Row],[Ticker]] &amp; "-" &amp; DATE(YEAR(T_Stocks[[#This Row],[Fecha]]),MONTH(T_Stocks[[#This Row],[Fecha]]),DAY(T_Stocks[[#This Row],[Fecha]]))</f>
        <v>PRHSX-43901</v>
      </c>
    </row>
    <row r="5423" spans="1:4" ht="14.65" thickBot="1" x14ac:dyDescent="0.5">
      <c r="A5423" s="17">
        <v>43902.666666666664</v>
      </c>
      <c r="B5423" s="19">
        <v>66.23</v>
      </c>
      <c r="C5423" t="s">
        <v>51</v>
      </c>
      <c r="D5423" t="str">
        <f>T_Stocks[[#This Row],[Ticker]] &amp; "-" &amp; DATE(YEAR(T_Stocks[[#This Row],[Fecha]]),MONTH(T_Stocks[[#This Row],[Fecha]]),DAY(T_Stocks[[#This Row],[Fecha]]))</f>
        <v>PRHSX-43902</v>
      </c>
    </row>
    <row r="5424" spans="1:4" ht="14.65" thickBot="1" x14ac:dyDescent="0.5">
      <c r="A5424" s="17">
        <v>43903.666666666664</v>
      </c>
      <c r="B5424" s="19">
        <v>70.41</v>
      </c>
      <c r="C5424" t="s">
        <v>51</v>
      </c>
      <c r="D5424" t="str">
        <f>T_Stocks[[#This Row],[Ticker]] &amp; "-" &amp; DATE(YEAR(T_Stocks[[#This Row],[Fecha]]),MONTH(T_Stocks[[#This Row],[Fecha]]),DAY(T_Stocks[[#This Row],[Fecha]]))</f>
        <v>PRHSX-43903</v>
      </c>
    </row>
    <row r="5425" spans="1:4" ht="14.65" thickBot="1" x14ac:dyDescent="0.5">
      <c r="A5425" s="17">
        <v>43906.666666666664</v>
      </c>
      <c r="B5425" s="19">
        <v>62.43</v>
      </c>
      <c r="C5425" t="s">
        <v>51</v>
      </c>
      <c r="D5425" t="str">
        <f>T_Stocks[[#This Row],[Ticker]] &amp; "-" &amp; DATE(YEAR(T_Stocks[[#This Row],[Fecha]]),MONTH(T_Stocks[[#This Row],[Fecha]]),DAY(T_Stocks[[#This Row],[Fecha]]))</f>
        <v>PRHSX-43906</v>
      </c>
    </row>
    <row r="5426" spans="1:4" ht="14.65" thickBot="1" x14ac:dyDescent="0.5">
      <c r="A5426" s="17">
        <v>43907.666666666664</v>
      </c>
      <c r="B5426" s="19">
        <v>65.62</v>
      </c>
      <c r="C5426" t="s">
        <v>51</v>
      </c>
      <c r="D5426" t="str">
        <f>T_Stocks[[#This Row],[Ticker]] &amp; "-" &amp; DATE(YEAR(T_Stocks[[#This Row],[Fecha]]),MONTH(T_Stocks[[#This Row],[Fecha]]),DAY(T_Stocks[[#This Row],[Fecha]]))</f>
        <v>PRHSX-43907</v>
      </c>
    </row>
    <row r="5427" spans="1:4" ht="14.65" thickBot="1" x14ac:dyDescent="0.5">
      <c r="A5427" s="17">
        <v>43908.666666666664</v>
      </c>
      <c r="B5427" s="19">
        <v>62.97</v>
      </c>
      <c r="C5427" t="s">
        <v>51</v>
      </c>
      <c r="D5427" t="str">
        <f>T_Stocks[[#This Row],[Ticker]] &amp; "-" &amp; DATE(YEAR(T_Stocks[[#This Row],[Fecha]]),MONTH(T_Stocks[[#This Row],[Fecha]]),DAY(T_Stocks[[#This Row],[Fecha]]))</f>
        <v>PRHSX-43908</v>
      </c>
    </row>
    <row r="5428" spans="1:4" ht="14.65" thickBot="1" x14ac:dyDescent="0.5">
      <c r="A5428" s="17">
        <v>43909.666666666664</v>
      </c>
      <c r="B5428" s="19">
        <v>64.11</v>
      </c>
      <c r="C5428" t="s">
        <v>51</v>
      </c>
      <c r="D5428" t="str">
        <f>T_Stocks[[#This Row],[Ticker]] &amp; "-" &amp; DATE(YEAR(T_Stocks[[#This Row],[Fecha]]),MONTH(T_Stocks[[#This Row],[Fecha]]),DAY(T_Stocks[[#This Row],[Fecha]]))</f>
        <v>PRHSX-43909</v>
      </c>
    </row>
    <row r="5429" spans="1:4" ht="14.65" thickBot="1" x14ac:dyDescent="0.5">
      <c r="A5429" s="17">
        <v>43910.666666666664</v>
      </c>
      <c r="B5429" s="19">
        <v>62.2</v>
      </c>
      <c r="C5429" t="s">
        <v>51</v>
      </c>
      <c r="D5429" t="str">
        <f>T_Stocks[[#This Row],[Ticker]] &amp; "-" &amp; DATE(YEAR(T_Stocks[[#This Row],[Fecha]]),MONTH(T_Stocks[[#This Row],[Fecha]]),DAY(T_Stocks[[#This Row],[Fecha]]))</f>
        <v>PRHSX-43910</v>
      </c>
    </row>
    <row r="5430" spans="1:4" ht="14.65" thickBot="1" x14ac:dyDescent="0.5">
      <c r="A5430" s="17">
        <v>43913.666666666664</v>
      </c>
      <c r="B5430" s="19">
        <v>60.38</v>
      </c>
      <c r="C5430" t="s">
        <v>51</v>
      </c>
      <c r="D5430" t="str">
        <f>T_Stocks[[#This Row],[Ticker]] &amp; "-" &amp; DATE(YEAR(T_Stocks[[#This Row],[Fecha]]),MONTH(T_Stocks[[#This Row],[Fecha]]),DAY(T_Stocks[[#This Row],[Fecha]]))</f>
        <v>PRHSX-43913</v>
      </c>
    </row>
    <row r="5431" spans="1:4" ht="14.65" thickBot="1" x14ac:dyDescent="0.5">
      <c r="A5431" s="17">
        <v>43914.666666666664</v>
      </c>
      <c r="B5431" s="19">
        <v>64.83</v>
      </c>
      <c r="C5431" t="s">
        <v>51</v>
      </c>
      <c r="D5431" t="str">
        <f>T_Stocks[[#This Row],[Ticker]] &amp; "-" &amp; DATE(YEAR(T_Stocks[[#This Row],[Fecha]]),MONTH(T_Stocks[[#This Row],[Fecha]]),DAY(T_Stocks[[#This Row],[Fecha]]))</f>
        <v>PRHSX-43914</v>
      </c>
    </row>
    <row r="5432" spans="1:4" ht="14.65" thickBot="1" x14ac:dyDescent="0.5">
      <c r="A5432" s="17">
        <v>43915.666666666664</v>
      </c>
      <c r="B5432" s="19">
        <v>65.83</v>
      </c>
      <c r="C5432" t="s">
        <v>51</v>
      </c>
      <c r="D5432" t="str">
        <f>T_Stocks[[#This Row],[Ticker]] &amp; "-" &amp; DATE(YEAR(T_Stocks[[#This Row],[Fecha]]),MONTH(T_Stocks[[#This Row],[Fecha]]),DAY(T_Stocks[[#This Row],[Fecha]]))</f>
        <v>PRHSX-43915</v>
      </c>
    </row>
    <row r="5433" spans="1:4" ht="14.65" thickBot="1" x14ac:dyDescent="0.5">
      <c r="A5433" s="17">
        <v>43916.666666666664</v>
      </c>
      <c r="B5433" s="19">
        <v>69.760000000000005</v>
      </c>
      <c r="C5433" t="s">
        <v>51</v>
      </c>
      <c r="D5433" t="str">
        <f>T_Stocks[[#This Row],[Ticker]] &amp; "-" &amp; DATE(YEAR(T_Stocks[[#This Row],[Fecha]]),MONTH(T_Stocks[[#This Row],[Fecha]]),DAY(T_Stocks[[#This Row],[Fecha]]))</f>
        <v>PRHSX-43916</v>
      </c>
    </row>
    <row r="5434" spans="1:4" ht="14.65" thickBot="1" x14ac:dyDescent="0.5">
      <c r="A5434" s="17">
        <v>43917.666666666664</v>
      </c>
      <c r="B5434" s="19">
        <v>68.14</v>
      </c>
      <c r="C5434" t="s">
        <v>51</v>
      </c>
      <c r="D5434" t="str">
        <f>T_Stocks[[#This Row],[Ticker]] &amp; "-" &amp; DATE(YEAR(T_Stocks[[#This Row],[Fecha]]),MONTH(T_Stocks[[#This Row],[Fecha]]),DAY(T_Stocks[[#This Row],[Fecha]]))</f>
        <v>PRHSX-43917</v>
      </c>
    </row>
    <row r="5435" spans="1:4" ht="14.65" thickBot="1" x14ac:dyDescent="0.5">
      <c r="A5435" s="17">
        <v>43920.666666666664</v>
      </c>
      <c r="B5435" s="19">
        <v>70.8</v>
      </c>
      <c r="C5435" t="s">
        <v>51</v>
      </c>
      <c r="D5435" t="str">
        <f>T_Stocks[[#This Row],[Ticker]] &amp; "-" &amp; DATE(YEAR(T_Stocks[[#This Row],[Fecha]]),MONTH(T_Stocks[[#This Row],[Fecha]]),DAY(T_Stocks[[#This Row],[Fecha]]))</f>
        <v>PRHSX-43920</v>
      </c>
    </row>
    <row r="5436" spans="1:4" ht="14.65" thickBot="1" x14ac:dyDescent="0.5">
      <c r="A5436" s="17">
        <v>43921.666666666664</v>
      </c>
      <c r="B5436" s="19">
        <v>70.5</v>
      </c>
      <c r="C5436" t="s">
        <v>51</v>
      </c>
      <c r="D5436" t="str">
        <f>T_Stocks[[#This Row],[Ticker]] &amp; "-" &amp; DATE(YEAR(T_Stocks[[#This Row],[Fecha]]),MONTH(T_Stocks[[#This Row],[Fecha]]),DAY(T_Stocks[[#This Row],[Fecha]]))</f>
        <v>PRHSX-43921</v>
      </c>
    </row>
    <row r="5437" spans="1:4" ht="14.65" thickBot="1" x14ac:dyDescent="0.5">
      <c r="A5437" s="17">
        <v>43922.666666666664</v>
      </c>
      <c r="B5437" s="19">
        <v>67.599999999999994</v>
      </c>
      <c r="C5437" t="s">
        <v>51</v>
      </c>
      <c r="D5437" t="str">
        <f>T_Stocks[[#This Row],[Ticker]] &amp; "-" &amp; DATE(YEAR(T_Stocks[[#This Row],[Fecha]]),MONTH(T_Stocks[[#This Row],[Fecha]]),DAY(T_Stocks[[#This Row],[Fecha]]))</f>
        <v>PRHSX-43922</v>
      </c>
    </row>
    <row r="5438" spans="1:4" ht="14.65" thickBot="1" x14ac:dyDescent="0.5">
      <c r="A5438" s="17">
        <v>43923.666666666664</v>
      </c>
      <c r="B5438" s="19">
        <v>69.33</v>
      </c>
      <c r="C5438" t="s">
        <v>51</v>
      </c>
      <c r="D5438" t="str">
        <f>T_Stocks[[#This Row],[Ticker]] &amp; "-" &amp; DATE(YEAR(T_Stocks[[#This Row],[Fecha]]),MONTH(T_Stocks[[#This Row],[Fecha]]),DAY(T_Stocks[[#This Row],[Fecha]]))</f>
        <v>PRHSX-43923</v>
      </c>
    </row>
    <row r="5439" spans="1:4" ht="14.65" thickBot="1" x14ac:dyDescent="0.5">
      <c r="A5439" s="17">
        <v>43924.666666666664</v>
      </c>
      <c r="B5439" s="19">
        <v>68.2</v>
      </c>
      <c r="C5439" t="s">
        <v>51</v>
      </c>
      <c r="D5439" t="str">
        <f>T_Stocks[[#This Row],[Ticker]] &amp; "-" &amp; DATE(YEAR(T_Stocks[[#This Row],[Fecha]]),MONTH(T_Stocks[[#This Row],[Fecha]]),DAY(T_Stocks[[#This Row],[Fecha]]))</f>
        <v>PRHSX-43924</v>
      </c>
    </row>
    <row r="5440" spans="1:4" ht="14.65" thickBot="1" x14ac:dyDescent="0.5">
      <c r="A5440" s="17">
        <v>43927.666666666664</v>
      </c>
      <c r="B5440" s="19">
        <v>72.39</v>
      </c>
      <c r="C5440" t="s">
        <v>51</v>
      </c>
      <c r="D5440" t="str">
        <f>T_Stocks[[#This Row],[Ticker]] &amp; "-" &amp; DATE(YEAR(T_Stocks[[#This Row],[Fecha]]),MONTH(T_Stocks[[#This Row],[Fecha]]),DAY(T_Stocks[[#This Row],[Fecha]]))</f>
        <v>PRHSX-43927</v>
      </c>
    </row>
    <row r="5441" spans="1:4" ht="14.65" thickBot="1" x14ac:dyDescent="0.5">
      <c r="A5441" s="17">
        <v>43928.666666666664</v>
      </c>
      <c r="B5441" s="19">
        <v>71.52</v>
      </c>
      <c r="C5441" t="s">
        <v>51</v>
      </c>
      <c r="D5441" t="str">
        <f>T_Stocks[[#This Row],[Ticker]] &amp; "-" &amp; DATE(YEAR(T_Stocks[[#This Row],[Fecha]]),MONTH(T_Stocks[[#This Row],[Fecha]]),DAY(T_Stocks[[#This Row],[Fecha]]))</f>
        <v>PRHSX-43928</v>
      </c>
    </row>
    <row r="5442" spans="1:4" ht="14.65" thickBot="1" x14ac:dyDescent="0.5">
      <c r="A5442" s="17">
        <v>43929.666666666664</v>
      </c>
      <c r="B5442" s="19">
        <v>74.41</v>
      </c>
      <c r="C5442" t="s">
        <v>51</v>
      </c>
      <c r="D5442" t="str">
        <f>T_Stocks[[#This Row],[Ticker]] &amp; "-" &amp; DATE(YEAR(T_Stocks[[#This Row],[Fecha]]),MONTH(T_Stocks[[#This Row],[Fecha]]),DAY(T_Stocks[[#This Row],[Fecha]]))</f>
        <v>PRHSX-43929</v>
      </c>
    </row>
    <row r="5443" spans="1:4" ht="14.65" thickBot="1" x14ac:dyDescent="0.5">
      <c r="A5443" s="17">
        <v>43930.666666666664</v>
      </c>
      <c r="B5443" s="19">
        <v>75.03</v>
      </c>
      <c r="C5443" t="s">
        <v>51</v>
      </c>
      <c r="D5443" t="str">
        <f>T_Stocks[[#This Row],[Ticker]] &amp; "-" &amp; DATE(YEAR(T_Stocks[[#This Row],[Fecha]]),MONTH(T_Stocks[[#This Row],[Fecha]]),DAY(T_Stocks[[#This Row],[Fecha]]))</f>
        <v>PRHSX-43930</v>
      </c>
    </row>
    <row r="5444" spans="1:4" ht="14.65" thickBot="1" x14ac:dyDescent="0.5">
      <c r="A5444" s="17">
        <v>43934.666666666664</v>
      </c>
      <c r="B5444" s="19">
        <v>74.69</v>
      </c>
      <c r="C5444" t="s">
        <v>51</v>
      </c>
      <c r="D5444" t="str">
        <f>T_Stocks[[#This Row],[Ticker]] &amp; "-" &amp; DATE(YEAR(T_Stocks[[#This Row],[Fecha]]),MONTH(T_Stocks[[#This Row],[Fecha]]),DAY(T_Stocks[[#This Row],[Fecha]]))</f>
        <v>PRHSX-43934</v>
      </c>
    </row>
    <row r="5445" spans="1:4" ht="14.65" thickBot="1" x14ac:dyDescent="0.5">
      <c r="A5445" s="17">
        <v>43935.666666666664</v>
      </c>
      <c r="B5445" s="19">
        <v>77.11</v>
      </c>
      <c r="C5445" t="s">
        <v>51</v>
      </c>
      <c r="D5445" t="str">
        <f>T_Stocks[[#This Row],[Ticker]] &amp; "-" &amp; DATE(YEAR(T_Stocks[[#This Row],[Fecha]]),MONTH(T_Stocks[[#This Row],[Fecha]]),DAY(T_Stocks[[#This Row],[Fecha]]))</f>
        <v>PRHSX-43935</v>
      </c>
    </row>
    <row r="5446" spans="1:4" ht="14.65" thickBot="1" x14ac:dyDescent="0.5">
      <c r="A5446" s="17">
        <v>43936.666666666664</v>
      </c>
      <c r="B5446" s="19">
        <v>76.540000000000006</v>
      </c>
      <c r="C5446" t="s">
        <v>51</v>
      </c>
      <c r="D5446" t="str">
        <f>T_Stocks[[#This Row],[Ticker]] &amp; "-" &amp; DATE(YEAR(T_Stocks[[#This Row],[Fecha]]),MONTH(T_Stocks[[#This Row],[Fecha]]),DAY(T_Stocks[[#This Row],[Fecha]]))</f>
        <v>PRHSX-43936</v>
      </c>
    </row>
    <row r="5447" spans="1:4" ht="14.65" thickBot="1" x14ac:dyDescent="0.5">
      <c r="A5447" s="17">
        <v>43937.666666666664</v>
      </c>
      <c r="B5447" s="19">
        <v>78.459999999999994</v>
      </c>
      <c r="C5447" t="s">
        <v>51</v>
      </c>
      <c r="D5447" t="str">
        <f>T_Stocks[[#This Row],[Ticker]] &amp; "-" &amp; DATE(YEAR(T_Stocks[[#This Row],[Fecha]]),MONTH(T_Stocks[[#This Row],[Fecha]]),DAY(T_Stocks[[#This Row],[Fecha]]))</f>
        <v>PRHSX-43937</v>
      </c>
    </row>
    <row r="5448" spans="1:4" ht="14.65" thickBot="1" x14ac:dyDescent="0.5">
      <c r="A5448" s="17">
        <v>43938.666666666664</v>
      </c>
      <c r="B5448" s="19">
        <v>80.209999999999994</v>
      </c>
      <c r="C5448" t="s">
        <v>51</v>
      </c>
      <c r="D5448" t="str">
        <f>T_Stocks[[#This Row],[Ticker]] &amp; "-" &amp; DATE(YEAR(T_Stocks[[#This Row],[Fecha]]),MONTH(T_Stocks[[#This Row],[Fecha]]),DAY(T_Stocks[[#This Row],[Fecha]]))</f>
        <v>PRHSX-43938</v>
      </c>
    </row>
    <row r="5449" spans="1:4" ht="14.65" thickBot="1" x14ac:dyDescent="0.5">
      <c r="A5449" s="17">
        <v>43941.666666666664</v>
      </c>
      <c r="B5449" s="19">
        <v>80.48</v>
      </c>
      <c r="C5449" t="s">
        <v>51</v>
      </c>
      <c r="D5449" t="str">
        <f>T_Stocks[[#This Row],[Ticker]] &amp; "-" &amp; DATE(YEAR(T_Stocks[[#This Row],[Fecha]]),MONTH(T_Stocks[[#This Row],[Fecha]]),DAY(T_Stocks[[#This Row],[Fecha]]))</f>
        <v>PRHSX-43941</v>
      </c>
    </row>
    <row r="5450" spans="1:4" ht="14.65" thickBot="1" x14ac:dyDescent="0.5">
      <c r="A5450" s="17">
        <v>43942.666666666664</v>
      </c>
      <c r="B5450" s="19">
        <v>78.23</v>
      </c>
      <c r="C5450" t="s">
        <v>51</v>
      </c>
      <c r="D5450" t="str">
        <f>T_Stocks[[#This Row],[Ticker]] &amp; "-" &amp; DATE(YEAR(T_Stocks[[#This Row],[Fecha]]),MONTH(T_Stocks[[#This Row],[Fecha]]),DAY(T_Stocks[[#This Row],[Fecha]]))</f>
        <v>PRHSX-43942</v>
      </c>
    </row>
    <row r="5451" spans="1:4" ht="14.65" thickBot="1" x14ac:dyDescent="0.5">
      <c r="A5451" s="17">
        <v>43943.666666666664</v>
      </c>
      <c r="B5451" s="19">
        <v>79.61</v>
      </c>
      <c r="C5451" t="s">
        <v>51</v>
      </c>
      <c r="D5451" t="str">
        <f>T_Stocks[[#This Row],[Ticker]] &amp; "-" &amp; DATE(YEAR(T_Stocks[[#This Row],[Fecha]]),MONTH(T_Stocks[[#This Row],[Fecha]]),DAY(T_Stocks[[#This Row],[Fecha]]))</f>
        <v>PRHSX-43943</v>
      </c>
    </row>
    <row r="5452" spans="1:4" ht="14.65" thickBot="1" x14ac:dyDescent="0.5">
      <c r="A5452" s="17">
        <v>43944.666666666664</v>
      </c>
      <c r="B5452" s="19">
        <v>79.84</v>
      </c>
      <c r="C5452" t="s">
        <v>51</v>
      </c>
      <c r="D5452" t="str">
        <f>T_Stocks[[#This Row],[Ticker]] &amp; "-" &amp; DATE(YEAR(T_Stocks[[#This Row],[Fecha]]),MONTH(T_Stocks[[#This Row],[Fecha]]),DAY(T_Stocks[[#This Row],[Fecha]]))</f>
        <v>PRHSX-43944</v>
      </c>
    </row>
    <row r="5453" spans="1:4" ht="14.65" thickBot="1" x14ac:dyDescent="0.5">
      <c r="A5453" s="17">
        <v>43945.666666666664</v>
      </c>
      <c r="B5453" s="19">
        <v>81.489999999999995</v>
      </c>
      <c r="C5453" t="s">
        <v>51</v>
      </c>
      <c r="D5453" t="str">
        <f>T_Stocks[[#This Row],[Ticker]] &amp; "-" &amp; DATE(YEAR(T_Stocks[[#This Row],[Fecha]]),MONTH(T_Stocks[[#This Row],[Fecha]]),DAY(T_Stocks[[#This Row],[Fecha]]))</f>
        <v>PRHSX-43945</v>
      </c>
    </row>
    <row r="5454" spans="1:4" ht="14.65" thickBot="1" x14ac:dyDescent="0.5">
      <c r="A5454" s="17">
        <v>43948.666666666664</v>
      </c>
      <c r="B5454" s="19">
        <v>82.48</v>
      </c>
      <c r="C5454" t="s">
        <v>51</v>
      </c>
      <c r="D5454" t="str">
        <f>T_Stocks[[#This Row],[Ticker]] &amp; "-" &amp; DATE(YEAR(T_Stocks[[#This Row],[Fecha]]),MONTH(T_Stocks[[#This Row],[Fecha]]),DAY(T_Stocks[[#This Row],[Fecha]]))</f>
        <v>PRHSX-43948</v>
      </c>
    </row>
    <row r="5455" spans="1:4" ht="14.65" thickBot="1" x14ac:dyDescent="0.5">
      <c r="A5455" s="17">
        <v>43949.666666666664</v>
      </c>
      <c r="B5455" s="19">
        <v>80.52</v>
      </c>
      <c r="C5455" t="s">
        <v>51</v>
      </c>
      <c r="D5455" t="str">
        <f>T_Stocks[[#This Row],[Ticker]] &amp; "-" &amp; DATE(YEAR(T_Stocks[[#This Row],[Fecha]]),MONTH(T_Stocks[[#This Row],[Fecha]]),DAY(T_Stocks[[#This Row],[Fecha]]))</f>
        <v>PRHSX-43949</v>
      </c>
    </row>
    <row r="5456" spans="1:4" ht="14.65" thickBot="1" x14ac:dyDescent="0.5">
      <c r="A5456" s="17">
        <v>43950.666666666664</v>
      </c>
      <c r="B5456" s="19">
        <v>81.13</v>
      </c>
      <c r="C5456" t="s">
        <v>51</v>
      </c>
      <c r="D5456" t="str">
        <f>T_Stocks[[#This Row],[Ticker]] &amp; "-" &amp; DATE(YEAR(T_Stocks[[#This Row],[Fecha]]),MONTH(T_Stocks[[#This Row],[Fecha]]),DAY(T_Stocks[[#This Row],[Fecha]]))</f>
        <v>PRHSX-43950</v>
      </c>
    </row>
    <row r="5457" spans="1:4" ht="14.65" thickBot="1" x14ac:dyDescent="0.5">
      <c r="A5457" s="17">
        <v>43951.666666666664</v>
      </c>
      <c r="B5457" s="19">
        <v>80.31</v>
      </c>
      <c r="C5457" t="s">
        <v>51</v>
      </c>
      <c r="D5457" t="str">
        <f>T_Stocks[[#This Row],[Ticker]] &amp; "-" &amp; DATE(YEAR(T_Stocks[[#This Row],[Fecha]]),MONTH(T_Stocks[[#This Row],[Fecha]]),DAY(T_Stocks[[#This Row],[Fecha]]))</f>
        <v>PRHSX-43951</v>
      </c>
    </row>
    <row r="5458" spans="1:4" ht="14.65" thickBot="1" x14ac:dyDescent="0.5">
      <c r="A5458" s="17">
        <v>43952.666666666664</v>
      </c>
      <c r="B5458" s="19">
        <v>78.78</v>
      </c>
      <c r="C5458" t="s">
        <v>51</v>
      </c>
      <c r="D5458" t="str">
        <f>T_Stocks[[#This Row],[Ticker]] &amp; "-" &amp; DATE(YEAR(T_Stocks[[#This Row],[Fecha]]),MONTH(T_Stocks[[#This Row],[Fecha]]),DAY(T_Stocks[[#This Row],[Fecha]]))</f>
        <v>PRHSX-43952</v>
      </c>
    </row>
    <row r="5459" spans="1:4" ht="14.65" thickBot="1" x14ac:dyDescent="0.5">
      <c r="A5459" s="17">
        <v>43955.666666666664</v>
      </c>
      <c r="B5459" s="19">
        <v>79.930000000000007</v>
      </c>
      <c r="C5459" t="s">
        <v>51</v>
      </c>
      <c r="D5459" t="str">
        <f>T_Stocks[[#This Row],[Ticker]] &amp; "-" &amp; DATE(YEAR(T_Stocks[[#This Row],[Fecha]]),MONTH(T_Stocks[[#This Row],[Fecha]]),DAY(T_Stocks[[#This Row],[Fecha]]))</f>
        <v>PRHSX-43955</v>
      </c>
    </row>
    <row r="5460" spans="1:4" ht="14.65" thickBot="1" x14ac:dyDescent="0.5">
      <c r="A5460" s="17">
        <v>43956.666666666664</v>
      </c>
      <c r="B5460" s="19">
        <v>81.650000000000006</v>
      </c>
      <c r="C5460" t="s">
        <v>51</v>
      </c>
      <c r="D5460" t="str">
        <f>T_Stocks[[#This Row],[Ticker]] &amp; "-" &amp; DATE(YEAR(T_Stocks[[#This Row],[Fecha]]),MONTH(T_Stocks[[#This Row],[Fecha]]),DAY(T_Stocks[[#This Row],[Fecha]]))</f>
        <v>PRHSX-43956</v>
      </c>
    </row>
    <row r="5461" spans="1:4" ht="14.65" thickBot="1" x14ac:dyDescent="0.5">
      <c r="A5461" s="17">
        <v>43957.666666666664</v>
      </c>
      <c r="B5461" s="19">
        <v>81.39</v>
      </c>
      <c r="C5461" t="s">
        <v>51</v>
      </c>
      <c r="D5461" t="str">
        <f>T_Stocks[[#This Row],[Ticker]] &amp; "-" &amp; DATE(YEAR(T_Stocks[[#This Row],[Fecha]]),MONTH(T_Stocks[[#This Row],[Fecha]]),DAY(T_Stocks[[#This Row],[Fecha]]))</f>
        <v>PRHSX-43957</v>
      </c>
    </row>
    <row r="5462" spans="1:4" ht="14.65" thickBot="1" x14ac:dyDescent="0.5">
      <c r="A5462" s="17">
        <v>43958.666666666664</v>
      </c>
      <c r="B5462" s="19">
        <v>81.83</v>
      </c>
      <c r="C5462" t="s">
        <v>51</v>
      </c>
      <c r="D5462" t="str">
        <f>T_Stocks[[#This Row],[Ticker]] &amp; "-" &amp; DATE(YEAR(T_Stocks[[#This Row],[Fecha]]),MONTH(T_Stocks[[#This Row],[Fecha]]),DAY(T_Stocks[[#This Row],[Fecha]]))</f>
        <v>PRHSX-43958</v>
      </c>
    </row>
    <row r="5463" spans="1:4" ht="14.65" thickBot="1" x14ac:dyDescent="0.5">
      <c r="A5463" s="17">
        <v>43959.666666666664</v>
      </c>
      <c r="B5463" s="19">
        <v>82.22</v>
      </c>
      <c r="C5463" t="s">
        <v>51</v>
      </c>
      <c r="D5463" t="str">
        <f>T_Stocks[[#This Row],[Ticker]] &amp; "-" &amp; DATE(YEAR(T_Stocks[[#This Row],[Fecha]]),MONTH(T_Stocks[[#This Row],[Fecha]]),DAY(T_Stocks[[#This Row],[Fecha]]))</f>
        <v>PRHSX-43959</v>
      </c>
    </row>
    <row r="5464" spans="1:4" ht="14.65" thickBot="1" x14ac:dyDescent="0.5">
      <c r="A5464" s="17">
        <v>43962.666666666664</v>
      </c>
      <c r="B5464" s="19">
        <v>84.39</v>
      </c>
      <c r="C5464" t="s">
        <v>51</v>
      </c>
      <c r="D5464" t="str">
        <f>T_Stocks[[#This Row],[Ticker]] &amp; "-" &amp; DATE(YEAR(T_Stocks[[#This Row],[Fecha]]),MONTH(T_Stocks[[#This Row],[Fecha]]),DAY(T_Stocks[[#This Row],[Fecha]]))</f>
        <v>PRHSX-43962</v>
      </c>
    </row>
    <row r="5465" spans="1:4" ht="14.65" thickBot="1" x14ac:dyDescent="0.5">
      <c r="A5465" s="17">
        <v>43963.666666666664</v>
      </c>
      <c r="B5465" s="19">
        <v>83.24</v>
      </c>
      <c r="C5465" t="s">
        <v>51</v>
      </c>
      <c r="D5465" t="str">
        <f>T_Stocks[[#This Row],[Ticker]] &amp; "-" &amp; DATE(YEAR(T_Stocks[[#This Row],[Fecha]]),MONTH(T_Stocks[[#This Row],[Fecha]]),DAY(T_Stocks[[#This Row],[Fecha]]))</f>
        <v>PRHSX-43963</v>
      </c>
    </row>
    <row r="5466" spans="1:4" ht="14.65" thickBot="1" x14ac:dyDescent="0.5">
      <c r="A5466" s="17">
        <v>43964.666666666664</v>
      </c>
      <c r="B5466" s="19">
        <v>82.19</v>
      </c>
      <c r="C5466" t="s">
        <v>51</v>
      </c>
      <c r="D5466" t="str">
        <f>T_Stocks[[#This Row],[Ticker]] &amp; "-" &amp; DATE(YEAR(T_Stocks[[#This Row],[Fecha]]),MONTH(T_Stocks[[#This Row],[Fecha]]),DAY(T_Stocks[[#This Row],[Fecha]]))</f>
        <v>PRHSX-43964</v>
      </c>
    </row>
    <row r="5467" spans="1:4" ht="14.65" thickBot="1" x14ac:dyDescent="0.5">
      <c r="A5467" s="17">
        <v>43965.666666666664</v>
      </c>
      <c r="B5467" s="19">
        <v>82.66</v>
      </c>
      <c r="C5467" t="s">
        <v>51</v>
      </c>
      <c r="D5467" t="str">
        <f>T_Stocks[[#This Row],[Ticker]] &amp; "-" &amp; DATE(YEAR(T_Stocks[[#This Row],[Fecha]]),MONTH(T_Stocks[[#This Row],[Fecha]]),DAY(T_Stocks[[#This Row],[Fecha]]))</f>
        <v>PRHSX-43965</v>
      </c>
    </row>
    <row r="5468" spans="1:4" ht="14.65" thickBot="1" x14ac:dyDescent="0.5">
      <c r="A5468" s="17">
        <v>43966.666666666664</v>
      </c>
      <c r="B5468" s="19">
        <v>84.18</v>
      </c>
      <c r="C5468" t="s">
        <v>51</v>
      </c>
      <c r="D5468" t="str">
        <f>T_Stocks[[#This Row],[Ticker]] &amp; "-" &amp; DATE(YEAR(T_Stocks[[#This Row],[Fecha]]),MONTH(T_Stocks[[#This Row],[Fecha]]),DAY(T_Stocks[[#This Row],[Fecha]]))</f>
        <v>PRHSX-43966</v>
      </c>
    </row>
    <row r="5469" spans="1:4" ht="14.65" thickBot="1" x14ac:dyDescent="0.5">
      <c r="A5469" s="17">
        <v>43969.666666666664</v>
      </c>
      <c r="B5469" s="19">
        <v>85.02</v>
      </c>
      <c r="C5469" t="s">
        <v>51</v>
      </c>
      <c r="D5469" t="str">
        <f>T_Stocks[[#This Row],[Ticker]] &amp; "-" &amp; DATE(YEAR(T_Stocks[[#This Row],[Fecha]]),MONTH(T_Stocks[[#This Row],[Fecha]]),DAY(T_Stocks[[#This Row],[Fecha]]))</f>
        <v>PRHSX-43969</v>
      </c>
    </row>
    <row r="5470" spans="1:4" ht="14.65" thickBot="1" x14ac:dyDescent="0.5">
      <c r="A5470" s="17">
        <v>43970.666666666664</v>
      </c>
      <c r="B5470" s="19">
        <v>83.9</v>
      </c>
      <c r="C5470" t="s">
        <v>51</v>
      </c>
      <c r="D5470" t="str">
        <f>T_Stocks[[#This Row],[Ticker]] &amp; "-" &amp; DATE(YEAR(T_Stocks[[#This Row],[Fecha]]),MONTH(T_Stocks[[#This Row],[Fecha]]),DAY(T_Stocks[[#This Row],[Fecha]]))</f>
        <v>PRHSX-43970</v>
      </c>
    </row>
    <row r="5471" spans="1:4" ht="14.65" thickBot="1" x14ac:dyDescent="0.5">
      <c r="A5471" s="17">
        <v>43971.666666666664</v>
      </c>
      <c r="B5471" s="19">
        <v>84.6</v>
      </c>
      <c r="C5471" t="s">
        <v>51</v>
      </c>
      <c r="D5471" t="str">
        <f>T_Stocks[[#This Row],[Ticker]] &amp; "-" &amp; DATE(YEAR(T_Stocks[[#This Row],[Fecha]]),MONTH(T_Stocks[[#This Row],[Fecha]]),DAY(T_Stocks[[#This Row],[Fecha]]))</f>
        <v>PRHSX-43971</v>
      </c>
    </row>
    <row r="5472" spans="1:4" ht="14.65" thickBot="1" x14ac:dyDescent="0.5">
      <c r="A5472" s="17">
        <v>43972.666666666664</v>
      </c>
      <c r="B5472" s="19">
        <v>84.08</v>
      </c>
      <c r="C5472" t="s">
        <v>51</v>
      </c>
      <c r="D5472" t="str">
        <f>T_Stocks[[#This Row],[Ticker]] &amp; "-" &amp; DATE(YEAR(T_Stocks[[#This Row],[Fecha]]),MONTH(T_Stocks[[#This Row],[Fecha]]),DAY(T_Stocks[[#This Row],[Fecha]]))</f>
        <v>PRHSX-43972</v>
      </c>
    </row>
    <row r="5473" spans="1:4" ht="14.65" thickBot="1" x14ac:dyDescent="0.5">
      <c r="A5473" s="17">
        <v>43973.666666666664</v>
      </c>
      <c r="B5473" s="19">
        <v>84.66</v>
      </c>
      <c r="C5473" t="s">
        <v>51</v>
      </c>
      <c r="D5473" t="str">
        <f>T_Stocks[[#This Row],[Ticker]] &amp; "-" &amp; DATE(YEAR(T_Stocks[[#This Row],[Fecha]]),MONTH(T_Stocks[[#This Row],[Fecha]]),DAY(T_Stocks[[#This Row],[Fecha]]))</f>
        <v>PRHSX-43973</v>
      </c>
    </row>
    <row r="5474" spans="1:4" ht="14.65" thickBot="1" x14ac:dyDescent="0.5">
      <c r="A5474" s="17">
        <v>43977.666666666664</v>
      </c>
      <c r="B5474" s="19">
        <v>84.09</v>
      </c>
      <c r="C5474" t="s">
        <v>51</v>
      </c>
      <c r="D5474" t="str">
        <f>T_Stocks[[#This Row],[Ticker]] &amp; "-" &amp; DATE(YEAR(T_Stocks[[#This Row],[Fecha]]),MONTH(T_Stocks[[#This Row],[Fecha]]),DAY(T_Stocks[[#This Row],[Fecha]]))</f>
        <v>PRHSX-43977</v>
      </c>
    </row>
    <row r="5475" spans="1:4" ht="14.65" thickBot="1" x14ac:dyDescent="0.5">
      <c r="A5475" s="17">
        <v>43978.666666666664</v>
      </c>
      <c r="B5475" s="19">
        <v>84.5</v>
      </c>
      <c r="C5475" t="s">
        <v>51</v>
      </c>
      <c r="D5475" t="str">
        <f>T_Stocks[[#This Row],[Ticker]] &amp; "-" &amp; DATE(YEAR(T_Stocks[[#This Row],[Fecha]]),MONTH(T_Stocks[[#This Row],[Fecha]]),DAY(T_Stocks[[#This Row],[Fecha]]))</f>
        <v>PRHSX-43978</v>
      </c>
    </row>
    <row r="5476" spans="1:4" ht="14.65" thickBot="1" x14ac:dyDescent="0.5">
      <c r="A5476" s="17">
        <v>43979.666666666664</v>
      </c>
      <c r="B5476" s="19">
        <v>85.15</v>
      </c>
      <c r="C5476" t="s">
        <v>51</v>
      </c>
      <c r="D5476" t="str">
        <f>T_Stocks[[#This Row],[Ticker]] &amp; "-" &amp; DATE(YEAR(T_Stocks[[#This Row],[Fecha]]),MONTH(T_Stocks[[#This Row],[Fecha]]),DAY(T_Stocks[[#This Row],[Fecha]]))</f>
        <v>PRHSX-43979</v>
      </c>
    </row>
    <row r="5477" spans="1:4" ht="14.65" thickBot="1" x14ac:dyDescent="0.5">
      <c r="A5477" s="17">
        <v>43980.666666666664</v>
      </c>
      <c r="B5477" s="19">
        <v>86.41</v>
      </c>
      <c r="C5477" t="s">
        <v>51</v>
      </c>
      <c r="D5477" t="str">
        <f>T_Stocks[[#This Row],[Ticker]] &amp; "-" &amp; DATE(YEAR(T_Stocks[[#This Row],[Fecha]]),MONTH(T_Stocks[[#This Row],[Fecha]]),DAY(T_Stocks[[#This Row],[Fecha]]))</f>
        <v>PRHSX-43980</v>
      </c>
    </row>
    <row r="5478" spans="1:4" ht="14.65" thickBot="1" x14ac:dyDescent="0.5">
      <c r="A5478" s="17">
        <v>43983.666666666664</v>
      </c>
      <c r="B5478" s="19">
        <v>86.18</v>
      </c>
      <c r="C5478" t="s">
        <v>51</v>
      </c>
      <c r="D5478" t="str">
        <f>T_Stocks[[#This Row],[Ticker]] &amp; "-" &amp; DATE(YEAR(T_Stocks[[#This Row],[Fecha]]),MONTH(T_Stocks[[#This Row],[Fecha]]),DAY(T_Stocks[[#This Row],[Fecha]]))</f>
        <v>PRHSX-43983</v>
      </c>
    </row>
    <row r="5479" spans="1:4" ht="14.65" thickBot="1" x14ac:dyDescent="0.5">
      <c r="A5479" s="17">
        <v>43984.666666666664</v>
      </c>
      <c r="B5479" s="19">
        <v>86.49</v>
      </c>
      <c r="C5479" t="s">
        <v>51</v>
      </c>
      <c r="D5479" t="str">
        <f>T_Stocks[[#This Row],[Ticker]] &amp; "-" &amp; DATE(YEAR(T_Stocks[[#This Row],[Fecha]]),MONTH(T_Stocks[[#This Row],[Fecha]]),DAY(T_Stocks[[#This Row],[Fecha]]))</f>
        <v>PRHSX-43984</v>
      </c>
    </row>
    <row r="5480" spans="1:4" ht="14.65" thickBot="1" x14ac:dyDescent="0.5">
      <c r="A5480" s="17">
        <v>43985.666666666664</v>
      </c>
      <c r="B5480" s="19">
        <v>85.89</v>
      </c>
      <c r="C5480" t="s">
        <v>51</v>
      </c>
      <c r="D5480" t="str">
        <f>T_Stocks[[#This Row],[Ticker]] &amp; "-" &amp; DATE(YEAR(T_Stocks[[#This Row],[Fecha]]),MONTH(T_Stocks[[#This Row],[Fecha]]),DAY(T_Stocks[[#This Row],[Fecha]]))</f>
        <v>PRHSX-43985</v>
      </c>
    </row>
    <row r="5481" spans="1:4" ht="14.65" thickBot="1" x14ac:dyDescent="0.5">
      <c r="A5481" s="17">
        <v>43986.666666666664</v>
      </c>
      <c r="B5481" s="19">
        <v>84.64</v>
      </c>
      <c r="C5481" t="s">
        <v>51</v>
      </c>
      <c r="D5481" t="str">
        <f>T_Stocks[[#This Row],[Ticker]] &amp; "-" &amp; DATE(YEAR(T_Stocks[[#This Row],[Fecha]]),MONTH(T_Stocks[[#This Row],[Fecha]]),DAY(T_Stocks[[#This Row],[Fecha]]))</f>
        <v>PRHSX-43986</v>
      </c>
    </row>
    <row r="5482" spans="1:4" ht="14.65" thickBot="1" x14ac:dyDescent="0.5">
      <c r="A5482" s="17">
        <v>43987.666666666664</v>
      </c>
      <c r="B5482" s="19">
        <v>85.4</v>
      </c>
      <c r="C5482" t="s">
        <v>51</v>
      </c>
      <c r="D5482" t="str">
        <f>T_Stocks[[#This Row],[Ticker]] &amp; "-" &amp; DATE(YEAR(T_Stocks[[#This Row],[Fecha]]),MONTH(T_Stocks[[#This Row],[Fecha]]),DAY(T_Stocks[[#This Row],[Fecha]]))</f>
        <v>PRHSX-43987</v>
      </c>
    </row>
    <row r="5483" spans="1:4" ht="14.65" thickBot="1" x14ac:dyDescent="0.5">
      <c r="A5483" s="17">
        <v>43990.666666666664</v>
      </c>
      <c r="B5483" s="19">
        <v>86.2</v>
      </c>
      <c r="C5483" t="s">
        <v>51</v>
      </c>
      <c r="D5483" t="str">
        <f>T_Stocks[[#This Row],[Ticker]] &amp; "-" &amp; DATE(YEAR(T_Stocks[[#This Row],[Fecha]]),MONTH(T_Stocks[[#This Row],[Fecha]]),DAY(T_Stocks[[#This Row],[Fecha]]))</f>
        <v>PRHSX-43990</v>
      </c>
    </row>
    <row r="5484" spans="1:4" ht="14.65" thickBot="1" x14ac:dyDescent="0.5">
      <c r="A5484" s="17">
        <v>43991.666666666664</v>
      </c>
      <c r="B5484" s="19">
        <v>85.72</v>
      </c>
      <c r="C5484" t="s">
        <v>51</v>
      </c>
      <c r="D5484" t="str">
        <f>T_Stocks[[#This Row],[Ticker]] &amp; "-" &amp; DATE(YEAR(T_Stocks[[#This Row],[Fecha]]),MONTH(T_Stocks[[#This Row],[Fecha]]),DAY(T_Stocks[[#This Row],[Fecha]]))</f>
        <v>PRHSX-43991</v>
      </c>
    </row>
    <row r="5485" spans="1:4" ht="14.65" thickBot="1" x14ac:dyDescent="0.5">
      <c r="A5485" s="17">
        <v>43992.666666666664</v>
      </c>
      <c r="B5485" s="19">
        <v>85.96</v>
      </c>
      <c r="C5485" t="s">
        <v>51</v>
      </c>
      <c r="D5485" t="str">
        <f>T_Stocks[[#This Row],[Ticker]] &amp; "-" &amp; DATE(YEAR(T_Stocks[[#This Row],[Fecha]]),MONTH(T_Stocks[[#This Row],[Fecha]]),DAY(T_Stocks[[#This Row],[Fecha]]))</f>
        <v>PRHSX-43992</v>
      </c>
    </row>
    <row r="5486" spans="1:4" ht="14.65" thickBot="1" x14ac:dyDescent="0.5">
      <c r="A5486" s="17">
        <v>43993.666666666664</v>
      </c>
      <c r="B5486" s="19">
        <v>81.790000000000006</v>
      </c>
      <c r="C5486" t="s">
        <v>51</v>
      </c>
      <c r="D5486" t="str">
        <f>T_Stocks[[#This Row],[Ticker]] &amp; "-" &amp; DATE(YEAR(T_Stocks[[#This Row],[Fecha]]),MONTH(T_Stocks[[#This Row],[Fecha]]),DAY(T_Stocks[[#This Row],[Fecha]]))</f>
        <v>PRHSX-43993</v>
      </c>
    </row>
    <row r="5487" spans="1:4" ht="14.65" thickBot="1" x14ac:dyDescent="0.5">
      <c r="A5487" s="17">
        <v>43994.666666666664</v>
      </c>
      <c r="B5487" s="19">
        <v>82.59</v>
      </c>
      <c r="C5487" t="s">
        <v>51</v>
      </c>
      <c r="D5487" t="str">
        <f>T_Stocks[[#This Row],[Ticker]] &amp; "-" &amp; DATE(YEAR(T_Stocks[[#This Row],[Fecha]]),MONTH(T_Stocks[[#This Row],[Fecha]]),DAY(T_Stocks[[#This Row],[Fecha]]))</f>
        <v>PRHSX-43994</v>
      </c>
    </row>
    <row r="5488" spans="1:4" ht="14.65" thickBot="1" x14ac:dyDescent="0.5">
      <c r="A5488" s="17">
        <v>43997.666666666664</v>
      </c>
      <c r="B5488" s="19">
        <v>83.82</v>
      </c>
      <c r="C5488" t="s">
        <v>51</v>
      </c>
      <c r="D5488" t="str">
        <f>T_Stocks[[#This Row],[Ticker]] &amp; "-" &amp; DATE(YEAR(T_Stocks[[#This Row],[Fecha]]),MONTH(T_Stocks[[#This Row],[Fecha]]),DAY(T_Stocks[[#This Row],[Fecha]]))</f>
        <v>PRHSX-43997</v>
      </c>
    </row>
    <row r="5489" spans="1:4" ht="14.65" thickBot="1" x14ac:dyDescent="0.5">
      <c r="A5489" s="17">
        <v>43998.666666666664</v>
      </c>
      <c r="B5489" s="19">
        <v>85.58</v>
      </c>
      <c r="C5489" t="s">
        <v>51</v>
      </c>
      <c r="D5489" t="str">
        <f>T_Stocks[[#This Row],[Ticker]] &amp; "-" &amp; DATE(YEAR(T_Stocks[[#This Row],[Fecha]]),MONTH(T_Stocks[[#This Row],[Fecha]]),DAY(T_Stocks[[#This Row],[Fecha]]))</f>
        <v>PRHSX-43998</v>
      </c>
    </row>
    <row r="5490" spans="1:4" ht="14.65" thickBot="1" x14ac:dyDescent="0.5">
      <c r="A5490" s="17">
        <v>43999.666666666664</v>
      </c>
      <c r="B5490" s="19">
        <v>85.86</v>
      </c>
      <c r="C5490" t="s">
        <v>51</v>
      </c>
      <c r="D5490" t="str">
        <f>T_Stocks[[#This Row],[Ticker]] &amp; "-" &amp; DATE(YEAR(T_Stocks[[#This Row],[Fecha]]),MONTH(T_Stocks[[#This Row],[Fecha]]),DAY(T_Stocks[[#This Row],[Fecha]]))</f>
        <v>PRHSX-43999</v>
      </c>
    </row>
    <row r="5491" spans="1:4" ht="14.65" thickBot="1" x14ac:dyDescent="0.5">
      <c r="A5491" s="17">
        <v>44000.666666666664</v>
      </c>
      <c r="B5491" s="19">
        <v>86.13</v>
      </c>
      <c r="C5491" t="s">
        <v>51</v>
      </c>
      <c r="D5491" t="str">
        <f>T_Stocks[[#This Row],[Ticker]] &amp; "-" &amp; DATE(YEAR(T_Stocks[[#This Row],[Fecha]]),MONTH(T_Stocks[[#This Row],[Fecha]]),DAY(T_Stocks[[#This Row],[Fecha]]))</f>
        <v>PRHSX-44000</v>
      </c>
    </row>
    <row r="5492" spans="1:4" ht="14.65" thickBot="1" x14ac:dyDescent="0.5">
      <c r="A5492" s="17">
        <v>44001.666666666664</v>
      </c>
      <c r="B5492" s="19">
        <v>87.5</v>
      </c>
      <c r="C5492" t="s">
        <v>51</v>
      </c>
      <c r="D5492" t="str">
        <f>T_Stocks[[#This Row],[Ticker]] &amp; "-" &amp; DATE(YEAR(T_Stocks[[#This Row],[Fecha]]),MONTH(T_Stocks[[#This Row],[Fecha]]),DAY(T_Stocks[[#This Row],[Fecha]]))</f>
        <v>PRHSX-44001</v>
      </c>
    </row>
    <row r="5493" spans="1:4" ht="14.65" thickBot="1" x14ac:dyDescent="0.5">
      <c r="A5493" s="17">
        <v>44004.666666666664</v>
      </c>
      <c r="B5493" s="19">
        <v>87.81</v>
      </c>
      <c r="C5493" t="s">
        <v>51</v>
      </c>
      <c r="D5493" t="str">
        <f>T_Stocks[[#This Row],[Ticker]] &amp; "-" &amp; DATE(YEAR(T_Stocks[[#This Row],[Fecha]]),MONTH(T_Stocks[[#This Row],[Fecha]]),DAY(T_Stocks[[#This Row],[Fecha]]))</f>
        <v>PRHSX-44004</v>
      </c>
    </row>
    <row r="5494" spans="1:4" ht="14.65" thickBot="1" x14ac:dyDescent="0.5">
      <c r="A5494" s="17">
        <v>44005.666666666664</v>
      </c>
      <c r="B5494" s="19">
        <v>88.42</v>
      </c>
      <c r="C5494" t="s">
        <v>51</v>
      </c>
      <c r="D5494" t="str">
        <f>T_Stocks[[#This Row],[Ticker]] &amp; "-" &amp; DATE(YEAR(T_Stocks[[#This Row],[Fecha]]),MONTH(T_Stocks[[#This Row],[Fecha]]),DAY(T_Stocks[[#This Row],[Fecha]]))</f>
        <v>PRHSX-44005</v>
      </c>
    </row>
    <row r="5495" spans="1:4" ht="14.65" thickBot="1" x14ac:dyDescent="0.5">
      <c r="A5495" s="17">
        <v>44006.666666666664</v>
      </c>
      <c r="B5495" s="19">
        <v>86</v>
      </c>
      <c r="C5495" t="s">
        <v>51</v>
      </c>
      <c r="D5495" t="str">
        <f>T_Stocks[[#This Row],[Ticker]] &amp; "-" &amp; DATE(YEAR(T_Stocks[[#This Row],[Fecha]]),MONTH(T_Stocks[[#This Row],[Fecha]]),DAY(T_Stocks[[#This Row],[Fecha]]))</f>
        <v>PRHSX-44006</v>
      </c>
    </row>
    <row r="5496" spans="1:4" ht="14.65" thickBot="1" x14ac:dyDescent="0.5">
      <c r="A5496" s="17">
        <v>44007.666666666664</v>
      </c>
      <c r="B5496" s="19">
        <v>87.05</v>
      </c>
      <c r="C5496" t="s">
        <v>51</v>
      </c>
      <c r="D5496" t="str">
        <f>T_Stocks[[#This Row],[Ticker]] &amp; "-" &amp; DATE(YEAR(T_Stocks[[#This Row],[Fecha]]),MONTH(T_Stocks[[#This Row],[Fecha]]),DAY(T_Stocks[[#This Row],[Fecha]]))</f>
        <v>PRHSX-44007</v>
      </c>
    </row>
    <row r="5497" spans="1:4" ht="14.65" thickBot="1" x14ac:dyDescent="0.5">
      <c r="A5497" s="17">
        <v>44008.666666666664</v>
      </c>
      <c r="B5497" s="19">
        <v>85.52</v>
      </c>
      <c r="C5497" t="s">
        <v>51</v>
      </c>
      <c r="D5497" t="str">
        <f>T_Stocks[[#This Row],[Ticker]] &amp; "-" &amp; DATE(YEAR(T_Stocks[[#This Row],[Fecha]]),MONTH(T_Stocks[[#This Row],[Fecha]]),DAY(T_Stocks[[#This Row],[Fecha]]))</f>
        <v>PRHSX-44008</v>
      </c>
    </row>
    <row r="5498" spans="1:4" ht="14.65" thickBot="1" x14ac:dyDescent="0.5">
      <c r="A5498" s="17">
        <v>44011.666666666664</v>
      </c>
      <c r="B5498" s="19">
        <v>85.64</v>
      </c>
      <c r="C5498" t="s">
        <v>51</v>
      </c>
      <c r="D5498" t="str">
        <f>T_Stocks[[#This Row],[Ticker]] &amp; "-" &amp; DATE(YEAR(T_Stocks[[#This Row],[Fecha]]),MONTH(T_Stocks[[#This Row],[Fecha]]),DAY(T_Stocks[[#This Row],[Fecha]]))</f>
        <v>PRHSX-44011</v>
      </c>
    </row>
    <row r="5499" spans="1:4" ht="14.65" thickBot="1" x14ac:dyDescent="0.5">
      <c r="A5499" s="17">
        <v>44012.666666666664</v>
      </c>
      <c r="B5499" s="19">
        <v>87.06</v>
      </c>
      <c r="C5499" t="s">
        <v>51</v>
      </c>
      <c r="D5499" t="str">
        <f>T_Stocks[[#This Row],[Ticker]] &amp; "-" &amp; DATE(YEAR(T_Stocks[[#This Row],[Fecha]]),MONTH(T_Stocks[[#This Row],[Fecha]]),DAY(T_Stocks[[#This Row],[Fecha]]))</f>
        <v>PRHSX-44012</v>
      </c>
    </row>
    <row r="5500" spans="1:4" ht="14.65" thickBot="1" x14ac:dyDescent="0.5">
      <c r="A5500" s="17">
        <v>44013.666666666664</v>
      </c>
      <c r="B5500" s="19">
        <v>87.64</v>
      </c>
      <c r="C5500" t="s">
        <v>51</v>
      </c>
      <c r="D5500" t="str">
        <f>T_Stocks[[#This Row],[Ticker]] &amp; "-" &amp; DATE(YEAR(T_Stocks[[#This Row],[Fecha]]),MONTH(T_Stocks[[#This Row],[Fecha]]),DAY(T_Stocks[[#This Row],[Fecha]]))</f>
        <v>PRHSX-44013</v>
      </c>
    </row>
    <row r="5501" spans="1:4" ht="14.65" thickBot="1" x14ac:dyDescent="0.5">
      <c r="A5501" s="17">
        <v>44014.666666666664</v>
      </c>
      <c r="B5501" s="19">
        <v>88.29</v>
      </c>
      <c r="C5501" t="s">
        <v>51</v>
      </c>
      <c r="D5501" t="str">
        <f>T_Stocks[[#This Row],[Ticker]] &amp; "-" &amp; DATE(YEAR(T_Stocks[[#This Row],[Fecha]]),MONTH(T_Stocks[[#This Row],[Fecha]]),DAY(T_Stocks[[#This Row],[Fecha]]))</f>
        <v>PRHSX-44014</v>
      </c>
    </row>
    <row r="5502" spans="1:4" ht="14.65" thickBot="1" x14ac:dyDescent="0.5">
      <c r="A5502" s="17">
        <v>44018.666666666664</v>
      </c>
      <c r="B5502" s="19">
        <v>89.13</v>
      </c>
      <c r="C5502" t="s">
        <v>51</v>
      </c>
      <c r="D5502" t="str">
        <f>T_Stocks[[#This Row],[Ticker]] &amp; "-" &amp; DATE(YEAR(T_Stocks[[#This Row],[Fecha]]),MONTH(T_Stocks[[#This Row],[Fecha]]),DAY(T_Stocks[[#This Row],[Fecha]]))</f>
        <v>PRHSX-44018</v>
      </c>
    </row>
    <row r="5503" spans="1:4" ht="14.65" thickBot="1" x14ac:dyDescent="0.5">
      <c r="A5503" s="17">
        <v>44019.666666666664</v>
      </c>
      <c r="B5503" s="19">
        <v>88.92</v>
      </c>
      <c r="C5503" t="s">
        <v>51</v>
      </c>
      <c r="D5503" t="str">
        <f>T_Stocks[[#This Row],[Ticker]] &amp; "-" &amp; DATE(YEAR(T_Stocks[[#This Row],[Fecha]]),MONTH(T_Stocks[[#This Row],[Fecha]]),DAY(T_Stocks[[#This Row],[Fecha]]))</f>
        <v>PRHSX-44019</v>
      </c>
    </row>
    <row r="5504" spans="1:4" ht="14.65" thickBot="1" x14ac:dyDescent="0.5">
      <c r="A5504" s="17">
        <v>44020.666666666664</v>
      </c>
      <c r="B5504" s="19">
        <v>89.54</v>
      </c>
      <c r="C5504" t="s">
        <v>51</v>
      </c>
      <c r="D5504" t="str">
        <f>T_Stocks[[#This Row],[Ticker]] &amp; "-" &amp; DATE(YEAR(T_Stocks[[#This Row],[Fecha]]),MONTH(T_Stocks[[#This Row],[Fecha]]),DAY(T_Stocks[[#This Row],[Fecha]]))</f>
        <v>PRHSX-44020</v>
      </c>
    </row>
    <row r="5505" spans="1:4" ht="14.65" thickBot="1" x14ac:dyDescent="0.5">
      <c r="A5505" s="17">
        <v>44021.666666666664</v>
      </c>
      <c r="B5505" s="19">
        <v>89.07</v>
      </c>
      <c r="C5505" t="s">
        <v>51</v>
      </c>
      <c r="D5505" t="str">
        <f>T_Stocks[[#This Row],[Ticker]] &amp; "-" &amp; DATE(YEAR(T_Stocks[[#This Row],[Fecha]]),MONTH(T_Stocks[[#This Row],[Fecha]]),DAY(T_Stocks[[#This Row],[Fecha]]))</f>
        <v>PRHSX-44021</v>
      </c>
    </row>
    <row r="5506" spans="1:4" ht="14.65" thickBot="1" x14ac:dyDescent="0.5">
      <c r="A5506" s="17">
        <v>44022.666666666664</v>
      </c>
      <c r="B5506" s="19">
        <v>88.55</v>
      </c>
      <c r="C5506" t="s">
        <v>51</v>
      </c>
      <c r="D5506" t="str">
        <f>T_Stocks[[#This Row],[Ticker]] &amp; "-" &amp; DATE(YEAR(T_Stocks[[#This Row],[Fecha]]),MONTH(T_Stocks[[#This Row],[Fecha]]),DAY(T_Stocks[[#This Row],[Fecha]]))</f>
        <v>PRHSX-44022</v>
      </c>
    </row>
    <row r="5507" spans="1:4" ht="14.65" thickBot="1" x14ac:dyDescent="0.5">
      <c r="A5507" s="17">
        <v>44025.666666666664</v>
      </c>
      <c r="B5507" s="19">
        <v>87.41</v>
      </c>
      <c r="C5507" t="s">
        <v>51</v>
      </c>
      <c r="D5507" t="str">
        <f>T_Stocks[[#This Row],[Ticker]] &amp; "-" &amp; DATE(YEAR(T_Stocks[[#This Row],[Fecha]]),MONTH(T_Stocks[[#This Row],[Fecha]]),DAY(T_Stocks[[#This Row],[Fecha]]))</f>
        <v>PRHSX-44025</v>
      </c>
    </row>
    <row r="5508" spans="1:4" ht="14.65" thickBot="1" x14ac:dyDescent="0.5">
      <c r="A5508" s="17">
        <v>44026.666666666664</v>
      </c>
      <c r="B5508" s="19">
        <v>89.25</v>
      </c>
      <c r="C5508" t="s">
        <v>51</v>
      </c>
      <c r="D5508" t="str">
        <f>T_Stocks[[#This Row],[Ticker]] &amp; "-" &amp; DATE(YEAR(T_Stocks[[#This Row],[Fecha]]),MONTH(T_Stocks[[#This Row],[Fecha]]),DAY(T_Stocks[[#This Row],[Fecha]]))</f>
        <v>PRHSX-44026</v>
      </c>
    </row>
    <row r="5509" spans="1:4" ht="14.65" thickBot="1" x14ac:dyDescent="0.5">
      <c r="A5509" s="17">
        <v>44027.666666666664</v>
      </c>
      <c r="B5509" s="19">
        <v>90.82</v>
      </c>
      <c r="C5509" t="s">
        <v>51</v>
      </c>
      <c r="D5509" t="str">
        <f>T_Stocks[[#This Row],[Ticker]] &amp; "-" &amp; DATE(YEAR(T_Stocks[[#This Row],[Fecha]]),MONTH(T_Stocks[[#This Row],[Fecha]]),DAY(T_Stocks[[#This Row],[Fecha]]))</f>
        <v>PRHSX-44027</v>
      </c>
    </row>
    <row r="5510" spans="1:4" ht="14.65" thickBot="1" x14ac:dyDescent="0.5">
      <c r="A5510" s="17">
        <v>44028.666666666664</v>
      </c>
      <c r="B5510" s="19">
        <v>90.16</v>
      </c>
      <c r="C5510" t="s">
        <v>51</v>
      </c>
      <c r="D5510" t="str">
        <f>T_Stocks[[#This Row],[Ticker]] &amp; "-" &amp; DATE(YEAR(T_Stocks[[#This Row],[Fecha]]),MONTH(T_Stocks[[#This Row],[Fecha]]),DAY(T_Stocks[[#This Row],[Fecha]]))</f>
        <v>PRHSX-44028</v>
      </c>
    </row>
    <row r="5511" spans="1:4" ht="14.65" thickBot="1" x14ac:dyDescent="0.5">
      <c r="A5511" s="17">
        <v>44029.666666666664</v>
      </c>
      <c r="B5511" s="19">
        <v>91.86</v>
      </c>
      <c r="C5511" t="s">
        <v>51</v>
      </c>
      <c r="D5511" t="str">
        <f>T_Stocks[[#This Row],[Ticker]] &amp; "-" &amp; DATE(YEAR(T_Stocks[[#This Row],[Fecha]]),MONTH(T_Stocks[[#This Row],[Fecha]]),DAY(T_Stocks[[#This Row],[Fecha]]))</f>
        <v>PRHSX-44029</v>
      </c>
    </row>
    <row r="5512" spans="1:4" ht="14.65" thickBot="1" x14ac:dyDescent="0.5">
      <c r="A5512" s="17">
        <v>44032.666666666664</v>
      </c>
      <c r="B5512" s="19">
        <v>92.58</v>
      </c>
      <c r="C5512" t="s">
        <v>51</v>
      </c>
      <c r="D5512" t="str">
        <f>T_Stocks[[#This Row],[Ticker]] &amp; "-" &amp; DATE(YEAR(T_Stocks[[#This Row],[Fecha]]),MONTH(T_Stocks[[#This Row],[Fecha]]),DAY(T_Stocks[[#This Row],[Fecha]]))</f>
        <v>PRHSX-44032</v>
      </c>
    </row>
    <row r="5513" spans="1:4" ht="14.65" thickBot="1" x14ac:dyDescent="0.5">
      <c r="A5513" s="17">
        <v>44033.666666666664</v>
      </c>
      <c r="B5513" s="19">
        <v>91.56</v>
      </c>
      <c r="C5513" t="s">
        <v>51</v>
      </c>
      <c r="D5513" t="str">
        <f>T_Stocks[[#This Row],[Ticker]] &amp; "-" &amp; DATE(YEAR(T_Stocks[[#This Row],[Fecha]]),MONTH(T_Stocks[[#This Row],[Fecha]]),DAY(T_Stocks[[#This Row],[Fecha]]))</f>
        <v>PRHSX-44033</v>
      </c>
    </row>
    <row r="5514" spans="1:4" ht="14.65" thickBot="1" x14ac:dyDescent="0.5">
      <c r="A5514" s="17">
        <v>44034.666666666664</v>
      </c>
      <c r="B5514" s="19">
        <v>91.87</v>
      </c>
      <c r="C5514" t="s">
        <v>51</v>
      </c>
      <c r="D5514" t="str">
        <f>T_Stocks[[#This Row],[Ticker]] &amp; "-" &amp; DATE(YEAR(T_Stocks[[#This Row],[Fecha]]),MONTH(T_Stocks[[#This Row],[Fecha]]),DAY(T_Stocks[[#This Row],[Fecha]]))</f>
        <v>PRHSX-44034</v>
      </c>
    </row>
    <row r="5515" spans="1:4" ht="14.65" thickBot="1" x14ac:dyDescent="0.5">
      <c r="A5515" s="17">
        <v>44035.666666666664</v>
      </c>
      <c r="B5515" s="19">
        <v>91.01</v>
      </c>
      <c r="C5515" t="s">
        <v>51</v>
      </c>
      <c r="D5515" t="str">
        <f>T_Stocks[[#This Row],[Ticker]] &amp; "-" &amp; DATE(YEAR(T_Stocks[[#This Row],[Fecha]]),MONTH(T_Stocks[[#This Row],[Fecha]]),DAY(T_Stocks[[#This Row],[Fecha]]))</f>
        <v>PRHSX-44035</v>
      </c>
    </row>
    <row r="5516" spans="1:4" ht="14.65" thickBot="1" x14ac:dyDescent="0.5">
      <c r="A5516" s="17">
        <v>44036.666666666664</v>
      </c>
      <c r="B5516" s="19">
        <v>89.74</v>
      </c>
      <c r="C5516" t="s">
        <v>51</v>
      </c>
      <c r="D5516" t="str">
        <f>T_Stocks[[#This Row],[Ticker]] &amp; "-" &amp; DATE(YEAR(T_Stocks[[#This Row],[Fecha]]),MONTH(T_Stocks[[#This Row],[Fecha]]),DAY(T_Stocks[[#This Row],[Fecha]]))</f>
        <v>PRHSX-44036</v>
      </c>
    </row>
    <row r="5517" spans="1:4" ht="14.65" thickBot="1" x14ac:dyDescent="0.5">
      <c r="A5517" s="17">
        <v>44039.666666666664</v>
      </c>
      <c r="B5517" s="19">
        <v>91</v>
      </c>
      <c r="C5517" t="s">
        <v>51</v>
      </c>
      <c r="D5517" t="str">
        <f>T_Stocks[[#This Row],[Ticker]] &amp; "-" &amp; DATE(YEAR(T_Stocks[[#This Row],[Fecha]]),MONTH(T_Stocks[[#This Row],[Fecha]]),DAY(T_Stocks[[#This Row],[Fecha]]))</f>
        <v>PRHSX-44039</v>
      </c>
    </row>
    <row r="5518" spans="1:4" ht="14.65" thickBot="1" x14ac:dyDescent="0.5">
      <c r="A5518" s="17">
        <v>44040.666666666664</v>
      </c>
      <c r="B5518" s="19">
        <v>90.09</v>
      </c>
      <c r="C5518" t="s">
        <v>51</v>
      </c>
      <c r="D5518" t="str">
        <f>T_Stocks[[#This Row],[Ticker]] &amp; "-" &amp; DATE(YEAR(T_Stocks[[#This Row],[Fecha]]),MONTH(T_Stocks[[#This Row],[Fecha]]),DAY(T_Stocks[[#This Row],[Fecha]]))</f>
        <v>PRHSX-44040</v>
      </c>
    </row>
    <row r="5519" spans="1:4" ht="14.65" thickBot="1" x14ac:dyDescent="0.5">
      <c r="A5519" s="17">
        <v>44041.666666666664</v>
      </c>
      <c r="B5519" s="19">
        <v>90.73</v>
      </c>
      <c r="C5519" t="s">
        <v>51</v>
      </c>
      <c r="D5519" t="str">
        <f>T_Stocks[[#This Row],[Ticker]] &amp; "-" &amp; DATE(YEAR(T_Stocks[[#This Row],[Fecha]]),MONTH(T_Stocks[[#This Row],[Fecha]]),DAY(T_Stocks[[#This Row],[Fecha]]))</f>
        <v>PRHSX-44041</v>
      </c>
    </row>
    <row r="5520" spans="1:4" ht="14.65" thickBot="1" x14ac:dyDescent="0.5">
      <c r="A5520" s="17">
        <v>44042.666666666664</v>
      </c>
      <c r="B5520" s="19">
        <v>90.82</v>
      </c>
      <c r="C5520" t="s">
        <v>51</v>
      </c>
      <c r="D5520" t="str">
        <f>T_Stocks[[#This Row],[Ticker]] &amp; "-" &amp; DATE(YEAR(T_Stocks[[#This Row],[Fecha]]),MONTH(T_Stocks[[#This Row],[Fecha]]),DAY(T_Stocks[[#This Row],[Fecha]]))</f>
        <v>PRHSX-44042</v>
      </c>
    </row>
    <row r="5521" spans="1:4" ht="14.65" thickBot="1" x14ac:dyDescent="0.5">
      <c r="A5521" s="17">
        <v>44043.666666666664</v>
      </c>
      <c r="B5521" s="19">
        <v>89.92</v>
      </c>
      <c r="C5521" t="s">
        <v>51</v>
      </c>
      <c r="D5521" t="str">
        <f>T_Stocks[[#This Row],[Ticker]] &amp; "-" &amp; DATE(YEAR(T_Stocks[[#This Row],[Fecha]]),MONTH(T_Stocks[[#This Row],[Fecha]]),DAY(T_Stocks[[#This Row],[Fecha]]))</f>
        <v>PRHSX-44043</v>
      </c>
    </row>
    <row r="5522" spans="1:4" ht="14.65" thickBot="1" x14ac:dyDescent="0.5">
      <c r="A5522" s="17">
        <v>44046.666666666664</v>
      </c>
      <c r="B5522" s="19">
        <v>91.66</v>
      </c>
      <c r="C5522" t="s">
        <v>51</v>
      </c>
      <c r="D5522" t="str">
        <f>T_Stocks[[#This Row],[Ticker]] &amp; "-" &amp; DATE(YEAR(T_Stocks[[#This Row],[Fecha]]),MONTH(T_Stocks[[#This Row],[Fecha]]),DAY(T_Stocks[[#This Row],[Fecha]]))</f>
        <v>PRHSX-44046</v>
      </c>
    </row>
    <row r="5523" spans="1:4" ht="14.65" thickBot="1" x14ac:dyDescent="0.5">
      <c r="A5523" s="17">
        <v>44047.666666666664</v>
      </c>
      <c r="B5523" s="19">
        <v>91.24</v>
      </c>
      <c r="C5523" t="s">
        <v>51</v>
      </c>
      <c r="D5523" t="str">
        <f>T_Stocks[[#This Row],[Ticker]] &amp; "-" &amp; DATE(YEAR(T_Stocks[[#This Row],[Fecha]]),MONTH(T_Stocks[[#This Row],[Fecha]]),DAY(T_Stocks[[#This Row],[Fecha]]))</f>
        <v>PRHSX-44047</v>
      </c>
    </row>
    <row r="5524" spans="1:4" ht="14.65" thickBot="1" x14ac:dyDescent="0.5">
      <c r="A5524" s="17">
        <v>44048.666666666664</v>
      </c>
      <c r="B5524" s="19">
        <v>91.6</v>
      </c>
      <c r="C5524" t="s">
        <v>51</v>
      </c>
      <c r="D5524" t="str">
        <f>T_Stocks[[#This Row],[Ticker]] &amp; "-" &amp; DATE(YEAR(T_Stocks[[#This Row],[Fecha]]),MONTH(T_Stocks[[#This Row],[Fecha]]),DAY(T_Stocks[[#This Row],[Fecha]]))</f>
        <v>PRHSX-44048</v>
      </c>
    </row>
    <row r="5525" spans="1:4" ht="14.65" thickBot="1" x14ac:dyDescent="0.5">
      <c r="A5525" s="17">
        <v>44049.666666666664</v>
      </c>
      <c r="B5525" s="19">
        <v>91.02</v>
      </c>
      <c r="C5525" t="s">
        <v>51</v>
      </c>
      <c r="D5525" t="str">
        <f>T_Stocks[[#This Row],[Ticker]] &amp; "-" &amp; DATE(YEAR(T_Stocks[[#This Row],[Fecha]]),MONTH(T_Stocks[[#This Row],[Fecha]]),DAY(T_Stocks[[#This Row],[Fecha]]))</f>
        <v>PRHSX-44049</v>
      </c>
    </row>
    <row r="5526" spans="1:4" ht="14.65" thickBot="1" x14ac:dyDescent="0.5">
      <c r="A5526" s="17">
        <v>44050.666666666664</v>
      </c>
      <c r="B5526" s="19">
        <v>90.93</v>
      </c>
      <c r="C5526" t="s">
        <v>51</v>
      </c>
      <c r="D5526" t="str">
        <f>T_Stocks[[#This Row],[Ticker]] &amp; "-" &amp; DATE(YEAR(T_Stocks[[#This Row],[Fecha]]),MONTH(T_Stocks[[#This Row],[Fecha]]),DAY(T_Stocks[[#This Row],[Fecha]]))</f>
        <v>PRHSX-44050</v>
      </c>
    </row>
    <row r="5527" spans="1:4" ht="14.65" thickBot="1" x14ac:dyDescent="0.5">
      <c r="A5527" s="17">
        <v>44053.666666666664</v>
      </c>
      <c r="B5527" s="19">
        <v>89.94</v>
      </c>
      <c r="C5527" t="s">
        <v>51</v>
      </c>
      <c r="D5527" t="str">
        <f>T_Stocks[[#This Row],[Ticker]] &amp; "-" &amp; DATE(YEAR(T_Stocks[[#This Row],[Fecha]]),MONTH(T_Stocks[[#This Row],[Fecha]]),DAY(T_Stocks[[#This Row],[Fecha]]))</f>
        <v>PRHSX-44053</v>
      </c>
    </row>
    <row r="5528" spans="1:4" ht="14.65" thickBot="1" x14ac:dyDescent="0.5">
      <c r="A5528" s="17">
        <v>44054.666666666664</v>
      </c>
      <c r="B5528" s="19">
        <v>88.88</v>
      </c>
      <c r="C5528" t="s">
        <v>51</v>
      </c>
      <c r="D5528" t="str">
        <f>T_Stocks[[#This Row],[Ticker]] &amp; "-" &amp; DATE(YEAR(T_Stocks[[#This Row],[Fecha]]),MONTH(T_Stocks[[#This Row],[Fecha]]),DAY(T_Stocks[[#This Row],[Fecha]]))</f>
        <v>PRHSX-44054</v>
      </c>
    </row>
    <row r="5529" spans="1:4" ht="14.65" thickBot="1" x14ac:dyDescent="0.5">
      <c r="A5529" s="17">
        <v>44055.666666666664</v>
      </c>
      <c r="B5529" s="19">
        <v>90.33</v>
      </c>
      <c r="C5529" t="s">
        <v>51</v>
      </c>
      <c r="D5529" t="str">
        <f>T_Stocks[[#This Row],[Ticker]] &amp; "-" &amp; DATE(YEAR(T_Stocks[[#This Row],[Fecha]]),MONTH(T_Stocks[[#This Row],[Fecha]]),DAY(T_Stocks[[#This Row],[Fecha]]))</f>
        <v>PRHSX-44055</v>
      </c>
    </row>
    <row r="5530" spans="1:4" ht="14.65" thickBot="1" x14ac:dyDescent="0.5">
      <c r="A5530" s="17">
        <v>44056.666666666664</v>
      </c>
      <c r="B5530" s="19">
        <v>90.75</v>
      </c>
      <c r="C5530" t="s">
        <v>51</v>
      </c>
      <c r="D5530" t="str">
        <f>T_Stocks[[#This Row],[Ticker]] &amp; "-" &amp; DATE(YEAR(T_Stocks[[#This Row],[Fecha]]),MONTH(T_Stocks[[#This Row],[Fecha]]),DAY(T_Stocks[[#This Row],[Fecha]]))</f>
        <v>PRHSX-44056</v>
      </c>
    </row>
    <row r="5531" spans="1:4" ht="14.65" thickBot="1" x14ac:dyDescent="0.5">
      <c r="A5531" s="17">
        <v>44057.666666666664</v>
      </c>
      <c r="B5531" s="19">
        <v>90.37</v>
      </c>
      <c r="C5531" t="s">
        <v>51</v>
      </c>
      <c r="D5531" t="str">
        <f>T_Stocks[[#This Row],[Ticker]] &amp; "-" &amp; DATE(YEAR(T_Stocks[[#This Row],[Fecha]]),MONTH(T_Stocks[[#This Row],[Fecha]]),DAY(T_Stocks[[#This Row],[Fecha]]))</f>
        <v>PRHSX-44057</v>
      </c>
    </row>
    <row r="5532" spans="1:4" ht="14.65" thickBot="1" x14ac:dyDescent="0.5">
      <c r="A5532" s="17">
        <v>44060.666666666664</v>
      </c>
      <c r="B5532" s="19">
        <v>91.66</v>
      </c>
      <c r="C5532" t="s">
        <v>51</v>
      </c>
      <c r="D5532" t="str">
        <f>T_Stocks[[#This Row],[Ticker]] &amp; "-" &amp; DATE(YEAR(T_Stocks[[#This Row],[Fecha]]),MONTH(T_Stocks[[#This Row],[Fecha]]),DAY(T_Stocks[[#This Row],[Fecha]]))</f>
        <v>PRHSX-44060</v>
      </c>
    </row>
    <row r="5533" spans="1:4" ht="14.65" thickBot="1" x14ac:dyDescent="0.5">
      <c r="A5533" s="17">
        <v>44061.666666666664</v>
      </c>
      <c r="B5533" s="19">
        <v>91.38</v>
      </c>
      <c r="C5533" t="s">
        <v>51</v>
      </c>
      <c r="D5533" t="str">
        <f>T_Stocks[[#This Row],[Ticker]] &amp; "-" &amp; DATE(YEAR(T_Stocks[[#This Row],[Fecha]]),MONTH(T_Stocks[[#This Row],[Fecha]]),DAY(T_Stocks[[#This Row],[Fecha]]))</f>
        <v>PRHSX-44061</v>
      </c>
    </row>
    <row r="5534" spans="1:4" ht="14.65" thickBot="1" x14ac:dyDescent="0.5">
      <c r="A5534" s="17">
        <v>44062.666666666664</v>
      </c>
      <c r="B5534" s="19">
        <v>91.08</v>
      </c>
      <c r="C5534" t="s">
        <v>51</v>
      </c>
      <c r="D5534" t="str">
        <f>T_Stocks[[#This Row],[Ticker]] &amp; "-" &amp; DATE(YEAR(T_Stocks[[#This Row],[Fecha]]),MONTH(T_Stocks[[#This Row],[Fecha]]),DAY(T_Stocks[[#This Row],[Fecha]]))</f>
        <v>PRHSX-44062</v>
      </c>
    </row>
    <row r="5535" spans="1:4" ht="14.65" thickBot="1" x14ac:dyDescent="0.5">
      <c r="A5535" s="17">
        <v>44063.666666666664</v>
      </c>
      <c r="B5535" s="19">
        <v>90.95</v>
      </c>
      <c r="C5535" t="s">
        <v>51</v>
      </c>
      <c r="D5535" t="str">
        <f>T_Stocks[[#This Row],[Ticker]] &amp; "-" &amp; DATE(YEAR(T_Stocks[[#This Row],[Fecha]]),MONTH(T_Stocks[[#This Row],[Fecha]]),DAY(T_Stocks[[#This Row],[Fecha]]))</f>
        <v>PRHSX-44063</v>
      </c>
    </row>
    <row r="5536" spans="1:4" ht="14.65" thickBot="1" x14ac:dyDescent="0.5">
      <c r="A5536" s="17">
        <v>44064.666666666664</v>
      </c>
      <c r="B5536" s="19">
        <v>90.8</v>
      </c>
      <c r="C5536" t="s">
        <v>51</v>
      </c>
      <c r="D5536" t="str">
        <f>T_Stocks[[#This Row],[Ticker]] &amp; "-" &amp; DATE(YEAR(T_Stocks[[#This Row],[Fecha]]),MONTH(T_Stocks[[#This Row],[Fecha]]),DAY(T_Stocks[[#This Row],[Fecha]]))</f>
        <v>PRHSX-44064</v>
      </c>
    </row>
    <row r="5537" spans="1:4" ht="14.65" thickBot="1" x14ac:dyDescent="0.5">
      <c r="A5537" s="17">
        <v>44067.666666666664</v>
      </c>
      <c r="B5537" s="19">
        <v>89.9</v>
      </c>
      <c r="C5537" t="s">
        <v>51</v>
      </c>
      <c r="D5537" t="str">
        <f>T_Stocks[[#This Row],[Ticker]] &amp; "-" &amp; DATE(YEAR(T_Stocks[[#This Row],[Fecha]]),MONTH(T_Stocks[[#This Row],[Fecha]]),DAY(T_Stocks[[#This Row],[Fecha]]))</f>
        <v>PRHSX-44067</v>
      </c>
    </row>
    <row r="5538" spans="1:4" ht="14.65" thickBot="1" x14ac:dyDescent="0.5">
      <c r="A5538" s="17">
        <v>44068.666666666664</v>
      </c>
      <c r="B5538" s="19">
        <v>90.8</v>
      </c>
      <c r="C5538" t="s">
        <v>51</v>
      </c>
      <c r="D5538" t="str">
        <f>T_Stocks[[#This Row],[Ticker]] &amp; "-" &amp; DATE(YEAR(T_Stocks[[#This Row],[Fecha]]),MONTH(T_Stocks[[#This Row],[Fecha]]),DAY(T_Stocks[[#This Row],[Fecha]]))</f>
        <v>PRHSX-44068</v>
      </c>
    </row>
    <row r="5539" spans="1:4" ht="14.65" thickBot="1" x14ac:dyDescent="0.5">
      <c r="A5539" s="17">
        <v>44069.666666666664</v>
      </c>
      <c r="B5539" s="19">
        <v>90.42</v>
      </c>
      <c r="C5539" t="s">
        <v>51</v>
      </c>
      <c r="D5539" t="str">
        <f>T_Stocks[[#This Row],[Ticker]] &amp; "-" &amp; DATE(YEAR(T_Stocks[[#This Row],[Fecha]]),MONTH(T_Stocks[[#This Row],[Fecha]]),DAY(T_Stocks[[#This Row],[Fecha]]))</f>
        <v>PRHSX-44069</v>
      </c>
    </row>
    <row r="5540" spans="1:4" ht="14.65" thickBot="1" x14ac:dyDescent="0.5">
      <c r="A5540" s="17">
        <v>44070.666666666664</v>
      </c>
      <c r="B5540" s="19">
        <v>90.17</v>
      </c>
      <c r="C5540" t="s">
        <v>51</v>
      </c>
      <c r="D5540" t="str">
        <f>T_Stocks[[#This Row],[Ticker]] &amp; "-" &amp; DATE(YEAR(T_Stocks[[#This Row],[Fecha]]),MONTH(T_Stocks[[#This Row],[Fecha]]),DAY(T_Stocks[[#This Row],[Fecha]]))</f>
        <v>PRHSX-44070</v>
      </c>
    </row>
    <row r="5541" spans="1:4" ht="14.65" thickBot="1" x14ac:dyDescent="0.5">
      <c r="A5541" s="17">
        <v>44071.666666666664</v>
      </c>
      <c r="B5541" s="19">
        <v>90.38</v>
      </c>
      <c r="C5541" t="s">
        <v>51</v>
      </c>
      <c r="D5541" t="str">
        <f>T_Stocks[[#This Row],[Ticker]] &amp; "-" &amp; DATE(YEAR(T_Stocks[[#This Row],[Fecha]]),MONTH(T_Stocks[[#This Row],[Fecha]]),DAY(T_Stocks[[#This Row],[Fecha]]))</f>
        <v>PRHSX-44071</v>
      </c>
    </row>
    <row r="5542" spans="1:4" ht="14.65" thickBot="1" x14ac:dyDescent="0.5">
      <c r="A5542" s="17">
        <v>44074.666666666664</v>
      </c>
      <c r="B5542" s="19">
        <v>91.53</v>
      </c>
      <c r="C5542" t="s">
        <v>51</v>
      </c>
      <c r="D5542" t="str">
        <f>T_Stocks[[#This Row],[Ticker]] &amp; "-" &amp; DATE(YEAR(T_Stocks[[#This Row],[Fecha]]),MONTH(T_Stocks[[#This Row],[Fecha]]),DAY(T_Stocks[[#This Row],[Fecha]]))</f>
        <v>PRHSX-44074</v>
      </c>
    </row>
    <row r="5543" spans="1:4" ht="14.65" thickBot="1" x14ac:dyDescent="0.5">
      <c r="A5543" s="17">
        <v>44075.666666666664</v>
      </c>
      <c r="B5543" s="19">
        <v>90.92</v>
      </c>
      <c r="C5543" t="s">
        <v>51</v>
      </c>
      <c r="D5543" t="str">
        <f>T_Stocks[[#This Row],[Ticker]] &amp; "-" &amp; DATE(YEAR(T_Stocks[[#This Row],[Fecha]]),MONTH(T_Stocks[[#This Row],[Fecha]]),DAY(T_Stocks[[#This Row],[Fecha]]))</f>
        <v>PRHSX-44075</v>
      </c>
    </row>
    <row r="5544" spans="1:4" ht="14.65" thickBot="1" x14ac:dyDescent="0.5">
      <c r="A5544" s="17">
        <v>44076.666666666664</v>
      </c>
      <c r="B5544" s="19">
        <v>92.42</v>
      </c>
      <c r="C5544" t="s">
        <v>51</v>
      </c>
      <c r="D5544" t="str">
        <f>T_Stocks[[#This Row],[Ticker]] &amp; "-" &amp; DATE(YEAR(T_Stocks[[#This Row],[Fecha]]),MONTH(T_Stocks[[#This Row],[Fecha]]),DAY(T_Stocks[[#This Row],[Fecha]]))</f>
        <v>PRHSX-44076</v>
      </c>
    </row>
    <row r="5545" spans="1:4" ht="14.65" thickBot="1" x14ac:dyDescent="0.5">
      <c r="A5545" s="17">
        <v>44077.666666666664</v>
      </c>
      <c r="B5545" s="19">
        <v>89.37</v>
      </c>
      <c r="C5545" t="s">
        <v>51</v>
      </c>
      <c r="D5545" t="str">
        <f>T_Stocks[[#This Row],[Ticker]] &amp; "-" &amp; DATE(YEAR(T_Stocks[[#This Row],[Fecha]]),MONTH(T_Stocks[[#This Row],[Fecha]]),DAY(T_Stocks[[#This Row],[Fecha]]))</f>
        <v>PRHSX-44077</v>
      </c>
    </row>
    <row r="5546" spans="1:4" ht="14.65" thickBot="1" x14ac:dyDescent="0.5">
      <c r="A5546" s="17">
        <v>44078.666666666664</v>
      </c>
      <c r="B5546" s="19">
        <v>88.6</v>
      </c>
      <c r="C5546" t="s">
        <v>51</v>
      </c>
      <c r="D5546" t="str">
        <f>T_Stocks[[#This Row],[Ticker]] &amp; "-" &amp; DATE(YEAR(T_Stocks[[#This Row],[Fecha]]),MONTH(T_Stocks[[#This Row],[Fecha]]),DAY(T_Stocks[[#This Row],[Fecha]]))</f>
        <v>PRHSX-44078</v>
      </c>
    </row>
    <row r="5547" spans="1:4" ht="14.65" thickBot="1" x14ac:dyDescent="0.5">
      <c r="A5547" s="17">
        <v>44082.666666666664</v>
      </c>
      <c r="B5547" s="19">
        <v>87.3</v>
      </c>
      <c r="C5547" t="s">
        <v>51</v>
      </c>
      <c r="D5547" t="str">
        <f>T_Stocks[[#This Row],[Ticker]] &amp; "-" &amp; DATE(YEAR(T_Stocks[[#This Row],[Fecha]]),MONTH(T_Stocks[[#This Row],[Fecha]]),DAY(T_Stocks[[#This Row],[Fecha]]))</f>
        <v>PRHSX-44082</v>
      </c>
    </row>
    <row r="5548" spans="1:4" ht="14.65" thickBot="1" x14ac:dyDescent="0.5">
      <c r="A5548" s="17">
        <v>44083.666666666664</v>
      </c>
      <c r="B5548" s="19">
        <v>88.97</v>
      </c>
      <c r="C5548" t="s">
        <v>51</v>
      </c>
      <c r="D5548" t="str">
        <f>T_Stocks[[#This Row],[Ticker]] &amp; "-" &amp; DATE(YEAR(T_Stocks[[#This Row],[Fecha]]),MONTH(T_Stocks[[#This Row],[Fecha]]),DAY(T_Stocks[[#This Row],[Fecha]]))</f>
        <v>PRHSX-44083</v>
      </c>
    </row>
    <row r="5549" spans="1:4" ht="14.65" thickBot="1" x14ac:dyDescent="0.5">
      <c r="A5549" s="17">
        <v>44084.666666666664</v>
      </c>
      <c r="B5549" s="19">
        <v>87.75</v>
      </c>
      <c r="C5549" t="s">
        <v>51</v>
      </c>
      <c r="D5549" t="str">
        <f>T_Stocks[[#This Row],[Ticker]] &amp; "-" &amp; DATE(YEAR(T_Stocks[[#This Row],[Fecha]]),MONTH(T_Stocks[[#This Row],[Fecha]]),DAY(T_Stocks[[#This Row],[Fecha]]))</f>
        <v>PRHSX-44084</v>
      </c>
    </row>
    <row r="5550" spans="1:4" ht="14.65" thickBot="1" x14ac:dyDescent="0.5">
      <c r="A5550" s="17">
        <v>44085.666666666664</v>
      </c>
      <c r="B5550" s="19">
        <v>88.15</v>
      </c>
      <c r="C5550" t="s">
        <v>51</v>
      </c>
      <c r="D5550" t="str">
        <f>T_Stocks[[#This Row],[Ticker]] &amp; "-" &amp; DATE(YEAR(T_Stocks[[#This Row],[Fecha]]),MONTH(T_Stocks[[#This Row],[Fecha]]),DAY(T_Stocks[[#This Row],[Fecha]]))</f>
        <v>PRHSX-44085</v>
      </c>
    </row>
    <row r="5551" spans="1:4" ht="14.65" thickBot="1" x14ac:dyDescent="0.5">
      <c r="A5551" s="17">
        <v>44088.666666666664</v>
      </c>
      <c r="B5551" s="19">
        <v>90.95</v>
      </c>
      <c r="C5551" t="s">
        <v>51</v>
      </c>
      <c r="D5551" t="str">
        <f>T_Stocks[[#This Row],[Ticker]] &amp; "-" &amp; DATE(YEAR(T_Stocks[[#This Row],[Fecha]]),MONTH(T_Stocks[[#This Row],[Fecha]]),DAY(T_Stocks[[#This Row],[Fecha]]))</f>
        <v>PRHSX-44088</v>
      </c>
    </row>
    <row r="5552" spans="1:4" ht="14.65" thickBot="1" x14ac:dyDescent="0.5">
      <c r="A5552" s="17">
        <v>44089.666666666664</v>
      </c>
      <c r="B5552" s="19">
        <v>91.79</v>
      </c>
      <c r="C5552" t="s">
        <v>51</v>
      </c>
      <c r="D5552" t="str">
        <f>T_Stocks[[#This Row],[Ticker]] &amp; "-" &amp; DATE(YEAR(T_Stocks[[#This Row],[Fecha]]),MONTH(T_Stocks[[#This Row],[Fecha]]),DAY(T_Stocks[[#This Row],[Fecha]]))</f>
        <v>PRHSX-44089</v>
      </c>
    </row>
    <row r="5553" spans="1:4" ht="14.65" thickBot="1" x14ac:dyDescent="0.5">
      <c r="A5553" s="17">
        <v>44090.666666666664</v>
      </c>
      <c r="B5553" s="19">
        <v>92.04</v>
      </c>
      <c r="C5553" t="s">
        <v>51</v>
      </c>
      <c r="D5553" t="str">
        <f>T_Stocks[[#This Row],[Ticker]] &amp; "-" &amp; DATE(YEAR(T_Stocks[[#This Row],[Fecha]]),MONTH(T_Stocks[[#This Row],[Fecha]]),DAY(T_Stocks[[#This Row],[Fecha]]))</f>
        <v>PRHSX-44090</v>
      </c>
    </row>
    <row r="5554" spans="1:4" ht="14.65" thickBot="1" x14ac:dyDescent="0.5">
      <c r="A5554" s="17">
        <v>44091.666666666664</v>
      </c>
      <c r="B5554" s="19">
        <v>92.07</v>
      </c>
      <c r="C5554" t="s">
        <v>51</v>
      </c>
      <c r="D5554" t="str">
        <f>T_Stocks[[#This Row],[Ticker]] &amp; "-" &amp; DATE(YEAR(T_Stocks[[#This Row],[Fecha]]),MONTH(T_Stocks[[#This Row],[Fecha]]),DAY(T_Stocks[[#This Row],[Fecha]]))</f>
        <v>PRHSX-44091</v>
      </c>
    </row>
    <row r="5555" spans="1:4" ht="14.65" thickBot="1" x14ac:dyDescent="0.5">
      <c r="A5555" s="17">
        <v>44092.666666666664</v>
      </c>
      <c r="B5555" s="19">
        <v>92.45</v>
      </c>
      <c r="C5555" t="s">
        <v>51</v>
      </c>
      <c r="D5555" t="str">
        <f>T_Stocks[[#This Row],[Ticker]] &amp; "-" &amp; DATE(YEAR(T_Stocks[[#This Row],[Fecha]]),MONTH(T_Stocks[[#This Row],[Fecha]]),DAY(T_Stocks[[#This Row],[Fecha]]))</f>
        <v>PRHSX-44092</v>
      </c>
    </row>
    <row r="5556" spans="1:4" ht="14.65" thickBot="1" x14ac:dyDescent="0.5">
      <c r="A5556" s="17">
        <v>44095.666666666664</v>
      </c>
      <c r="B5556" s="19">
        <v>90.52</v>
      </c>
      <c r="C5556" t="s">
        <v>51</v>
      </c>
      <c r="D5556" t="str">
        <f>T_Stocks[[#This Row],[Ticker]] &amp; "-" &amp; DATE(YEAR(T_Stocks[[#This Row],[Fecha]]),MONTH(T_Stocks[[#This Row],[Fecha]]),DAY(T_Stocks[[#This Row],[Fecha]]))</f>
        <v>PRHSX-44095</v>
      </c>
    </row>
    <row r="5557" spans="1:4" ht="14.65" thickBot="1" x14ac:dyDescent="0.5">
      <c r="A5557" s="17">
        <v>44096.666666666664</v>
      </c>
      <c r="B5557" s="19">
        <v>90.79</v>
      </c>
      <c r="C5557" t="s">
        <v>51</v>
      </c>
      <c r="D5557" t="str">
        <f>T_Stocks[[#This Row],[Ticker]] &amp; "-" &amp; DATE(YEAR(T_Stocks[[#This Row],[Fecha]]),MONTH(T_Stocks[[#This Row],[Fecha]]),DAY(T_Stocks[[#This Row],[Fecha]]))</f>
        <v>PRHSX-44096</v>
      </c>
    </row>
    <row r="5558" spans="1:4" ht="14.65" thickBot="1" x14ac:dyDescent="0.5">
      <c r="A5558" s="17">
        <v>44097.666666666664</v>
      </c>
      <c r="B5558" s="19">
        <v>89.71</v>
      </c>
      <c r="C5558" t="s">
        <v>51</v>
      </c>
      <c r="D5558" t="str">
        <f>T_Stocks[[#This Row],[Ticker]] &amp; "-" &amp; DATE(YEAR(T_Stocks[[#This Row],[Fecha]]),MONTH(T_Stocks[[#This Row],[Fecha]]),DAY(T_Stocks[[#This Row],[Fecha]]))</f>
        <v>PRHSX-44097</v>
      </c>
    </row>
    <row r="5559" spans="1:4" ht="14.65" thickBot="1" x14ac:dyDescent="0.5">
      <c r="A5559" s="17">
        <v>44098.666666666664</v>
      </c>
      <c r="B5559" s="19">
        <v>89.03</v>
      </c>
      <c r="C5559" t="s">
        <v>51</v>
      </c>
      <c r="D5559" t="str">
        <f>T_Stocks[[#This Row],[Ticker]] &amp; "-" &amp; DATE(YEAR(T_Stocks[[#This Row],[Fecha]]),MONTH(T_Stocks[[#This Row],[Fecha]]),DAY(T_Stocks[[#This Row],[Fecha]]))</f>
        <v>PRHSX-44098</v>
      </c>
    </row>
    <row r="5560" spans="1:4" ht="14.65" thickBot="1" x14ac:dyDescent="0.5">
      <c r="A5560" s="17">
        <v>44099.666666666664</v>
      </c>
      <c r="B5560" s="19">
        <v>90.89</v>
      </c>
      <c r="C5560" t="s">
        <v>51</v>
      </c>
      <c r="D5560" t="str">
        <f>T_Stocks[[#This Row],[Ticker]] &amp; "-" &amp; DATE(YEAR(T_Stocks[[#This Row],[Fecha]]),MONTH(T_Stocks[[#This Row],[Fecha]]),DAY(T_Stocks[[#This Row],[Fecha]]))</f>
        <v>PRHSX-44099</v>
      </c>
    </row>
    <row r="5561" spans="1:4" ht="14.65" thickBot="1" x14ac:dyDescent="0.5">
      <c r="A5561" s="17">
        <v>44102.666666666664</v>
      </c>
      <c r="B5561" s="19">
        <v>91.57</v>
      </c>
      <c r="C5561" t="s">
        <v>51</v>
      </c>
      <c r="D5561" t="str">
        <f>T_Stocks[[#This Row],[Ticker]] &amp; "-" &amp; DATE(YEAR(T_Stocks[[#This Row],[Fecha]]),MONTH(T_Stocks[[#This Row],[Fecha]]),DAY(T_Stocks[[#This Row],[Fecha]]))</f>
        <v>PRHSX-44102</v>
      </c>
    </row>
    <row r="5562" spans="1:4" ht="14.65" thickBot="1" x14ac:dyDescent="0.5">
      <c r="A5562" s="17">
        <v>44103.666666666664</v>
      </c>
      <c r="B5562" s="19">
        <v>91.93</v>
      </c>
      <c r="C5562" t="s">
        <v>51</v>
      </c>
      <c r="D5562" t="str">
        <f>T_Stocks[[#This Row],[Ticker]] &amp; "-" &amp; DATE(YEAR(T_Stocks[[#This Row],[Fecha]]),MONTH(T_Stocks[[#This Row],[Fecha]]),DAY(T_Stocks[[#This Row],[Fecha]]))</f>
        <v>PRHSX-44103</v>
      </c>
    </row>
    <row r="5563" spans="1:4" ht="14.65" thickBot="1" x14ac:dyDescent="0.5">
      <c r="A5563" s="17">
        <v>44104.666666666664</v>
      </c>
      <c r="B5563" s="19">
        <v>93.02</v>
      </c>
      <c r="C5563" t="s">
        <v>51</v>
      </c>
      <c r="D5563" t="str">
        <f>T_Stocks[[#This Row],[Ticker]] &amp; "-" &amp; DATE(YEAR(T_Stocks[[#This Row],[Fecha]]),MONTH(T_Stocks[[#This Row],[Fecha]]),DAY(T_Stocks[[#This Row],[Fecha]]))</f>
        <v>PRHSX-44104</v>
      </c>
    </row>
    <row r="5564" spans="1:4" ht="14.65" thickBot="1" x14ac:dyDescent="0.5">
      <c r="A5564" s="17">
        <v>44105.666666666664</v>
      </c>
      <c r="B5564" s="19">
        <v>93.33</v>
      </c>
      <c r="C5564" t="s">
        <v>51</v>
      </c>
      <c r="D5564" t="str">
        <f>T_Stocks[[#This Row],[Ticker]] &amp; "-" &amp; DATE(YEAR(T_Stocks[[#This Row],[Fecha]]),MONTH(T_Stocks[[#This Row],[Fecha]]),DAY(T_Stocks[[#This Row],[Fecha]]))</f>
        <v>PRHSX-44105</v>
      </c>
    </row>
    <row r="5565" spans="1:4" ht="14.65" thickBot="1" x14ac:dyDescent="0.5">
      <c r="A5565" s="17">
        <v>44106.666666666664</v>
      </c>
      <c r="B5565" s="19">
        <v>92.17</v>
      </c>
      <c r="C5565" t="s">
        <v>51</v>
      </c>
      <c r="D5565" t="str">
        <f>T_Stocks[[#This Row],[Ticker]] &amp; "-" &amp; DATE(YEAR(T_Stocks[[#This Row],[Fecha]]),MONTH(T_Stocks[[#This Row],[Fecha]]),DAY(T_Stocks[[#This Row],[Fecha]]))</f>
        <v>PRHSX-44106</v>
      </c>
    </row>
    <row r="5566" spans="1:4" ht="14.65" thickBot="1" x14ac:dyDescent="0.5">
      <c r="A5566" s="17">
        <v>44109.666666666664</v>
      </c>
      <c r="B5566" s="19">
        <v>95.35</v>
      </c>
      <c r="C5566" t="s">
        <v>51</v>
      </c>
      <c r="D5566" t="str">
        <f>T_Stocks[[#This Row],[Ticker]] &amp; "-" &amp; DATE(YEAR(T_Stocks[[#This Row],[Fecha]]),MONTH(T_Stocks[[#This Row],[Fecha]]),DAY(T_Stocks[[#This Row],[Fecha]]))</f>
        <v>PRHSX-44109</v>
      </c>
    </row>
    <row r="5567" spans="1:4" ht="14.65" thickBot="1" x14ac:dyDescent="0.5">
      <c r="A5567" s="17">
        <v>44110.666666666664</v>
      </c>
      <c r="B5567" s="19">
        <v>94.41</v>
      </c>
      <c r="C5567" t="s">
        <v>51</v>
      </c>
      <c r="D5567" t="str">
        <f>T_Stocks[[#This Row],[Ticker]] &amp; "-" &amp; DATE(YEAR(T_Stocks[[#This Row],[Fecha]]),MONTH(T_Stocks[[#This Row],[Fecha]]),DAY(T_Stocks[[#This Row],[Fecha]]))</f>
        <v>PRHSX-44110</v>
      </c>
    </row>
    <row r="5568" spans="1:4" ht="14.65" thickBot="1" x14ac:dyDescent="0.5">
      <c r="A5568" s="17">
        <v>44111.666666666664</v>
      </c>
      <c r="B5568" s="19">
        <v>96.6</v>
      </c>
      <c r="C5568" t="s">
        <v>51</v>
      </c>
      <c r="D5568" t="str">
        <f>T_Stocks[[#This Row],[Ticker]] &amp; "-" &amp; DATE(YEAR(T_Stocks[[#This Row],[Fecha]]),MONTH(T_Stocks[[#This Row],[Fecha]]),DAY(T_Stocks[[#This Row],[Fecha]]))</f>
        <v>PRHSX-44111</v>
      </c>
    </row>
    <row r="5569" spans="1:4" ht="14.65" thickBot="1" x14ac:dyDescent="0.5">
      <c r="A5569" s="17">
        <v>44112.666666666664</v>
      </c>
      <c r="B5569" s="19">
        <v>96.96</v>
      </c>
      <c r="C5569" t="s">
        <v>51</v>
      </c>
      <c r="D5569" t="str">
        <f>T_Stocks[[#This Row],[Ticker]] &amp; "-" &amp; DATE(YEAR(T_Stocks[[#This Row],[Fecha]]),MONTH(T_Stocks[[#This Row],[Fecha]]),DAY(T_Stocks[[#This Row],[Fecha]]))</f>
        <v>PRHSX-44112</v>
      </c>
    </row>
    <row r="5570" spans="1:4" ht="14.65" thickBot="1" x14ac:dyDescent="0.5">
      <c r="A5570" s="17">
        <v>44113.666666666664</v>
      </c>
      <c r="B5570" s="19">
        <v>98.02</v>
      </c>
      <c r="C5570" t="s">
        <v>51</v>
      </c>
      <c r="D5570" t="str">
        <f>T_Stocks[[#This Row],[Ticker]] &amp; "-" &amp; DATE(YEAR(T_Stocks[[#This Row],[Fecha]]),MONTH(T_Stocks[[#This Row],[Fecha]]),DAY(T_Stocks[[#This Row],[Fecha]]))</f>
        <v>PRHSX-44113</v>
      </c>
    </row>
    <row r="5571" spans="1:4" ht="14.65" thickBot="1" x14ac:dyDescent="0.5">
      <c r="A5571" s="17">
        <v>44116.666666666664</v>
      </c>
      <c r="B5571" s="19">
        <v>98.52</v>
      </c>
      <c r="C5571" t="s">
        <v>51</v>
      </c>
      <c r="D5571" t="str">
        <f>T_Stocks[[#This Row],[Ticker]] &amp; "-" &amp; DATE(YEAR(T_Stocks[[#This Row],[Fecha]]),MONTH(T_Stocks[[#This Row],[Fecha]]),DAY(T_Stocks[[#This Row],[Fecha]]))</f>
        <v>PRHSX-44116</v>
      </c>
    </row>
    <row r="5572" spans="1:4" ht="14.65" thickBot="1" x14ac:dyDescent="0.5">
      <c r="A5572" s="17">
        <v>44117.666666666664</v>
      </c>
      <c r="B5572" s="19">
        <v>98.66</v>
      </c>
      <c r="C5572" t="s">
        <v>51</v>
      </c>
      <c r="D5572" t="str">
        <f>T_Stocks[[#This Row],[Ticker]] &amp; "-" &amp; DATE(YEAR(T_Stocks[[#This Row],[Fecha]]),MONTH(T_Stocks[[#This Row],[Fecha]]),DAY(T_Stocks[[#This Row],[Fecha]]))</f>
        <v>PRHSX-44117</v>
      </c>
    </row>
    <row r="5573" spans="1:4" ht="14.65" thickBot="1" x14ac:dyDescent="0.5">
      <c r="A5573" s="17">
        <v>44118.666666666664</v>
      </c>
      <c r="B5573" s="19">
        <v>97.5</v>
      </c>
      <c r="C5573" t="s">
        <v>51</v>
      </c>
      <c r="D5573" t="str">
        <f>T_Stocks[[#This Row],[Ticker]] &amp; "-" &amp; DATE(YEAR(T_Stocks[[#This Row],[Fecha]]),MONTH(T_Stocks[[#This Row],[Fecha]]),DAY(T_Stocks[[#This Row],[Fecha]]))</f>
        <v>PRHSX-44118</v>
      </c>
    </row>
    <row r="5574" spans="1:4" ht="14.65" thickBot="1" x14ac:dyDescent="0.5">
      <c r="A5574" s="17">
        <v>44119.666666666664</v>
      </c>
      <c r="B5574" s="19">
        <v>96.63</v>
      </c>
      <c r="C5574" t="s">
        <v>51</v>
      </c>
      <c r="D5574" t="str">
        <f>T_Stocks[[#This Row],[Ticker]] &amp; "-" &amp; DATE(YEAR(T_Stocks[[#This Row],[Fecha]]),MONTH(T_Stocks[[#This Row],[Fecha]]),DAY(T_Stocks[[#This Row],[Fecha]]))</f>
        <v>PRHSX-44119</v>
      </c>
    </row>
    <row r="5575" spans="1:4" ht="14.65" thickBot="1" x14ac:dyDescent="0.5">
      <c r="A5575" s="17">
        <v>44120.666666666664</v>
      </c>
      <c r="B5575" s="19">
        <v>97.27</v>
      </c>
      <c r="C5575" t="s">
        <v>51</v>
      </c>
      <c r="D5575" t="str">
        <f>T_Stocks[[#This Row],[Ticker]] &amp; "-" &amp; DATE(YEAR(T_Stocks[[#This Row],[Fecha]]),MONTH(T_Stocks[[#This Row],[Fecha]]),DAY(T_Stocks[[#This Row],[Fecha]]))</f>
        <v>PRHSX-44120</v>
      </c>
    </row>
    <row r="5576" spans="1:4" ht="14.65" thickBot="1" x14ac:dyDescent="0.5">
      <c r="A5576" s="17">
        <v>44123.666666666664</v>
      </c>
      <c r="B5576" s="19">
        <v>95.95</v>
      </c>
      <c r="C5576" t="s">
        <v>51</v>
      </c>
      <c r="D5576" t="str">
        <f>T_Stocks[[#This Row],[Ticker]] &amp; "-" &amp; DATE(YEAR(T_Stocks[[#This Row],[Fecha]]),MONTH(T_Stocks[[#This Row],[Fecha]]),DAY(T_Stocks[[#This Row],[Fecha]]))</f>
        <v>PRHSX-44123</v>
      </c>
    </row>
    <row r="5577" spans="1:4" ht="14.65" thickBot="1" x14ac:dyDescent="0.5">
      <c r="A5577" s="17">
        <v>44124.666666666664</v>
      </c>
      <c r="B5577" s="19">
        <v>95.56</v>
      </c>
      <c r="C5577" t="s">
        <v>51</v>
      </c>
      <c r="D5577" t="str">
        <f>T_Stocks[[#This Row],[Ticker]] &amp; "-" &amp; DATE(YEAR(T_Stocks[[#This Row],[Fecha]]),MONTH(T_Stocks[[#This Row],[Fecha]]),DAY(T_Stocks[[#This Row],[Fecha]]))</f>
        <v>PRHSX-44124</v>
      </c>
    </row>
    <row r="5578" spans="1:4" ht="14.65" thickBot="1" x14ac:dyDescent="0.5">
      <c r="A5578" s="17">
        <v>44125.666666666664</v>
      </c>
      <c r="B5578" s="19">
        <v>94.62</v>
      </c>
      <c r="C5578" t="s">
        <v>51</v>
      </c>
      <c r="D5578" t="str">
        <f>T_Stocks[[#This Row],[Ticker]] &amp; "-" &amp; DATE(YEAR(T_Stocks[[#This Row],[Fecha]]),MONTH(T_Stocks[[#This Row],[Fecha]]),DAY(T_Stocks[[#This Row],[Fecha]]))</f>
        <v>PRHSX-44125</v>
      </c>
    </row>
    <row r="5579" spans="1:4" ht="14.65" thickBot="1" x14ac:dyDescent="0.5">
      <c r="A5579" s="17">
        <v>44126.666666666664</v>
      </c>
      <c r="B5579" s="19">
        <v>95.96</v>
      </c>
      <c r="C5579" t="s">
        <v>51</v>
      </c>
      <c r="D5579" t="str">
        <f>T_Stocks[[#This Row],[Ticker]] &amp; "-" &amp; DATE(YEAR(T_Stocks[[#This Row],[Fecha]]),MONTH(T_Stocks[[#This Row],[Fecha]]),DAY(T_Stocks[[#This Row],[Fecha]]))</f>
        <v>PRHSX-44126</v>
      </c>
    </row>
    <row r="5580" spans="1:4" ht="14.65" thickBot="1" x14ac:dyDescent="0.5">
      <c r="A5580" s="17">
        <v>44127.666666666664</v>
      </c>
      <c r="B5580" s="19">
        <v>96.42</v>
      </c>
      <c r="C5580" t="s">
        <v>51</v>
      </c>
      <c r="D5580" t="str">
        <f>T_Stocks[[#This Row],[Ticker]] &amp; "-" &amp; DATE(YEAR(T_Stocks[[#This Row],[Fecha]]),MONTH(T_Stocks[[#This Row],[Fecha]]),DAY(T_Stocks[[#This Row],[Fecha]]))</f>
        <v>PRHSX-44127</v>
      </c>
    </row>
    <row r="5581" spans="1:4" ht="14.65" thickBot="1" x14ac:dyDescent="0.5">
      <c r="A5581" s="17">
        <v>44130.666666666664</v>
      </c>
      <c r="B5581" s="19">
        <v>95.54</v>
      </c>
      <c r="C5581" t="s">
        <v>51</v>
      </c>
      <c r="D5581" t="str">
        <f>T_Stocks[[#This Row],[Ticker]] &amp; "-" &amp; DATE(YEAR(T_Stocks[[#This Row],[Fecha]]),MONTH(T_Stocks[[#This Row],[Fecha]]),DAY(T_Stocks[[#This Row],[Fecha]]))</f>
        <v>PRHSX-44130</v>
      </c>
    </row>
    <row r="5582" spans="1:4" ht="14.65" thickBot="1" x14ac:dyDescent="0.5">
      <c r="A5582" s="17">
        <v>44131.666666666664</v>
      </c>
      <c r="B5582" s="19">
        <v>95.99</v>
      </c>
      <c r="C5582" t="s">
        <v>51</v>
      </c>
      <c r="D5582" t="str">
        <f>T_Stocks[[#This Row],[Ticker]] &amp; "-" &amp; DATE(YEAR(T_Stocks[[#This Row],[Fecha]]),MONTH(T_Stocks[[#This Row],[Fecha]]),DAY(T_Stocks[[#This Row],[Fecha]]))</f>
        <v>PRHSX-44131</v>
      </c>
    </row>
    <row r="5583" spans="1:4" ht="14.65" thickBot="1" x14ac:dyDescent="0.5">
      <c r="A5583" s="17">
        <v>44132.666666666664</v>
      </c>
      <c r="B5583" s="19">
        <v>93.26</v>
      </c>
      <c r="C5583" t="s">
        <v>51</v>
      </c>
      <c r="D5583" t="str">
        <f>T_Stocks[[#This Row],[Ticker]] &amp; "-" &amp; DATE(YEAR(T_Stocks[[#This Row],[Fecha]]),MONTH(T_Stocks[[#This Row],[Fecha]]),DAY(T_Stocks[[#This Row],[Fecha]]))</f>
        <v>PRHSX-44132</v>
      </c>
    </row>
    <row r="5584" spans="1:4" ht="14.65" thickBot="1" x14ac:dyDescent="0.5">
      <c r="A5584" s="17">
        <v>44133.666666666664</v>
      </c>
      <c r="B5584" s="19">
        <v>92.99</v>
      </c>
      <c r="C5584" t="s">
        <v>51</v>
      </c>
      <c r="D5584" t="str">
        <f>T_Stocks[[#This Row],[Ticker]] &amp; "-" &amp; DATE(YEAR(T_Stocks[[#This Row],[Fecha]]),MONTH(T_Stocks[[#This Row],[Fecha]]),DAY(T_Stocks[[#This Row],[Fecha]]))</f>
        <v>PRHSX-44133</v>
      </c>
    </row>
    <row r="5585" spans="1:4" ht="14.65" thickBot="1" x14ac:dyDescent="0.5">
      <c r="A5585" s="17">
        <v>44134.666666666664</v>
      </c>
      <c r="B5585" s="19">
        <v>92</v>
      </c>
      <c r="C5585" t="s">
        <v>51</v>
      </c>
      <c r="D5585" t="str">
        <f>T_Stocks[[#This Row],[Ticker]] &amp; "-" &amp; DATE(YEAR(T_Stocks[[#This Row],[Fecha]]),MONTH(T_Stocks[[#This Row],[Fecha]]),DAY(T_Stocks[[#This Row],[Fecha]]))</f>
        <v>PRHSX-44134</v>
      </c>
    </row>
    <row r="5586" spans="1:4" ht="14.65" thickBot="1" x14ac:dyDescent="0.5">
      <c r="A5586" s="17">
        <v>44137.666666666664</v>
      </c>
      <c r="B5586" s="19">
        <v>92.74</v>
      </c>
      <c r="C5586" t="s">
        <v>51</v>
      </c>
      <c r="D5586" t="str">
        <f>T_Stocks[[#This Row],[Ticker]] &amp; "-" &amp; DATE(YEAR(T_Stocks[[#This Row],[Fecha]]),MONTH(T_Stocks[[#This Row],[Fecha]]),DAY(T_Stocks[[#This Row],[Fecha]]))</f>
        <v>PRHSX-44137</v>
      </c>
    </row>
    <row r="5587" spans="1:4" ht="14.65" thickBot="1" x14ac:dyDescent="0.5">
      <c r="A5587" s="17">
        <v>44138.666666666664</v>
      </c>
      <c r="B5587" s="19">
        <v>94.68</v>
      </c>
      <c r="C5587" t="s">
        <v>51</v>
      </c>
      <c r="D5587" t="str">
        <f>T_Stocks[[#This Row],[Ticker]] &amp; "-" &amp; DATE(YEAR(T_Stocks[[#This Row],[Fecha]]),MONTH(T_Stocks[[#This Row],[Fecha]]),DAY(T_Stocks[[#This Row],[Fecha]]))</f>
        <v>PRHSX-44138</v>
      </c>
    </row>
    <row r="5588" spans="1:4" ht="14.65" thickBot="1" x14ac:dyDescent="0.5">
      <c r="A5588" s="17">
        <v>44139.666666666664</v>
      </c>
      <c r="B5588" s="19">
        <v>99.49</v>
      </c>
      <c r="C5588" t="s">
        <v>51</v>
      </c>
      <c r="D5588" t="str">
        <f>T_Stocks[[#This Row],[Ticker]] &amp; "-" &amp; DATE(YEAR(T_Stocks[[#This Row],[Fecha]]),MONTH(T_Stocks[[#This Row],[Fecha]]),DAY(T_Stocks[[#This Row],[Fecha]]))</f>
        <v>PRHSX-44139</v>
      </c>
    </row>
    <row r="5589" spans="1:4" ht="14.65" thickBot="1" x14ac:dyDescent="0.5">
      <c r="A5589" s="17">
        <v>44140.666666666664</v>
      </c>
      <c r="B5589" s="19">
        <v>100.59</v>
      </c>
      <c r="C5589" t="s">
        <v>51</v>
      </c>
      <c r="D5589" t="str">
        <f>T_Stocks[[#This Row],[Ticker]] &amp; "-" &amp; DATE(YEAR(T_Stocks[[#This Row],[Fecha]]),MONTH(T_Stocks[[#This Row],[Fecha]]),DAY(T_Stocks[[#This Row],[Fecha]]))</f>
        <v>PRHSX-44140</v>
      </c>
    </row>
    <row r="5590" spans="1:4" ht="14.65" thickBot="1" x14ac:dyDescent="0.5">
      <c r="A5590" s="17">
        <v>44141.666666666664</v>
      </c>
      <c r="B5590" s="19">
        <v>99.83</v>
      </c>
      <c r="C5590" t="s">
        <v>51</v>
      </c>
      <c r="D5590" t="str">
        <f>T_Stocks[[#This Row],[Ticker]] &amp; "-" &amp; DATE(YEAR(T_Stocks[[#This Row],[Fecha]]),MONTH(T_Stocks[[#This Row],[Fecha]]),DAY(T_Stocks[[#This Row],[Fecha]]))</f>
        <v>PRHSX-44141</v>
      </c>
    </row>
    <row r="5591" spans="1:4" ht="14.65" thickBot="1" x14ac:dyDescent="0.5">
      <c r="A5591" s="17">
        <v>44144.666666666664</v>
      </c>
      <c r="B5591" s="19">
        <v>99.21</v>
      </c>
      <c r="C5591" t="s">
        <v>51</v>
      </c>
      <c r="D5591" t="str">
        <f>T_Stocks[[#This Row],[Ticker]] &amp; "-" &amp; DATE(YEAR(T_Stocks[[#This Row],[Fecha]]),MONTH(T_Stocks[[#This Row],[Fecha]]),DAY(T_Stocks[[#This Row],[Fecha]]))</f>
        <v>PRHSX-44144</v>
      </c>
    </row>
    <row r="5592" spans="1:4" ht="14.65" thickBot="1" x14ac:dyDescent="0.5">
      <c r="A5592" s="17">
        <v>44145.666666666664</v>
      </c>
      <c r="B5592" s="19">
        <v>99.1</v>
      </c>
      <c r="C5592" t="s">
        <v>51</v>
      </c>
      <c r="D5592" t="str">
        <f>T_Stocks[[#This Row],[Ticker]] &amp; "-" &amp; DATE(YEAR(T_Stocks[[#This Row],[Fecha]]),MONTH(T_Stocks[[#This Row],[Fecha]]),DAY(T_Stocks[[#This Row],[Fecha]]))</f>
        <v>PRHSX-44145</v>
      </c>
    </row>
    <row r="5593" spans="1:4" ht="14.65" thickBot="1" x14ac:dyDescent="0.5">
      <c r="A5593" s="17">
        <v>44146.666666666664</v>
      </c>
      <c r="B5593" s="19">
        <v>100.01</v>
      </c>
      <c r="C5593" t="s">
        <v>51</v>
      </c>
      <c r="D5593" t="str">
        <f>T_Stocks[[#This Row],[Ticker]] &amp; "-" &amp; DATE(YEAR(T_Stocks[[#This Row],[Fecha]]),MONTH(T_Stocks[[#This Row],[Fecha]]),DAY(T_Stocks[[#This Row],[Fecha]]))</f>
        <v>PRHSX-44146</v>
      </c>
    </row>
    <row r="5594" spans="1:4" ht="14.65" thickBot="1" x14ac:dyDescent="0.5">
      <c r="A5594" s="17">
        <v>44147.666666666664</v>
      </c>
      <c r="B5594" s="19">
        <v>99.98</v>
      </c>
      <c r="C5594" t="s">
        <v>51</v>
      </c>
      <c r="D5594" t="str">
        <f>T_Stocks[[#This Row],[Ticker]] &amp; "-" &amp; DATE(YEAR(T_Stocks[[#This Row],[Fecha]]),MONTH(T_Stocks[[#This Row],[Fecha]]),DAY(T_Stocks[[#This Row],[Fecha]]))</f>
        <v>PRHSX-44147</v>
      </c>
    </row>
    <row r="5595" spans="1:4" ht="14.65" thickBot="1" x14ac:dyDescent="0.5">
      <c r="A5595" s="17">
        <v>44148.666666666664</v>
      </c>
      <c r="B5595" s="19">
        <v>100.92</v>
      </c>
      <c r="C5595" t="s">
        <v>51</v>
      </c>
      <c r="D5595" t="str">
        <f>T_Stocks[[#This Row],[Ticker]] &amp; "-" &amp; DATE(YEAR(T_Stocks[[#This Row],[Fecha]]),MONTH(T_Stocks[[#This Row],[Fecha]]),DAY(T_Stocks[[#This Row],[Fecha]]))</f>
        <v>PRHSX-44148</v>
      </c>
    </row>
    <row r="5596" spans="1:4" ht="14.65" thickBot="1" x14ac:dyDescent="0.5">
      <c r="A5596" s="17">
        <v>44151.666666666664</v>
      </c>
      <c r="B5596" s="19">
        <v>100.68</v>
      </c>
      <c r="C5596" t="s">
        <v>51</v>
      </c>
      <c r="D5596" t="str">
        <f>T_Stocks[[#This Row],[Ticker]] &amp; "-" &amp; DATE(YEAR(T_Stocks[[#This Row],[Fecha]]),MONTH(T_Stocks[[#This Row],[Fecha]]),DAY(T_Stocks[[#This Row],[Fecha]]))</f>
        <v>PRHSX-44151</v>
      </c>
    </row>
    <row r="5597" spans="1:4" ht="14.65" thickBot="1" x14ac:dyDescent="0.5">
      <c r="A5597" s="17">
        <v>44152.666666666664</v>
      </c>
      <c r="B5597" s="19">
        <v>100.25</v>
      </c>
      <c r="C5597" t="s">
        <v>51</v>
      </c>
      <c r="D5597" t="str">
        <f>T_Stocks[[#This Row],[Ticker]] &amp; "-" &amp; DATE(YEAR(T_Stocks[[#This Row],[Fecha]]),MONTH(T_Stocks[[#This Row],[Fecha]]),DAY(T_Stocks[[#This Row],[Fecha]]))</f>
        <v>PRHSX-44152</v>
      </c>
    </row>
    <row r="5598" spans="1:4" ht="14.65" thickBot="1" x14ac:dyDescent="0.5">
      <c r="A5598" s="17">
        <v>44153.666666666664</v>
      </c>
      <c r="B5598" s="19">
        <v>98.41</v>
      </c>
      <c r="C5598" t="s">
        <v>51</v>
      </c>
      <c r="D5598" t="str">
        <f>T_Stocks[[#This Row],[Ticker]] &amp; "-" &amp; DATE(YEAR(T_Stocks[[#This Row],[Fecha]]),MONTH(T_Stocks[[#This Row],[Fecha]]),DAY(T_Stocks[[#This Row],[Fecha]]))</f>
        <v>PRHSX-44153</v>
      </c>
    </row>
    <row r="5599" spans="1:4" ht="14.65" thickBot="1" x14ac:dyDescent="0.5">
      <c r="A5599" s="17">
        <v>44154.666666666664</v>
      </c>
      <c r="B5599" s="19">
        <v>98.64</v>
      </c>
      <c r="C5599" t="s">
        <v>51</v>
      </c>
      <c r="D5599" t="str">
        <f>T_Stocks[[#This Row],[Ticker]] &amp; "-" &amp; DATE(YEAR(T_Stocks[[#This Row],[Fecha]]),MONTH(T_Stocks[[#This Row],[Fecha]]),DAY(T_Stocks[[#This Row],[Fecha]]))</f>
        <v>PRHSX-44154</v>
      </c>
    </row>
    <row r="5600" spans="1:4" ht="14.65" thickBot="1" x14ac:dyDescent="0.5">
      <c r="A5600" s="17">
        <v>44155.666666666664</v>
      </c>
      <c r="B5600" s="19">
        <v>98.98</v>
      </c>
      <c r="C5600" t="s">
        <v>51</v>
      </c>
      <c r="D5600" t="str">
        <f>T_Stocks[[#This Row],[Ticker]] &amp; "-" &amp; DATE(YEAR(T_Stocks[[#This Row],[Fecha]]),MONTH(T_Stocks[[#This Row],[Fecha]]),DAY(T_Stocks[[#This Row],[Fecha]]))</f>
        <v>PRHSX-44155</v>
      </c>
    </row>
    <row r="5601" spans="1:4" ht="14.65" thickBot="1" x14ac:dyDescent="0.5">
      <c r="A5601" s="17">
        <v>44158.666666666664</v>
      </c>
      <c r="B5601" s="19">
        <v>98.93</v>
      </c>
      <c r="C5601" t="s">
        <v>51</v>
      </c>
      <c r="D5601" t="str">
        <f>T_Stocks[[#This Row],[Ticker]] &amp; "-" &amp; DATE(YEAR(T_Stocks[[#This Row],[Fecha]]),MONTH(T_Stocks[[#This Row],[Fecha]]),DAY(T_Stocks[[#This Row],[Fecha]]))</f>
        <v>PRHSX-44158</v>
      </c>
    </row>
    <row r="5602" spans="1:4" ht="14.65" thickBot="1" x14ac:dyDescent="0.5">
      <c r="A5602" s="17">
        <v>44159.666666666664</v>
      </c>
      <c r="B5602" s="19">
        <v>98.6</v>
      </c>
      <c r="C5602" t="s">
        <v>51</v>
      </c>
      <c r="D5602" t="str">
        <f>T_Stocks[[#This Row],[Ticker]] &amp; "-" &amp; DATE(YEAR(T_Stocks[[#This Row],[Fecha]]),MONTH(T_Stocks[[#This Row],[Fecha]]),DAY(T_Stocks[[#This Row],[Fecha]]))</f>
        <v>PRHSX-44159</v>
      </c>
    </row>
    <row r="5603" spans="1:4" ht="14.65" thickBot="1" x14ac:dyDescent="0.5">
      <c r="A5603" s="17">
        <v>44160.666666666664</v>
      </c>
      <c r="B5603" s="19">
        <v>98.64</v>
      </c>
      <c r="C5603" t="s">
        <v>51</v>
      </c>
      <c r="D5603" t="str">
        <f>T_Stocks[[#This Row],[Ticker]] &amp; "-" &amp; DATE(YEAR(T_Stocks[[#This Row],[Fecha]]),MONTH(T_Stocks[[#This Row],[Fecha]]),DAY(T_Stocks[[#This Row],[Fecha]]))</f>
        <v>PRHSX-44160</v>
      </c>
    </row>
    <row r="5604" spans="1:4" ht="14.65" thickBot="1" x14ac:dyDescent="0.5">
      <c r="A5604" s="17">
        <v>44162.541666666664</v>
      </c>
      <c r="B5604" s="19">
        <v>100.53</v>
      </c>
      <c r="C5604" t="s">
        <v>51</v>
      </c>
      <c r="D5604" t="str">
        <f>T_Stocks[[#This Row],[Ticker]] &amp; "-" &amp; DATE(YEAR(T_Stocks[[#This Row],[Fecha]]),MONTH(T_Stocks[[#This Row],[Fecha]]),DAY(T_Stocks[[#This Row],[Fecha]]))</f>
        <v>PRHSX-44162</v>
      </c>
    </row>
    <row r="5605" spans="1:4" ht="14.65" thickBot="1" x14ac:dyDescent="0.5">
      <c r="A5605" s="17">
        <v>44165.666666666664</v>
      </c>
      <c r="B5605" s="19">
        <v>101.23</v>
      </c>
      <c r="C5605" t="s">
        <v>51</v>
      </c>
      <c r="D5605" t="str">
        <f>T_Stocks[[#This Row],[Ticker]] &amp; "-" &amp; DATE(YEAR(T_Stocks[[#This Row],[Fecha]]),MONTH(T_Stocks[[#This Row],[Fecha]]),DAY(T_Stocks[[#This Row],[Fecha]]))</f>
        <v>PRHSX-44165</v>
      </c>
    </row>
    <row r="5606" spans="1:4" ht="14.65" thickBot="1" x14ac:dyDescent="0.5">
      <c r="A5606" s="17">
        <v>44166.666666666664</v>
      </c>
      <c r="B5606" s="19">
        <v>101.42</v>
      </c>
      <c r="C5606" t="s">
        <v>51</v>
      </c>
      <c r="D5606" t="str">
        <f>T_Stocks[[#This Row],[Ticker]] &amp; "-" &amp; DATE(YEAR(T_Stocks[[#This Row],[Fecha]]),MONTH(T_Stocks[[#This Row],[Fecha]]),DAY(T_Stocks[[#This Row],[Fecha]]))</f>
        <v>PRHSX-44166</v>
      </c>
    </row>
    <row r="5607" spans="1:4" ht="14.65" thickBot="1" x14ac:dyDescent="0.5">
      <c r="A5607" s="17">
        <v>44167.666666666664</v>
      </c>
      <c r="B5607" s="19">
        <v>101.47</v>
      </c>
      <c r="C5607" t="s">
        <v>51</v>
      </c>
      <c r="D5607" t="str">
        <f>T_Stocks[[#This Row],[Ticker]] &amp; "-" &amp; DATE(YEAR(T_Stocks[[#This Row],[Fecha]]),MONTH(T_Stocks[[#This Row],[Fecha]]),DAY(T_Stocks[[#This Row],[Fecha]]))</f>
        <v>PRHSX-44167</v>
      </c>
    </row>
    <row r="5608" spans="1:4" ht="14.65" thickBot="1" x14ac:dyDescent="0.5">
      <c r="A5608" s="17">
        <v>44168.666666666664</v>
      </c>
      <c r="B5608" s="19">
        <v>101.74</v>
      </c>
      <c r="C5608" t="s">
        <v>51</v>
      </c>
      <c r="D5608" t="str">
        <f>T_Stocks[[#This Row],[Ticker]] &amp; "-" &amp; DATE(YEAR(T_Stocks[[#This Row],[Fecha]]),MONTH(T_Stocks[[#This Row],[Fecha]]),DAY(T_Stocks[[#This Row],[Fecha]]))</f>
        <v>PRHSX-44168</v>
      </c>
    </row>
    <row r="5609" spans="1:4" ht="14.65" thickBot="1" x14ac:dyDescent="0.5">
      <c r="A5609" s="17">
        <v>44169.666666666664</v>
      </c>
      <c r="B5609" s="19">
        <v>103.48</v>
      </c>
      <c r="C5609" t="s">
        <v>51</v>
      </c>
      <c r="D5609" t="str">
        <f>T_Stocks[[#This Row],[Ticker]] &amp; "-" &amp; DATE(YEAR(T_Stocks[[#This Row],[Fecha]]),MONTH(T_Stocks[[#This Row],[Fecha]]),DAY(T_Stocks[[#This Row],[Fecha]]))</f>
        <v>PRHSX-44169</v>
      </c>
    </row>
    <row r="5610" spans="1:4" ht="14.65" thickBot="1" x14ac:dyDescent="0.5">
      <c r="A5610" s="17">
        <v>44172.666666666664</v>
      </c>
      <c r="B5610" s="19">
        <v>103.53</v>
      </c>
      <c r="C5610" t="s">
        <v>51</v>
      </c>
      <c r="D5610" t="str">
        <f>T_Stocks[[#This Row],[Ticker]] &amp; "-" &amp; DATE(YEAR(T_Stocks[[#This Row],[Fecha]]),MONTH(T_Stocks[[#This Row],[Fecha]]),DAY(T_Stocks[[#This Row],[Fecha]]))</f>
        <v>PRHSX-44172</v>
      </c>
    </row>
    <row r="5611" spans="1:4" ht="14.65" thickBot="1" x14ac:dyDescent="0.5">
      <c r="A5611" s="17">
        <v>44173.666666666664</v>
      </c>
      <c r="B5611" s="19">
        <v>104.5</v>
      </c>
      <c r="C5611" t="s">
        <v>51</v>
      </c>
      <c r="D5611" t="str">
        <f>T_Stocks[[#This Row],[Ticker]] &amp; "-" &amp; DATE(YEAR(T_Stocks[[#This Row],[Fecha]]),MONTH(T_Stocks[[#This Row],[Fecha]]),DAY(T_Stocks[[#This Row],[Fecha]]))</f>
        <v>PRHSX-44173</v>
      </c>
    </row>
    <row r="5612" spans="1:4" ht="14.65" thickBot="1" x14ac:dyDescent="0.5">
      <c r="A5612" s="17">
        <v>44174.666666666664</v>
      </c>
      <c r="B5612" s="19">
        <v>103.44</v>
      </c>
      <c r="C5612" t="s">
        <v>51</v>
      </c>
      <c r="D5612" t="str">
        <f>T_Stocks[[#This Row],[Ticker]] &amp; "-" &amp; DATE(YEAR(T_Stocks[[#This Row],[Fecha]]),MONTH(T_Stocks[[#This Row],[Fecha]]),DAY(T_Stocks[[#This Row],[Fecha]]))</f>
        <v>PRHSX-44174</v>
      </c>
    </row>
    <row r="5613" spans="1:4" ht="14.65" thickBot="1" x14ac:dyDescent="0.5">
      <c r="A5613" s="17">
        <v>44175.666666666664</v>
      </c>
      <c r="B5613" s="19">
        <v>104.6</v>
      </c>
      <c r="C5613" t="s">
        <v>51</v>
      </c>
      <c r="D5613" t="str">
        <f>T_Stocks[[#This Row],[Ticker]] &amp; "-" &amp; DATE(YEAR(T_Stocks[[#This Row],[Fecha]]),MONTH(T_Stocks[[#This Row],[Fecha]]),DAY(T_Stocks[[#This Row],[Fecha]]))</f>
        <v>PRHSX-44175</v>
      </c>
    </row>
    <row r="5614" spans="1:4" ht="14.65" thickBot="1" x14ac:dyDescent="0.5">
      <c r="A5614" s="17">
        <v>44176.666666666664</v>
      </c>
      <c r="B5614" s="19">
        <v>104.39</v>
      </c>
      <c r="C5614" t="s">
        <v>51</v>
      </c>
      <c r="D5614" t="str">
        <f>T_Stocks[[#This Row],[Ticker]] &amp; "-" &amp; DATE(YEAR(T_Stocks[[#This Row],[Fecha]]),MONTH(T_Stocks[[#This Row],[Fecha]]),DAY(T_Stocks[[#This Row],[Fecha]]))</f>
        <v>PRHSX-44176</v>
      </c>
    </row>
    <row r="5615" spans="1:4" ht="14.65" thickBot="1" x14ac:dyDescent="0.5">
      <c r="A5615" s="17">
        <v>44179.666666666664</v>
      </c>
      <c r="B5615" s="19">
        <v>104.75</v>
      </c>
      <c r="C5615" t="s">
        <v>51</v>
      </c>
      <c r="D5615" t="str">
        <f>T_Stocks[[#This Row],[Ticker]] &amp; "-" &amp; DATE(YEAR(T_Stocks[[#This Row],[Fecha]]),MONTH(T_Stocks[[#This Row],[Fecha]]),DAY(T_Stocks[[#This Row],[Fecha]]))</f>
        <v>PRHSX-44179</v>
      </c>
    </row>
    <row r="5616" spans="1:4" ht="14.65" thickBot="1" x14ac:dyDescent="0.5">
      <c r="A5616" s="17">
        <v>44180.666666666664</v>
      </c>
      <c r="B5616" s="19">
        <v>98.46</v>
      </c>
      <c r="C5616" t="s">
        <v>51</v>
      </c>
      <c r="D5616" t="str">
        <f>T_Stocks[[#This Row],[Ticker]] &amp; "-" &amp; DATE(YEAR(T_Stocks[[#This Row],[Fecha]]),MONTH(T_Stocks[[#This Row],[Fecha]]),DAY(T_Stocks[[#This Row],[Fecha]]))</f>
        <v>PRHSX-44180</v>
      </c>
    </row>
    <row r="5617" spans="1:4" ht="14.65" thickBot="1" x14ac:dyDescent="0.5">
      <c r="A5617" s="17">
        <v>44181.666666666664</v>
      </c>
      <c r="B5617" s="19">
        <v>98.12</v>
      </c>
      <c r="C5617" t="s">
        <v>51</v>
      </c>
      <c r="D5617" t="str">
        <f>T_Stocks[[#This Row],[Ticker]] &amp; "-" &amp; DATE(YEAR(T_Stocks[[#This Row],[Fecha]]),MONTH(T_Stocks[[#This Row],[Fecha]]),DAY(T_Stocks[[#This Row],[Fecha]]))</f>
        <v>PRHSX-44181</v>
      </c>
    </row>
    <row r="5618" spans="1:4" ht="14.65" thickBot="1" x14ac:dyDescent="0.5">
      <c r="A5618" s="17">
        <v>44182.666666666664</v>
      </c>
      <c r="B5618" s="19">
        <v>99.51</v>
      </c>
      <c r="C5618" t="s">
        <v>51</v>
      </c>
      <c r="D5618" t="str">
        <f>T_Stocks[[#This Row],[Ticker]] &amp; "-" &amp; DATE(YEAR(T_Stocks[[#This Row],[Fecha]]),MONTH(T_Stocks[[#This Row],[Fecha]]),DAY(T_Stocks[[#This Row],[Fecha]]))</f>
        <v>PRHSX-44182</v>
      </c>
    </row>
    <row r="5619" spans="1:4" ht="14.65" thickBot="1" x14ac:dyDescent="0.5">
      <c r="A5619" s="17">
        <v>44183.666666666664</v>
      </c>
      <c r="B5619" s="19">
        <v>99.57</v>
      </c>
      <c r="C5619" t="s">
        <v>51</v>
      </c>
      <c r="D5619" t="str">
        <f>T_Stocks[[#This Row],[Ticker]] &amp; "-" &amp; DATE(YEAR(T_Stocks[[#This Row],[Fecha]]),MONTH(T_Stocks[[#This Row],[Fecha]]),DAY(T_Stocks[[#This Row],[Fecha]]))</f>
        <v>PRHSX-44183</v>
      </c>
    </row>
    <row r="5620" spans="1:4" ht="14.65" thickBot="1" x14ac:dyDescent="0.5">
      <c r="A5620" s="17">
        <v>44186.666666666664</v>
      </c>
      <c r="B5620" s="19">
        <v>99.48</v>
      </c>
      <c r="C5620" t="s">
        <v>51</v>
      </c>
      <c r="D5620" t="str">
        <f>T_Stocks[[#This Row],[Ticker]] &amp; "-" &amp; DATE(YEAR(T_Stocks[[#This Row],[Fecha]]),MONTH(T_Stocks[[#This Row],[Fecha]]),DAY(T_Stocks[[#This Row],[Fecha]]))</f>
        <v>PRHSX-44186</v>
      </c>
    </row>
    <row r="5621" spans="1:4" ht="14.65" thickBot="1" x14ac:dyDescent="0.5">
      <c r="A5621" s="17">
        <v>44187.666666666664</v>
      </c>
      <c r="B5621" s="19">
        <v>100.28</v>
      </c>
      <c r="C5621" t="s">
        <v>51</v>
      </c>
      <c r="D5621" t="str">
        <f>T_Stocks[[#This Row],[Ticker]] &amp; "-" &amp; DATE(YEAR(T_Stocks[[#This Row],[Fecha]]),MONTH(T_Stocks[[#This Row],[Fecha]]),DAY(T_Stocks[[#This Row],[Fecha]]))</f>
        <v>PRHSX-44187</v>
      </c>
    </row>
    <row r="5622" spans="1:4" ht="14.65" thickBot="1" x14ac:dyDescent="0.5">
      <c r="A5622" s="17">
        <v>44188.666666666664</v>
      </c>
      <c r="B5622" s="19">
        <v>100.43</v>
      </c>
      <c r="C5622" t="s">
        <v>51</v>
      </c>
      <c r="D5622" t="str">
        <f>T_Stocks[[#This Row],[Ticker]] &amp; "-" &amp; DATE(YEAR(T_Stocks[[#This Row],[Fecha]]),MONTH(T_Stocks[[#This Row],[Fecha]]),DAY(T_Stocks[[#This Row],[Fecha]]))</f>
        <v>PRHSX-44188</v>
      </c>
    </row>
    <row r="5623" spans="1:4" ht="14.65" thickBot="1" x14ac:dyDescent="0.5">
      <c r="A5623" s="17">
        <v>44189.541666666664</v>
      </c>
      <c r="B5623" s="19">
        <v>100.08</v>
      </c>
      <c r="C5623" t="s">
        <v>51</v>
      </c>
      <c r="D5623" t="str">
        <f>T_Stocks[[#This Row],[Ticker]] &amp; "-" &amp; DATE(YEAR(T_Stocks[[#This Row],[Fecha]]),MONTH(T_Stocks[[#This Row],[Fecha]]),DAY(T_Stocks[[#This Row],[Fecha]]))</f>
        <v>PRHSX-44189</v>
      </c>
    </row>
    <row r="5624" spans="1:4" ht="14.65" thickBot="1" x14ac:dyDescent="0.5">
      <c r="A5624" s="17">
        <v>44193.666666666664</v>
      </c>
      <c r="B5624" s="19">
        <v>99.49</v>
      </c>
      <c r="C5624" t="s">
        <v>51</v>
      </c>
      <c r="D5624" t="str">
        <f>T_Stocks[[#This Row],[Ticker]] &amp; "-" &amp; DATE(YEAR(T_Stocks[[#This Row],[Fecha]]),MONTH(T_Stocks[[#This Row],[Fecha]]),DAY(T_Stocks[[#This Row],[Fecha]]))</f>
        <v>PRHSX-44193</v>
      </c>
    </row>
    <row r="5625" spans="1:4" ht="14.65" thickBot="1" x14ac:dyDescent="0.5">
      <c r="A5625" s="17">
        <v>44194.666666666664</v>
      </c>
      <c r="B5625" s="19">
        <v>98.59</v>
      </c>
      <c r="C5625" t="s">
        <v>51</v>
      </c>
      <c r="D5625" t="str">
        <f>T_Stocks[[#This Row],[Ticker]] &amp; "-" &amp; DATE(YEAR(T_Stocks[[#This Row],[Fecha]]),MONTH(T_Stocks[[#This Row],[Fecha]]),DAY(T_Stocks[[#This Row],[Fecha]]))</f>
        <v>PRHSX-44194</v>
      </c>
    </row>
    <row r="5626" spans="1:4" ht="14.65" thickBot="1" x14ac:dyDescent="0.5">
      <c r="A5626" s="17">
        <v>44195.666666666664</v>
      </c>
      <c r="B5626" s="19">
        <v>98.89</v>
      </c>
      <c r="C5626" t="s">
        <v>51</v>
      </c>
      <c r="D5626" t="str">
        <f>T_Stocks[[#This Row],[Ticker]] &amp; "-" &amp; DATE(YEAR(T_Stocks[[#This Row],[Fecha]]),MONTH(T_Stocks[[#This Row],[Fecha]]),DAY(T_Stocks[[#This Row],[Fecha]]))</f>
        <v>PRHSX-44195</v>
      </c>
    </row>
    <row r="5627" spans="1:4" ht="14.65" thickBot="1" x14ac:dyDescent="0.5">
      <c r="A5627" s="17">
        <v>44196.666666666664</v>
      </c>
      <c r="B5627" s="19">
        <v>98.85</v>
      </c>
      <c r="C5627" t="s">
        <v>51</v>
      </c>
      <c r="D5627" t="str">
        <f>T_Stocks[[#This Row],[Ticker]] &amp; "-" &amp; DATE(YEAR(T_Stocks[[#This Row],[Fecha]]),MONTH(T_Stocks[[#This Row],[Fecha]]),DAY(T_Stocks[[#This Row],[Fecha]]))</f>
        <v>PRHSX-44196</v>
      </c>
    </row>
    <row r="5628" spans="1:4" ht="14.65" thickBot="1" x14ac:dyDescent="0.5">
      <c r="A5628" s="17">
        <v>44200.666666666664</v>
      </c>
      <c r="B5628" s="19">
        <v>98</v>
      </c>
      <c r="C5628" t="s">
        <v>51</v>
      </c>
      <c r="D5628" t="str">
        <f>T_Stocks[[#This Row],[Ticker]] &amp; "-" &amp; DATE(YEAR(T_Stocks[[#This Row],[Fecha]]),MONTH(T_Stocks[[#This Row],[Fecha]]),DAY(T_Stocks[[#This Row],[Fecha]]))</f>
        <v>PRHSX-44200</v>
      </c>
    </row>
    <row r="5629" spans="1:4" ht="14.65" thickBot="1" x14ac:dyDescent="0.5">
      <c r="A5629" s="17">
        <v>44201.666666666664</v>
      </c>
      <c r="B5629" s="19">
        <v>98.27</v>
      </c>
      <c r="C5629" t="s">
        <v>51</v>
      </c>
      <c r="D5629" t="str">
        <f>T_Stocks[[#This Row],[Ticker]] &amp; "-" &amp; DATE(YEAR(T_Stocks[[#This Row],[Fecha]]),MONTH(T_Stocks[[#This Row],[Fecha]]),DAY(T_Stocks[[#This Row],[Fecha]]))</f>
        <v>PRHSX-44201</v>
      </c>
    </row>
    <row r="5630" spans="1:4" ht="14.65" thickBot="1" x14ac:dyDescent="0.5">
      <c r="A5630" s="17">
        <v>44202.666666666664</v>
      </c>
      <c r="B5630" s="19">
        <v>99.65</v>
      </c>
      <c r="C5630" t="s">
        <v>51</v>
      </c>
      <c r="D5630" t="str">
        <f>T_Stocks[[#This Row],[Ticker]] &amp; "-" &amp; DATE(YEAR(T_Stocks[[#This Row],[Fecha]]),MONTH(T_Stocks[[#This Row],[Fecha]]),DAY(T_Stocks[[#This Row],[Fecha]]))</f>
        <v>PRHSX-44202</v>
      </c>
    </row>
    <row r="5631" spans="1:4" ht="14.65" thickBot="1" x14ac:dyDescent="0.5">
      <c r="A5631" s="17">
        <v>44203.666666666664</v>
      </c>
      <c r="B5631" s="19">
        <v>102.2</v>
      </c>
      <c r="C5631" t="s">
        <v>51</v>
      </c>
      <c r="D5631" t="str">
        <f>T_Stocks[[#This Row],[Ticker]] &amp; "-" &amp; DATE(YEAR(T_Stocks[[#This Row],[Fecha]]),MONTH(T_Stocks[[#This Row],[Fecha]]),DAY(T_Stocks[[#This Row],[Fecha]]))</f>
        <v>PRHSX-44203</v>
      </c>
    </row>
    <row r="5632" spans="1:4" ht="14.65" thickBot="1" x14ac:dyDescent="0.5">
      <c r="A5632" s="17">
        <v>44204.666666666664</v>
      </c>
      <c r="B5632" s="19">
        <v>103.15</v>
      </c>
      <c r="C5632" t="s">
        <v>51</v>
      </c>
      <c r="D5632" t="str">
        <f>T_Stocks[[#This Row],[Ticker]] &amp; "-" &amp; DATE(YEAR(T_Stocks[[#This Row],[Fecha]]),MONTH(T_Stocks[[#This Row],[Fecha]]),DAY(T_Stocks[[#This Row],[Fecha]]))</f>
        <v>PRHSX-44204</v>
      </c>
    </row>
    <row r="5633" spans="1:4" ht="14.65" thickBot="1" x14ac:dyDescent="0.5">
      <c r="A5633" s="17">
        <v>44207.666666666664</v>
      </c>
      <c r="B5633" s="19">
        <v>103.53</v>
      </c>
      <c r="C5633" t="s">
        <v>51</v>
      </c>
      <c r="D5633" t="str">
        <f>T_Stocks[[#This Row],[Ticker]] &amp; "-" &amp; DATE(YEAR(T_Stocks[[#This Row],[Fecha]]),MONTH(T_Stocks[[#This Row],[Fecha]]),DAY(T_Stocks[[#This Row],[Fecha]]))</f>
        <v>PRHSX-44207</v>
      </c>
    </row>
    <row r="5634" spans="1:4" ht="14.65" thickBot="1" x14ac:dyDescent="0.5">
      <c r="A5634" s="17">
        <v>44208.666666666664</v>
      </c>
      <c r="B5634" s="19">
        <v>103.28</v>
      </c>
      <c r="C5634" t="s">
        <v>51</v>
      </c>
      <c r="D5634" t="str">
        <f>T_Stocks[[#This Row],[Ticker]] &amp; "-" &amp; DATE(YEAR(T_Stocks[[#This Row],[Fecha]]),MONTH(T_Stocks[[#This Row],[Fecha]]),DAY(T_Stocks[[#This Row],[Fecha]]))</f>
        <v>PRHSX-44208</v>
      </c>
    </row>
    <row r="5635" spans="1:4" ht="14.65" thickBot="1" x14ac:dyDescent="0.5">
      <c r="A5635" s="17">
        <v>44209.666666666664</v>
      </c>
      <c r="B5635" s="19">
        <v>103.63</v>
      </c>
      <c r="C5635" t="s">
        <v>51</v>
      </c>
      <c r="D5635" t="str">
        <f>T_Stocks[[#This Row],[Ticker]] &amp; "-" &amp; DATE(YEAR(T_Stocks[[#This Row],[Fecha]]),MONTH(T_Stocks[[#This Row],[Fecha]]),DAY(T_Stocks[[#This Row],[Fecha]]))</f>
        <v>PRHSX-44209</v>
      </c>
    </row>
    <row r="5636" spans="1:4" ht="14.65" thickBot="1" x14ac:dyDescent="0.5">
      <c r="A5636" s="17">
        <v>44210.666666666664</v>
      </c>
      <c r="B5636" s="19">
        <v>104.36</v>
      </c>
      <c r="C5636" t="s">
        <v>51</v>
      </c>
      <c r="D5636" t="str">
        <f>T_Stocks[[#This Row],[Ticker]] &amp; "-" &amp; DATE(YEAR(T_Stocks[[#This Row],[Fecha]]),MONTH(T_Stocks[[#This Row],[Fecha]]),DAY(T_Stocks[[#This Row],[Fecha]]))</f>
        <v>PRHSX-44210</v>
      </c>
    </row>
    <row r="5637" spans="1:4" ht="14.65" thickBot="1" x14ac:dyDescent="0.5">
      <c r="A5637" s="17">
        <v>44211.666666666664</v>
      </c>
      <c r="B5637" s="19">
        <v>104.19</v>
      </c>
      <c r="C5637" t="s">
        <v>51</v>
      </c>
      <c r="D5637" t="str">
        <f>T_Stocks[[#This Row],[Ticker]] &amp; "-" &amp; DATE(YEAR(T_Stocks[[#This Row],[Fecha]]),MONTH(T_Stocks[[#This Row],[Fecha]]),DAY(T_Stocks[[#This Row],[Fecha]]))</f>
        <v>PRHSX-44211</v>
      </c>
    </row>
    <row r="5638" spans="1:4" ht="14.65" thickBot="1" x14ac:dyDescent="0.5">
      <c r="A5638" s="17">
        <v>44215.666666666664</v>
      </c>
      <c r="B5638" s="19">
        <v>105.56</v>
      </c>
      <c r="C5638" t="s">
        <v>51</v>
      </c>
      <c r="D5638" t="str">
        <f>T_Stocks[[#This Row],[Ticker]] &amp; "-" &amp; DATE(YEAR(T_Stocks[[#This Row],[Fecha]]),MONTH(T_Stocks[[#This Row],[Fecha]]),DAY(T_Stocks[[#This Row],[Fecha]]))</f>
        <v>PRHSX-44215</v>
      </c>
    </row>
    <row r="5639" spans="1:4" ht="14.65" thickBot="1" x14ac:dyDescent="0.5">
      <c r="A5639" s="17">
        <v>44216.666666666664</v>
      </c>
      <c r="B5639" s="19">
        <v>105.94</v>
      </c>
      <c r="C5639" t="s">
        <v>51</v>
      </c>
      <c r="D5639" t="str">
        <f>T_Stocks[[#This Row],[Ticker]] &amp; "-" &amp; DATE(YEAR(T_Stocks[[#This Row],[Fecha]]),MONTH(T_Stocks[[#This Row],[Fecha]]),DAY(T_Stocks[[#This Row],[Fecha]]))</f>
        <v>PRHSX-44216</v>
      </c>
    </row>
    <row r="5640" spans="1:4" ht="14.65" thickBot="1" x14ac:dyDescent="0.5">
      <c r="A5640" s="17">
        <v>44217.666666666664</v>
      </c>
      <c r="B5640" s="19">
        <v>105.26</v>
      </c>
      <c r="C5640" t="s">
        <v>51</v>
      </c>
      <c r="D5640" t="str">
        <f>T_Stocks[[#This Row],[Ticker]] &amp; "-" &amp; DATE(YEAR(T_Stocks[[#This Row],[Fecha]]),MONTH(T_Stocks[[#This Row],[Fecha]]),DAY(T_Stocks[[#This Row],[Fecha]]))</f>
        <v>PRHSX-44217</v>
      </c>
    </row>
    <row r="5641" spans="1:4" ht="14.65" thickBot="1" x14ac:dyDescent="0.5">
      <c r="A5641" s="17">
        <v>44218.666666666664</v>
      </c>
      <c r="B5641" s="19">
        <v>105.38</v>
      </c>
      <c r="C5641" t="s">
        <v>51</v>
      </c>
      <c r="D5641" t="str">
        <f>T_Stocks[[#This Row],[Ticker]] &amp; "-" &amp; DATE(YEAR(T_Stocks[[#This Row],[Fecha]]),MONTH(T_Stocks[[#This Row],[Fecha]]),DAY(T_Stocks[[#This Row],[Fecha]]))</f>
        <v>PRHSX-44218</v>
      </c>
    </row>
    <row r="5642" spans="1:4" ht="14.65" thickBot="1" x14ac:dyDescent="0.5">
      <c r="A5642" s="17">
        <v>44221.666666666664</v>
      </c>
      <c r="B5642" s="19">
        <v>106.17</v>
      </c>
      <c r="C5642" t="s">
        <v>51</v>
      </c>
      <c r="D5642" t="str">
        <f>T_Stocks[[#This Row],[Ticker]] &amp; "-" &amp; DATE(YEAR(T_Stocks[[#This Row],[Fecha]]),MONTH(T_Stocks[[#This Row],[Fecha]]),DAY(T_Stocks[[#This Row],[Fecha]]))</f>
        <v>PRHSX-44221</v>
      </c>
    </row>
    <row r="5643" spans="1:4" ht="14.65" thickBot="1" x14ac:dyDescent="0.5">
      <c r="A5643" s="17">
        <v>44222.666666666664</v>
      </c>
      <c r="B5643" s="19">
        <v>103.9</v>
      </c>
      <c r="C5643" t="s">
        <v>51</v>
      </c>
      <c r="D5643" t="str">
        <f>T_Stocks[[#This Row],[Ticker]] &amp; "-" &amp; DATE(YEAR(T_Stocks[[#This Row],[Fecha]]),MONTH(T_Stocks[[#This Row],[Fecha]]),DAY(T_Stocks[[#This Row],[Fecha]]))</f>
        <v>PRHSX-44222</v>
      </c>
    </row>
    <row r="5644" spans="1:4" ht="14.65" thickBot="1" x14ac:dyDescent="0.5">
      <c r="A5644" s="17">
        <v>44223.666666666664</v>
      </c>
      <c r="B5644" s="19">
        <v>100.18</v>
      </c>
      <c r="C5644" t="s">
        <v>51</v>
      </c>
      <c r="D5644" t="str">
        <f>T_Stocks[[#This Row],[Ticker]] &amp; "-" &amp; DATE(YEAR(T_Stocks[[#This Row],[Fecha]]),MONTH(T_Stocks[[#This Row],[Fecha]]),DAY(T_Stocks[[#This Row],[Fecha]]))</f>
        <v>PRHSX-44223</v>
      </c>
    </row>
    <row r="5645" spans="1:4" ht="14.65" thickBot="1" x14ac:dyDescent="0.5">
      <c r="A5645" s="17">
        <v>44224.666666666664</v>
      </c>
      <c r="B5645" s="19">
        <v>101.48</v>
      </c>
      <c r="C5645" t="s">
        <v>51</v>
      </c>
      <c r="D5645" t="str">
        <f>T_Stocks[[#This Row],[Ticker]] &amp; "-" &amp; DATE(YEAR(T_Stocks[[#This Row],[Fecha]]),MONTH(T_Stocks[[#This Row],[Fecha]]),DAY(T_Stocks[[#This Row],[Fecha]]))</f>
        <v>PRHSX-44224</v>
      </c>
    </row>
    <row r="5646" spans="1:4" ht="14.65" thickBot="1" x14ac:dyDescent="0.5">
      <c r="A5646" s="17">
        <v>44225.666666666664</v>
      </c>
      <c r="B5646" s="19">
        <v>101.17</v>
      </c>
      <c r="C5646" t="s">
        <v>51</v>
      </c>
      <c r="D5646" t="str">
        <f>T_Stocks[[#This Row],[Ticker]] &amp; "-" &amp; DATE(YEAR(T_Stocks[[#This Row],[Fecha]]),MONTH(T_Stocks[[#This Row],[Fecha]]),DAY(T_Stocks[[#This Row],[Fecha]]))</f>
        <v>PRHSX-44225</v>
      </c>
    </row>
    <row r="5647" spans="1:4" ht="14.65" thickBot="1" x14ac:dyDescent="0.5">
      <c r="A5647" s="17">
        <v>44228.666666666664</v>
      </c>
      <c r="B5647" s="19">
        <v>102</v>
      </c>
      <c r="C5647" t="s">
        <v>51</v>
      </c>
      <c r="D5647" t="str">
        <f>T_Stocks[[#This Row],[Ticker]] &amp; "-" &amp; DATE(YEAR(T_Stocks[[#This Row],[Fecha]]),MONTH(T_Stocks[[#This Row],[Fecha]]),DAY(T_Stocks[[#This Row],[Fecha]]))</f>
        <v>PRHSX-44228</v>
      </c>
    </row>
    <row r="5648" spans="1:4" ht="14.65" thickBot="1" x14ac:dyDescent="0.5">
      <c r="A5648" s="17">
        <v>44229.666666666664</v>
      </c>
      <c r="B5648" s="19">
        <v>103.4</v>
      </c>
      <c r="C5648" t="s">
        <v>51</v>
      </c>
      <c r="D5648" t="str">
        <f>T_Stocks[[#This Row],[Ticker]] &amp; "-" &amp; DATE(YEAR(T_Stocks[[#This Row],[Fecha]]),MONTH(T_Stocks[[#This Row],[Fecha]]),DAY(T_Stocks[[#This Row],[Fecha]]))</f>
        <v>PRHSX-44229</v>
      </c>
    </row>
    <row r="5649" spans="1:4" ht="14.65" thickBot="1" x14ac:dyDescent="0.5">
      <c r="A5649" s="17">
        <v>44230.666666666664</v>
      </c>
      <c r="B5649" s="19">
        <v>103.14</v>
      </c>
      <c r="C5649" t="s">
        <v>51</v>
      </c>
      <c r="D5649" t="str">
        <f>T_Stocks[[#This Row],[Ticker]] &amp; "-" &amp; DATE(YEAR(T_Stocks[[#This Row],[Fecha]]),MONTH(T_Stocks[[#This Row],[Fecha]]),DAY(T_Stocks[[#This Row],[Fecha]]))</f>
        <v>PRHSX-44230</v>
      </c>
    </row>
    <row r="5650" spans="1:4" ht="14.65" thickBot="1" x14ac:dyDescent="0.5">
      <c r="A5650" s="17">
        <v>44231.666666666664</v>
      </c>
      <c r="B5650" s="19">
        <v>103.79</v>
      </c>
      <c r="C5650" t="s">
        <v>51</v>
      </c>
      <c r="D5650" t="str">
        <f>T_Stocks[[#This Row],[Ticker]] &amp; "-" &amp; DATE(YEAR(T_Stocks[[#This Row],[Fecha]]),MONTH(T_Stocks[[#This Row],[Fecha]]),DAY(T_Stocks[[#This Row],[Fecha]]))</f>
        <v>PRHSX-44231</v>
      </c>
    </row>
    <row r="5651" spans="1:4" ht="14.65" thickBot="1" x14ac:dyDescent="0.5">
      <c r="A5651" s="17">
        <v>44232.666666666664</v>
      </c>
      <c r="B5651" s="19">
        <v>104.87</v>
      </c>
      <c r="C5651" t="s">
        <v>51</v>
      </c>
      <c r="D5651" t="str">
        <f>T_Stocks[[#This Row],[Ticker]] &amp; "-" &amp; DATE(YEAR(T_Stocks[[#This Row],[Fecha]]),MONTH(T_Stocks[[#This Row],[Fecha]]),DAY(T_Stocks[[#This Row],[Fecha]]))</f>
        <v>PRHSX-44232</v>
      </c>
    </row>
    <row r="5652" spans="1:4" ht="14.65" thickBot="1" x14ac:dyDescent="0.5">
      <c r="A5652" s="17">
        <v>44235.666666666664</v>
      </c>
      <c r="B5652" s="19">
        <v>105.95</v>
      </c>
      <c r="C5652" t="s">
        <v>51</v>
      </c>
      <c r="D5652" t="str">
        <f>T_Stocks[[#This Row],[Ticker]] &amp; "-" &amp; DATE(YEAR(T_Stocks[[#This Row],[Fecha]]),MONTH(T_Stocks[[#This Row],[Fecha]]),DAY(T_Stocks[[#This Row],[Fecha]]))</f>
        <v>PRHSX-44235</v>
      </c>
    </row>
    <row r="5653" spans="1:4" ht="14.65" thickBot="1" x14ac:dyDescent="0.5">
      <c r="A5653" s="17">
        <v>44236.666666666664</v>
      </c>
      <c r="B5653" s="19">
        <v>105.86</v>
      </c>
      <c r="C5653" t="s">
        <v>51</v>
      </c>
      <c r="D5653" t="str">
        <f>T_Stocks[[#This Row],[Ticker]] &amp; "-" &amp; DATE(YEAR(T_Stocks[[#This Row],[Fecha]]),MONTH(T_Stocks[[#This Row],[Fecha]]),DAY(T_Stocks[[#This Row],[Fecha]]))</f>
        <v>PRHSX-44236</v>
      </c>
    </row>
    <row r="5654" spans="1:4" ht="14.65" thickBot="1" x14ac:dyDescent="0.5">
      <c r="A5654" s="17">
        <v>44237.666666666664</v>
      </c>
      <c r="B5654" s="19">
        <v>105.67</v>
      </c>
      <c r="C5654" t="s">
        <v>51</v>
      </c>
      <c r="D5654" t="str">
        <f>T_Stocks[[#This Row],[Ticker]] &amp; "-" &amp; DATE(YEAR(T_Stocks[[#This Row],[Fecha]]),MONTH(T_Stocks[[#This Row],[Fecha]]),DAY(T_Stocks[[#This Row],[Fecha]]))</f>
        <v>PRHSX-44237</v>
      </c>
    </row>
    <row r="5655" spans="1:4" ht="14.65" thickBot="1" x14ac:dyDescent="0.5">
      <c r="A5655" s="17">
        <v>44238.666666666664</v>
      </c>
      <c r="B5655" s="19">
        <v>106.04</v>
      </c>
      <c r="C5655" t="s">
        <v>51</v>
      </c>
      <c r="D5655" t="str">
        <f>T_Stocks[[#This Row],[Ticker]] &amp; "-" &amp; DATE(YEAR(T_Stocks[[#This Row],[Fecha]]),MONTH(T_Stocks[[#This Row],[Fecha]]),DAY(T_Stocks[[#This Row],[Fecha]]))</f>
        <v>PRHSX-44238</v>
      </c>
    </row>
    <row r="5656" spans="1:4" ht="14.65" thickBot="1" x14ac:dyDescent="0.5">
      <c r="A5656" s="17">
        <v>44239.666666666664</v>
      </c>
      <c r="B5656" s="19">
        <v>106.58</v>
      </c>
      <c r="C5656" t="s">
        <v>51</v>
      </c>
      <c r="D5656" t="str">
        <f>T_Stocks[[#This Row],[Ticker]] &amp; "-" &amp; DATE(YEAR(T_Stocks[[#This Row],[Fecha]]),MONTH(T_Stocks[[#This Row],[Fecha]]),DAY(T_Stocks[[#This Row],[Fecha]]))</f>
        <v>PRHSX-44239</v>
      </c>
    </row>
    <row r="5657" spans="1:4" ht="14.65" thickBot="1" x14ac:dyDescent="0.5">
      <c r="A5657" s="17">
        <v>44243.666666666664</v>
      </c>
      <c r="B5657" s="19">
        <v>105.08</v>
      </c>
      <c r="C5657" t="s">
        <v>51</v>
      </c>
      <c r="D5657" t="str">
        <f>T_Stocks[[#This Row],[Ticker]] &amp; "-" &amp; DATE(YEAR(T_Stocks[[#This Row],[Fecha]]),MONTH(T_Stocks[[#This Row],[Fecha]]),DAY(T_Stocks[[#This Row],[Fecha]]))</f>
        <v>PRHSX-44243</v>
      </c>
    </row>
    <row r="5658" spans="1:4" ht="14.65" thickBot="1" x14ac:dyDescent="0.5">
      <c r="A5658" s="17">
        <v>44244.666666666664</v>
      </c>
      <c r="B5658" s="19">
        <v>104.77</v>
      </c>
      <c r="C5658" t="s">
        <v>51</v>
      </c>
      <c r="D5658" t="str">
        <f>T_Stocks[[#This Row],[Ticker]] &amp; "-" &amp; DATE(YEAR(T_Stocks[[#This Row],[Fecha]]),MONTH(T_Stocks[[#This Row],[Fecha]]),DAY(T_Stocks[[#This Row],[Fecha]]))</f>
        <v>PRHSX-44244</v>
      </c>
    </row>
    <row r="5659" spans="1:4" ht="14.65" thickBot="1" x14ac:dyDescent="0.5">
      <c r="A5659" s="17">
        <v>44245.666666666664</v>
      </c>
      <c r="B5659" s="19">
        <v>103.47</v>
      </c>
      <c r="C5659" t="s">
        <v>51</v>
      </c>
      <c r="D5659" t="str">
        <f>T_Stocks[[#This Row],[Ticker]] &amp; "-" &amp; DATE(YEAR(T_Stocks[[#This Row],[Fecha]]),MONTH(T_Stocks[[#This Row],[Fecha]]),DAY(T_Stocks[[#This Row],[Fecha]]))</f>
        <v>PRHSX-44245</v>
      </c>
    </row>
    <row r="5660" spans="1:4" ht="14.65" thickBot="1" x14ac:dyDescent="0.5">
      <c r="A5660" s="17">
        <v>44246.666666666664</v>
      </c>
      <c r="B5660" s="19">
        <v>103.48</v>
      </c>
      <c r="C5660" t="s">
        <v>51</v>
      </c>
      <c r="D5660" t="str">
        <f>T_Stocks[[#This Row],[Ticker]] &amp; "-" &amp; DATE(YEAR(T_Stocks[[#This Row],[Fecha]]),MONTH(T_Stocks[[#This Row],[Fecha]]),DAY(T_Stocks[[#This Row],[Fecha]]))</f>
        <v>PRHSX-44246</v>
      </c>
    </row>
    <row r="5661" spans="1:4" ht="14.65" thickBot="1" x14ac:dyDescent="0.5">
      <c r="A5661" s="17">
        <v>44249.666666666664</v>
      </c>
      <c r="B5661" s="19">
        <v>101.7</v>
      </c>
      <c r="C5661" t="s">
        <v>51</v>
      </c>
      <c r="D5661" t="str">
        <f>T_Stocks[[#This Row],[Ticker]] &amp; "-" &amp; DATE(YEAR(T_Stocks[[#This Row],[Fecha]]),MONTH(T_Stocks[[#This Row],[Fecha]]),DAY(T_Stocks[[#This Row],[Fecha]]))</f>
        <v>PRHSX-44249</v>
      </c>
    </row>
    <row r="5662" spans="1:4" ht="14.65" thickBot="1" x14ac:dyDescent="0.5">
      <c r="A5662" s="17">
        <v>44250.666666666664</v>
      </c>
      <c r="B5662" s="19">
        <v>100.88</v>
      </c>
      <c r="C5662" t="s">
        <v>51</v>
      </c>
      <c r="D5662" t="str">
        <f>T_Stocks[[#This Row],[Ticker]] &amp; "-" &amp; DATE(YEAR(T_Stocks[[#This Row],[Fecha]]),MONTH(T_Stocks[[#This Row],[Fecha]]),DAY(T_Stocks[[#This Row],[Fecha]]))</f>
        <v>PRHSX-44250</v>
      </c>
    </row>
    <row r="5663" spans="1:4" ht="14.65" thickBot="1" x14ac:dyDescent="0.5">
      <c r="A5663" s="17">
        <v>44251.666666666664</v>
      </c>
      <c r="B5663" s="19">
        <v>101.56</v>
      </c>
      <c r="C5663" t="s">
        <v>51</v>
      </c>
      <c r="D5663" t="str">
        <f>T_Stocks[[#This Row],[Ticker]] &amp; "-" &amp; DATE(YEAR(T_Stocks[[#This Row],[Fecha]]),MONTH(T_Stocks[[#This Row],[Fecha]]),DAY(T_Stocks[[#This Row],[Fecha]]))</f>
        <v>PRHSX-44251</v>
      </c>
    </row>
    <row r="5664" spans="1:4" ht="14.65" thickBot="1" x14ac:dyDescent="0.5">
      <c r="A5664" s="17">
        <v>44252.666666666664</v>
      </c>
      <c r="B5664" s="19">
        <v>99.28</v>
      </c>
      <c r="C5664" t="s">
        <v>51</v>
      </c>
      <c r="D5664" t="str">
        <f>T_Stocks[[#This Row],[Ticker]] &amp; "-" &amp; DATE(YEAR(T_Stocks[[#This Row],[Fecha]]),MONTH(T_Stocks[[#This Row],[Fecha]]),DAY(T_Stocks[[#This Row],[Fecha]]))</f>
        <v>PRHSX-44252</v>
      </c>
    </row>
    <row r="5665" spans="1:4" ht="14.65" thickBot="1" x14ac:dyDescent="0.5">
      <c r="A5665" s="17">
        <v>44253.666666666664</v>
      </c>
      <c r="B5665" s="19">
        <v>99.33</v>
      </c>
      <c r="C5665" t="s">
        <v>51</v>
      </c>
      <c r="D5665" t="str">
        <f>T_Stocks[[#This Row],[Ticker]] &amp; "-" &amp; DATE(YEAR(T_Stocks[[#This Row],[Fecha]]),MONTH(T_Stocks[[#This Row],[Fecha]]),DAY(T_Stocks[[#This Row],[Fecha]]))</f>
        <v>PRHSX-44253</v>
      </c>
    </row>
    <row r="5666" spans="1:4" ht="14.65" thickBot="1" x14ac:dyDescent="0.5">
      <c r="A5666" s="17">
        <v>44256.666666666664</v>
      </c>
      <c r="B5666" s="19">
        <v>101.22</v>
      </c>
      <c r="C5666" t="s">
        <v>51</v>
      </c>
      <c r="D5666" t="str">
        <f>T_Stocks[[#This Row],[Ticker]] &amp; "-" &amp; DATE(YEAR(T_Stocks[[#This Row],[Fecha]]),MONTH(T_Stocks[[#This Row],[Fecha]]),DAY(T_Stocks[[#This Row],[Fecha]]))</f>
        <v>PRHSX-44256</v>
      </c>
    </row>
    <row r="5667" spans="1:4" ht="14.65" thickBot="1" x14ac:dyDescent="0.5">
      <c r="A5667" s="17">
        <v>44257.666666666664</v>
      </c>
      <c r="B5667" s="19">
        <v>100.04</v>
      </c>
      <c r="C5667" t="s">
        <v>51</v>
      </c>
      <c r="D5667" t="str">
        <f>T_Stocks[[#This Row],[Ticker]] &amp; "-" &amp; DATE(YEAR(T_Stocks[[#This Row],[Fecha]]),MONTH(T_Stocks[[#This Row],[Fecha]]),DAY(T_Stocks[[#This Row],[Fecha]]))</f>
        <v>PRHSX-44257</v>
      </c>
    </row>
    <row r="5668" spans="1:4" ht="14.65" thickBot="1" x14ac:dyDescent="0.5">
      <c r="A5668" s="17">
        <v>44258.666666666664</v>
      </c>
      <c r="B5668" s="19">
        <v>97.05</v>
      </c>
      <c r="C5668" t="s">
        <v>51</v>
      </c>
      <c r="D5668" t="str">
        <f>T_Stocks[[#This Row],[Ticker]] &amp; "-" &amp; DATE(YEAR(T_Stocks[[#This Row],[Fecha]]),MONTH(T_Stocks[[#This Row],[Fecha]]),DAY(T_Stocks[[#This Row],[Fecha]]))</f>
        <v>PRHSX-44258</v>
      </c>
    </row>
    <row r="5669" spans="1:4" ht="14.65" thickBot="1" x14ac:dyDescent="0.5">
      <c r="A5669" s="17">
        <v>44259.666666666664</v>
      </c>
      <c r="B5669" s="19">
        <v>94.82</v>
      </c>
      <c r="C5669" t="s">
        <v>51</v>
      </c>
      <c r="D5669" t="str">
        <f>T_Stocks[[#This Row],[Ticker]] &amp; "-" &amp; DATE(YEAR(T_Stocks[[#This Row],[Fecha]]),MONTH(T_Stocks[[#This Row],[Fecha]]),DAY(T_Stocks[[#This Row],[Fecha]]))</f>
        <v>PRHSX-44259</v>
      </c>
    </row>
    <row r="5670" spans="1:4" ht="14.65" thickBot="1" x14ac:dyDescent="0.5">
      <c r="A5670" s="17">
        <v>44260.666666666664</v>
      </c>
      <c r="B5670" s="19">
        <v>96.43</v>
      </c>
      <c r="C5670" t="s">
        <v>51</v>
      </c>
      <c r="D5670" t="str">
        <f>T_Stocks[[#This Row],[Ticker]] &amp; "-" &amp; DATE(YEAR(T_Stocks[[#This Row],[Fecha]]),MONTH(T_Stocks[[#This Row],[Fecha]]),DAY(T_Stocks[[#This Row],[Fecha]]))</f>
        <v>PRHSX-44260</v>
      </c>
    </row>
    <row r="5671" spans="1:4" ht="14.65" thickBot="1" x14ac:dyDescent="0.5">
      <c r="A5671" s="17">
        <v>44263.666666666664</v>
      </c>
      <c r="B5671" s="19">
        <v>94.97</v>
      </c>
      <c r="C5671" t="s">
        <v>51</v>
      </c>
      <c r="D5671" t="str">
        <f>T_Stocks[[#This Row],[Ticker]] &amp; "-" &amp; DATE(YEAR(T_Stocks[[#This Row],[Fecha]]),MONTH(T_Stocks[[#This Row],[Fecha]]),DAY(T_Stocks[[#This Row],[Fecha]]))</f>
        <v>PRHSX-44263</v>
      </c>
    </row>
    <row r="5672" spans="1:4" ht="14.65" thickBot="1" x14ac:dyDescent="0.5">
      <c r="A5672" s="17">
        <v>44264.666666666664</v>
      </c>
      <c r="B5672" s="19">
        <v>97.19</v>
      </c>
      <c r="C5672" t="s">
        <v>51</v>
      </c>
      <c r="D5672" t="str">
        <f>T_Stocks[[#This Row],[Ticker]] &amp; "-" &amp; DATE(YEAR(T_Stocks[[#This Row],[Fecha]]),MONTH(T_Stocks[[#This Row],[Fecha]]),DAY(T_Stocks[[#This Row],[Fecha]]))</f>
        <v>PRHSX-44264</v>
      </c>
    </row>
    <row r="5673" spans="1:4" ht="14.65" thickBot="1" x14ac:dyDescent="0.5">
      <c r="A5673" s="17">
        <v>44265.666666666664</v>
      </c>
      <c r="B5673" s="19">
        <v>97.1</v>
      </c>
      <c r="C5673" t="s">
        <v>51</v>
      </c>
      <c r="D5673" t="str">
        <f>T_Stocks[[#This Row],[Ticker]] &amp; "-" &amp; DATE(YEAR(T_Stocks[[#This Row],[Fecha]]),MONTH(T_Stocks[[#This Row],[Fecha]]),DAY(T_Stocks[[#This Row],[Fecha]]))</f>
        <v>PRHSX-44265</v>
      </c>
    </row>
    <row r="5674" spans="1:4" ht="14.65" thickBot="1" x14ac:dyDescent="0.5">
      <c r="A5674" s="17">
        <v>44266.666666666664</v>
      </c>
      <c r="B5674" s="19">
        <v>99.38</v>
      </c>
      <c r="C5674" t="s">
        <v>51</v>
      </c>
      <c r="D5674" t="str">
        <f>T_Stocks[[#This Row],[Ticker]] &amp; "-" &amp; DATE(YEAR(T_Stocks[[#This Row],[Fecha]]),MONTH(T_Stocks[[#This Row],[Fecha]]),DAY(T_Stocks[[#This Row],[Fecha]]))</f>
        <v>PRHSX-44266</v>
      </c>
    </row>
    <row r="5675" spans="1:4" ht="14.65" thickBot="1" x14ac:dyDescent="0.5">
      <c r="A5675" s="17">
        <v>44267.666666666664</v>
      </c>
      <c r="B5675" s="19">
        <v>99.33</v>
      </c>
      <c r="C5675" t="s">
        <v>51</v>
      </c>
      <c r="D5675" t="str">
        <f>T_Stocks[[#This Row],[Ticker]] &amp; "-" &amp; DATE(YEAR(T_Stocks[[#This Row],[Fecha]]),MONTH(T_Stocks[[#This Row],[Fecha]]),DAY(T_Stocks[[#This Row],[Fecha]]))</f>
        <v>PRHSX-44267</v>
      </c>
    </row>
    <row r="5676" spans="1:4" ht="14.65" thickBot="1" x14ac:dyDescent="0.5">
      <c r="A5676" s="17">
        <v>44270.666666666664</v>
      </c>
      <c r="B5676" s="19">
        <v>100.09</v>
      </c>
      <c r="C5676" t="s">
        <v>51</v>
      </c>
      <c r="D5676" t="str">
        <f>T_Stocks[[#This Row],[Ticker]] &amp; "-" &amp; DATE(YEAR(T_Stocks[[#This Row],[Fecha]]),MONTH(T_Stocks[[#This Row],[Fecha]]),DAY(T_Stocks[[#This Row],[Fecha]]))</f>
        <v>PRHSX-44270</v>
      </c>
    </row>
    <row r="5677" spans="1:4" ht="14.65" thickBot="1" x14ac:dyDescent="0.5">
      <c r="A5677" s="17">
        <v>44271.666666666664</v>
      </c>
      <c r="B5677" s="19">
        <v>99.64</v>
      </c>
      <c r="C5677" t="s">
        <v>51</v>
      </c>
      <c r="D5677" t="str">
        <f>T_Stocks[[#This Row],[Ticker]] &amp; "-" &amp; DATE(YEAR(T_Stocks[[#This Row],[Fecha]]),MONTH(T_Stocks[[#This Row],[Fecha]]),DAY(T_Stocks[[#This Row],[Fecha]]))</f>
        <v>PRHSX-44271</v>
      </c>
    </row>
    <row r="5678" spans="1:4" ht="14.65" thickBot="1" x14ac:dyDescent="0.5">
      <c r="A5678" s="17">
        <v>44272.666666666664</v>
      </c>
      <c r="B5678" s="19">
        <v>99.47</v>
      </c>
      <c r="C5678" t="s">
        <v>51</v>
      </c>
      <c r="D5678" t="str">
        <f>T_Stocks[[#This Row],[Ticker]] &amp; "-" &amp; DATE(YEAR(T_Stocks[[#This Row],[Fecha]]),MONTH(T_Stocks[[#This Row],[Fecha]]),DAY(T_Stocks[[#This Row],[Fecha]]))</f>
        <v>PRHSX-44272</v>
      </c>
    </row>
    <row r="5679" spans="1:4" ht="14.65" thickBot="1" x14ac:dyDescent="0.5">
      <c r="A5679" s="17">
        <v>44273.666666666664</v>
      </c>
      <c r="B5679" s="19">
        <v>97.74</v>
      </c>
      <c r="C5679" t="s">
        <v>51</v>
      </c>
      <c r="D5679" t="str">
        <f>T_Stocks[[#This Row],[Ticker]] &amp; "-" &amp; DATE(YEAR(T_Stocks[[#This Row],[Fecha]]),MONTH(T_Stocks[[#This Row],[Fecha]]),DAY(T_Stocks[[#This Row],[Fecha]]))</f>
        <v>PRHSX-44273</v>
      </c>
    </row>
    <row r="5680" spans="1:4" ht="14.65" thickBot="1" x14ac:dyDescent="0.5">
      <c r="A5680" s="17">
        <v>44274.666666666664</v>
      </c>
      <c r="B5680" s="19">
        <v>99.19</v>
      </c>
      <c r="C5680" t="s">
        <v>51</v>
      </c>
      <c r="D5680" t="str">
        <f>T_Stocks[[#This Row],[Ticker]] &amp; "-" &amp; DATE(YEAR(T_Stocks[[#This Row],[Fecha]]),MONTH(T_Stocks[[#This Row],[Fecha]]),DAY(T_Stocks[[#This Row],[Fecha]]))</f>
        <v>PRHSX-44274</v>
      </c>
    </row>
    <row r="5681" spans="1:4" ht="14.65" thickBot="1" x14ac:dyDescent="0.5">
      <c r="A5681" s="17">
        <v>44277.666666666664</v>
      </c>
      <c r="B5681" s="19">
        <v>100.19</v>
      </c>
      <c r="C5681" t="s">
        <v>51</v>
      </c>
      <c r="D5681" t="str">
        <f>T_Stocks[[#This Row],[Ticker]] &amp; "-" &amp; DATE(YEAR(T_Stocks[[#This Row],[Fecha]]),MONTH(T_Stocks[[#This Row],[Fecha]]),DAY(T_Stocks[[#This Row],[Fecha]]))</f>
        <v>PRHSX-44277</v>
      </c>
    </row>
    <row r="5682" spans="1:4" ht="14.65" thickBot="1" x14ac:dyDescent="0.5">
      <c r="A5682" s="17">
        <v>44278.666666666664</v>
      </c>
      <c r="B5682" s="19">
        <v>97.91</v>
      </c>
      <c r="C5682" t="s">
        <v>51</v>
      </c>
      <c r="D5682" t="str">
        <f>T_Stocks[[#This Row],[Ticker]] &amp; "-" &amp; DATE(YEAR(T_Stocks[[#This Row],[Fecha]]),MONTH(T_Stocks[[#This Row],[Fecha]]),DAY(T_Stocks[[#This Row],[Fecha]]))</f>
        <v>PRHSX-44278</v>
      </c>
    </row>
    <row r="5683" spans="1:4" ht="14.65" thickBot="1" x14ac:dyDescent="0.5">
      <c r="A5683" s="17">
        <v>44279.666666666664</v>
      </c>
      <c r="B5683" s="19">
        <v>95.99</v>
      </c>
      <c r="C5683" t="s">
        <v>51</v>
      </c>
      <c r="D5683" t="str">
        <f>T_Stocks[[#This Row],[Ticker]] &amp; "-" &amp; DATE(YEAR(T_Stocks[[#This Row],[Fecha]]),MONTH(T_Stocks[[#This Row],[Fecha]]),DAY(T_Stocks[[#This Row],[Fecha]]))</f>
        <v>PRHSX-44279</v>
      </c>
    </row>
    <row r="5684" spans="1:4" ht="14.65" thickBot="1" x14ac:dyDescent="0.5">
      <c r="A5684" s="17">
        <v>44280.666666666664</v>
      </c>
      <c r="B5684" s="19">
        <v>96.55</v>
      </c>
      <c r="C5684" t="s">
        <v>51</v>
      </c>
      <c r="D5684" t="str">
        <f>T_Stocks[[#This Row],[Ticker]] &amp; "-" &amp; DATE(YEAR(T_Stocks[[#This Row],[Fecha]]),MONTH(T_Stocks[[#This Row],[Fecha]]),DAY(T_Stocks[[#This Row],[Fecha]]))</f>
        <v>PRHSX-44280</v>
      </c>
    </row>
    <row r="5685" spans="1:4" ht="14.65" thickBot="1" x14ac:dyDescent="0.5">
      <c r="A5685" s="17">
        <v>44281.666666666664</v>
      </c>
      <c r="B5685" s="19">
        <v>97.29</v>
      </c>
      <c r="C5685" t="s">
        <v>51</v>
      </c>
      <c r="D5685" t="str">
        <f>T_Stocks[[#This Row],[Ticker]] &amp; "-" &amp; DATE(YEAR(T_Stocks[[#This Row],[Fecha]]),MONTH(T_Stocks[[#This Row],[Fecha]]),DAY(T_Stocks[[#This Row],[Fecha]]))</f>
        <v>PRHSX-44281</v>
      </c>
    </row>
    <row r="5686" spans="1:4" ht="14.65" thickBot="1" x14ac:dyDescent="0.5">
      <c r="A5686" s="17">
        <v>44284.666666666664</v>
      </c>
      <c r="B5686" s="19">
        <v>96.58</v>
      </c>
      <c r="C5686" t="s">
        <v>51</v>
      </c>
      <c r="D5686" t="str">
        <f>T_Stocks[[#This Row],[Ticker]] &amp; "-" &amp; DATE(YEAR(T_Stocks[[#This Row],[Fecha]]),MONTH(T_Stocks[[#This Row],[Fecha]]),DAY(T_Stocks[[#This Row],[Fecha]]))</f>
        <v>PRHSX-44284</v>
      </c>
    </row>
    <row r="5687" spans="1:4" ht="14.65" thickBot="1" x14ac:dyDescent="0.5">
      <c r="A5687" s="17">
        <v>44285.666666666664</v>
      </c>
      <c r="B5687" s="19">
        <v>96.81</v>
      </c>
      <c r="C5687" t="s">
        <v>51</v>
      </c>
      <c r="D5687" t="str">
        <f>T_Stocks[[#This Row],[Ticker]] &amp; "-" &amp; DATE(YEAR(T_Stocks[[#This Row],[Fecha]]),MONTH(T_Stocks[[#This Row],[Fecha]]),DAY(T_Stocks[[#This Row],[Fecha]]))</f>
        <v>PRHSX-44285</v>
      </c>
    </row>
    <row r="5688" spans="1:4" ht="14.65" thickBot="1" x14ac:dyDescent="0.5">
      <c r="A5688" s="17">
        <v>44286.666666666664</v>
      </c>
      <c r="B5688" s="19">
        <v>98.57</v>
      </c>
      <c r="C5688" t="s">
        <v>51</v>
      </c>
      <c r="D5688" t="str">
        <f>T_Stocks[[#This Row],[Ticker]] &amp; "-" &amp; DATE(YEAR(T_Stocks[[#This Row],[Fecha]]),MONTH(T_Stocks[[#This Row],[Fecha]]),DAY(T_Stocks[[#This Row],[Fecha]]))</f>
        <v>PRHSX-44286</v>
      </c>
    </row>
    <row r="5689" spans="1:4" ht="14.65" thickBot="1" x14ac:dyDescent="0.5">
      <c r="A5689" s="17">
        <v>44287.666666666664</v>
      </c>
      <c r="B5689" s="19">
        <v>98.99</v>
      </c>
      <c r="C5689" t="s">
        <v>51</v>
      </c>
      <c r="D5689" t="str">
        <f>T_Stocks[[#This Row],[Ticker]] &amp; "-" &amp; DATE(YEAR(T_Stocks[[#This Row],[Fecha]]),MONTH(T_Stocks[[#This Row],[Fecha]]),DAY(T_Stocks[[#This Row],[Fecha]]))</f>
        <v>PRHSX-44287</v>
      </c>
    </row>
    <row r="5690" spans="1:4" ht="14.65" thickBot="1" x14ac:dyDescent="0.5">
      <c r="A5690" s="17">
        <v>44291.666666666664</v>
      </c>
      <c r="B5690" s="19">
        <v>99.85</v>
      </c>
      <c r="C5690" t="s">
        <v>51</v>
      </c>
      <c r="D5690" t="str">
        <f>T_Stocks[[#This Row],[Ticker]] &amp; "-" &amp; DATE(YEAR(T_Stocks[[#This Row],[Fecha]]),MONTH(T_Stocks[[#This Row],[Fecha]]),DAY(T_Stocks[[#This Row],[Fecha]]))</f>
        <v>PRHSX-44291</v>
      </c>
    </row>
    <row r="5691" spans="1:4" ht="14.65" thickBot="1" x14ac:dyDescent="0.5">
      <c r="A5691" s="17">
        <v>44292.666666666664</v>
      </c>
      <c r="B5691" s="19">
        <v>99.26</v>
      </c>
      <c r="C5691" t="s">
        <v>51</v>
      </c>
      <c r="D5691" t="str">
        <f>T_Stocks[[#This Row],[Ticker]] &amp; "-" &amp; DATE(YEAR(T_Stocks[[#This Row],[Fecha]]),MONTH(T_Stocks[[#This Row],[Fecha]]),DAY(T_Stocks[[#This Row],[Fecha]]))</f>
        <v>PRHSX-44292</v>
      </c>
    </row>
    <row r="5692" spans="1:4" ht="14.65" thickBot="1" x14ac:dyDescent="0.5">
      <c r="A5692" s="17">
        <v>44293.666666666664</v>
      </c>
      <c r="B5692" s="19">
        <v>98.08</v>
      </c>
      <c r="C5692" t="s">
        <v>51</v>
      </c>
      <c r="D5692" t="str">
        <f>T_Stocks[[#This Row],[Ticker]] &amp; "-" &amp; DATE(YEAR(T_Stocks[[#This Row],[Fecha]]),MONTH(T_Stocks[[#This Row],[Fecha]]),DAY(T_Stocks[[#This Row],[Fecha]]))</f>
        <v>PRHSX-44293</v>
      </c>
    </row>
    <row r="5693" spans="1:4" ht="14.65" thickBot="1" x14ac:dyDescent="0.5">
      <c r="A5693" s="17">
        <v>44294.666666666664</v>
      </c>
      <c r="B5693" s="19">
        <v>98.59</v>
      </c>
      <c r="C5693" t="s">
        <v>51</v>
      </c>
      <c r="D5693" t="str">
        <f>T_Stocks[[#This Row],[Ticker]] &amp; "-" &amp; DATE(YEAR(T_Stocks[[#This Row],[Fecha]]),MONTH(T_Stocks[[#This Row],[Fecha]]),DAY(T_Stocks[[#This Row],[Fecha]]))</f>
        <v>PRHSX-44294</v>
      </c>
    </row>
    <row r="5694" spans="1:4" ht="14.65" thickBot="1" x14ac:dyDescent="0.5">
      <c r="A5694" s="17">
        <v>44295.666666666664</v>
      </c>
      <c r="B5694" s="19">
        <v>99.12</v>
      </c>
      <c r="C5694" t="s">
        <v>51</v>
      </c>
      <c r="D5694" t="str">
        <f>T_Stocks[[#This Row],[Ticker]] &amp; "-" &amp; DATE(YEAR(T_Stocks[[#This Row],[Fecha]]),MONTH(T_Stocks[[#This Row],[Fecha]]),DAY(T_Stocks[[#This Row],[Fecha]]))</f>
        <v>PRHSX-44295</v>
      </c>
    </row>
    <row r="5695" spans="1:4" ht="14.65" thickBot="1" x14ac:dyDescent="0.5">
      <c r="A5695" s="17">
        <v>44298.666666666664</v>
      </c>
      <c r="B5695" s="19">
        <v>98.03</v>
      </c>
      <c r="C5695" t="s">
        <v>51</v>
      </c>
      <c r="D5695" t="str">
        <f>T_Stocks[[#This Row],[Ticker]] &amp; "-" &amp; DATE(YEAR(T_Stocks[[#This Row],[Fecha]]),MONTH(T_Stocks[[#This Row],[Fecha]]),DAY(T_Stocks[[#This Row],[Fecha]]))</f>
        <v>PRHSX-44298</v>
      </c>
    </row>
    <row r="5696" spans="1:4" ht="14.65" thickBot="1" x14ac:dyDescent="0.5">
      <c r="A5696" s="17">
        <v>44299.666666666664</v>
      </c>
      <c r="B5696" s="19">
        <v>99.58</v>
      </c>
      <c r="C5696" t="s">
        <v>51</v>
      </c>
      <c r="D5696" t="str">
        <f>T_Stocks[[#This Row],[Ticker]] &amp; "-" &amp; DATE(YEAR(T_Stocks[[#This Row],[Fecha]]),MONTH(T_Stocks[[#This Row],[Fecha]]),DAY(T_Stocks[[#This Row],[Fecha]]))</f>
        <v>PRHSX-44299</v>
      </c>
    </row>
    <row r="5697" spans="1:4" ht="14.65" thickBot="1" x14ac:dyDescent="0.5">
      <c r="A5697" s="17">
        <v>44300.666666666664</v>
      </c>
      <c r="B5697" s="19">
        <v>100</v>
      </c>
      <c r="C5697" t="s">
        <v>51</v>
      </c>
      <c r="D5697" t="str">
        <f>T_Stocks[[#This Row],[Ticker]] &amp; "-" &amp; DATE(YEAR(T_Stocks[[#This Row],[Fecha]]),MONTH(T_Stocks[[#This Row],[Fecha]]),DAY(T_Stocks[[#This Row],[Fecha]]))</f>
        <v>PRHSX-44300</v>
      </c>
    </row>
    <row r="5698" spans="1:4" ht="14.65" thickBot="1" x14ac:dyDescent="0.5">
      <c r="A5698" s="17">
        <v>44301.666666666664</v>
      </c>
      <c r="B5698" s="19">
        <v>101.67</v>
      </c>
      <c r="C5698" t="s">
        <v>51</v>
      </c>
      <c r="D5698" t="str">
        <f>T_Stocks[[#This Row],[Ticker]] &amp; "-" &amp; DATE(YEAR(T_Stocks[[#This Row],[Fecha]]),MONTH(T_Stocks[[#This Row],[Fecha]]),DAY(T_Stocks[[#This Row],[Fecha]]))</f>
        <v>PRHSX-44301</v>
      </c>
    </row>
    <row r="5699" spans="1:4" ht="14.65" thickBot="1" x14ac:dyDescent="0.5">
      <c r="A5699" s="17">
        <v>44302.666666666664</v>
      </c>
      <c r="B5699" s="19">
        <v>101.8</v>
      </c>
      <c r="C5699" t="s">
        <v>51</v>
      </c>
      <c r="D5699" t="str">
        <f>T_Stocks[[#This Row],[Ticker]] &amp; "-" &amp; DATE(YEAR(T_Stocks[[#This Row],[Fecha]]),MONTH(T_Stocks[[#This Row],[Fecha]]),DAY(T_Stocks[[#This Row],[Fecha]]))</f>
        <v>PRHSX-44302</v>
      </c>
    </row>
    <row r="5700" spans="1:4" ht="14.65" thickBot="1" x14ac:dyDescent="0.5">
      <c r="A5700" s="17">
        <v>44305.666666666664</v>
      </c>
      <c r="B5700" s="19">
        <v>101.18</v>
      </c>
      <c r="C5700" t="s">
        <v>51</v>
      </c>
      <c r="D5700" t="str">
        <f>T_Stocks[[#This Row],[Ticker]] &amp; "-" &amp; DATE(YEAR(T_Stocks[[#This Row],[Fecha]]),MONTH(T_Stocks[[#This Row],[Fecha]]),DAY(T_Stocks[[#This Row],[Fecha]]))</f>
        <v>PRHSX-44305</v>
      </c>
    </row>
    <row r="5701" spans="1:4" ht="14.65" thickBot="1" x14ac:dyDescent="0.5">
      <c r="A5701" s="17">
        <v>44306.666666666664</v>
      </c>
      <c r="B5701" s="19">
        <v>101.14</v>
      </c>
      <c r="C5701" t="s">
        <v>51</v>
      </c>
      <c r="D5701" t="str">
        <f>T_Stocks[[#This Row],[Ticker]] &amp; "-" &amp; DATE(YEAR(T_Stocks[[#This Row],[Fecha]]),MONTH(T_Stocks[[#This Row],[Fecha]]),DAY(T_Stocks[[#This Row],[Fecha]]))</f>
        <v>PRHSX-44306</v>
      </c>
    </row>
    <row r="5702" spans="1:4" ht="14.65" thickBot="1" x14ac:dyDescent="0.5">
      <c r="A5702" s="17">
        <v>44307.666666666664</v>
      </c>
      <c r="B5702" s="19">
        <v>103.03</v>
      </c>
      <c r="C5702" t="s">
        <v>51</v>
      </c>
      <c r="D5702" t="str">
        <f>T_Stocks[[#This Row],[Ticker]] &amp; "-" &amp; DATE(YEAR(T_Stocks[[#This Row],[Fecha]]),MONTH(T_Stocks[[#This Row],[Fecha]]),DAY(T_Stocks[[#This Row],[Fecha]]))</f>
        <v>PRHSX-44307</v>
      </c>
    </row>
    <row r="5703" spans="1:4" ht="14.65" thickBot="1" x14ac:dyDescent="0.5">
      <c r="A5703" s="17">
        <v>44308.666666666664</v>
      </c>
      <c r="B5703" s="19">
        <v>103.09</v>
      </c>
      <c r="C5703" t="s">
        <v>51</v>
      </c>
      <c r="D5703" t="str">
        <f>T_Stocks[[#This Row],[Ticker]] &amp; "-" &amp; DATE(YEAR(T_Stocks[[#This Row],[Fecha]]),MONTH(T_Stocks[[#This Row],[Fecha]]),DAY(T_Stocks[[#This Row],[Fecha]]))</f>
        <v>PRHSX-44308</v>
      </c>
    </row>
    <row r="5704" spans="1:4" ht="14.65" thickBot="1" x14ac:dyDescent="0.5">
      <c r="A5704" s="17">
        <v>44309.666666666664</v>
      </c>
      <c r="B5704" s="19">
        <v>103.93</v>
      </c>
      <c r="C5704" t="s">
        <v>51</v>
      </c>
      <c r="D5704" t="str">
        <f>T_Stocks[[#This Row],[Ticker]] &amp; "-" &amp; DATE(YEAR(T_Stocks[[#This Row],[Fecha]]),MONTH(T_Stocks[[#This Row],[Fecha]]),DAY(T_Stocks[[#This Row],[Fecha]]))</f>
        <v>PRHSX-44309</v>
      </c>
    </row>
    <row r="5705" spans="1:4" ht="14.65" thickBot="1" x14ac:dyDescent="0.5">
      <c r="A5705" s="17">
        <v>44312.666666666664</v>
      </c>
      <c r="B5705" s="19">
        <v>105.01</v>
      </c>
      <c r="C5705" t="s">
        <v>51</v>
      </c>
      <c r="D5705" t="str">
        <f>T_Stocks[[#This Row],[Ticker]] &amp; "-" &amp; DATE(YEAR(T_Stocks[[#This Row],[Fecha]]),MONTH(T_Stocks[[#This Row],[Fecha]]),DAY(T_Stocks[[#This Row],[Fecha]]))</f>
        <v>PRHSX-44312</v>
      </c>
    </row>
    <row r="5706" spans="1:4" ht="14.65" thickBot="1" x14ac:dyDescent="0.5">
      <c r="A5706" s="17">
        <v>44313.666666666664</v>
      </c>
      <c r="B5706" s="19">
        <v>104.44</v>
      </c>
      <c r="C5706" t="s">
        <v>51</v>
      </c>
      <c r="D5706" t="str">
        <f>T_Stocks[[#This Row],[Ticker]] &amp; "-" &amp; DATE(YEAR(T_Stocks[[#This Row],[Fecha]]),MONTH(T_Stocks[[#This Row],[Fecha]]),DAY(T_Stocks[[#This Row],[Fecha]]))</f>
        <v>PRHSX-44313</v>
      </c>
    </row>
    <row r="5707" spans="1:4" ht="14.65" thickBot="1" x14ac:dyDescent="0.5">
      <c r="A5707" s="17">
        <v>44314.666666666664</v>
      </c>
      <c r="B5707" s="19">
        <v>104.27</v>
      </c>
      <c r="C5707" t="s">
        <v>51</v>
      </c>
      <c r="D5707" t="str">
        <f>T_Stocks[[#This Row],[Ticker]] &amp; "-" &amp; DATE(YEAR(T_Stocks[[#This Row],[Fecha]]),MONTH(T_Stocks[[#This Row],[Fecha]]),DAY(T_Stocks[[#This Row],[Fecha]]))</f>
        <v>PRHSX-44314</v>
      </c>
    </row>
    <row r="5708" spans="1:4" ht="14.65" thickBot="1" x14ac:dyDescent="0.5">
      <c r="A5708" s="17">
        <v>44315.666666666664</v>
      </c>
      <c r="B5708" s="19">
        <v>103.67</v>
      </c>
      <c r="C5708" t="s">
        <v>51</v>
      </c>
      <c r="D5708" t="str">
        <f>T_Stocks[[#This Row],[Ticker]] &amp; "-" &amp; DATE(YEAR(T_Stocks[[#This Row],[Fecha]]),MONTH(T_Stocks[[#This Row],[Fecha]]),DAY(T_Stocks[[#This Row],[Fecha]]))</f>
        <v>PRHSX-44315</v>
      </c>
    </row>
    <row r="5709" spans="1:4" ht="14.65" thickBot="1" x14ac:dyDescent="0.5">
      <c r="A5709" s="17">
        <v>44316.666666666664</v>
      </c>
      <c r="B5709" s="19">
        <v>103.45</v>
      </c>
      <c r="C5709" t="s">
        <v>51</v>
      </c>
      <c r="D5709" t="str">
        <f>T_Stocks[[#This Row],[Ticker]] &amp; "-" &amp; DATE(YEAR(T_Stocks[[#This Row],[Fecha]]),MONTH(T_Stocks[[#This Row],[Fecha]]),DAY(T_Stocks[[#This Row],[Fecha]]))</f>
        <v>PRHSX-44316</v>
      </c>
    </row>
    <row r="5710" spans="1:4" ht="14.65" thickBot="1" x14ac:dyDescent="0.5">
      <c r="A5710" s="17">
        <v>44319.666666666664</v>
      </c>
      <c r="B5710" s="19">
        <v>103.48</v>
      </c>
      <c r="C5710" t="s">
        <v>51</v>
      </c>
      <c r="D5710" t="str">
        <f>T_Stocks[[#This Row],[Ticker]] &amp; "-" &amp; DATE(YEAR(T_Stocks[[#This Row],[Fecha]]),MONTH(T_Stocks[[#This Row],[Fecha]]),DAY(T_Stocks[[#This Row],[Fecha]]))</f>
        <v>PRHSX-44319</v>
      </c>
    </row>
    <row r="5711" spans="1:4" ht="14.65" thickBot="1" x14ac:dyDescent="0.5">
      <c r="A5711" s="17">
        <v>44320.666666666664</v>
      </c>
      <c r="B5711" s="19">
        <v>101.4</v>
      </c>
      <c r="C5711" t="s">
        <v>51</v>
      </c>
      <c r="D5711" t="str">
        <f>T_Stocks[[#This Row],[Ticker]] &amp; "-" &amp; DATE(YEAR(T_Stocks[[#This Row],[Fecha]]),MONTH(T_Stocks[[#This Row],[Fecha]]),DAY(T_Stocks[[#This Row],[Fecha]]))</f>
        <v>PRHSX-44320</v>
      </c>
    </row>
    <row r="5712" spans="1:4" ht="14.65" thickBot="1" x14ac:dyDescent="0.5">
      <c r="A5712" s="17">
        <v>44321.666666666664</v>
      </c>
      <c r="B5712" s="19">
        <v>100.96</v>
      </c>
      <c r="C5712" t="s">
        <v>51</v>
      </c>
      <c r="D5712" t="str">
        <f>T_Stocks[[#This Row],[Ticker]] &amp; "-" &amp; DATE(YEAR(T_Stocks[[#This Row],[Fecha]]),MONTH(T_Stocks[[#This Row],[Fecha]]),DAY(T_Stocks[[#This Row],[Fecha]]))</f>
        <v>PRHSX-44321</v>
      </c>
    </row>
    <row r="5713" spans="1:4" ht="14.65" thickBot="1" x14ac:dyDescent="0.5">
      <c r="A5713" s="17">
        <v>44322.666666666664</v>
      </c>
      <c r="B5713" s="19">
        <v>100.48</v>
      </c>
      <c r="C5713" t="s">
        <v>51</v>
      </c>
      <c r="D5713" t="str">
        <f>T_Stocks[[#This Row],[Ticker]] &amp; "-" &amp; DATE(YEAR(T_Stocks[[#This Row],[Fecha]]),MONTH(T_Stocks[[#This Row],[Fecha]]),DAY(T_Stocks[[#This Row],[Fecha]]))</f>
        <v>PRHSX-44322</v>
      </c>
    </row>
    <row r="5714" spans="1:4" ht="14.65" thickBot="1" x14ac:dyDescent="0.5">
      <c r="A5714" s="17">
        <v>44323.666666666664</v>
      </c>
      <c r="B5714" s="19">
        <v>101.44</v>
      </c>
      <c r="C5714" t="s">
        <v>51</v>
      </c>
      <c r="D5714" t="str">
        <f>T_Stocks[[#This Row],[Ticker]] &amp; "-" &amp; DATE(YEAR(T_Stocks[[#This Row],[Fecha]]),MONTH(T_Stocks[[#This Row],[Fecha]]),DAY(T_Stocks[[#This Row],[Fecha]]))</f>
        <v>PRHSX-44323</v>
      </c>
    </row>
    <row r="5715" spans="1:4" ht="14.65" thickBot="1" x14ac:dyDescent="0.5">
      <c r="A5715" s="17">
        <v>44326.666666666664</v>
      </c>
      <c r="B5715" s="19">
        <v>99.92</v>
      </c>
      <c r="C5715" t="s">
        <v>51</v>
      </c>
      <c r="D5715" t="str">
        <f>T_Stocks[[#This Row],[Ticker]] &amp; "-" &amp; DATE(YEAR(T_Stocks[[#This Row],[Fecha]]),MONTH(T_Stocks[[#This Row],[Fecha]]),DAY(T_Stocks[[#This Row],[Fecha]]))</f>
        <v>PRHSX-44326</v>
      </c>
    </row>
    <row r="5716" spans="1:4" ht="14.65" thickBot="1" x14ac:dyDescent="0.5">
      <c r="A5716" s="17">
        <v>44327.666666666664</v>
      </c>
      <c r="B5716" s="19">
        <v>99.9</v>
      </c>
      <c r="C5716" t="s">
        <v>51</v>
      </c>
      <c r="D5716" t="str">
        <f>T_Stocks[[#This Row],[Ticker]] &amp; "-" &amp; DATE(YEAR(T_Stocks[[#This Row],[Fecha]]),MONTH(T_Stocks[[#This Row],[Fecha]]),DAY(T_Stocks[[#This Row],[Fecha]]))</f>
        <v>PRHSX-44327</v>
      </c>
    </row>
    <row r="5717" spans="1:4" ht="14.65" thickBot="1" x14ac:dyDescent="0.5">
      <c r="A5717" s="17">
        <v>44328.666666666664</v>
      </c>
      <c r="B5717" s="19">
        <v>98.37</v>
      </c>
      <c r="C5717" t="s">
        <v>51</v>
      </c>
      <c r="D5717" t="str">
        <f>T_Stocks[[#This Row],[Ticker]] &amp; "-" &amp; DATE(YEAR(T_Stocks[[#This Row],[Fecha]]),MONTH(T_Stocks[[#This Row],[Fecha]]),DAY(T_Stocks[[#This Row],[Fecha]]))</f>
        <v>PRHSX-44328</v>
      </c>
    </row>
    <row r="5718" spans="1:4" ht="14.65" thickBot="1" x14ac:dyDescent="0.5">
      <c r="A5718" s="17">
        <v>44329.666666666664</v>
      </c>
      <c r="B5718" s="19">
        <v>98.51</v>
      </c>
      <c r="C5718" t="s">
        <v>51</v>
      </c>
      <c r="D5718" t="str">
        <f>T_Stocks[[#This Row],[Ticker]] &amp; "-" &amp; DATE(YEAR(T_Stocks[[#This Row],[Fecha]]),MONTH(T_Stocks[[#This Row],[Fecha]]),DAY(T_Stocks[[#This Row],[Fecha]]))</f>
        <v>PRHSX-44329</v>
      </c>
    </row>
    <row r="5719" spans="1:4" ht="14.65" thickBot="1" x14ac:dyDescent="0.5">
      <c r="A5719" s="17">
        <v>44330.666666666664</v>
      </c>
      <c r="B5719" s="19">
        <v>99.92</v>
      </c>
      <c r="C5719" t="s">
        <v>51</v>
      </c>
      <c r="D5719" t="str">
        <f>T_Stocks[[#This Row],[Ticker]] &amp; "-" &amp; DATE(YEAR(T_Stocks[[#This Row],[Fecha]]),MONTH(T_Stocks[[#This Row],[Fecha]]),DAY(T_Stocks[[#This Row],[Fecha]]))</f>
        <v>PRHSX-44330</v>
      </c>
    </row>
    <row r="5720" spans="1:4" ht="14.65" thickBot="1" x14ac:dyDescent="0.5">
      <c r="A5720" s="17">
        <v>44333.666666666664</v>
      </c>
      <c r="B5720" s="19">
        <v>99.87</v>
      </c>
      <c r="C5720" t="s">
        <v>51</v>
      </c>
      <c r="D5720" t="str">
        <f>T_Stocks[[#This Row],[Ticker]] &amp; "-" &amp; DATE(YEAR(T_Stocks[[#This Row],[Fecha]]),MONTH(T_Stocks[[#This Row],[Fecha]]),DAY(T_Stocks[[#This Row],[Fecha]]))</f>
        <v>PRHSX-44333</v>
      </c>
    </row>
    <row r="5721" spans="1:4" ht="14.65" thickBot="1" x14ac:dyDescent="0.5">
      <c r="A5721" s="17">
        <v>44334.666666666664</v>
      </c>
      <c r="B5721" s="19">
        <v>100.08</v>
      </c>
      <c r="C5721" t="s">
        <v>51</v>
      </c>
      <c r="D5721" t="str">
        <f>T_Stocks[[#This Row],[Ticker]] &amp; "-" &amp; DATE(YEAR(T_Stocks[[#This Row],[Fecha]]),MONTH(T_Stocks[[#This Row],[Fecha]]),DAY(T_Stocks[[#This Row],[Fecha]]))</f>
        <v>PRHSX-44334</v>
      </c>
    </row>
    <row r="5722" spans="1:4" ht="14.65" thickBot="1" x14ac:dyDescent="0.5">
      <c r="A5722" s="17">
        <v>44335.666666666664</v>
      </c>
      <c r="B5722" s="19">
        <v>99.54</v>
      </c>
      <c r="C5722" t="s">
        <v>51</v>
      </c>
      <c r="D5722" t="str">
        <f>T_Stocks[[#This Row],[Ticker]] &amp; "-" &amp; DATE(YEAR(T_Stocks[[#This Row],[Fecha]]),MONTH(T_Stocks[[#This Row],[Fecha]]),DAY(T_Stocks[[#This Row],[Fecha]]))</f>
        <v>PRHSX-44335</v>
      </c>
    </row>
    <row r="5723" spans="1:4" ht="14.65" thickBot="1" x14ac:dyDescent="0.5">
      <c r="A5723" s="17">
        <v>44336.666666666664</v>
      </c>
      <c r="B5723" s="19">
        <v>101.3</v>
      </c>
      <c r="C5723" t="s">
        <v>51</v>
      </c>
      <c r="D5723" t="str">
        <f>T_Stocks[[#This Row],[Ticker]] &amp; "-" &amp; DATE(YEAR(T_Stocks[[#This Row],[Fecha]]),MONTH(T_Stocks[[#This Row],[Fecha]]),DAY(T_Stocks[[#This Row],[Fecha]]))</f>
        <v>PRHSX-44336</v>
      </c>
    </row>
    <row r="5724" spans="1:4" ht="14.65" thickBot="1" x14ac:dyDescent="0.5">
      <c r="A5724" s="17">
        <v>44337.666666666664</v>
      </c>
      <c r="B5724" s="19">
        <v>101.08</v>
      </c>
      <c r="C5724" t="s">
        <v>51</v>
      </c>
      <c r="D5724" t="str">
        <f>T_Stocks[[#This Row],[Ticker]] &amp; "-" &amp; DATE(YEAR(T_Stocks[[#This Row],[Fecha]]),MONTH(T_Stocks[[#This Row],[Fecha]]),DAY(T_Stocks[[#This Row],[Fecha]]))</f>
        <v>PRHSX-44337</v>
      </c>
    </row>
    <row r="5725" spans="1:4" ht="14.65" thickBot="1" x14ac:dyDescent="0.5">
      <c r="A5725" s="17">
        <v>44340.666666666664</v>
      </c>
      <c r="B5725" s="19">
        <v>101.2</v>
      </c>
      <c r="C5725" t="s">
        <v>51</v>
      </c>
      <c r="D5725" t="str">
        <f>T_Stocks[[#This Row],[Ticker]] &amp; "-" &amp; DATE(YEAR(T_Stocks[[#This Row],[Fecha]]),MONTH(T_Stocks[[#This Row],[Fecha]]),DAY(T_Stocks[[#This Row],[Fecha]]))</f>
        <v>PRHSX-44340</v>
      </c>
    </row>
    <row r="5726" spans="1:4" ht="14.65" thickBot="1" x14ac:dyDescent="0.5">
      <c r="A5726" s="17">
        <v>44341.666666666664</v>
      </c>
      <c r="B5726" s="19">
        <v>101.25</v>
      </c>
      <c r="C5726" t="s">
        <v>51</v>
      </c>
      <c r="D5726" t="str">
        <f>T_Stocks[[#This Row],[Ticker]] &amp; "-" &amp; DATE(YEAR(T_Stocks[[#This Row],[Fecha]]),MONTH(T_Stocks[[#This Row],[Fecha]]),DAY(T_Stocks[[#This Row],[Fecha]]))</f>
        <v>PRHSX-44341</v>
      </c>
    </row>
    <row r="5727" spans="1:4" ht="14.65" thickBot="1" x14ac:dyDescent="0.5">
      <c r="A5727" s="17">
        <v>44342.666666666664</v>
      </c>
      <c r="B5727" s="19">
        <v>101.53</v>
      </c>
      <c r="C5727" t="s">
        <v>51</v>
      </c>
      <c r="D5727" t="str">
        <f>T_Stocks[[#This Row],[Ticker]] &amp; "-" &amp; DATE(YEAR(T_Stocks[[#This Row],[Fecha]]),MONTH(T_Stocks[[#This Row],[Fecha]]),DAY(T_Stocks[[#This Row],[Fecha]]))</f>
        <v>PRHSX-44342</v>
      </c>
    </row>
    <row r="5728" spans="1:4" ht="14.65" thickBot="1" x14ac:dyDescent="0.5">
      <c r="A5728" s="17">
        <v>44343.666666666664</v>
      </c>
      <c r="B5728" s="19">
        <v>102.13</v>
      </c>
      <c r="C5728" t="s">
        <v>51</v>
      </c>
      <c r="D5728" t="str">
        <f>T_Stocks[[#This Row],[Ticker]] &amp; "-" &amp; DATE(YEAR(T_Stocks[[#This Row],[Fecha]]),MONTH(T_Stocks[[#This Row],[Fecha]]),DAY(T_Stocks[[#This Row],[Fecha]]))</f>
        <v>PRHSX-44343</v>
      </c>
    </row>
    <row r="5729" spans="1:4" ht="14.65" thickBot="1" x14ac:dyDescent="0.5">
      <c r="A5729" s="17">
        <v>44344.666666666664</v>
      </c>
      <c r="B5729" s="19">
        <v>102.5</v>
      </c>
      <c r="C5729" t="s">
        <v>51</v>
      </c>
      <c r="D5729" t="str">
        <f>T_Stocks[[#This Row],[Ticker]] &amp; "-" &amp; DATE(YEAR(T_Stocks[[#This Row],[Fecha]]),MONTH(T_Stocks[[#This Row],[Fecha]]),DAY(T_Stocks[[#This Row],[Fecha]]))</f>
        <v>PRHSX-44344</v>
      </c>
    </row>
    <row r="5730" spans="1:4" ht="14.65" thickBot="1" x14ac:dyDescent="0.5">
      <c r="A5730" s="17">
        <v>44348.666666666664</v>
      </c>
      <c r="B5730" s="19">
        <v>101.44</v>
      </c>
      <c r="C5730" t="s">
        <v>51</v>
      </c>
      <c r="D5730" t="str">
        <f>T_Stocks[[#This Row],[Ticker]] &amp; "-" &amp; DATE(YEAR(T_Stocks[[#This Row],[Fecha]]),MONTH(T_Stocks[[#This Row],[Fecha]]),DAY(T_Stocks[[#This Row],[Fecha]]))</f>
        <v>PRHSX-44348</v>
      </c>
    </row>
    <row r="5731" spans="1:4" ht="14.65" thickBot="1" x14ac:dyDescent="0.5">
      <c r="A5731" s="17">
        <v>44349.666666666664</v>
      </c>
      <c r="B5731" s="19">
        <v>101.11</v>
      </c>
      <c r="C5731" t="s">
        <v>51</v>
      </c>
      <c r="D5731" t="str">
        <f>T_Stocks[[#This Row],[Ticker]] &amp; "-" &amp; DATE(YEAR(T_Stocks[[#This Row],[Fecha]]),MONTH(T_Stocks[[#This Row],[Fecha]]),DAY(T_Stocks[[#This Row],[Fecha]]))</f>
        <v>PRHSX-44349</v>
      </c>
    </row>
    <row r="5732" spans="1:4" ht="14.65" thickBot="1" x14ac:dyDescent="0.5">
      <c r="A5732" s="17">
        <v>44350.666666666664</v>
      </c>
      <c r="B5732" s="19">
        <v>101</v>
      </c>
      <c r="C5732" t="s">
        <v>51</v>
      </c>
      <c r="D5732" t="str">
        <f>T_Stocks[[#This Row],[Ticker]] &amp; "-" &amp; DATE(YEAR(T_Stocks[[#This Row],[Fecha]]),MONTH(T_Stocks[[#This Row],[Fecha]]),DAY(T_Stocks[[#This Row],[Fecha]]))</f>
        <v>PRHSX-44350</v>
      </c>
    </row>
    <row r="5733" spans="1:4" ht="14.65" thickBot="1" x14ac:dyDescent="0.5">
      <c r="A5733" s="17">
        <v>44351.666666666664</v>
      </c>
      <c r="B5733" s="19">
        <v>101.89</v>
      </c>
      <c r="C5733" t="s">
        <v>51</v>
      </c>
      <c r="D5733" t="str">
        <f>T_Stocks[[#This Row],[Ticker]] &amp; "-" &amp; DATE(YEAR(T_Stocks[[#This Row],[Fecha]]),MONTH(T_Stocks[[#This Row],[Fecha]]),DAY(T_Stocks[[#This Row],[Fecha]]))</f>
        <v>PRHSX-44351</v>
      </c>
    </row>
    <row r="5734" spans="1:4" ht="14.65" thickBot="1" x14ac:dyDescent="0.5">
      <c r="A5734" s="17">
        <v>44354.666666666664</v>
      </c>
      <c r="B5734" s="19">
        <v>103.42</v>
      </c>
      <c r="C5734" t="s">
        <v>51</v>
      </c>
      <c r="D5734" t="str">
        <f>T_Stocks[[#This Row],[Ticker]] &amp; "-" &amp; DATE(YEAR(T_Stocks[[#This Row],[Fecha]]),MONTH(T_Stocks[[#This Row],[Fecha]]),DAY(T_Stocks[[#This Row],[Fecha]]))</f>
        <v>PRHSX-44354</v>
      </c>
    </row>
    <row r="5735" spans="1:4" ht="14.65" thickBot="1" x14ac:dyDescent="0.5">
      <c r="A5735" s="17">
        <v>44355.666666666664</v>
      </c>
      <c r="B5735" s="19">
        <v>103.54</v>
      </c>
      <c r="C5735" t="s">
        <v>51</v>
      </c>
      <c r="D5735" t="str">
        <f>T_Stocks[[#This Row],[Ticker]] &amp; "-" &amp; DATE(YEAR(T_Stocks[[#This Row],[Fecha]]),MONTH(T_Stocks[[#This Row],[Fecha]]),DAY(T_Stocks[[#This Row],[Fecha]]))</f>
        <v>PRHSX-44355</v>
      </c>
    </row>
    <row r="5736" spans="1:4" ht="14.65" thickBot="1" x14ac:dyDescent="0.5">
      <c r="A5736" s="17">
        <v>44356.666666666664</v>
      </c>
      <c r="B5736" s="19">
        <v>104.61</v>
      </c>
      <c r="C5736" t="s">
        <v>51</v>
      </c>
      <c r="D5736" t="str">
        <f>T_Stocks[[#This Row],[Ticker]] &amp; "-" &amp; DATE(YEAR(T_Stocks[[#This Row],[Fecha]]),MONTH(T_Stocks[[#This Row],[Fecha]]),DAY(T_Stocks[[#This Row],[Fecha]]))</f>
        <v>PRHSX-44356</v>
      </c>
    </row>
    <row r="5737" spans="1:4" ht="14.65" thickBot="1" x14ac:dyDescent="0.5">
      <c r="A5737" s="17">
        <v>44357.666666666664</v>
      </c>
      <c r="B5737" s="19">
        <v>106.34</v>
      </c>
      <c r="C5737" t="s">
        <v>51</v>
      </c>
      <c r="D5737" t="str">
        <f>T_Stocks[[#This Row],[Ticker]] &amp; "-" &amp; DATE(YEAR(T_Stocks[[#This Row],[Fecha]]),MONTH(T_Stocks[[#This Row],[Fecha]]),DAY(T_Stocks[[#This Row],[Fecha]]))</f>
        <v>PRHSX-44357</v>
      </c>
    </row>
    <row r="5738" spans="1:4" ht="14.65" thickBot="1" x14ac:dyDescent="0.5">
      <c r="A5738" s="17">
        <v>44358.666666666664</v>
      </c>
      <c r="B5738" s="19">
        <v>106.04</v>
      </c>
      <c r="C5738" t="s">
        <v>51</v>
      </c>
      <c r="D5738" t="str">
        <f>T_Stocks[[#This Row],[Ticker]] &amp; "-" &amp; DATE(YEAR(T_Stocks[[#This Row],[Fecha]]),MONTH(T_Stocks[[#This Row],[Fecha]]),DAY(T_Stocks[[#This Row],[Fecha]]))</f>
        <v>PRHSX-44358</v>
      </c>
    </row>
    <row r="5739" spans="1:4" ht="14.65" thickBot="1" x14ac:dyDescent="0.5">
      <c r="A5739" s="17">
        <v>44361.666666666664</v>
      </c>
      <c r="B5739" s="19">
        <v>106.14</v>
      </c>
      <c r="C5739" t="s">
        <v>51</v>
      </c>
      <c r="D5739" t="str">
        <f>T_Stocks[[#This Row],[Ticker]] &amp; "-" &amp; DATE(YEAR(T_Stocks[[#This Row],[Fecha]]),MONTH(T_Stocks[[#This Row],[Fecha]]),DAY(T_Stocks[[#This Row],[Fecha]]))</f>
        <v>PRHSX-44361</v>
      </c>
    </row>
    <row r="5740" spans="1:4" ht="14.65" thickBot="1" x14ac:dyDescent="0.5">
      <c r="A5740" s="17">
        <v>44362.666666666664</v>
      </c>
      <c r="B5740" s="19">
        <v>105.41</v>
      </c>
      <c r="C5740" t="s">
        <v>51</v>
      </c>
      <c r="D5740" t="str">
        <f>T_Stocks[[#This Row],[Ticker]] &amp; "-" &amp; DATE(YEAR(T_Stocks[[#This Row],[Fecha]]),MONTH(T_Stocks[[#This Row],[Fecha]]),DAY(T_Stocks[[#This Row],[Fecha]]))</f>
        <v>PRHSX-44362</v>
      </c>
    </row>
    <row r="5741" spans="1:4" ht="14.65" thickBot="1" x14ac:dyDescent="0.5">
      <c r="A5741" s="17">
        <v>44363.666666666664</v>
      </c>
      <c r="B5741" s="19">
        <v>104.99</v>
      </c>
      <c r="C5741" t="s">
        <v>51</v>
      </c>
      <c r="D5741" t="str">
        <f>T_Stocks[[#This Row],[Ticker]] &amp; "-" &amp; DATE(YEAR(T_Stocks[[#This Row],[Fecha]]),MONTH(T_Stocks[[#This Row],[Fecha]]),DAY(T_Stocks[[#This Row],[Fecha]]))</f>
        <v>PRHSX-44363</v>
      </c>
    </row>
    <row r="5742" spans="1:4" ht="14.65" thickBot="1" x14ac:dyDescent="0.5">
      <c r="A5742" s="17">
        <v>44364.666666666664</v>
      </c>
      <c r="B5742" s="19">
        <v>106.04</v>
      </c>
      <c r="C5742" t="s">
        <v>51</v>
      </c>
      <c r="D5742" t="str">
        <f>T_Stocks[[#This Row],[Ticker]] &amp; "-" &amp; DATE(YEAR(T_Stocks[[#This Row],[Fecha]]),MONTH(T_Stocks[[#This Row],[Fecha]]),DAY(T_Stocks[[#This Row],[Fecha]]))</f>
        <v>PRHSX-44364</v>
      </c>
    </row>
    <row r="5743" spans="1:4" ht="14.65" thickBot="1" x14ac:dyDescent="0.5">
      <c r="A5743" s="17">
        <v>44365.666666666664</v>
      </c>
      <c r="B5743" s="19">
        <v>105.31</v>
      </c>
      <c r="C5743" t="s">
        <v>51</v>
      </c>
      <c r="D5743" t="str">
        <f>T_Stocks[[#This Row],[Ticker]] &amp; "-" &amp; DATE(YEAR(T_Stocks[[#This Row],[Fecha]]),MONTH(T_Stocks[[#This Row],[Fecha]]),DAY(T_Stocks[[#This Row],[Fecha]]))</f>
        <v>PRHSX-44365</v>
      </c>
    </row>
    <row r="5744" spans="1:4" ht="14.65" thickBot="1" x14ac:dyDescent="0.5">
      <c r="A5744" s="17">
        <v>44368.666666666664</v>
      </c>
      <c r="B5744" s="19">
        <v>106.61</v>
      </c>
      <c r="C5744" t="s">
        <v>51</v>
      </c>
      <c r="D5744" t="str">
        <f>T_Stocks[[#This Row],[Ticker]] &amp; "-" &amp; DATE(YEAR(T_Stocks[[#This Row],[Fecha]]),MONTH(T_Stocks[[#This Row],[Fecha]]),DAY(T_Stocks[[#This Row],[Fecha]]))</f>
        <v>PRHSX-44368</v>
      </c>
    </row>
    <row r="5745" spans="1:4" ht="14.65" thickBot="1" x14ac:dyDescent="0.5">
      <c r="A5745" s="17">
        <v>44369.666666666664</v>
      </c>
      <c r="B5745" s="19">
        <v>106.89</v>
      </c>
      <c r="C5745" t="s">
        <v>51</v>
      </c>
      <c r="D5745" t="str">
        <f>T_Stocks[[#This Row],[Ticker]] &amp; "-" &amp; DATE(YEAR(T_Stocks[[#This Row],[Fecha]]),MONTH(T_Stocks[[#This Row],[Fecha]]),DAY(T_Stocks[[#This Row],[Fecha]]))</f>
        <v>PRHSX-44369</v>
      </c>
    </row>
    <row r="5746" spans="1:4" ht="14.65" thickBot="1" x14ac:dyDescent="0.5">
      <c r="A5746" s="17">
        <v>44370.666666666664</v>
      </c>
      <c r="B5746" s="19">
        <v>106.61</v>
      </c>
      <c r="C5746" t="s">
        <v>51</v>
      </c>
      <c r="D5746" t="str">
        <f>T_Stocks[[#This Row],[Ticker]] &amp; "-" &amp; DATE(YEAR(T_Stocks[[#This Row],[Fecha]]),MONTH(T_Stocks[[#This Row],[Fecha]]),DAY(T_Stocks[[#This Row],[Fecha]]))</f>
        <v>PRHSX-44370</v>
      </c>
    </row>
    <row r="5747" spans="1:4" ht="14.65" thickBot="1" x14ac:dyDescent="0.5">
      <c r="A5747" s="17">
        <v>44371.666666666664</v>
      </c>
      <c r="B5747" s="19">
        <v>107.59</v>
      </c>
      <c r="C5747" t="s">
        <v>51</v>
      </c>
      <c r="D5747" t="str">
        <f>T_Stocks[[#This Row],[Ticker]] &amp; "-" &amp; DATE(YEAR(T_Stocks[[#This Row],[Fecha]]),MONTH(T_Stocks[[#This Row],[Fecha]]),DAY(T_Stocks[[#This Row],[Fecha]]))</f>
        <v>PRHSX-44371</v>
      </c>
    </row>
    <row r="5748" spans="1:4" ht="14.65" thickBot="1" x14ac:dyDescent="0.5">
      <c r="A5748" s="17">
        <v>44372.666666666664</v>
      </c>
      <c r="B5748" s="19">
        <v>108.24</v>
      </c>
      <c r="C5748" t="s">
        <v>51</v>
      </c>
      <c r="D5748" t="str">
        <f>T_Stocks[[#This Row],[Ticker]] &amp; "-" &amp; DATE(YEAR(T_Stocks[[#This Row],[Fecha]]),MONTH(T_Stocks[[#This Row],[Fecha]]),DAY(T_Stocks[[#This Row],[Fecha]]))</f>
        <v>PRHSX-44372</v>
      </c>
    </row>
    <row r="5749" spans="1:4" ht="14.65" thickBot="1" x14ac:dyDescent="0.5">
      <c r="A5749" s="17">
        <v>44375.666666666664</v>
      </c>
      <c r="B5749" s="19">
        <v>108.67</v>
      </c>
      <c r="C5749" t="s">
        <v>51</v>
      </c>
      <c r="D5749" t="str">
        <f>T_Stocks[[#This Row],[Ticker]] &amp; "-" &amp; DATE(YEAR(T_Stocks[[#This Row],[Fecha]]),MONTH(T_Stocks[[#This Row],[Fecha]]),DAY(T_Stocks[[#This Row],[Fecha]]))</f>
        <v>PRHSX-44375</v>
      </c>
    </row>
    <row r="5750" spans="1:4" ht="14.65" thickBot="1" x14ac:dyDescent="0.5">
      <c r="A5750" s="17">
        <v>44376.666666666664</v>
      </c>
      <c r="B5750" s="19">
        <v>108.57</v>
      </c>
      <c r="C5750" t="s">
        <v>51</v>
      </c>
      <c r="D5750" t="str">
        <f>T_Stocks[[#This Row],[Ticker]] &amp; "-" &amp; DATE(YEAR(T_Stocks[[#This Row],[Fecha]]),MONTH(T_Stocks[[#This Row],[Fecha]]),DAY(T_Stocks[[#This Row],[Fecha]]))</f>
        <v>PRHSX-44376</v>
      </c>
    </row>
    <row r="5751" spans="1:4" ht="14.65" thickBot="1" x14ac:dyDescent="0.5">
      <c r="A5751" s="17">
        <v>44377.666666666664</v>
      </c>
      <c r="B5751" s="19">
        <v>108.25</v>
      </c>
      <c r="C5751" t="s">
        <v>51</v>
      </c>
      <c r="D5751" t="str">
        <f>T_Stocks[[#This Row],[Ticker]] &amp; "-" &amp; DATE(YEAR(T_Stocks[[#This Row],[Fecha]]),MONTH(T_Stocks[[#This Row],[Fecha]]),DAY(T_Stocks[[#This Row],[Fecha]]))</f>
        <v>PRHSX-44377</v>
      </c>
    </row>
    <row r="5752" spans="1:4" ht="14.65" thickBot="1" x14ac:dyDescent="0.5">
      <c r="A5752" s="17">
        <v>44378.666666666664</v>
      </c>
      <c r="B5752" s="19">
        <v>109.05</v>
      </c>
      <c r="C5752" t="s">
        <v>51</v>
      </c>
      <c r="D5752" t="str">
        <f>T_Stocks[[#This Row],[Ticker]] &amp; "-" &amp; DATE(YEAR(T_Stocks[[#This Row],[Fecha]]),MONTH(T_Stocks[[#This Row],[Fecha]]),DAY(T_Stocks[[#This Row],[Fecha]]))</f>
        <v>PRHSX-44378</v>
      </c>
    </row>
    <row r="5753" spans="1:4" ht="14.65" thickBot="1" x14ac:dyDescent="0.5">
      <c r="A5753" s="17">
        <v>44379.666666666664</v>
      </c>
      <c r="B5753" s="19">
        <v>109.24</v>
      </c>
      <c r="C5753" t="s">
        <v>51</v>
      </c>
      <c r="D5753" t="str">
        <f>T_Stocks[[#This Row],[Ticker]] &amp; "-" &amp; DATE(YEAR(T_Stocks[[#This Row],[Fecha]]),MONTH(T_Stocks[[#This Row],[Fecha]]),DAY(T_Stocks[[#This Row],[Fecha]]))</f>
        <v>PRHSX-44379</v>
      </c>
    </row>
    <row r="5754" spans="1:4" ht="14.65" thickBot="1" x14ac:dyDescent="0.5">
      <c r="A5754" s="17">
        <v>44383.666666666664</v>
      </c>
      <c r="B5754" s="19">
        <v>108.79</v>
      </c>
      <c r="C5754" t="s">
        <v>51</v>
      </c>
      <c r="D5754" t="str">
        <f>T_Stocks[[#This Row],[Ticker]] &amp; "-" &amp; DATE(YEAR(T_Stocks[[#This Row],[Fecha]]),MONTH(T_Stocks[[#This Row],[Fecha]]),DAY(T_Stocks[[#This Row],[Fecha]]))</f>
        <v>PRHSX-44383</v>
      </c>
    </row>
    <row r="5755" spans="1:4" ht="14.65" thickBot="1" x14ac:dyDescent="0.5">
      <c r="A5755" s="17">
        <v>44384.666666666664</v>
      </c>
      <c r="B5755" s="19">
        <v>108.51</v>
      </c>
      <c r="C5755" t="s">
        <v>51</v>
      </c>
      <c r="D5755" t="str">
        <f>T_Stocks[[#This Row],[Ticker]] &amp; "-" &amp; DATE(YEAR(T_Stocks[[#This Row],[Fecha]]),MONTH(T_Stocks[[#This Row],[Fecha]]),DAY(T_Stocks[[#This Row],[Fecha]]))</f>
        <v>PRHSX-44384</v>
      </c>
    </row>
    <row r="5756" spans="1:4" ht="14.65" thickBot="1" x14ac:dyDescent="0.5">
      <c r="A5756" s="17">
        <v>44385.666666666664</v>
      </c>
      <c r="B5756" s="19">
        <v>108.32</v>
      </c>
      <c r="C5756" t="s">
        <v>51</v>
      </c>
      <c r="D5756" t="str">
        <f>T_Stocks[[#This Row],[Ticker]] &amp; "-" &amp; DATE(YEAR(T_Stocks[[#This Row],[Fecha]]),MONTH(T_Stocks[[#This Row],[Fecha]]),DAY(T_Stocks[[#This Row],[Fecha]]))</f>
        <v>PRHSX-44385</v>
      </c>
    </row>
    <row r="5757" spans="1:4" ht="14.65" thickBot="1" x14ac:dyDescent="0.5">
      <c r="A5757" s="17">
        <v>44386.666666666664</v>
      </c>
      <c r="B5757" s="19">
        <v>109.1</v>
      </c>
      <c r="C5757" t="s">
        <v>51</v>
      </c>
      <c r="D5757" t="str">
        <f>T_Stocks[[#This Row],[Ticker]] &amp; "-" &amp; DATE(YEAR(T_Stocks[[#This Row],[Fecha]]),MONTH(T_Stocks[[#This Row],[Fecha]]),DAY(T_Stocks[[#This Row],[Fecha]]))</f>
        <v>PRHSX-44386</v>
      </c>
    </row>
    <row r="5758" spans="1:4" ht="14.65" thickBot="1" x14ac:dyDescent="0.5">
      <c r="A5758" s="17">
        <v>44389.666666666664</v>
      </c>
      <c r="B5758" s="19">
        <v>108.99</v>
      </c>
      <c r="C5758" t="s">
        <v>51</v>
      </c>
      <c r="D5758" t="str">
        <f>T_Stocks[[#This Row],[Ticker]] &amp; "-" &amp; DATE(YEAR(T_Stocks[[#This Row],[Fecha]]),MONTH(T_Stocks[[#This Row],[Fecha]]),DAY(T_Stocks[[#This Row],[Fecha]]))</f>
        <v>PRHSX-44389</v>
      </c>
    </row>
    <row r="5759" spans="1:4" ht="14.65" thickBot="1" x14ac:dyDescent="0.5">
      <c r="A5759" s="17">
        <v>44390.666666666664</v>
      </c>
      <c r="B5759" s="19">
        <v>108.12</v>
      </c>
      <c r="C5759" t="s">
        <v>51</v>
      </c>
      <c r="D5759" t="str">
        <f>T_Stocks[[#This Row],[Ticker]] &amp; "-" &amp; DATE(YEAR(T_Stocks[[#This Row],[Fecha]]),MONTH(T_Stocks[[#This Row],[Fecha]]),DAY(T_Stocks[[#This Row],[Fecha]]))</f>
        <v>PRHSX-44390</v>
      </c>
    </row>
    <row r="5760" spans="1:4" ht="14.65" thickBot="1" x14ac:dyDescent="0.5">
      <c r="A5760" s="17">
        <v>44391.666666666664</v>
      </c>
      <c r="B5760" s="19">
        <v>106.94</v>
      </c>
      <c r="C5760" t="s">
        <v>51</v>
      </c>
      <c r="D5760" t="str">
        <f>T_Stocks[[#This Row],[Ticker]] &amp; "-" &amp; DATE(YEAR(T_Stocks[[#This Row],[Fecha]]),MONTH(T_Stocks[[#This Row],[Fecha]]),DAY(T_Stocks[[#This Row],[Fecha]]))</f>
        <v>PRHSX-44391</v>
      </c>
    </row>
    <row r="5761" spans="1:4" ht="14.65" thickBot="1" x14ac:dyDescent="0.5">
      <c r="A5761" s="17">
        <v>44392.666666666664</v>
      </c>
      <c r="B5761" s="19">
        <v>106.74</v>
      </c>
      <c r="C5761" t="s">
        <v>51</v>
      </c>
      <c r="D5761" t="str">
        <f>T_Stocks[[#This Row],[Ticker]] &amp; "-" &amp; DATE(YEAR(T_Stocks[[#This Row],[Fecha]]),MONTH(T_Stocks[[#This Row],[Fecha]]),DAY(T_Stocks[[#This Row],[Fecha]]))</f>
        <v>PRHSX-44392</v>
      </c>
    </row>
    <row r="5762" spans="1:4" ht="14.65" thickBot="1" x14ac:dyDescent="0.5">
      <c r="A5762" s="17">
        <v>44393.666666666664</v>
      </c>
      <c r="B5762" s="19">
        <v>107.43</v>
      </c>
      <c r="C5762" t="s">
        <v>51</v>
      </c>
      <c r="D5762" t="str">
        <f>T_Stocks[[#This Row],[Ticker]] &amp; "-" &amp; DATE(YEAR(T_Stocks[[#This Row],[Fecha]]),MONTH(T_Stocks[[#This Row],[Fecha]]),DAY(T_Stocks[[#This Row],[Fecha]]))</f>
        <v>PRHSX-44393</v>
      </c>
    </row>
    <row r="5763" spans="1:4" ht="14.65" thickBot="1" x14ac:dyDescent="0.5">
      <c r="A5763" s="17">
        <v>44396.666666666664</v>
      </c>
      <c r="B5763" s="19">
        <v>107.11</v>
      </c>
      <c r="C5763" t="s">
        <v>51</v>
      </c>
      <c r="D5763" t="str">
        <f>T_Stocks[[#This Row],[Ticker]] &amp; "-" &amp; DATE(YEAR(T_Stocks[[#This Row],[Fecha]]),MONTH(T_Stocks[[#This Row],[Fecha]]),DAY(T_Stocks[[#This Row],[Fecha]]))</f>
        <v>PRHSX-44396</v>
      </c>
    </row>
    <row r="5764" spans="1:4" ht="14.65" thickBot="1" x14ac:dyDescent="0.5">
      <c r="A5764" s="17">
        <v>44397.666666666664</v>
      </c>
      <c r="B5764" s="19">
        <v>108.52</v>
      </c>
      <c r="C5764" t="s">
        <v>51</v>
      </c>
      <c r="D5764" t="str">
        <f>T_Stocks[[#This Row],[Ticker]] &amp; "-" &amp; DATE(YEAR(T_Stocks[[#This Row],[Fecha]]),MONTH(T_Stocks[[#This Row],[Fecha]]),DAY(T_Stocks[[#This Row],[Fecha]]))</f>
        <v>PRHSX-44397</v>
      </c>
    </row>
    <row r="5765" spans="1:4" ht="14.65" thickBot="1" x14ac:dyDescent="0.5">
      <c r="A5765" s="17">
        <v>44398.666666666664</v>
      </c>
      <c r="B5765" s="19">
        <v>109.06</v>
      </c>
      <c r="C5765" t="s">
        <v>51</v>
      </c>
      <c r="D5765" t="str">
        <f>T_Stocks[[#This Row],[Ticker]] &amp; "-" &amp; DATE(YEAR(T_Stocks[[#This Row],[Fecha]]),MONTH(T_Stocks[[#This Row],[Fecha]]),DAY(T_Stocks[[#This Row],[Fecha]]))</f>
        <v>PRHSX-44398</v>
      </c>
    </row>
    <row r="5766" spans="1:4" ht="14.65" thickBot="1" x14ac:dyDescent="0.5">
      <c r="A5766" s="17">
        <v>44399.666666666664</v>
      </c>
      <c r="B5766" s="19">
        <v>109.7</v>
      </c>
      <c r="C5766" t="s">
        <v>51</v>
      </c>
      <c r="D5766" t="str">
        <f>T_Stocks[[#This Row],[Ticker]] &amp; "-" &amp; DATE(YEAR(T_Stocks[[#This Row],[Fecha]]),MONTH(T_Stocks[[#This Row],[Fecha]]),DAY(T_Stocks[[#This Row],[Fecha]]))</f>
        <v>PRHSX-44399</v>
      </c>
    </row>
    <row r="5767" spans="1:4" ht="14.65" thickBot="1" x14ac:dyDescent="0.5">
      <c r="A5767" s="17">
        <v>44400.666666666664</v>
      </c>
      <c r="B5767" s="19">
        <v>110.46</v>
      </c>
      <c r="C5767" t="s">
        <v>51</v>
      </c>
      <c r="D5767" t="str">
        <f>T_Stocks[[#This Row],[Ticker]] &amp; "-" &amp; DATE(YEAR(T_Stocks[[#This Row],[Fecha]]),MONTH(T_Stocks[[#This Row],[Fecha]]),DAY(T_Stocks[[#This Row],[Fecha]]))</f>
        <v>PRHSX-44400</v>
      </c>
    </row>
    <row r="5768" spans="1:4" ht="14.65" thickBot="1" x14ac:dyDescent="0.5">
      <c r="A5768" s="17">
        <v>44403.666666666664</v>
      </c>
      <c r="B5768" s="19">
        <v>109.01</v>
      </c>
      <c r="C5768" t="s">
        <v>51</v>
      </c>
      <c r="D5768" t="str">
        <f>T_Stocks[[#This Row],[Ticker]] &amp; "-" &amp; DATE(YEAR(T_Stocks[[#This Row],[Fecha]]),MONTH(T_Stocks[[#This Row],[Fecha]]),DAY(T_Stocks[[#This Row],[Fecha]]))</f>
        <v>PRHSX-44403</v>
      </c>
    </row>
    <row r="5769" spans="1:4" ht="14.65" thickBot="1" x14ac:dyDescent="0.5">
      <c r="A5769" s="17">
        <v>44404.666666666664</v>
      </c>
      <c r="B5769" s="19">
        <v>108.65</v>
      </c>
      <c r="C5769" t="s">
        <v>51</v>
      </c>
      <c r="D5769" t="str">
        <f>T_Stocks[[#This Row],[Ticker]] &amp; "-" &amp; DATE(YEAR(T_Stocks[[#This Row],[Fecha]]),MONTH(T_Stocks[[#This Row],[Fecha]]),DAY(T_Stocks[[#This Row],[Fecha]]))</f>
        <v>PRHSX-44404</v>
      </c>
    </row>
    <row r="5770" spans="1:4" ht="14.65" thickBot="1" x14ac:dyDescent="0.5">
      <c r="A5770" s="17">
        <v>44405.666666666664</v>
      </c>
      <c r="B5770" s="19">
        <v>110.22</v>
      </c>
      <c r="C5770" t="s">
        <v>51</v>
      </c>
      <c r="D5770" t="str">
        <f>T_Stocks[[#This Row],[Ticker]] &amp; "-" &amp; DATE(YEAR(T_Stocks[[#This Row],[Fecha]]),MONTH(T_Stocks[[#This Row],[Fecha]]),DAY(T_Stocks[[#This Row],[Fecha]]))</f>
        <v>PRHSX-44405</v>
      </c>
    </row>
    <row r="5771" spans="1:4" ht="14.65" thickBot="1" x14ac:dyDescent="0.5">
      <c r="A5771" s="17">
        <v>44406.666666666664</v>
      </c>
      <c r="B5771" s="19">
        <v>110.12</v>
      </c>
      <c r="C5771" t="s">
        <v>51</v>
      </c>
      <c r="D5771" t="str">
        <f>T_Stocks[[#This Row],[Ticker]] &amp; "-" &amp; DATE(YEAR(T_Stocks[[#This Row],[Fecha]]),MONTH(T_Stocks[[#This Row],[Fecha]]),DAY(T_Stocks[[#This Row],[Fecha]]))</f>
        <v>PRHSX-44406</v>
      </c>
    </row>
    <row r="5772" spans="1:4" ht="14.65" thickBot="1" x14ac:dyDescent="0.5">
      <c r="A5772" s="17">
        <v>44407.666666666664</v>
      </c>
      <c r="B5772" s="19">
        <v>110.44</v>
      </c>
      <c r="C5772" t="s">
        <v>51</v>
      </c>
      <c r="D5772" t="str">
        <f>T_Stocks[[#This Row],[Ticker]] &amp; "-" &amp; DATE(YEAR(T_Stocks[[#This Row],[Fecha]]),MONTH(T_Stocks[[#This Row],[Fecha]]),DAY(T_Stocks[[#This Row],[Fecha]]))</f>
        <v>PRHSX-44407</v>
      </c>
    </row>
    <row r="5773" spans="1:4" ht="14.65" thickBot="1" x14ac:dyDescent="0.5">
      <c r="A5773" s="17">
        <v>44410.666666666664</v>
      </c>
      <c r="B5773" s="19">
        <v>110.63</v>
      </c>
      <c r="C5773" t="s">
        <v>51</v>
      </c>
      <c r="D5773" t="str">
        <f>T_Stocks[[#This Row],[Ticker]] &amp; "-" &amp; DATE(YEAR(T_Stocks[[#This Row],[Fecha]]),MONTH(T_Stocks[[#This Row],[Fecha]]),DAY(T_Stocks[[#This Row],[Fecha]]))</f>
        <v>PRHSX-44410</v>
      </c>
    </row>
    <row r="5774" spans="1:4" ht="14.65" thickBot="1" x14ac:dyDescent="0.5">
      <c r="A5774" s="17">
        <v>44411.666666666664</v>
      </c>
      <c r="B5774" s="19">
        <v>111.68</v>
      </c>
      <c r="C5774" t="s">
        <v>51</v>
      </c>
      <c r="D5774" t="str">
        <f>T_Stocks[[#This Row],[Ticker]] &amp; "-" &amp; DATE(YEAR(T_Stocks[[#This Row],[Fecha]]),MONTH(T_Stocks[[#This Row],[Fecha]]),DAY(T_Stocks[[#This Row],[Fecha]]))</f>
        <v>PRHSX-44411</v>
      </c>
    </row>
    <row r="5775" spans="1:4" ht="14.65" thickBot="1" x14ac:dyDescent="0.5">
      <c r="A5775" s="17">
        <v>44412.666666666664</v>
      </c>
      <c r="B5775" s="19">
        <v>112.78</v>
      </c>
      <c r="C5775" t="s">
        <v>51</v>
      </c>
      <c r="D5775" t="str">
        <f>T_Stocks[[#This Row],[Ticker]] &amp; "-" &amp; DATE(YEAR(T_Stocks[[#This Row],[Fecha]]),MONTH(T_Stocks[[#This Row],[Fecha]]),DAY(T_Stocks[[#This Row],[Fecha]]))</f>
        <v>PRHSX-44412</v>
      </c>
    </row>
    <row r="5776" spans="1:4" ht="14.65" thickBot="1" x14ac:dyDescent="0.5">
      <c r="A5776" s="17">
        <v>44413.666666666664</v>
      </c>
      <c r="B5776" s="19">
        <v>113.25</v>
      </c>
      <c r="C5776" t="s">
        <v>51</v>
      </c>
      <c r="D5776" t="str">
        <f>T_Stocks[[#This Row],[Ticker]] &amp; "-" &amp; DATE(YEAR(T_Stocks[[#This Row],[Fecha]]),MONTH(T_Stocks[[#This Row],[Fecha]]),DAY(T_Stocks[[#This Row],[Fecha]]))</f>
        <v>PRHSX-44413</v>
      </c>
    </row>
    <row r="5777" spans="1:4" ht="14.65" thickBot="1" x14ac:dyDescent="0.5">
      <c r="A5777" s="17">
        <v>44414.666666666664</v>
      </c>
      <c r="B5777" s="19">
        <v>112.16</v>
      </c>
      <c r="C5777" t="s">
        <v>51</v>
      </c>
      <c r="D5777" t="str">
        <f>T_Stocks[[#This Row],[Ticker]] &amp; "-" &amp; DATE(YEAR(T_Stocks[[#This Row],[Fecha]]),MONTH(T_Stocks[[#This Row],[Fecha]]),DAY(T_Stocks[[#This Row],[Fecha]]))</f>
        <v>PRHSX-44414</v>
      </c>
    </row>
    <row r="5778" spans="1:4" ht="14.65" thickBot="1" x14ac:dyDescent="0.5">
      <c r="A5778" s="17">
        <v>44417.666666666664</v>
      </c>
      <c r="B5778" s="19">
        <v>113.25</v>
      </c>
      <c r="C5778" t="s">
        <v>51</v>
      </c>
      <c r="D5778" t="str">
        <f>T_Stocks[[#This Row],[Ticker]] &amp; "-" &amp; DATE(YEAR(T_Stocks[[#This Row],[Fecha]]),MONTH(T_Stocks[[#This Row],[Fecha]]),DAY(T_Stocks[[#This Row],[Fecha]]))</f>
        <v>PRHSX-44417</v>
      </c>
    </row>
    <row r="5779" spans="1:4" ht="14.65" thickBot="1" x14ac:dyDescent="0.5">
      <c r="A5779" s="17">
        <v>44418.666666666664</v>
      </c>
      <c r="B5779" s="19">
        <v>111.83</v>
      </c>
      <c r="C5779" t="s">
        <v>51</v>
      </c>
      <c r="D5779" t="str">
        <f>T_Stocks[[#This Row],[Ticker]] &amp; "-" &amp; DATE(YEAR(T_Stocks[[#This Row],[Fecha]]),MONTH(T_Stocks[[#This Row],[Fecha]]),DAY(T_Stocks[[#This Row],[Fecha]]))</f>
        <v>PRHSX-44418</v>
      </c>
    </row>
    <row r="5780" spans="1:4" ht="14.65" thickBot="1" x14ac:dyDescent="0.5">
      <c r="A5780" s="17">
        <v>44419.666666666664</v>
      </c>
      <c r="B5780" s="19">
        <v>110.27</v>
      </c>
      <c r="C5780" t="s">
        <v>51</v>
      </c>
      <c r="D5780" t="str">
        <f>T_Stocks[[#This Row],[Ticker]] &amp; "-" &amp; DATE(YEAR(T_Stocks[[#This Row],[Fecha]]),MONTH(T_Stocks[[#This Row],[Fecha]]),DAY(T_Stocks[[#This Row],[Fecha]]))</f>
        <v>PRHSX-44419</v>
      </c>
    </row>
    <row r="5781" spans="1:4" ht="14.65" thickBot="1" x14ac:dyDescent="0.5">
      <c r="A5781" s="17">
        <v>44420.666666666664</v>
      </c>
      <c r="B5781" s="19">
        <v>111.03</v>
      </c>
      <c r="C5781" t="s">
        <v>51</v>
      </c>
      <c r="D5781" t="str">
        <f>T_Stocks[[#This Row],[Ticker]] &amp; "-" &amp; DATE(YEAR(T_Stocks[[#This Row],[Fecha]]),MONTH(T_Stocks[[#This Row],[Fecha]]),DAY(T_Stocks[[#This Row],[Fecha]]))</f>
        <v>PRHSX-44420</v>
      </c>
    </row>
    <row r="5782" spans="1:4" ht="14.65" thickBot="1" x14ac:dyDescent="0.5">
      <c r="A5782" s="17">
        <v>44421.666666666664</v>
      </c>
      <c r="B5782" s="19">
        <v>111.27</v>
      </c>
      <c r="C5782" t="s">
        <v>51</v>
      </c>
      <c r="D5782" t="str">
        <f>T_Stocks[[#This Row],[Ticker]] &amp; "-" &amp; DATE(YEAR(T_Stocks[[#This Row],[Fecha]]),MONTH(T_Stocks[[#This Row],[Fecha]]),DAY(T_Stocks[[#This Row],[Fecha]]))</f>
        <v>PRHSX-44421</v>
      </c>
    </row>
    <row r="5783" spans="1:4" ht="14.65" thickBot="1" x14ac:dyDescent="0.5">
      <c r="A5783" s="17">
        <v>44424.666666666664</v>
      </c>
      <c r="B5783" s="19">
        <v>111.28</v>
      </c>
      <c r="C5783" t="s">
        <v>51</v>
      </c>
      <c r="D5783" t="str">
        <f>T_Stocks[[#This Row],[Ticker]] &amp; "-" &amp; DATE(YEAR(T_Stocks[[#This Row],[Fecha]]),MONTH(T_Stocks[[#This Row],[Fecha]]),DAY(T_Stocks[[#This Row],[Fecha]]))</f>
        <v>PRHSX-44424</v>
      </c>
    </row>
    <row r="5784" spans="1:4" ht="14.65" thickBot="1" x14ac:dyDescent="0.5">
      <c r="A5784" s="17">
        <v>44425.666666666664</v>
      </c>
      <c r="B5784" s="19">
        <v>112.46</v>
      </c>
      <c r="C5784" t="s">
        <v>51</v>
      </c>
      <c r="D5784" t="str">
        <f>T_Stocks[[#This Row],[Ticker]] &amp; "-" &amp; DATE(YEAR(T_Stocks[[#This Row],[Fecha]]),MONTH(T_Stocks[[#This Row],[Fecha]]),DAY(T_Stocks[[#This Row],[Fecha]]))</f>
        <v>PRHSX-44425</v>
      </c>
    </row>
    <row r="5785" spans="1:4" ht="14.65" thickBot="1" x14ac:dyDescent="0.5">
      <c r="A5785" s="17">
        <v>44426.666666666664</v>
      </c>
      <c r="B5785" s="19">
        <v>111.38</v>
      </c>
      <c r="C5785" t="s">
        <v>51</v>
      </c>
      <c r="D5785" t="str">
        <f>T_Stocks[[#This Row],[Ticker]] &amp; "-" &amp; DATE(YEAR(T_Stocks[[#This Row],[Fecha]]),MONTH(T_Stocks[[#This Row],[Fecha]]),DAY(T_Stocks[[#This Row],[Fecha]]))</f>
        <v>PRHSX-44426</v>
      </c>
    </row>
    <row r="5786" spans="1:4" ht="14.65" thickBot="1" x14ac:dyDescent="0.5">
      <c r="A5786" s="17">
        <v>44427.666666666664</v>
      </c>
      <c r="B5786" s="19">
        <v>110.98</v>
      </c>
      <c r="C5786" t="s">
        <v>51</v>
      </c>
      <c r="D5786" t="str">
        <f>T_Stocks[[#This Row],[Ticker]] &amp; "-" &amp; DATE(YEAR(T_Stocks[[#This Row],[Fecha]]),MONTH(T_Stocks[[#This Row],[Fecha]]),DAY(T_Stocks[[#This Row],[Fecha]]))</f>
        <v>PRHSX-44427</v>
      </c>
    </row>
    <row r="5787" spans="1:4" ht="14.65" thickBot="1" x14ac:dyDescent="0.5">
      <c r="A5787" s="17">
        <v>44428.666666666664</v>
      </c>
      <c r="B5787" s="19">
        <v>112.14</v>
      </c>
      <c r="C5787" t="s">
        <v>51</v>
      </c>
      <c r="D5787" t="str">
        <f>T_Stocks[[#This Row],[Ticker]] &amp; "-" &amp; DATE(YEAR(T_Stocks[[#This Row],[Fecha]]),MONTH(T_Stocks[[#This Row],[Fecha]]),DAY(T_Stocks[[#This Row],[Fecha]]))</f>
        <v>PRHSX-44428</v>
      </c>
    </row>
    <row r="5788" spans="1:4" ht="14.65" thickBot="1" x14ac:dyDescent="0.5">
      <c r="A5788" s="17">
        <v>44431.666666666664</v>
      </c>
      <c r="B5788" s="19">
        <v>113.8</v>
      </c>
      <c r="C5788" t="s">
        <v>51</v>
      </c>
      <c r="D5788" t="str">
        <f>T_Stocks[[#This Row],[Ticker]] &amp; "-" &amp; DATE(YEAR(T_Stocks[[#This Row],[Fecha]]),MONTH(T_Stocks[[#This Row],[Fecha]]),DAY(T_Stocks[[#This Row],[Fecha]]))</f>
        <v>PRHSX-44431</v>
      </c>
    </row>
    <row r="5789" spans="1:4" ht="14.65" thickBot="1" x14ac:dyDescent="0.5">
      <c r="A5789" s="17">
        <v>44432.666666666664</v>
      </c>
      <c r="B5789" s="19">
        <v>114.01</v>
      </c>
      <c r="C5789" t="s">
        <v>51</v>
      </c>
      <c r="D5789" t="str">
        <f>T_Stocks[[#This Row],[Ticker]] &amp; "-" &amp; DATE(YEAR(T_Stocks[[#This Row],[Fecha]]),MONTH(T_Stocks[[#This Row],[Fecha]]),DAY(T_Stocks[[#This Row],[Fecha]]))</f>
        <v>PRHSX-44432</v>
      </c>
    </row>
    <row r="5790" spans="1:4" ht="14.65" thickBot="1" x14ac:dyDescent="0.5">
      <c r="A5790" s="17">
        <v>44433.666666666664</v>
      </c>
      <c r="B5790" s="19">
        <v>114.45</v>
      </c>
      <c r="C5790" t="s">
        <v>51</v>
      </c>
      <c r="D5790" t="str">
        <f>T_Stocks[[#This Row],[Ticker]] &amp; "-" &amp; DATE(YEAR(T_Stocks[[#This Row],[Fecha]]),MONTH(T_Stocks[[#This Row],[Fecha]]),DAY(T_Stocks[[#This Row],[Fecha]]))</f>
        <v>PRHSX-44433</v>
      </c>
    </row>
    <row r="5791" spans="1:4" ht="14.65" thickBot="1" x14ac:dyDescent="0.5">
      <c r="A5791" s="17">
        <v>44434.666666666664</v>
      </c>
      <c r="B5791" s="19">
        <v>113.77</v>
      </c>
      <c r="C5791" t="s">
        <v>51</v>
      </c>
      <c r="D5791" t="str">
        <f>T_Stocks[[#This Row],[Ticker]] &amp; "-" &amp; DATE(YEAR(T_Stocks[[#This Row],[Fecha]]),MONTH(T_Stocks[[#This Row],[Fecha]]),DAY(T_Stocks[[#This Row],[Fecha]]))</f>
        <v>PRHSX-44434</v>
      </c>
    </row>
    <row r="5792" spans="1:4" ht="14.65" thickBot="1" x14ac:dyDescent="0.5">
      <c r="A5792" s="17">
        <v>44435.666666666664</v>
      </c>
      <c r="B5792" s="19">
        <v>114.44</v>
      </c>
      <c r="C5792" t="s">
        <v>51</v>
      </c>
      <c r="D5792" t="str">
        <f>T_Stocks[[#This Row],[Ticker]] &amp; "-" &amp; DATE(YEAR(T_Stocks[[#This Row],[Fecha]]),MONTH(T_Stocks[[#This Row],[Fecha]]),DAY(T_Stocks[[#This Row],[Fecha]]))</f>
        <v>PRHSX-44435</v>
      </c>
    </row>
    <row r="5793" spans="1:4" ht="14.65" thickBot="1" x14ac:dyDescent="0.5">
      <c r="A5793" s="17">
        <v>44438.666666666664</v>
      </c>
      <c r="B5793" s="19">
        <v>114.95</v>
      </c>
      <c r="C5793" t="s">
        <v>51</v>
      </c>
      <c r="D5793" t="str">
        <f>T_Stocks[[#This Row],[Ticker]] &amp; "-" &amp; DATE(YEAR(T_Stocks[[#This Row],[Fecha]]),MONTH(T_Stocks[[#This Row],[Fecha]]),DAY(T_Stocks[[#This Row],[Fecha]]))</f>
        <v>PRHSX-44438</v>
      </c>
    </row>
    <row r="5794" spans="1:4" ht="14.65" thickBot="1" x14ac:dyDescent="0.5">
      <c r="A5794" s="17">
        <v>44439.666666666664</v>
      </c>
      <c r="B5794" s="19">
        <v>115.03</v>
      </c>
      <c r="C5794" t="s">
        <v>51</v>
      </c>
      <c r="D5794" t="str">
        <f>T_Stocks[[#This Row],[Ticker]] &amp; "-" &amp; DATE(YEAR(T_Stocks[[#This Row],[Fecha]]),MONTH(T_Stocks[[#This Row],[Fecha]]),DAY(T_Stocks[[#This Row],[Fecha]]))</f>
        <v>PRHSX-44439</v>
      </c>
    </row>
    <row r="5795" spans="1:4" ht="14.65" thickBot="1" x14ac:dyDescent="0.5">
      <c r="A5795" s="17">
        <v>44440.666666666664</v>
      </c>
      <c r="B5795" s="19">
        <v>115.65</v>
      </c>
      <c r="C5795" t="s">
        <v>51</v>
      </c>
      <c r="D5795" t="str">
        <f>T_Stocks[[#This Row],[Ticker]] &amp; "-" &amp; DATE(YEAR(T_Stocks[[#This Row],[Fecha]]),MONTH(T_Stocks[[#This Row],[Fecha]]),DAY(T_Stocks[[#This Row],[Fecha]]))</f>
        <v>PRHSX-44440</v>
      </c>
    </row>
    <row r="5796" spans="1:4" ht="14.65" thickBot="1" x14ac:dyDescent="0.5">
      <c r="A5796" s="17">
        <v>44441.666666666664</v>
      </c>
      <c r="B5796" s="19">
        <v>117.14</v>
      </c>
      <c r="C5796" t="s">
        <v>51</v>
      </c>
      <c r="D5796" t="str">
        <f>T_Stocks[[#This Row],[Ticker]] &amp; "-" &amp; DATE(YEAR(T_Stocks[[#This Row],[Fecha]]),MONTH(T_Stocks[[#This Row],[Fecha]]),DAY(T_Stocks[[#This Row],[Fecha]]))</f>
        <v>PRHSX-44441</v>
      </c>
    </row>
    <row r="5797" spans="1:4" ht="14.65" thickBot="1" x14ac:dyDescent="0.5">
      <c r="A5797" s="17">
        <v>44442.666666666664</v>
      </c>
      <c r="B5797" s="19">
        <v>117.12</v>
      </c>
      <c r="C5797" t="s">
        <v>51</v>
      </c>
      <c r="D5797" t="str">
        <f>T_Stocks[[#This Row],[Ticker]] &amp; "-" &amp; DATE(YEAR(T_Stocks[[#This Row],[Fecha]]),MONTH(T_Stocks[[#This Row],[Fecha]]),DAY(T_Stocks[[#This Row],[Fecha]]))</f>
        <v>PRHSX-44442</v>
      </c>
    </row>
    <row r="5798" spans="1:4" ht="14.65" thickBot="1" x14ac:dyDescent="0.5">
      <c r="A5798" s="17">
        <v>44446.666666666664</v>
      </c>
      <c r="B5798" s="19">
        <v>116.76</v>
      </c>
      <c r="C5798" t="s">
        <v>51</v>
      </c>
      <c r="D5798" t="str">
        <f>T_Stocks[[#This Row],[Ticker]] &amp; "-" &amp; DATE(YEAR(T_Stocks[[#This Row],[Fecha]]),MONTH(T_Stocks[[#This Row],[Fecha]]),DAY(T_Stocks[[#This Row],[Fecha]]))</f>
        <v>PRHSX-44446</v>
      </c>
    </row>
    <row r="5799" spans="1:4" ht="14.65" thickBot="1" x14ac:dyDescent="0.5">
      <c r="A5799" s="17">
        <v>44447.666666666664</v>
      </c>
      <c r="B5799" s="19">
        <v>115.76</v>
      </c>
      <c r="C5799" t="s">
        <v>51</v>
      </c>
      <c r="D5799" t="str">
        <f>T_Stocks[[#This Row],[Ticker]] &amp; "-" &amp; DATE(YEAR(T_Stocks[[#This Row],[Fecha]]),MONTH(T_Stocks[[#This Row],[Fecha]]),DAY(T_Stocks[[#This Row],[Fecha]]))</f>
        <v>PRHSX-44447</v>
      </c>
    </row>
    <row r="5800" spans="1:4" ht="14.65" thickBot="1" x14ac:dyDescent="0.5">
      <c r="A5800" s="17">
        <v>44448.666666666664</v>
      </c>
      <c r="B5800" s="19">
        <v>115.33</v>
      </c>
      <c r="C5800" t="s">
        <v>51</v>
      </c>
      <c r="D5800" t="str">
        <f>T_Stocks[[#This Row],[Ticker]] &amp; "-" &amp; DATE(YEAR(T_Stocks[[#This Row],[Fecha]]),MONTH(T_Stocks[[#This Row],[Fecha]]),DAY(T_Stocks[[#This Row],[Fecha]]))</f>
        <v>PRHSX-44448</v>
      </c>
    </row>
    <row r="5801" spans="1:4" ht="14.65" thickBot="1" x14ac:dyDescent="0.5">
      <c r="A5801" s="17">
        <v>44449.666666666664</v>
      </c>
      <c r="B5801" s="19">
        <v>114.36</v>
      </c>
      <c r="C5801" t="s">
        <v>51</v>
      </c>
      <c r="D5801" t="str">
        <f>T_Stocks[[#This Row],[Ticker]] &amp; "-" &amp; DATE(YEAR(T_Stocks[[#This Row],[Fecha]]),MONTH(T_Stocks[[#This Row],[Fecha]]),DAY(T_Stocks[[#This Row],[Fecha]]))</f>
        <v>PRHSX-44449</v>
      </c>
    </row>
    <row r="5802" spans="1:4" ht="14.65" thickBot="1" x14ac:dyDescent="0.5">
      <c r="A5802" s="17">
        <v>44452.666666666664</v>
      </c>
      <c r="B5802" s="19">
        <v>113.31</v>
      </c>
      <c r="C5802" t="s">
        <v>51</v>
      </c>
      <c r="D5802" t="str">
        <f>T_Stocks[[#This Row],[Ticker]] &amp; "-" &amp; DATE(YEAR(T_Stocks[[#This Row],[Fecha]]),MONTH(T_Stocks[[#This Row],[Fecha]]),DAY(T_Stocks[[#This Row],[Fecha]]))</f>
        <v>PRHSX-44452</v>
      </c>
    </row>
    <row r="5803" spans="1:4" ht="14.65" thickBot="1" x14ac:dyDescent="0.5">
      <c r="A5803" s="17">
        <v>44453.666666666664</v>
      </c>
      <c r="B5803" s="19">
        <v>113.4</v>
      </c>
      <c r="C5803" t="s">
        <v>51</v>
      </c>
      <c r="D5803" t="str">
        <f>T_Stocks[[#This Row],[Ticker]] &amp; "-" &amp; DATE(YEAR(T_Stocks[[#This Row],[Fecha]]),MONTH(T_Stocks[[#This Row],[Fecha]]),DAY(T_Stocks[[#This Row],[Fecha]]))</f>
        <v>PRHSX-44453</v>
      </c>
    </row>
    <row r="5804" spans="1:4" ht="14.65" thickBot="1" x14ac:dyDescent="0.5">
      <c r="A5804" s="17">
        <v>44454.666666666664</v>
      </c>
      <c r="B5804" s="19">
        <v>114.29</v>
      </c>
      <c r="C5804" t="s">
        <v>51</v>
      </c>
      <c r="D5804" t="str">
        <f>T_Stocks[[#This Row],[Ticker]] &amp; "-" &amp; DATE(YEAR(T_Stocks[[#This Row],[Fecha]]),MONTH(T_Stocks[[#This Row],[Fecha]]),DAY(T_Stocks[[#This Row],[Fecha]]))</f>
        <v>PRHSX-44454</v>
      </c>
    </row>
    <row r="5805" spans="1:4" ht="14.65" thickBot="1" x14ac:dyDescent="0.5">
      <c r="A5805" s="17">
        <v>44455.666666666664</v>
      </c>
      <c r="B5805" s="19">
        <v>114.48</v>
      </c>
      <c r="C5805" t="s">
        <v>51</v>
      </c>
      <c r="D5805" t="str">
        <f>T_Stocks[[#This Row],[Ticker]] &amp; "-" &amp; DATE(YEAR(T_Stocks[[#This Row],[Fecha]]),MONTH(T_Stocks[[#This Row],[Fecha]]),DAY(T_Stocks[[#This Row],[Fecha]]))</f>
        <v>PRHSX-44455</v>
      </c>
    </row>
    <row r="5806" spans="1:4" ht="14.65" thickBot="1" x14ac:dyDescent="0.5">
      <c r="A5806" s="17">
        <v>44456.666666666664</v>
      </c>
      <c r="B5806" s="19">
        <v>115.2</v>
      </c>
      <c r="C5806" t="s">
        <v>51</v>
      </c>
      <c r="D5806" t="str">
        <f>T_Stocks[[#This Row],[Ticker]] &amp; "-" &amp; DATE(YEAR(T_Stocks[[#This Row],[Fecha]]),MONTH(T_Stocks[[#This Row],[Fecha]]),DAY(T_Stocks[[#This Row],[Fecha]]))</f>
        <v>PRHSX-44456</v>
      </c>
    </row>
    <row r="5807" spans="1:4" ht="14.65" thickBot="1" x14ac:dyDescent="0.5">
      <c r="A5807" s="17">
        <v>44459.666666666664</v>
      </c>
      <c r="B5807" s="19">
        <v>113.08</v>
      </c>
      <c r="C5807" t="s">
        <v>51</v>
      </c>
      <c r="D5807" t="str">
        <f>T_Stocks[[#This Row],[Ticker]] &amp; "-" &amp; DATE(YEAR(T_Stocks[[#This Row],[Fecha]]),MONTH(T_Stocks[[#This Row],[Fecha]]),DAY(T_Stocks[[#This Row],[Fecha]]))</f>
        <v>PRHSX-44459</v>
      </c>
    </row>
    <row r="5808" spans="1:4" ht="14.65" thickBot="1" x14ac:dyDescent="0.5">
      <c r="A5808" s="17">
        <v>44460.666666666664</v>
      </c>
      <c r="B5808" s="19">
        <v>113.82</v>
      </c>
      <c r="C5808" t="s">
        <v>51</v>
      </c>
      <c r="D5808" t="str">
        <f>T_Stocks[[#This Row],[Ticker]] &amp; "-" &amp; DATE(YEAR(T_Stocks[[#This Row],[Fecha]]),MONTH(T_Stocks[[#This Row],[Fecha]]),DAY(T_Stocks[[#This Row],[Fecha]]))</f>
        <v>PRHSX-44460</v>
      </c>
    </row>
    <row r="5809" spans="1:4" ht="14.65" thickBot="1" x14ac:dyDescent="0.5">
      <c r="A5809" s="17">
        <v>44461.666666666664</v>
      </c>
      <c r="B5809" s="19">
        <v>113.76</v>
      </c>
      <c r="C5809" t="s">
        <v>51</v>
      </c>
      <c r="D5809" t="str">
        <f>T_Stocks[[#This Row],[Ticker]] &amp; "-" &amp; DATE(YEAR(T_Stocks[[#This Row],[Fecha]]),MONTH(T_Stocks[[#This Row],[Fecha]]),DAY(T_Stocks[[#This Row],[Fecha]]))</f>
        <v>PRHSX-44461</v>
      </c>
    </row>
    <row r="5810" spans="1:4" ht="14.65" thickBot="1" x14ac:dyDescent="0.5">
      <c r="A5810" s="17">
        <v>44462.666666666664</v>
      </c>
      <c r="B5810" s="19">
        <v>114.96</v>
      </c>
      <c r="C5810" t="s">
        <v>51</v>
      </c>
      <c r="D5810" t="str">
        <f>T_Stocks[[#This Row],[Ticker]] &amp; "-" &amp; DATE(YEAR(T_Stocks[[#This Row],[Fecha]]),MONTH(T_Stocks[[#This Row],[Fecha]]),DAY(T_Stocks[[#This Row],[Fecha]]))</f>
        <v>PRHSX-44462</v>
      </c>
    </row>
    <row r="5811" spans="1:4" ht="14.65" thickBot="1" x14ac:dyDescent="0.5">
      <c r="A5811" s="17">
        <v>44463.666666666664</v>
      </c>
      <c r="B5811" s="19">
        <v>113.78</v>
      </c>
      <c r="C5811" t="s">
        <v>51</v>
      </c>
      <c r="D5811" t="str">
        <f>T_Stocks[[#This Row],[Ticker]] &amp; "-" &amp; DATE(YEAR(T_Stocks[[#This Row],[Fecha]]),MONTH(T_Stocks[[#This Row],[Fecha]]),DAY(T_Stocks[[#This Row],[Fecha]]))</f>
        <v>PRHSX-44463</v>
      </c>
    </row>
    <row r="5812" spans="1:4" ht="14.65" thickBot="1" x14ac:dyDescent="0.5">
      <c r="A5812" s="17">
        <v>44466.666666666664</v>
      </c>
      <c r="B5812" s="19">
        <v>112.86</v>
      </c>
      <c r="C5812" t="s">
        <v>51</v>
      </c>
      <c r="D5812" t="str">
        <f>T_Stocks[[#This Row],[Ticker]] &amp; "-" &amp; DATE(YEAR(T_Stocks[[#This Row],[Fecha]]),MONTH(T_Stocks[[#This Row],[Fecha]]),DAY(T_Stocks[[#This Row],[Fecha]]))</f>
        <v>PRHSX-44466</v>
      </c>
    </row>
    <row r="5813" spans="1:4" ht="14.65" thickBot="1" x14ac:dyDescent="0.5">
      <c r="A5813" s="17">
        <v>44467.666666666664</v>
      </c>
      <c r="B5813" s="19">
        <v>109.86</v>
      </c>
      <c r="C5813" t="s">
        <v>51</v>
      </c>
      <c r="D5813" t="str">
        <f>T_Stocks[[#This Row],[Ticker]] &amp; "-" &amp; DATE(YEAR(T_Stocks[[#This Row],[Fecha]]),MONTH(T_Stocks[[#This Row],[Fecha]]),DAY(T_Stocks[[#This Row],[Fecha]]))</f>
        <v>PRHSX-44467</v>
      </c>
    </row>
    <row r="5814" spans="1:4" ht="14.65" thickBot="1" x14ac:dyDescent="0.5">
      <c r="A5814" s="17">
        <v>44468.666666666664</v>
      </c>
      <c r="B5814" s="19">
        <v>109.99</v>
      </c>
      <c r="C5814" t="s">
        <v>51</v>
      </c>
      <c r="D5814" t="str">
        <f>T_Stocks[[#This Row],[Ticker]] &amp; "-" &amp; DATE(YEAR(T_Stocks[[#This Row],[Fecha]]),MONTH(T_Stocks[[#This Row],[Fecha]]),DAY(T_Stocks[[#This Row],[Fecha]]))</f>
        <v>PRHSX-44468</v>
      </c>
    </row>
    <row r="5815" spans="1:4" ht="14.65" thickBot="1" x14ac:dyDescent="0.5">
      <c r="A5815" s="17">
        <v>44469.666666666664</v>
      </c>
      <c r="B5815" s="19">
        <v>109.67</v>
      </c>
      <c r="C5815" t="s">
        <v>51</v>
      </c>
      <c r="D5815" t="str">
        <f>T_Stocks[[#This Row],[Ticker]] &amp; "-" &amp; DATE(YEAR(T_Stocks[[#This Row],[Fecha]]),MONTH(T_Stocks[[#This Row],[Fecha]]),DAY(T_Stocks[[#This Row],[Fecha]]))</f>
        <v>PRHSX-44469</v>
      </c>
    </row>
    <row r="5816" spans="1:4" ht="14.65" thickBot="1" x14ac:dyDescent="0.5">
      <c r="A5816" s="17">
        <v>44470.666666666664</v>
      </c>
      <c r="B5816" s="19">
        <v>109.45</v>
      </c>
      <c r="C5816" t="s">
        <v>51</v>
      </c>
      <c r="D5816" t="str">
        <f>T_Stocks[[#This Row],[Ticker]] &amp; "-" &amp; DATE(YEAR(T_Stocks[[#This Row],[Fecha]]),MONTH(T_Stocks[[#This Row],[Fecha]]),DAY(T_Stocks[[#This Row],[Fecha]]))</f>
        <v>PRHSX-44470</v>
      </c>
    </row>
    <row r="5817" spans="1:4" ht="14.65" thickBot="1" x14ac:dyDescent="0.5">
      <c r="A5817" s="17">
        <v>44473.666666666664</v>
      </c>
      <c r="B5817" s="19">
        <v>107.63</v>
      </c>
      <c r="C5817" t="s">
        <v>51</v>
      </c>
      <c r="D5817" t="str">
        <f>T_Stocks[[#This Row],[Ticker]] &amp; "-" &amp; DATE(YEAR(T_Stocks[[#This Row],[Fecha]]),MONTH(T_Stocks[[#This Row],[Fecha]]),DAY(T_Stocks[[#This Row],[Fecha]]))</f>
        <v>PRHSX-44473</v>
      </c>
    </row>
    <row r="5818" spans="1:4" ht="14.65" thickBot="1" x14ac:dyDescent="0.5">
      <c r="A5818" s="17">
        <v>44474.666666666664</v>
      </c>
      <c r="B5818" s="19">
        <v>108.15</v>
      </c>
      <c r="C5818" t="s">
        <v>51</v>
      </c>
      <c r="D5818" t="str">
        <f>T_Stocks[[#This Row],[Ticker]] &amp; "-" &amp; DATE(YEAR(T_Stocks[[#This Row],[Fecha]]),MONTH(T_Stocks[[#This Row],[Fecha]]),DAY(T_Stocks[[#This Row],[Fecha]]))</f>
        <v>PRHSX-44474</v>
      </c>
    </row>
    <row r="5819" spans="1:4" ht="14.65" thickBot="1" x14ac:dyDescent="0.5">
      <c r="A5819" s="17">
        <v>44475.666666666664</v>
      </c>
      <c r="B5819" s="19">
        <v>107.87</v>
      </c>
      <c r="C5819" t="s">
        <v>51</v>
      </c>
      <c r="D5819" t="str">
        <f>T_Stocks[[#This Row],[Ticker]] &amp; "-" &amp; DATE(YEAR(T_Stocks[[#This Row],[Fecha]]),MONTH(T_Stocks[[#This Row],[Fecha]]),DAY(T_Stocks[[#This Row],[Fecha]]))</f>
        <v>PRHSX-44475</v>
      </c>
    </row>
    <row r="5820" spans="1:4" ht="14.65" thickBot="1" x14ac:dyDescent="0.5">
      <c r="A5820" s="17">
        <v>44476.666666666664</v>
      </c>
      <c r="B5820" s="19">
        <v>109.23</v>
      </c>
      <c r="C5820" t="s">
        <v>51</v>
      </c>
      <c r="D5820" t="str">
        <f>T_Stocks[[#This Row],[Ticker]] &amp; "-" &amp; DATE(YEAR(T_Stocks[[#This Row],[Fecha]]),MONTH(T_Stocks[[#This Row],[Fecha]]),DAY(T_Stocks[[#This Row],[Fecha]]))</f>
        <v>PRHSX-44476</v>
      </c>
    </row>
    <row r="5821" spans="1:4" ht="14.65" thickBot="1" x14ac:dyDescent="0.5">
      <c r="A5821" s="17">
        <v>44477.666666666664</v>
      </c>
      <c r="B5821" s="19">
        <v>108.24</v>
      </c>
      <c r="C5821" t="s">
        <v>51</v>
      </c>
      <c r="D5821" t="str">
        <f>T_Stocks[[#This Row],[Ticker]] &amp; "-" &amp; DATE(YEAR(T_Stocks[[#This Row],[Fecha]]),MONTH(T_Stocks[[#This Row],[Fecha]]),DAY(T_Stocks[[#This Row],[Fecha]]))</f>
        <v>PRHSX-44477</v>
      </c>
    </row>
    <row r="5822" spans="1:4" ht="14.65" thickBot="1" x14ac:dyDescent="0.5">
      <c r="A5822" s="17">
        <v>44480.666666666664</v>
      </c>
      <c r="B5822" s="19">
        <v>107.31</v>
      </c>
      <c r="C5822" t="s">
        <v>51</v>
      </c>
      <c r="D5822" t="str">
        <f>T_Stocks[[#This Row],[Ticker]] &amp; "-" &amp; DATE(YEAR(T_Stocks[[#This Row],[Fecha]]),MONTH(T_Stocks[[#This Row],[Fecha]]),DAY(T_Stocks[[#This Row],[Fecha]]))</f>
        <v>PRHSX-44480</v>
      </c>
    </row>
    <row r="5823" spans="1:4" ht="14.65" thickBot="1" x14ac:dyDescent="0.5">
      <c r="A5823" s="17">
        <v>44481.666666666664</v>
      </c>
      <c r="B5823" s="19">
        <v>107.51</v>
      </c>
      <c r="C5823" t="s">
        <v>51</v>
      </c>
      <c r="D5823" t="str">
        <f>T_Stocks[[#This Row],[Ticker]] &amp; "-" &amp; DATE(YEAR(T_Stocks[[#This Row],[Fecha]]),MONTH(T_Stocks[[#This Row],[Fecha]]),DAY(T_Stocks[[#This Row],[Fecha]]))</f>
        <v>PRHSX-44481</v>
      </c>
    </row>
    <row r="5824" spans="1:4" ht="14.65" thickBot="1" x14ac:dyDescent="0.5">
      <c r="A5824" s="17">
        <v>44482.666666666664</v>
      </c>
      <c r="B5824" s="19">
        <v>107.91</v>
      </c>
      <c r="C5824" t="s">
        <v>51</v>
      </c>
      <c r="D5824" t="str">
        <f>T_Stocks[[#This Row],[Ticker]] &amp; "-" &amp; DATE(YEAR(T_Stocks[[#This Row],[Fecha]]),MONTH(T_Stocks[[#This Row],[Fecha]]),DAY(T_Stocks[[#This Row],[Fecha]]))</f>
        <v>PRHSX-44482</v>
      </c>
    </row>
    <row r="5825" spans="1:4" ht="14.65" thickBot="1" x14ac:dyDescent="0.5">
      <c r="A5825" s="17">
        <v>44483.666666666664</v>
      </c>
      <c r="B5825" s="19">
        <v>109.44</v>
      </c>
      <c r="C5825" t="s">
        <v>51</v>
      </c>
      <c r="D5825" t="str">
        <f>T_Stocks[[#This Row],[Ticker]] &amp; "-" &amp; DATE(YEAR(T_Stocks[[#This Row],[Fecha]]),MONTH(T_Stocks[[#This Row],[Fecha]]),DAY(T_Stocks[[#This Row],[Fecha]]))</f>
        <v>PRHSX-44483</v>
      </c>
    </row>
    <row r="5826" spans="1:4" ht="14.65" thickBot="1" x14ac:dyDescent="0.5">
      <c r="A5826" s="17">
        <v>44484.666666666664</v>
      </c>
      <c r="B5826" s="19">
        <v>109.53</v>
      </c>
      <c r="C5826" t="s">
        <v>51</v>
      </c>
      <c r="D5826" t="str">
        <f>T_Stocks[[#This Row],[Ticker]] &amp; "-" &amp; DATE(YEAR(T_Stocks[[#This Row],[Fecha]]),MONTH(T_Stocks[[#This Row],[Fecha]]),DAY(T_Stocks[[#This Row],[Fecha]]))</f>
        <v>PRHSX-44484</v>
      </c>
    </row>
    <row r="5827" spans="1:4" ht="14.65" thickBot="1" x14ac:dyDescent="0.5">
      <c r="A5827" s="17">
        <v>44487.666666666664</v>
      </c>
      <c r="B5827" s="19">
        <v>109.02</v>
      </c>
      <c r="C5827" t="s">
        <v>51</v>
      </c>
      <c r="D5827" t="str">
        <f>T_Stocks[[#This Row],[Ticker]] &amp; "-" &amp; DATE(YEAR(T_Stocks[[#This Row],[Fecha]]),MONTH(T_Stocks[[#This Row],[Fecha]]),DAY(T_Stocks[[#This Row],[Fecha]]))</f>
        <v>PRHSX-44487</v>
      </c>
    </row>
    <row r="5828" spans="1:4" ht="14.65" thickBot="1" x14ac:dyDescent="0.5">
      <c r="A5828" s="17">
        <v>44488.666666666664</v>
      </c>
      <c r="B5828" s="19">
        <v>110.37</v>
      </c>
      <c r="C5828" t="s">
        <v>51</v>
      </c>
      <c r="D5828" t="str">
        <f>T_Stocks[[#This Row],[Ticker]] &amp; "-" &amp; DATE(YEAR(T_Stocks[[#This Row],[Fecha]]),MONTH(T_Stocks[[#This Row],[Fecha]]),DAY(T_Stocks[[#This Row],[Fecha]]))</f>
        <v>PRHSX-44488</v>
      </c>
    </row>
    <row r="5829" spans="1:4" ht="14.65" thickBot="1" x14ac:dyDescent="0.5">
      <c r="A5829" s="17">
        <v>44489.666666666664</v>
      </c>
      <c r="B5829" s="19">
        <v>111.52</v>
      </c>
      <c r="C5829" t="s">
        <v>51</v>
      </c>
      <c r="D5829" t="str">
        <f>T_Stocks[[#This Row],[Ticker]] &amp; "-" &amp; DATE(YEAR(T_Stocks[[#This Row],[Fecha]]),MONTH(T_Stocks[[#This Row],[Fecha]]),DAY(T_Stocks[[#This Row],[Fecha]]))</f>
        <v>PRHSX-44489</v>
      </c>
    </row>
    <row r="5830" spans="1:4" ht="14.65" thickBot="1" x14ac:dyDescent="0.5">
      <c r="A5830" s="17">
        <v>44490.666666666664</v>
      </c>
      <c r="B5830" s="19">
        <v>112.35</v>
      </c>
      <c r="C5830" t="s">
        <v>51</v>
      </c>
      <c r="D5830" t="str">
        <f>T_Stocks[[#This Row],[Ticker]] &amp; "-" &amp; DATE(YEAR(T_Stocks[[#This Row],[Fecha]]),MONTH(T_Stocks[[#This Row],[Fecha]]),DAY(T_Stocks[[#This Row],[Fecha]]))</f>
        <v>PRHSX-44490</v>
      </c>
    </row>
    <row r="5831" spans="1:4" ht="14.65" thickBot="1" x14ac:dyDescent="0.5">
      <c r="A5831" s="17">
        <v>44491.666666666664</v>
      </c>
      <c r="B5831" s="19">
        <v>112.37</v>
      </c>
      <c r="C5831" t="s">
        <v>51</v>
      </c>
      <c r="D5831" t="str">
        <f>T_Stocks[[#This Row],[Ticker]] &amp; "-" &amp; DATE(YEAR(T_Stocks[[#This Row],[Fecha]]),MONTH(T_Stocks[[#This Row],[Fecha]]),DAY(T_Stocks[[#This Row],[Fecha]]))</f>
        <v>PRHSX-44491</v>
      </c>
    </row>
    <row r="5832" spans="1:4" ht="14.65" thickBot="1" x14ac:dyDescent="0.5">
      <c r="A5832" s="17">
        <v>44494.666666666664</v>
      </c>
      <c r="B5832" s="19">
        <v>112.74</v>
      </c>
      <c r="C5832" t="s">
        <v>51</v>
      </c>
      <c r="D5832" t="str">
        <f>T_Stocks[[#This Row],[Ticker]] &amp; "-" &amp; DATE(YEAR(T_Stocks[[#This Row],[Fecha]]),MONTH(T_Stocks[[#This Row],[Fecha]]),DAY(T_Stocks[[#This Row],[Fecha]]))</f>
        <v>PRHSX-44494</v>
      </c>
    </row>
    <row r="5833" spans="1:4" ht="14.65" thickBot="1" x14ac:dyDescent="0.5">
      <c r="A5833" s="17">
        <v>44495.666666666664</v>
      </c>
      <c r="B5833" s="19">
        <v>113.12</v>
      </c>
      <c r="C5833" t="s">
        <v>51</v>
      </c>
      <c r="D5833" t="str">
        <f>T_Stocks[[#This Row],[Ticker]] &amp; "-" &amp; DATE(YEAR(T_Stocks[[#This Row],[Fecha]]),MONTH(T_Stocks[[#This Row],[Fecha]]),DAY(T_Stocks[[#This Row],[Fecha]]))</f>
        <v>PRHSX-44495</v>
      </c>
    </row>
    <row r="5834" spans="1:4" ht="14.65" thickBot="1" x14ac:dyDescent="0.5">
      <c r="A5834" s="17">
        <v>44496.666666666664</v>
      </c>
      <c r="B5834" s="19">
        <v>112.08</v>
      </c>
      <c r="C5834" t="s">
        <v>51</v>
      </c>
      <c r="D5834" t="str">
        <f>T_Stocks[[#This Row],[Ticker]] &amp; "-" &amp; DATE(YEAR(T_Stocks[[#This Row],[Fecha]]),MONTH(T_Stocks[[#This Row],[Fecha]]),DAY(T_Stocks[[#This Row],[Fecha]]))</f>
        <v>PRHSX-44496</v>
      </c>
    </row>
    <row r="5835" spans="1:4" ht="14.65" thickBot="1" x14ac:dyDescent="0.5">
      <c r="A5835" s="17">
        <v>44497.666666666664</v>
      </c>
      <c r="B5835" s="19">
        <v>113.65</v>
      </c>
      <c r="C5835" t="s">
        <v>51</v>
      </c>
      <c r="D5835" t="str">
        <f>T_Stocks[[#This Row],[Ticker]] &amp; "-" &amp; DATE(YEAR(T_Stocks[[#This Row],[Fecha]]),MONTH(T_Stocks[[#This Row],[Fecha]]),DAY(T_Stocks[[#This Row],[Fecha]]))</f>
        <v>PRHSX-44497</v>
      </c>
    </row>
    <row r="5836" spans="1:4" ht="14.65" thickBot="1" x14ac:dyDescent="0.5">
      <c r="A5836" s="17">
        <v>44498.666666666664</v>
      </c>
      <c r="B5836" s="19">
        <v>114.29</v>
      </c>
      <c r="C5836" t="s">
        <v>51</v>
      </c>
      <c r="D5836" t="str">
        <f>T_Stocks[[#This Row],[Ticker]] &amp; "-" &amp; DATE(YEAR(T_Stocks[[#This Row],[Fecha]]),MONTH(T_Stocks[[#This Row],[Fecha]]),DAY(T_Stocks[[#This Row],[Fecha]]))</f>
        <v>PRHSX-44498</v>
      </c>
    </row>
    <row r="5837" spans="1:4" ht="14.65" thickBot="1" x14ac:dyDescent="0.5">
      <c r="A5837" s="17">
        <v>44501.666666666664</v>
      </c>
      <c r="B5837" s="19">
        <v>114.9</v>
      </c>
      <c r="C5837" t="s">
        <v>51</v>
      </c>
      <c r="D5837" t="str">
        <f>T_Stocks[[#This Row],[Ticker]] &amp; "-" &amp; DATE(YEAR(T_Stocks[[#This Row],[Fecha]]),MONTH(T_Stocks[[#This Row],[Fecha]]),DAY(T_Stocks[[#This Row],[Fecha]]))</f>
        <v>PRHSX-44501</v>
      </c>
    </row>
    <row r="5838" spans="1:4" ht="14.65" thickBot="1" x14ac:dyDescent="0.5">
      <c r="A5838" s="17">
        <v>44502.666666666664</v>
      </c>
      <c r="B5838" s="19">
        <v>115.45</v>
      </c>
      <c r="C5838" t="s">
        <v>51</v>
      </c>
      <c r="D5838" t="str">
        <f>T_Stocks[[#This Row],[Ticker]] &amp; "-" &amp; DATE(YEAR(T_Stocks[[#This Row],[Fecha]]),MONTH(T_Stocks[[#This Row],[Fecha]]),DAY(T_Stocks[[#This Row],[Fecha]]))</f>
        <v>PRHSX-44502</v>
      </c>
    </row>
    <row r="5839" spans="1:4" ht="14.65" thickBot="1" x14ac:dyDescent="0.5">
      <c r="A5839" s="17">
        <v>44503.666666666664</v>
      </c>
      <c r="B5839" s="19">
        <v>116.83</v>
      </c>
      <c r="C5839" t="s">
        <v>51</v>
      </c>
      <c r="D5839" t="str">
        <f>T_Stocks[[#This Row],[Ticker]] &amp; "-" &amp; DATE(YEAR(T_Stocks[[#This Row],[Fecha]]),MONTH(T_Stocks[[#This Row],[Fecha]]),DAY(T_Stocks[[#This Row],[Fecha]]))</f>
        <v>PRHSX-44503</v>
      </c>
    </row>
    <row r="5840" spans="1:4" ht="14.65" thickBot="1" x14ac:dyDescent="0.5">
      <c r="A5840" s="17">
        <v>44504.666666666664</v>
      </c>
      <c r="B5840" s="19">
        <v>116.4</v>
      </c>
      <c r="C5840" t="s">
        <v>51</v>
      </c>
      <c r="D5840" t="str">
        <f>T_Stocks[[#This Row],[Ticker]] &amp; "-" &amp; DATE(YEAR(T_Stocks[[#This Row],[Fecha]]),MONTH(T_Stocks[[#This Row],[Fecha]]),DAY(T_Stocks[[#This Row],[Fecha]]))</f>
        <v>PRHSX-44504</v>
      </c>
    </row>
    <row r="5841" spans="1:4" ht="14.65" thickBot="1" x14ac:dyDescent="0.5">
      <c r="A5841" s="17">
        <v>44505.666666666664</v>
      </c>
      <c r="B5841" s="19">
        <v>114.52</v>
      </c>
      <c r="C5841" t="s">
        <v>51</v>
      </c>
      <c r="D5841" t="str">
        <f>T_Stocks[[#This Row],[Ticker]] &amp; "-" &amp; DATE(YEAR(T_Stocks[[#This Row],[Fecha]]),MONTH(T_Stocks[[#This Row],[Fecha]]),DAY(T_Stocks[[#This Row],[Fecha]]))</f>
        <v>PRHSX-44505</v>
      </c>
    </row>
    <row r="5842" spans="1:4" ht="14.65" thickBot="1" x14ac:dyDescent="0.5">
      <c r="A5842" s="17">
        <v>44508.666666666664</v>
      </c>
      <c r="B5842" s="19">
        <v>115.1</v>
      </c>
      <c r="C5842" t="s">
        <v>51</v>
      </c>
      <c r="D5842" t="str">
        <f>T_Stocks[[#This Row],[Ticker]] &amp; "-" &amp; DATE(YEAR(T_Stocks[[#This Row],[Fecha]]),MONTH(T_Stocks[[#This Row],[Fecha]]),DAY(T_Stocks[[#This Row],[Fecha]]))</f>
        <v>PRHSX-44508</v>
      </c>
    </row>
    <row r="5843" spans="1:4" ht="14.65" thickBot="1" x14ac:dyDescent="0.5">
      <c r="A5843" s="17">
        <v>44509.666666666664</v>
      </c>
      <c r="B5843" s="19">
        <v>114.37</v>
      </c>
      <c r="C5843" t="s">
        <v>51</v>
      </c>
      <c r="D5843" t="str">
        <f>T_Stocks[[#This Row],[Ticker]] &amp; "-" &amp; DATE(YEAR(T_Stocks[[#This Row],[Fecha]]),MONTH(T_Stocks[[#This Row],[Fecha]]),DAY(T_Stocks[[#This Row],[Fecha]]))</f>
        <v>PRHSX-44509</v>
      </c>
    </row>
    <row r="5844" spans="1:4" ht="14.65" thickBot="1" x14ac:dyDescent="0.5">
      <c r="A5844" s="17">
        <v>44510.666666666664</v>
      </c>
      <c r="B5844" s="19">
        <v>113.2</v>
      </c>
      <c r="C5844" t="s">
        <v>51</v>
      </c>
      <c r="D5844" t="str">
        <f>T_Stocks[[#This Row],[Ticker]] &amp; "-" &amp; DATE(YEAR(T_Stocks[[#This Row],[Fecha]]),MONTH(T_Stocks[[#This Row],[Fecha]]),DAY(T_Stocks[[#This Row],[Fecha]]))</f>
        <v>PRHSX-44510</v>
      </c>
    </row>
    <row r="5845" spans="1:4" ht="14.65" thickBot="1" x14ac:dyDescent="0.5">
      <c r="A5845" s="17">
        <v>44511.666666666664</v>
      </c>
      <c r="B5845" s="19">
        <v>113.11</v>
      </c>
      <c r="C5845" t="s">
        <v>51</v>
      </c>
      <c r="D5845" t="str">
        <f>T_Stocks[[#This Row],[Ticker]] &amp; "-" &amp; DATE(YEAR(T_Stocks[[#This Row],[Fecha]]),MONTH(T_Stocks[[#This Row],[Fecha]]),DAY(T_Stocks[[#This Row],[Fecha]]))</f>
        <v>PRHSX-44511</v>
      </c>
    </row>
    <row r="5846" spans="1:4" ht="14.65" thickBot="1" x14ac:dyDescent="0.5">
      <c r="A5846" s="17">
        <v>44512.666666666664</v>
      </c>
      <c r="B5846" s="19">
        <v>113.38</v>
      </c>
      <c r="C5846" t="s">
        <v>51</v>
      </c>
      <c r="D5846" t="str">
        <f>T_Stocks[[#This Row],[Ticker]] &amp; "-" &amp; DATE(YEAR(T_Stocks[[#This Row],[Fecha]]),MONTH(T_Stocks[[#This Row],[Fecha]]),DAY(T_Stocks[[#This Row],[Fecha]]))</f>
        <v>PRHSX-44512</v>
      </c>
    </row>
    <row r="5847" spans="1:4" ht="14.65" thickBot="1" x14ac:dyDescent="0.5">
      <c r="A5847" s="17">
        <v>44515.666666666664</v>
      </c>
      <c r="B5847" s="19">
        <v>112.5</v>
      </c>
      <c r="C5847" t="s">
        <v>51</v>
      </c>
      <c r="D5847" t="str">
        <f>T_Stocks[[#This Row],[Ticker]] &amp; "-" &amp; DATE(YEAR(T_Stocks[[#This Row],[Fecha]]),MONTH(T_Stocks[[#This Row],[Fecha]]),DAY(T_Stocks[[#This Row],[Fecha]]))</f>
        <v>PRHSX-44515</v>
      </c>
    </row>
    <row r="5848" spans="1:4" ht="14.65" thickBot="1" x14ac:dyDescent="0.5">
      <c r="A5848" s="17">
        <v>44516.666666666664</v>
      </c>
      <c r="B5848" s="19">
        <v>113.18</v>
      </c>
      <c r="C5848" t="s">
        <v>51</v>
      </c>
      <c r="D5848" t="str">
        <f>T_Stocks[[#This Row],[Ticker]] &amp; "-" &amp; DATE(YEAR(T_Stocks[[#This Row],[Fecha]]),MONTH(T_Stocks[[#This Row],[Fecha]]),DAY(T_Stocks[[#This Row],[Fecha]]))</f>
        <v>PRHSX-44516</v>
      </c>
    </row>
    <row r="5849" spans="1:4" ht="14.65" thickBot="1" x14ac:dyDescent="0.5">
      <c r="A5849" s="17">
        <v>44517.666666666664</v>
      </c>
      <c r="B5849" s="19">
        <v>113.12</v>
      </c>
      <c r="C5849" t="s">
        <v>51</v>
      </c>
      <c r="D5849" t="str">
        <f>T_Stocks[[#This Row],[Ticker]] &amp; "-" &amp; DATE(YEAR(T_Stocks[[#This Row],[Fecha]]),MONTH(T_Stocks[[#This Row],[Fecha]]),DAY(T_Stocks[[#This Row],[Fecha]]))</f>
        <v>PRHSX-44517</v>
      </c>
    </row>
    <row r="5850" spans="1:4" ht="14.65" thickBot="1" x14ac:dyDescent="0.5">
      <c r="A5850" s="17">
        <v>44518.666666666664</v>
      </c>
      <c r="B5850" s="19">
        <v>112.3</v>
      </c>
      <c r="C5850" t="s">
        <v>51</v>
      </c>
      <c r="D5850" t="str">
        <f>T_Stocks[[#This Row],[Ticker]] &amp; "-" &amp; DATE(YEAR(T_Stocks[[#This Row],[Fecha]]),MONTH(T_Stocks[[#This Row],[Fecha]]),DAY(T_Stocks[[#This Row],[Fecha]]))</f>
        <v>PRHSX-44518</v>
      </c>
    </row>
    <row r="5851" spans="1:4" ht="14.65" thickBot="1" x14ac:dyDescent="0.5">
      <c r="A5851" s="17">
        <v>44519.666666666664</v>
      </c>
      <c r="B5851" s="19">
        <v>111.66</v>
      </c>
      <c r="C5851" t="s">
        <v>51</v>
      </c>
      <c r="D5851" t="str">
        <f>T_Stocks[[#This Row],[Ticker]] &amp; "-" &amp; DATE(YEAR(T_Stocks[[#This Row],[Fecha]]),MONTH(T_Stocks[[#This Row],[Fecha]]),DAY(T_Stocks[[#This Row],[Fecha]]))</f>
        <v>PRHSX-44519</v>
      </c>
    </row>
    <row r="5852" spans="1:4" ht="14.65" thickBot="1" x14ac:dyDescent="0.5">
      <c r="A5852" s="17">
        <v>44522.666666666664</v>
      </c>
      <c r="B5852" s="19">
        <v>110.5</v>
      </c>
      <c r="C5852" t="s">
        <v>51</v>
      </c>
      <c r="D5852" t="str">
        <f>T_Stocks[[#This Row],[Ticker]] &amp; "-" &amp; DATE(YEAR(T_Stocks[[#This Row],[Fecha]]),MONTH(T_Stocks[[#This Row],[Fecha]]),DAY(T_Stocks[[#This Row],[Fecha]]))</f>
        <v>PRHSX-44522</v>
      </c>
    </row>
    <row r="5853" spans="1:4" ht="14.65" thickBot="1" x14ac:dyDescent="0.5">
      <c r="A5853" s="17">
        <v>44523.666666666664</v>
      </c>
      <c r="B5853" s="19">
        <v>109.83</v>
      </c>
      <c r="C5853" t="s">
        <v>51</v>
      </c>
      <c r="D5853" t="str">
        <f>T_Stocks[[#This Row],[Ticker]] &amp; "-" &amp; DATE(YEAR(T_Stocks[[#This Row],[Fecha]]),MONTH(T_Stocks[[#This Row],[Fecha]]),DAY(T_Stocks[[#This Row],[Fecha]]))</f>
        <v>PRHSX-44523</v>
      </c>
    </row>
    <row r="5854" spans="1:4" ht="14.65" thickBot="1" x14ac:dyDescent="0.5">
      <c r="A5854" s="17">
        <v>44524.666666666664</v>
      </c>
      <c r="B5854" s="19">
        <v>110.33</v>
      </c>
      <c r="C5854" t="s">
        <v>51</v>
      </c>
      <c r="D5854" t="str">
        <f>T_Stocks[[#This Row],[Ticker]] &amp; "-" &amp; DATE(YEAR(T_Stocks[[#This Row],[Fecha]]),MONTH(T_Stocks[[#This Row],[Fecha]]),DAY(T_Stocks[[#This Row],[Fecha]]))</f>
        <v>PRHSX-44524</v>
      </c>
    </row>
    <row r="5855" spans="1:4" ht="14.65" thickBot="1" x14ac:dyDescent="0.5">
      <c r="A5855" s="17">
        <v>44526.541666666664</v>
      </c>
      <c r="B5855" s="19">
        <v>109.98</v>
      </c>
      <c r="C5855" t="s">
        <v>51</v>
      </c>
      <c r="D5855" t="str">
        <f>T_Stocks[[#This Row],[Ticker]] &amp; "-" &amp; DATE(YEAR(T_Stocks[[#This Row],[Fecha]]),MONTH(T_Stocks[[#This Row],[Fecha]]),DAY(T_Stocks[[#This Row],[Fecha]]))</f>
        <v>PRHSX-44526</v>
      </c>
    </row>
    <row r="5856" spans="1:4" ht="14.65" thickBot="1" x14ac:dyDescent="0.5">
      <c r="A5856" s="17">
        <v>44529.666666666664</v>
      </c>
      <c r="B5856" s="19">
        <v>110</v>
      </c>
      <c r="C5856" t="s">
        <v>51</v>
      </c>
      <c r="D5856" t="str">
        <f>T_Stocks[[#This Row],[Ticker]] &amp; "-" &amp; DATE(YEAR(T_Stocks[[#This Row],[Fecha]]),MONTH(T_Stocks[[#This Row],[Fecha]]),DAY(T_Stocks[[#This Row],[Fecha]]))</f>
        <v>PRHSX-44529</v>
      </c>
    </row>
    <row r="5857" spans="1:4" ht="14.65" thickBot="1" x14ac:dyDescent="0.5">
      <c r="A5857" s="17">
        <v>44530.666666666664</v>
      </c>
      <c r="B5857" s="19">
        <v>108.69</v>
      </c>
      <c r="C5857" t="s">
        <v>51</v>
      </c>
      <c r="D5857" t="str">
        <f>T_Stocks[[#This Row],[Ticker]] &amp; "-" &amp; DATE(YEAR(T_Stocks[[#This Row],[Fecha]]),MONTH(T_Stocks[[#This Row],[Fecha]]),DAY(T_Stocks[[#This Row],[Fecha]]))</f>
        <v>PRHSX-44530</v>
      </c>
    </row>
    <row r="5858" spans="1:4" ht="14.65" thickBot="1" x14ac:dyDescent="0.5">
      <c r="A5858" s="17">
        <v>44531.666666666664</v>
      </c>
      <c r="B5858" s="19">
        <v>107.08</v>
      </c>
      <c r="C5858" t="s">
        <v>51</v>
      </c>
      <c r="D5858" t="str">
        <f>T_Stocks[[#This Row],[Ticker]] &amp; "-" &amp; DATE(YEAR(T_Stocks[[#This Row],[Fecha]]),MONTH(T_Stocks[[#This Row],[Fecha]]),DAY(T_Stocks[[#This Row],[Fecha]]))</f>
        <v>PRHSX-44531</v>
      </c>
    </row>
    <row r="5859" spans="1:4" ht="14.65" thickBot="1" x14ac:dyDescent="0.5">
      <c r="A5859" s="17">
        <v>44532.666666666664</v>
      </c>
      <c r="B5859" s="19">
        <v>107.81</v>
      </c>
      <c r="C5859" t="s">
        <v>51</v>
      </c>
      <c r="D5859" t="str">
        <f>T_Stocks[[#This Row],[Ticker]] &amp; "-" &amp; DATE(YEAR(T_Stocks[[#This Row],[Fecha]]),MONTH(T_Stocks[[#This Row],[Fecha]]),DAY(T_Stocks[[#This Row],[Fecha]]))</f>
        <v>PRHSX-44532</v>
      </c>
    </row>
    <row r="5860" spans="1:4" ht="14.65" thickBot="1" x14ac:dyDescent="0.5">
      <c r="A5860" s="17">
        <v>44533.666666666664</v>
      </c>
      <c r="B5860" s="19">
        <v>106.08</v>
      </c>
      <c r="C5860" t="s">
        <v>51</v>
      </c>
      <c r="D5860" t="str">
        <f>T_Stocks[[#This Row],[Ticker]] &amp; "-" &amp; DATE(YEAR(T_Stocks[[#This Row],[Fecha]]),MONTH(T_Stocks[[#This Row],[Fecha]]),DAY(T_Stocks[[#This Row],[Fecha]]))</f>
        <v>PRHSX-44533</v>
      </c>
    </row>
    <row r="5861" spans="1:4" ht="14.65" thickBot="1" x14ac:dyDescent="0.5">
      <c r="A5861" s="17">
        <v>44536.666666666664</v>
      </c>
      <c r="B5861" s="19">
        <v>105.57</v>
      </c>
      <c r="C5861" t="s">
        <v>51</v>
      </c>
      <c r="D5861" t="str">
        <f>T_Stocks[[#This Row],[Ticker]] &amp; "-" &amp; DATE(YEAR(T_Stocks[[#This Row],[Fecha]]),MONTH(T_Stocks[[#This Row],[Fecha]]),DAY(T_Stocks[[#This Row],[Fecha]]))</f>
        <v>PRHSX-44536</v>
      </c>
    </row>
    <row r="5862" spans="1:4" ht="14.65" thickBot="1" x14ac:dyDescent="0.5">
      <c r="A5862" s="17">
        <v>44537.666666666664</v>
      </c>
      <c r="B5862" s="19">
        <v>108.47</v>
      </c>
      <c r="C5862" t="s">
        <v>51</v>
      </c>
      <c r="D5862" t="str">
        <f>T_Stocks[[#This Row],[Ticker]] &amp; "-" &amp; DATE(YEAR(T_Stocks[[#This Row],[Fecha]]),MONTH(T_Stocks[[#This Row],[Fecha]]),DAY(T_Stocks[[#This Row],[Fecha]]))</f>
        <v>PRHSX-44537</v>
      </c>
    </row>
    <row r="5863" spans="1:4" ht="14.65" thickBot="1" x14ac:dyDescent="0.5">
      <c r="A5863" s="17">
        <v>44538.666666666664</v>
      </c>
      <c r="B5863" s="19">
        <v>109.51</v>
      </c>
      <c r="C5863" t="s">
        <v>51</v>
      </c>
      <c r="D5863" t="str">
        <f>T_Stocks[[#This Row],[Ticker]] &amp; "-" &amp; DATE(YEAR(T_Stocks[[#This Row],[Fecha]]),MONTH(T_Stocks[[#This Row],[Fecha]]),DAY(T_Stocks[[#This Row],[Fecha]]))</f>
        <v>PRHSX-44538</v>
      </c>
    </row>
    <row r="5864" spans="1:4" ht="14.65" thickBot="1" x14ac:dyDescent="0.5">
      <c r="A5864" s="17">
        <v>44539.666666666664</v>
      </c>
      <c r="B5864" s="19">
        <v>108.1</v>
      </c>
      <c r="C5864" t="s">
        <v>51</v>
      </c>
      <c r="D5864" t="str">
        <f>T_Stocks[[#This Row],[Ticker]] &amp; "-" &amp; DATE(YEAR(T_Stocks[[#This Row],[Fecha]]),MONTH(T_Stocks[[#This Row],[Fecha]]),DAY(T_Stocks[[#This Row],[Fecha]]))</f>
        <v>PRHSX-44539</v>
      </c>
    </row>
    <row r="5865" spans="1:4" ht="14.65" thickBot="1" x14ac:dyDescent="0.5">
      <c r="A5865" s="17">
        <v>44540.666666666664</v>
      </c>
      <c r="B5865" s="19">
        <v>107.67</v>
      </c>
      <c r="C5865" t="s">
        <v>51</v>
      </c>
      <c r="D5865" t="str">
        <f>T_Stocks[[#This Row],[Ticker]] &amp; "-" &amp; DATE(YEAR(T_Stocks[[#This Row],[Fecha]]),MONTH(T_Stocks[[#This Row],[Fecha]]),DAY(T_Stocks[[#This Row],[Fecha]]))</f>
        <v>PRHSX-44540</v>
      </c>
    </row>
    <row r="5866" spans="1:4" ht="14.65" thickBot="1" x14ac:dyDescent="0.5">
      <c r="A5866" s="17">
        <v>44543.666666666664</v>
      </c>
      <c r="B5866" s="19">
        <v>108.52</v>
      </c>
      <c r="C5866" t="s">
        <v>51</v>
      </c>
      <c r="D5866" t="str">
        <f>T_Stocks[[#This Row],[Ticker]] &amp; "-" &amp; DATE(YEAR(T_Stocks[[#This Row],[Fecha]]),MONTH(T_Stocks[[#This Row],[Fecha]]),DAY(T_Stocks[[#This Row],[Fecha]]))</f>
        <v>PRHSX-44543</v>
      </c>
    </row>
    <row r="5867" spans="1:4" ht="14.65" thickBot="1" x14ac:dyDescent="0.5">
      <c r="A5867" s="17">
        <v>44544.666666666664</v>
      </c>
      <c r="B5867" s="19">
        <v>107.34</v>
      </c>
      <c r="C5867" t="s">
        <v>51</v>
      </c>
      <c r="D5867" t="str">
        <f>T_Stocks[[#This Row],[Ticker]] &amp; "-" &amp; DATE(YEAR(T_Stocks[[#This Row],[Fecha]]),MONTH(T_Stocks[[#This Row],[Fecha]]),DAY(T_Stocks[[#This Row],[Fecha]]))</f>
        <v>PRHSX-44544</v>
      </c>
    </row>
    <row r="5868" spans="1:4" ht="14.65" thickBot="1" x14ac:dyDescent="0.5">
      <c r="A5868" s="17">
        <v>44545.666666666664</v>
      </c>
      <c r="B5868" s="19">
        <v>102.34</v>
      </c>
      <c r="C5868" t="s">
        <v>51</v>
      </c>
      <c r="D5868" t="str">
        <f>T_Stocks[[#This Row],[Ticker]] &amp; "-" &amp; DATE(YEAR(T_Stocks[[#This Row],[Fecha]]),MONTH(T_Stocks[[#This Row],[Fecha]]),DAY(T_Stocks[[#This Row],[Fecha]]))</f>
        <v>PRHSX-44545</v>
      </c>
    </row>
    <row r="5869" spans="1:4" ht="14.65" thickBot="1" x14ac:dyDescent="0.5">
      <c r="A5869" s="17">
        <v>44546.666666666664</v>
      </c>
      <c r="B5869" s="19">
        <v>101.66</v>
      </c>
      <c r="C5869" t="s">
        <v>51</v>
      </c>
      <c r="D5869" t="str">
        <f>T_Stocks[[#This Row],[Ticker]] &amp; "-" &amp; DATE(YEAR(T_Stocks[[#This Row],[Fecha]]),MONTH(T_Stocks[[#This Row],[Fecha]]),DAY(T_Stocks[[#This Row],[Fecha]]))</f>
        <v>PRHSX-44546</v>
      </c>
    </row>
    <row r="5870" spans="1:4" ht="14.65" thickBot="1" x14ac:dyDescent="0.5">
      <c r="A5870" s="17">
        <v>44547.666666666664</v>
      </c>
      <c r="B5870" s="19">
        <v>102.4</v>
      </c>
      <c r="C5870" t="s">
        <v>51</v>
      </c>
      <c r="D5870" t="str">
        <f>T_Stocks[[#This Row],[Ticker]] &amp; "-" &amp; DATE(YEAR(T_Stocks[[#This Row],[Fecha]]),MONTH(T_Stocks[[#This Row],[Fecha]]),DAY(T_Stocks[[#This Row],[Fecha]]))</f>
        <v>PRHSX-44547</v>
      </c>
    </row>
    <row r="5871" spans="1:4" ht="14.65" thickBot="1" x14ac:dyDescent="0.5">
      <c r="A5871" s="17">
        <v>44550.666666666664</v>
      </c>
      <c r="B5871" s="19">
        <v>101.88</v>
      </c>
      <c r="C5871" t="s">
        <v>51</v>
      </c>
      <c r="D5871" t="str">
        <f>T_Stocks[[#This Row],[Ticker]] &amp; "-" &amp; DATE(YEAR(T_Stocks[[#This Row],[Fecha]]),MONTH(T_Stocks[[#This Row],[Fecha]]),DAY(T_Stocks[[#This Row],[Fecha]]))</f>
        <v>PRHSX-44550</v>
      </c>
    </row>
    <row r="5872" spans="1:4" ht="14.65" thickBot="1" x14ac:dyDescent="0.5">
      <c r="A5872" s="17">
        <v>44551.666666666664</v>
      </c>
      <c r="B5872" s="19">
        <v>103</v>
      </c>
      <c r="C5872" t="s">
        <v>51</v>
      </c>
      <c r="D5872" t="str">
        <f>T_Stocks[[#This Row],[Ticker]] &amp; "-" &amp; DATE(YEAR(T_Stocks[[#This Row],[Fecha]]),MONTH(T_Stocks[[#This Row],[Fecha]]),DAY(T_Stocks[[#This Row],[Fecha]]))</f>
        <v>PRHSX-44551</v>
      </c>
    </row>
    <row r="5873" spans="1:4" ht="14.65" thickBot="1" x14ac:dyDescent="0.5">
      <c r="A5873" s="17">
        <v>44552.666666666664</v>
      </c>
      <c r="B5873" s="19">
        <v>103.86</v>
      </c>
      <c r="C5873" t="s">
        <v>51</v>
      </c>
      <c r="D5873" t="str">
        <f>T_Stocks[[#This Row],[Ticker]] &amp; "-" &amp; DATE(YEAR(T_Stocks[[#This Row],[Fecha]]),MONTH(T_Stocks[[#This Row],[Fecha]]),DAY(T_Stocks[[#This Row],[Fecha]]))</f>
        <v>PRHSX-44552</v>
      </c>
    </row>
    <row r="5874" spans="1:4" ht="14.65" thickBot="1" x14ac:dyDescent="0.5">
      <c r="A5874" s="17">
        <v>44553.666666666664</v>
      </c>
      <c r="B5874" s="19">
        <v>104.32</v>
      </c>
      <c r="C5874" t="s">
        <v>51</v>
      </c>
      <c r="D5874" t="str">
        <f>T_Stocks[[#This Row],[Ticker]] &amp; "-" &amp; DATE(YEAR(T_Stocks[[#This Row],[Fecha]]),MONTH(T_Stocks[[#This Row],[Fecha]]),DAY(T_Stocks[[#This Row],[Fecha]]))</f>
        <v>PRHSX-44553</v>
      </c>
    </row>
    <row r="5875" spans="1:4" ht="14.65" thickBot="1" x14ac:dyDescent="0.5">
      <c r="A5875" s="17">
        <v>44557.666666666664</v>
      </c>
      <c r="B5875" s="19">
        <v>104.3</v>
      </c>
      <c r="C5875" t="s">
        <v>51</v>
      </c>
      <c r="D5875" t="str">
        <f>T_Stocks[[#This Row],[Ticker]] &amp; "-" &amp; DATE(YEAR(T_Stocks[[#This Row],[Fecha]]),MONTH(T_Stocks[[#This Row],[Fecha]]),DAY(T_Stocks[[#This Row],[Fecha]]))</f>
        <v>PRHSX-44557</v>
      </c>
    </row>
    <row r="5876" spans="1:4" ht="14.65" thickBot="1" x14ac:dyDescent="0.5">
      <c r="A5876" s="17">
        <v>44558.666666666664</v>
      </c>
      <c r="B5876" s="19">
        <v>103.64</v>
      </c>
      <c r="C5876" t="s">
        <v>51</v>
      </c>
      <c r="D5876" t="str">
        <f>T_Stocks[[#This Row],[Ticker]] &amp; "-" &amp; DATE(YEAR(T_Stocks[[#This Row],[Fecha]]),MONTH(T_Stocks[[#This Row],[Fecha]]),DAY(T_Stocks[[#This Row],[Fecha]]))</f>
        <v>PRHSX-44558</v>
      </c>
    </row>
    <row r="5877" spans="1:4" ht="14.65" thickBot="1" x14ac:dyDescent="0.5">
      <c r="A5877" s="17">
        <v>44559.666666666664</v>
      </c>
      <c r="B5877" s="19">
        <v>104</v>
      </c>
      <c r="C5877" t="s">
        <v>51</v>
      </c>
      <c r="D5877" t="str">
        <f>T_Stocks[[#This Row],[Ticker]] &amp; "-" &amp; DATE(YEAR(T_Stocks[[#This Row],[Fecha]]),MONTH(T_Stocks[[#This Row],[Fecha]]),DAY(T_Stocks[[#This Row],[Fecha]]))</f>
        <v>PRHSX-44559</v>
      </c>
    </row>
    <row r="5878" spans="1:4" ht="14.65" thickBot="1" x14ac:dyDescent="0.5">
      <c r="A5878" s="17">
        <v>44560.666666666664</v>
      </c>
      <c r="B5878" s="19">
        <v>104.63</v>
      </c>
      <c r="C5878" t="s">
        <v>51</v>
      </c>
      <c r="D5878" t="str">
        <f>T_Stocks[[#This Row],[Ticker]] &amp; "-" &amp; DATE(YEAR(T_Stocks[[#This Row],[Fecha]]),MONTH(T_Stocks[[#This Row],[Fecha]]),DAY(T_Stocks[[#This Row],[Fecha]]))</f>
        <v>PRHSX-44560</v>
      </c>
    </row>
    <row r="5879" spans="1:4" ht="14.65" thickBot="1" x14ac:dyDescent="0.5">
      <c r="A5879" s="17">
        <v>44561.666666666664</v>
      </c>
      <c r="B5879" s="19">
        <v>104.08</v>
      </c>
      <c r="C5879" t="s">
        <v>51</v>
      </c>
      <c r="D5879" t="str">
        <f>T_Stocks[[#This Row],[Ticker]] &amp; "-" &amp; DATE(YEAR(T_Stocks[[#This Row],[Fecha]]),MONTH(T_Stocks[[#This Row],[Fecha]]),DAY(T_Stocks[[#This Row],[Fecha]]))</f>
        <v>PRHSX-44561</v>
      </c>
    </row>
    <row r="5880" spans="1:4" ht="14.65" thickBot="1" x14ac:dyDescent="0.5">
      <c r="A5880" s="17">
        <v>44564.666666666664</v>
      </c>
      <c r="B5880" s="19">
        <v>103.51</v>
      </c>
      <c r="C5880" t="s">
        <v>51</v>
      </c>
      <c r="D5880" t="str">
        <f>T_Stocks[[#This Row],[Ticker]] &amp; "-" &amp; DATE(YEAR(T_Stocks[[#This Row],[Fecha]]),MONTH(T_Stocks[[#This Row],[Fecha]]),DAY(T_Stocks[[#This Row],[Fecha]]))</f>
        <v>PRHSX-44564</v>
      </c>
    </row>
    <row r="5881" spans="1:4" ht="14.65" thickBot="1" x14ac:dyDescent="0.5">
      <c r="A5881" s="17">
        <v>44565.666666666664</v>
      </c>
      <c r="B5881" s="19">
        <v>101.13</v>
      </c>
      <c r="C5881" t="s">
        <v>51</v>
      </c>
      <c r="D5881" t="str">
        <f>T_Stocks[[#This Row],[Ticker]] &amp; "-" &amp; DATE(YEAR(T_Stocks[[#This Row],[Fecha]]),MONTH(T_Stocks[[#This Row],[Fecha]]),DAY(T_Stocks[[#This Row],[Fecha]]))</f>
        <v>PRHSX-44565</v>
      </c>
    </row>
    <row r="5882" spans="1:4" ht="14.65" thickBot="1" x14ac:dyDescent="0.5">
      <c r="A5882" s="17">
        <v>44566.666666666664</v>
      </c>
      <c r="B5882" s="19">
        <v>98.57</v>
      </c>
      <c r="C5882" t="s">
        <v>51</v>
      </c>
      <c r="D5882" t="str">
        <f>T_Stocks[[#This Row],[Ticker]] &amp; "-" &amp; DATE(YEAR(T_Stocks[[#This Row],[Fecha]]),MONTH(T_Stocks[[#This Row],[Fecha]]),DAY(T_Stocks[[#This Row],[Fecha]]))</f>
        <v>PRHSX-44566</v>
      </c>
    </row>
    <row r="5883" spans="1:4" ht="14.65" thickBot="1" x14ac:dyDescent="0.5">
      <c r="A5883" s="17">
        <v>44567.666666666664</v>
      </c>
      <c r="B5883" s="19">
        <v>97.14</v>
      </c>
      <c r="C5883" t="s">
        <v>51</v>
      </c>
      <c r="D5883" t="str">
        <f>T_Stocks[[#This Row],[Ticker]] &amp; "-" &amp; DATE(YEAR(T_Stocks[[#This Row],[Fecha]]),MONTH(T_Stocks[[#This Row],[Fecha]]),DAY(T_Stocks[[#This Row],[Fecha]]))</f>
        <v>PRHSX-44567</v>
      </c>
    </row>
    <row r="5884" spans="1:4" ht="14.65" thickBot="1" x14ac:dyDescent="0.5">
      <c r="A5884" s="17">
        <v>44568.666666666664</v>
      </c>
      <c r="B5884" s="19">
        <v>95.69</v>
      </c>
      <c r="C5884" t="s">
        <v>51</v>
      </c>
      <c r="D5884" t="str">
        <f>T_Stocks[[#This Row],[Ticker]] &amp; "-" &amp; DATE(YEAR(T_Stocks[[#This Row],[Fecha]]),MONTH(T_Stocks[[#This Row],[Fecha]]),DAY(T_Stocks[[#This Row],[Fecha]]))</f>
        <v>PRHSX-44568</v>
      </c>
    </row>
    <row r="5885" spans="1:4" ht="14.65" thickBot="1" x14ac:dyDescent="0.5">
      <c r="A5885" s="17">
        <v>44571.666666666664</v>
      </c>
      <c r="B5885" s="19">
        <v>96.57</v>
      </c>
      <c r="C5885" t="s">
        <v>51</v>
      </c>
      <c r="D5885" t="str">
        <f>T_Stocks[[#This Row],[Ticker]] &amp; "-" &amp; DATE(YEAR(T_Stocks[[#This Row],[Fecha]]),MONTH(T_Stocks[[#This Row],[Fecha]]),DAY(T_Stocks[[#This Row],[Fecha]]))</f>
        <v>PRHSX-44571</v>
      </c>
    </row>
    <row r="5886" spans="1:4" ht="14.65" thickBot="1" x14ac:dyDescent="0.5">
      <c r="A5886" s="17">
        <v>44572.666666666664</v>
      </c>
      <c r="B5886" s="19">
        <v>97.29</v>
      </c>
      <c r="C5886" t="s">
        <v>51</v>
      </c>
      <c r="D5886" t="str">
        <f>T_Stocks[[#This Row],[Ticker]] &amp; "-" &amp; DATE(YEAR(T_Stocks[[#This Row],[Fecha]]),MONTH(T_Stocks[[#This Row],[Fecha]]),DAY(T_Stocks[[#This Row],[Fecha]]))</f>
        <v>PRHSX-44572</v>
      </c>
    </row>
    <row r="5887" spans="1:4" ht="14.65" thickBot="1" x14ac:dyDescent="0.5">
      <c r="A5887" s="17">
        <v>44573.666666666664</v>
      </c>
      <c r="B5887" s="19">
        <v>96.75</v>
      </c>
      <c r="C5887" t="s">
        <v>51</v>
      </c>
      <c r="D5887" t="str">
        <f>T_Stocks[[#This Row],[Ticker]] &amp; "-" &amp; DATE(YEAR(T_Stocks[[#This Row],[Fecha]]),MONTH(T_Stocks[[#This Row],[Fecha]]),DAY(T_Stocks[[#This Row],[Fecha]]))</f>
        <v>PRHSX-44573</v>
      </c>
    </row>
    <row r="5888" spans="1:4" ht="14.65" thickBot="1" x14ac:dyDescent="0.5">
      <c r="A5888" s="17">
        <v>44574.666666666664</v>
      </c>
      <c r="B5888" s="19">
        <v>94.38</v>
      </c>
      <c r="C5888" t="s">
        <v>51</v>
      </c>
      <c r="D5888" t="str">
        <f>T_Stocks[[#This Row],[Ticker]] &amp; "-" &amp; DATE(YEAR(T_Stocks[[#This Row],[Fecha]]),MONTH(T_Stocks[[#This Row],[Fecha]]),DAY(T_Stocks[[#This Row],[Fecha]]))</f>
        <v>PRHSX-44574</v>
      </c>
    </row>
    <row r="5889" spans="1:4" ht="14.65" thickBot="1" x14ac:dyDescent="0.5">
      <c r="A5889" s="17">
        <v>44575.666666666664</v>
      </c>
      <c r="B5889" s="19">
        <v>94.26</v>
      </c>
      <c r="C5889" t="s">
        <v>51</v>
      </c>
      <c r="D5889" t="str">
        <f>T_Stocks[[#This Row],[Ticker]] &amp; "-" &amp; DATE(YEAR(T_Stocks[[#This Row],[Fecha]]),MONTH(T_Stocks[[#This Row],[Fecha]]),DAY(T_Stocks[[#This Row],[Fecha]]))</f>
        <v>PRHSX-44575</v>
      </c>
    </row>
    <row r="5890" spans="1:4" ht="14.65" thickBot="1" x14ac:dyDescent="0.5">
      <c r="A5890" s="17">
        <v>44579.666666666664</v>
      </c>
      <c r="B5890" s="19">
        <v>91.68</v>
      </c>
      <c r="C5890" t="s">
        <v>51</v>
      </c>
      <c r="D5890" t="str">
        <f>T_Stocks[[#This Row],[Ticker]] &amp; "-" &amp; DATE(YEAR(T_Stocks[[#This Row],[Fecha]]),MONTH(T_Stocks[[#This Row],[Fecha]]),DAY(T_Stocks[[#This Row],[Fecha]]))</f>
        <v>PRHSX-44579</v>
      </c>
    </row>
    <row r="5891" spans="1:4" ht="14.65" thickBot="1" x14ac:dyDescent="0.5">
      <c r="A5891" s="17">
        <v>44580.666666666664</v>
      </c>
      <c r="B5891" s="19">
        <v>91.18</v>
      </c>
      <c r="C5891" t="s">
        <v>51</v>
      </c>
      <c r="D5891" t="str">
        <f>T_Stocks[[#This Row],[Ticker]] &amp; "-" &amp; DATE(YEAR(T_Stocks[[#This Row],[Fecha]]),MONTH(T_Stocks[[#This Row],[Fecha]]),DAY(T_Stocks[[#This Row],[Fecha]]))</f>
        <v>PRHSX-44580</v>
      </c>
    </row>
    <row r="5892" spans="1:4" ht="14.65" thickBot="1" x14ac:dyDescent="0.5">
      <c r="A5892" s="17">
        <v>44581.666666666664</v>
      </c>
      <c r="B5892" s="19">
        <v>90.89</v>
      </c>
      <c r="C5892" t="s">
        <v>51</v>
      </c>
      <c r="D5892" t="str">
        <f>T_Stocks[[#This Row],[Ticker]] &amp; "-" &amp; DATE(YEAR(T_Stocks[[#This Row],[Fecha]]),MONTH(T_Stocks[[#This Row],[Fecha]]),DAY(T_Stocks[[#This Row],[Fecha]]))</f>
        <v>PRHSX-44581</v>
      </c>
    </row>
    <row r="5893" spans="1:4" ht="14.65" thickBot="1" x14ac:dyDescent="0.5">
      <c r="A5893" s="17">
        <v>44582.666666666664</v>
      </c>
      <c r="B5893" s="19">
        <v>89.41</v>
      </c>
      <c r="C5893" t="s">
        <v>51</v>
      </c>
      <c r="D5893" t="str">
        <f>T_Stocks[[#This Row],[Ticker]] &amp; "-" &amp; DATE(YEAR(T_Stocks[[#This Row],[Fecha]]),MONTH(T_Stocks[[#This Row],[Fecha]]),DAY(T_Stocks[[#This Row],[Fecha]]))</f>
        <v>PRHSX-44582</v>
      </c>
    </row>
    <row r="5894" spans="1:4" ht="14.65" thickBot="1" x14ac:dyDescent="0.5">
      <c r="A5894" s="17">
        <v>44585.666666666664</v>
      </c>
      <c r="B5894" s="19">
        <v>89.82</v>
      </c>
      <c r="C5894" t="s">
        <v>51</v>
      </c>
      <c r="D5894" t="str">
        <f>T_Stocks[[#This Row],[Ticker]] &amp; "-" &amp; DATE(YEAR(T_Stocks[[#This Row],[Fecha]]),MONTH(T_Stocks[[#This Row],[Fecha]]),DAY(T_Stocks[[#This Row],[Fecha]]))</f>
        <v>PRHSX-44585</v>
      </c>
    </row>
    <row r="5895" spans="1:4" ht="14.65" thickBot="1" x14ac:dyDescent="0.5">
      <c r="A5895" s="17">
        <v>44586.666666666664</v>
      </c>
      <c r="B5895" s="19">
        <v>88.41</v>
      </c>
      <c r="C5895" t="s">
        <v>51</v>
      </c>
      <c r="D5895" t="str">
        <f>T_Stocks[[#This Row],[Ticker]] &amp; "-" &amp; DATE(YEAR(T_Stocks[[#This Row],[Fecha]]),MONTH(T_Stocks[[#This Row],[Fecha]]),DAY(T_Stocks[[#This Row],[Fecha]]))</f>
        <v>PRHSX-44586</v>
      </c>
    </row>
    <row r="5896" spans="1:4" ht="14.65" thickBot="1" x14ac:dyDescent="0.5">
      <c r="A5896" s="17">
        <v>44587.666666666664</v>
      </c>
      <c r="B5896" s="19">
        <v>87.72</v>
      </c>
      <c r="C5896" t="s">
        <v>51</v>
      </c>
      <c r="D5896" t="str">
        <f>T_Stocks[[#This Row],[Ticker]] &amp; "-" &amp; DATE(YEAR(T_Stocks[[#This Row],[Fecha]]),MONTH(T_Stocks[[#This Row],[Fecha]]),DAY(T_Stocks[[#This Row],[Fecha]]))</f>
        <v>PRHSX-44587</v>
      </c>
    </row>
    <row r="5897" spans="1:4" ht="14.65" thickBot="1" x14ac:dyDescent="0.5">
      <c r="A5897" s="17">
        <v>44588.666666666664</v>
      </c>
      <c r="B5897" s="19">
        <v>86.86</v>
      </c>
      <c r="C5897" t="s">
        <v>51</v>
      </c>
      <c r="D5897" t="str">
        <f>T_Stocks[[#This Row],[Ticker]] &amp; "-" &amp; DATE(YEAR(T_Stocks[[#This Row],[Fecha]]),MONTH(T_Stocks[[#This Row],[Fecha]]),DAY(T_Stocks[[#This Row],[Fecha]]))</f>
        <v>PRHSX-44588</v>
      </c>
    </row>
    <row r="5898" spans="1:4" ht="14.65" thickBot="1" x14ac:dyDescent="0.5">
      <c r="A5898" s="17">
        <v>44589.666666666664</v>
      </c>
      <c r="B5898" s="19">
        <v>89.18</v>
      </c>
      <c r="C5898" t="s">
        <v>51</v>
      </c>
      <c r="D5898" t="str">
        <f>T_Stocks[[#This Row],[Ticker]] &amp; "-" &amp; DATE(YEAR(T_Stocks[[#This Row],[Fecha]]),MONTH(T_Stocks[[#This Row],[Fecha]]),DAY(T_Stocks[[#This Row],[Fecha]]))</f>
        <v>PRHSX-44589</v>
      </c>
    </row>
    <row r="5899" spans="1:4" ht="14.65" thickBot="1" x14ac:dyDescent="0.5">
      <c r="A5899" s="17">
        <v>44592.666666666664</v>
      </c>
      <c r="B5899" s="19">
        <v>91.19</v>
      </c>
      <c r="C5899" t="s">
        <v>51</v>
      </c>
      <c r="D5899" t="str">
        <f>T_Stocks[[#This Row],[Ticker]] &amp; "-" &amp; DATE(YEAR(T_Stocks[[#This Row],[Fecha]]),MONTH(T_Stocks[[#This Row],[Fecha]]),DAY(T_Stocks[[#This Row],[Fecha]]))</f>
        <v>PRHSX-44592</v>
      </c>
    </row>
    <row r="5900" spans="1:4" ht="14.65" thickBot="1" x14ac:dyDescent="0.5">
      <c r="A5900" s="17">
        <v>44593.666666666664</v>
      </c>
      <c r="B5900" s="19">
        <v>92.15</v>
      </c>
      <c r="C5900" t="s">
        <v>51</v>
      </c>
      <c r="D5900" t="str">
        <f>T_Stocks[[#This Row],[Ticker]] &amp; "-" &amp; DATE(YEAR(T_Stocks[[#This Row],[Fecha]]),MONTH(T_Stocks[[#This Row],[Fecha]]),DAY(T_Stocks[[#This Row],[Fecha]]))</f>
        <v>PRHSX-44593</v>
      </c>
    </row>
    <row r="5901" spans="1:4" ht="14.65" thickBot="1" x14ac:dyDescent="0.5">
      <c r="A5901" s="17">
        <v>44594.666666666664</v>
      </c>
      <c r="B5901" s="19">
        <v>92.7</v>
      </c>
      <c r="C5901" t="s">
        <v>51</v>
      </c>
      <c r="D5901" t="str">
        <f>T_Stocks[[#This Row],[Ticker]] &amp; "-" &amp; DATE(YEAR(T_Stocks[[#This Row],[Fecha]]),MONTH(T_Stocks[[#This Row],[Fecha]]),DAY(T_Stocks[[#This Row],[Fecha]]))</f>
        <v>PRHSX-44594</v>
      </c>
    </row>
    <row r="5902" spans="1:4" ht="14.65" thickBot="1" x14ac:dyDescent="0.5">
      <c r="A5902" s="17">
        <v>44595.666666666664</v>
      </c>
      <c r="B5902" s="19">
        <v>91.55</v>
      </c>
      <c r="C5902" t="s">
        <v>51</v>
      </c>
      <c r="D5902" t="str">
        <f>T_Stocks[[#This Row],[Ticker]] &amp; "-" &amp; DATE(YEAR(T_Stocks[[#This Row],[Fecha]]),MONTH(T_Stocks[[#This Row],[Fecha]]),DAY(T_Stocks[[#This Row],[Fecha]]))</f>
        <v>PRHSX-44595</v>
      </c>
    </row>
    <row r="5903" spans="1:4" ht="14.65" thickBot="1" x14ac:dyDescent="0.5">
      <c r="A5903" s="17">
        <v>44596.666666666664</v>
      </c>
      <c r="B5903" s="19">
        <v>91.71</v>
      </c>
      <c r="C5903" t="s">
        <v>51</v>
      </c>
      <c r="D5903" t="str">
        <f>T_Stocks[[#This Row],[Ticker]] &amp; "-" &amp; DATE(YEAR(T_Stocks[[#This Row],[Fecha]]),MONTH(T_Stocks[[#This Row],[Fecha]]),DAY(T_Stocks[[#This Row],[Fecha]]))</f>
        <v>PRHSX-44596</v>
      </c>
    </row>
    <row r="5904" spans="1:4" ht="14.65" thickBot="1" x14ac:dyDescent="0.5">
      <c r="A5904" s="17">
        <v>44599.666666666664</v>
      </c>
      <c r="B5904" s="19">
        <v>91.95</v>
      </c>
      <c r="C5904" t="s">
        <v>51</v>
      </c>
      <c r="D5904" t="str">
        <f>T_Stocks[[#This Row],[Ticker]] &amp; "-" &amp; DATE(YEAR(T_Stocks[[#This Row],[Fecha]]),MONTH(T_Stocks[[#This Row],[Fecha]]),DAY(T_Stocks[[#This Row],[Fecha]]))</f>
        <v>PRHSX-44599</v>
      </c>
    </row>
    <row r="5905" spans="1:4" ht="14.65" thickBot="1" x14ac:dyDescent="0.5">
      <c r="A5905" s="17">
        <v>44600.666666666664</v>
      </c>
      <c r="B5905" s="19">
        <v>92.27</v>
      </c>
      <c r="C5905" t="s">
        <v>51</v>
      </c>
      <c r="D5905" t="str">
        <f>T_Stocks[[#This Row],[Ticker]] &amp; "-" &amp; DATE(YEAR(T_Stocks[[#This Row],[Fecha]]),MONTH(T_Stocks[[#This Row],[Fecha]]),DAY(T_Stocks[[#This Row],[Fecha]]))</f>
        <v>PRHSX-44600</v>
      </c>
    </row>
    <row r="5906" spans="1:4" ht="14.65" thickBot="1" x14ac:dyDescent="0.5">
      <c r="A5906" s="17">
        <v>44601.666666666664</v>
      </c>
      <c r="B5906" s="19">
        <v>94.3</v>
      </c>
      <c r="C5906" t="s">
        <v>51</v>
      </c>
      <c r="D5906" t="str">
        <f>T_Stocks[[#This Row],[Ticker]] &amp; "-" &amp; DATE(YEAR(T_Stocks[[#This Row],[Fecha]]),MONTH(T_Stocks[[#This Row],[Fecha]]),DAY(T_Stocks[[#This Row],[Fecha]]))</f>
        <v>PRHSX-44601</v>
      </c>
    </row>
    <row r="5907" spans="1:4" ht="14.65" thickBot="1" x14ac:dyDescent="0.5">
      <c r="A5907" s="17">
        <v>44602.666666666664</v>
      </c>
      <c r="B5907" s="19">
        <v>92.6</v>
      </c>
      <c r="C5907" t="s">
        <v>51</v>
      </c>
      <c r="D5907" t="str">
        <f>T_Stocks[[#This Row],[Ticker]] &amp; "-" &amp; DATE(YEAR(T_Stocks[[#This Row],[Fecha]]),MONTH(T_Stocks[[#This Row],[Fecha]]),DAY(T_Stocks[[#This Row],[Fecha]]))</f>
        <v>PRHSX-44602</v>
      </c>
    </row>
    <row r="5908" spans="1:4" ht="14.65" thickBot="1" x14ac:dyDescent="0.5">
      <c r="A5908" s="17">
        <v>44603.666666666664</v>
      </c>
      <c r="B5908" s="19">
        <v>91.09</v>
      </c>
      <c r="C5908" t="s">
        <v>51</v>
      </c>
      <c r="D5908" t="str">
        <f>T_Stocks[[#This Row],[Ticker]] &amp; "-" &amp; DATE(YEAR(T_Stocks[[#This Row],[Fecha]]),MONTH(T_Stocks[[#This Row],[Fecha]]),DAY(T_Stocks[[#This Row],[Fecha]]))</f>
        <v>PRHSX-44603</v>
      </c>
    </row>
    <row r="5909" spans="1:4" ht="14.65" thickBot="1" x14ac:dyDescent="0.5">
      <c r="A5909" s="17">
        <v>44606.666666666664</v>
      </c>
      <c r="B5909" s="19">
        <v>90.01</v>
      </c>
      <c r="C5909" t="s">
        <v>51</v>
      </c>
      <c r="D5909" t="str">
        <f>T_Stocks[[#This Row],[Ticker]] &amp; "-" &amp; DATE(YEAR(T_Stocks[[#This Row],[Fecha]]),MONTH(T_Stocks[[#This Row],[Fecha]]),DAY(T_Stocks[[#This Row],[Fecha]]))</f>
        <v>PRHSX-44606</v>
      </c>
    </row>
    <row r="5910" spans="1:4" ht="14.65" thickBot="1" x14ac:dyDescent="0.5">
      <c r="A5910" s="17">
        <v>44607.666666666664</v>
      </c>
      <c r="B5910" s="19">
        <v>91.87</v>
      </c>
      <c r="C5910" t="s">
        <v>51</v>
      </c>
      <c r="D5910" t="str">
        <f>T_Stocks[[#This Row],[Ticker]] &amp; "-" &amp; DATE(YEAR(T_Stocks[[#This Row],[Fecha]]),MONTH(T_Stocks[[#This Row],[Fecha]]),DAY(T_Stocks[[#This Row],[Fecha]]))</f>
        <v>PRHSX-44607</v>
      </c>
    </row>
    <row r="5911" spans="1:4" ht="14.65" thickBot="1" x14ac:dyDescent="0.5">
      <c r="A5911" s="17">
        <v>44608.666666666664</v>
      </c>
      <c r="B5911" s="19">
        <v>91.73</v>
      </c>
      <c r="C5911" t="s">
        <v>51</v>
      </c>
      <c r="D5911" t="str">
        <f>T_Stocks[[#This Row],[Ticker]] &amp; "-" &amp; DATE(YEAR(T_Stocks[[#This Row],[Fecha]]),MONTH(T_Stocks[[#This Row],[Fecha]]),DAY(T_Stocks[[#This Row],[Fecha]]))</f>
        <v>PRHSX-44608</v>
      </c>
    </row>
    <row r="5912" spans="1:4" ht="14.65" thickBot="1" x14ac:dyDescent="0.5">
      <c r="A5912" s="17">
        <v>44609.666666666664</v>
      </c>
      <c r="B5912" s="19">
        <v>89.66</v>
      </c>
      <c r="C5912" t="s">
        <v>51</v>
      </c>
      <c r="D5912" t="str">
        <f>T_Stocks[[#This Row],[Ticker]] &amp; "-" &amp; DATE(YEAR(T_Stocks[[#This Row],[Fecha]]),MONTH(T_Stocks[[#This Row],[Fecha]]),DAY(T_Stocks[[#This Row],[Fecha]]))</f>
        <v>PRHSX-44609</v>
      </c>
    </row>
    <row r="5913" spans="1:4" ht="14.65" thickBot="1" x14ac:dyDescent="0.5">
      <c r="A5913" s="17">
        <v>44610.666666666664</v>
      </c>
      <c r="B5913" s="19">
        <v>88.82</v>
      </c>
      <c r="C5913" t="s">
        <v>51</v>
      </c>
      <c r="D5913" t="str">
        <f>T_Stocks[[#This Row],[Ticker]] &amp; "-" &amp; DATE(YEAR(T_Stocks[[#This Row],[Fecha]]),MONTH(T_Stocks[[#This Row],[Fecha]]),DAY(T_Stocks[[#This Row],[Fecha]]))</f>
        <v>PRHSX-44610</v>
      </c>
    </row>
    <row r="5914" spans="1:4" ht="14.65" thickBot="1" x14ac:dyDescent="0.5">
      <c r="A5914" s="17">
        <v>44614.666666666664</v>
      </c>
      <c r="B5914" s="19">
        <v>88.51</v>
      </c>
      <c r="C5914" t="s">
        <v>51</v>
      </c>
      <c r="D5914" t="str">
        <f>T_Stocks[[#This Row],[Ticker]] &amp; "-" &amp; DATE(YEAR(T_Stocks[[#This Row],[Fecha]]),MONTH(T_Stocks[[#This Row],[Fecha]]),DAY(T_Stocks[[#This Row],[Fecha]]))</f>
        <v>PRHSX-44614</v>
      </c>
    </row>
    <row r="5915" spans="1:4" ht="14.65" thickBot="1" x14ac:dyDescent="0.5">
      <c r="A5915" s="17">
        <v>44615.666666666664</v>
      </c>
      <c r="B5915" s="19">
        <v>86.94</v>
      </c>
      <c r="C5915" t="s">
        <v>51</v>
      </c>
      <c r="D5915" t="str">
        <f>T_Stocks[[#This Row],[Ticker]] &amp; "-" &amp; DATE(YEAR(T_Stocks[[#This Row],[Fecha]]),MONTH(T_Stocks[[#This Row],[Fecha]]),DAY(T_Stocks[[#This Row],[Fecha]]))</f>
        <v>PRHSX-44615</v>
      </c>
    </row>
    <row r="5916" spans="1:4" ht="14.65" thickBot="1" x14ac:dyDescent="0.5">
      <c r="A5916" s="17">
        <v>44616.666666666664</v>
      </c>
      <c r="B5916" s="19">
        <v>89.04</v>
      </c>
      <c r="C5916" t="s">
        <v>51</v>
      </c>
      <c r="D5916" t="str">
        <f>T_Stocks[[#This Row],[Ticker]] &amp; "-" &amp; DATE(YEAR(T_Stocks[[#This Row],[Fecha]]),MONTH(T_Stocks[[#This Row],[Fecha]]),DAY(T_Stocks[[#This Row],[Fecha]]))</f>
        <v>PRHSX-44616</v>
      </c>
    </row>
    <row r="5917" spans="1:4" ht="14.65" thickBot="1" x14ac:dyDescent="0.5">
      <c r="A5917" s="17">
        <v>44617.666666666664</v>
      </c>
      <c r="B5917" s="19">
        <v>91.06</v>
      </c>
      <c r="C5917" t="s">
        <v>51</v>
      </c>
      <c r="D5917" t="str">
        <f>T_Stocks[[#This Row],[Ticker]] &amp; "-" &amp; DATE(YEAR(T_Stocks[[#This Row],[Fecha]]),MONTH(T_Stocks[[#This Row],[Fecha]]),DAY(T_Stocks[[#This Row],[Fecha]]))</f>
        <v>PRHSX-44617</v>
      </c>
    </row>
    <row r="5918" spans="1:4" ht="14.65" thickBot="1" x14ac:dyDescent="0.5">
      <c r="A5918" s="17">
        <v>44620.666666666664</v>
      </c>
      <c r="B5918" s="19">
        <v>90.83</v>
      </c>
      <c r="C5918" t="s">
        <v>51</v>
      </c>
      <c r="D5918" t="str">
        <f>T_Stocks[[#This Row],[Ticker]] &amp; "-" &amp; DATE(YEAR(T_Stocks[[#This Row],[Fecha]]),MONTH(T_Stocks[[#This Row],[Fecha]]),DAY(T_Stocks[[#This Row],[Fecha]]))</f>
        <v>PRHSX-44620</v>
      </c>
    </row>
    <row r="5919" spans="1:4" ht="14.65" thickBot="1" x14ac:dyDescent="0.5">
      <c r="A5919" s="17">
        <v>44621.666666666664</v>
      </c>
      <c r="B5919" s="19">
        <v>90.61</v>
      </c>
      <c r="C5919" t="s">
        <v>51</v>
      </c>
      <c r="D5919" t="str">
        <f>T_Stocks[[#This Row],[Ticker]] &amp; "-" &amp; DATE(YEAR(T_Stocks[[#This Row],[Fecha]]),MONTH(T_Stocks[[#This Row],[Fecha]]),DAY(T_Stocks[[#This Row],[Fecha]]))</f>
        <v>PRHSX-44621</v>
      </c>
    </row>
    <row r="5920" spans="1:4" ht="14.65" thickBot="1" x14ac:dyDescent="0.5">
      <c r="A5920" s="17">
        <v>44622.666666666664</v>
      </c>
      <c r="B5920" s="19">
        <v>91.6</v>
      </c>
      <c r="C5920" t="s">
        <v>51</v>
      </c>
      <c r="D5920" t="str">
        <f>T_Stocks[[#This Row],[Ticker]] &amp; "-" &amp; DATE(YEAR(T_Stocks[[#This Row],[Fecha]]),MONTH(T_Stocks[[#This Row],[Fecha]]),DAY(T_Stocks[[#This Row],[Fecha]]))</f>
        <v>PRHSX-44622</v>
      </c>
    </row>
    <row r="5921" spans="1:4" ht="14.65" thickBot="1" x14ac:dyDescent="0.5">
      <c r="A5921" s="17">
        <v>44623.666666666664</v>
      </c>
      <c r="B5921" s="19">
        <v>90.66</v>
      </c>
      <c r="C5921" t="s">
        <v>51</v>
      </c>
      <c r="D5921" t="str">
        <f>T_Stocks[[#This Row],[Ticker]] &amp; "-" &amp; DATE(YEAR(T_Stocks[[#This Row],[Fecha]]),MONTH(T_Stocks[[#This Row],[Fecha]]),DAY(T_Stocks[[#This Row],[Fecha]]))</f>
        <v>PRHSX-44623</v>
      </c>
    </row>
    <row r="5922" spans="1:4" ht="14.65" thickBot="1" x14ac:dyDescent="0.5">
      <c r="A5922" s="17">
        <v>44624.666666666664</v>
      </c>
      <c r="B5922" s="19">
        <v>90.09</v>
      </c>
      <c r="C5922" t="s">
        <v>51</v>
      </c>
      <c r="D5922" t="str">
        <f>T_Stocks[[#This Row],[Ticker]] &amp; "-" &amp; DATE(YEAR(T_Stocks[[#This Row],[Fecha]]),MONTH(T_Stocks[[#This Row],[Fecha]]),DAY(T_Stocks[[#This Row],[Fecha]]))</f>
        <v>PRHSX-44624</v>
      </c>
    </row>
    <row r="5923" spans="1:4" ht="14.65" thickBot="1" x14ac:dyDescent="0.5">
      <c r="A5923" s="17">
        <v>44627.666666666664</v>
      </c>
      <c r="B5923" s="19">
        <v>88.33</v>
      </c>
      <c r="C5923" t="s">
        <v>51</v>
      </c>
      <c r="D5923" t="str">
        <f>T_Stocks[[#This Row],[Ticker]] &amp; "-" &amp; DATE(YEAR(T_Stocks[[#This Row],[Fecha]]),MONTH(T_Stocks[[#This Row],[Fecha]]),DAY(T_Stocks[[#This Row],[Fecha]]))</f>
        <v>PRHSX-44627</v>
      </c>
    </row>
    <row r="5924" spans="1:4" ht="14.65" thickBot="1" x14ac:dyDescent="0.5">
      <c r="A5924" s="17">
        <v>44628.666666666664</v>
      </c>
      <c r="B5924" s="19">
        <v>87.21</v>
      </c>
      <c r="C5924" t="s">
        <v>51</v>
      </c>
      <c r="D5924" t="str">
        <f>T_Stocks[[#This Row],[Ticker]] &amp; "-" &amp; DATE(YEAR(T_Stocks[[#This Row],[Fecha]]),MONTH(T_Stocks[[#This Row],[Fecha]]),DAY(T_Stocks[[#This Row],[Fecha]]))</f>
        <v>PRHSX-44628</v>
      </c>
    </row>
    <row r="5925" spans="1:4" ht="14.65" thickBot="1" x14ac:dyDescent="0.5">
      <c r="A5925" s="17">
        <v>44629.666666666664</v>
      </c>
      <c r="B5925" s="19">
        <v>89.82</v>
      </c>
      <c r="C5925" t="s">
        <v>51</v>
      </c>
      <c r="D5925" t="str">
        <f>T_Stocks[[#This Row],[Ticker]] &amp; "-" &amp; DATE(YEAR(T_Stocks[[#This Row],[Fecha]]),MONTH(T_Stocks[[#This Row],[Fecha]]),DAY(T_Stocks[[#This Row],[Fecha]]))</f>
        <v>PRHSX-44629</v>
      </c>
    </row>
    <row r="5926" spans="1:4" ht="14.65" thickBot="1" x14ac:dyDescent="0.5">
      <c r="A5926" s="17">
        <v>44630.666666666664</v>
      </c>
      <c r="B5926" s="19">
        <v>89.4</v>
      </c>
      <c r="C5926" t="s">
        <v>51</v>
      </c>
      <c r="D5926" t="str">
        <f>T_Stocks[[#This Row],[Ticker]] &amp; "-" &amp; DATE(YEAR(T_Stocks[[#This Row],[Fecha]]),MONTH(T_Stocks[[#This Row],[Fecha]]),DAY(T_Stocks[[#This Row],[Fecha]]))</f>
        <v>PRHSX-44630</v>
      </c>
    </row>
    <row r="5927" spans="1:4" ht="14.65" thickBot="1" x14ac:dyDescent="0.5">
      <c r="A5927" s="17">
        <v>44631.666666666664</v>
      </c>
      <c r="B5927" s="19">
        <v>87.88</v>
      </c>
      <c r="C5927" t="s">
        <v>51</v>
      </c>
      <c r="D5927" t="str">
        <f>T_Stocks[[#This Row],[Ticker]] &amp; "-" &amp; DATE(YEAR(T_Stocks[[#This Row],[Fecha]]),MONTH(T_Stocks[[#This Row],[Fecha]]),DAY(T_Stocks[[#This Row],[Fecha]]))</f>
        <v>PRHSX-44631</v>
      </c>
    </row>
    <row r="5928" spans="1:4" ht="14.65" thickBot="1" x14ac:dyDescent="0.5">
      <c r="A5928" s="17">
        <v>44634.666666666664</v>
      </c>
      <c r="B5928" s="19">
        <v>87.33</v>
      </c>
      <c r="C5928" t="s">
        <v>51</v>
      </c>
      <c r="D5928" t="str">
        <f>T_Stocks[[#This Row],[Ticker]] &amp; "-" &amp; DATE(YEAR(T_Stocks[[#This Row],[Fecha]]),MONTH(T_Stocks[[#This Row],[Fecha]]),DAY(T_Stocks[[#This Row],[Fecha]]))</f>
        <v>PRHSX-44634</v>
      </c>
    </row>
    <row r="5929" spans="1:4" ht="14.65" thickBot="1" x14ac:dyDescent="0.5">
      <c r="A5929" s="17">
        <v>44635.666666666664</v>
      </c>
      <c r="B5929" s="19">
        <v>88.9</v>
      </c>
      <c r="C5929" t="s">
        <v>51</v>
      </c>
      <c r="D5929" t="str">
        <f>T_Stocks[[#This Row],[Ticker]] &amp; "-" &amp; DATE(YEAR(T_Stocks[[#This Row],[Fecha]]),MONTH(T_Stocks[[#This Row],[Fecha]]),DAY(T_Stocks[[#This Row],[Fecha]]))</f>
        <v>PRHSX-44635</v>
      </c>
    </row>
    <row r="5930" spans="1:4" ht="14.65" thickBot="1" x14ac:dyDescent="0.5">
      <c r="A5930" s="17">
        <v>44636.666666666664</v>
      </c>
      <c r="B5930" s="19">
        <v>91.43</v>
      </c>
      <c r="C5930" t="s">
        <v>51</v>
      </c>
      <c r="D5930" t="str">
        <f>T_Stocks[[#This Row],[Ticker]] &amp; "-" &amp; DATE(YEAR(T_Stocks[[#This Row],[Fecha]]),MONTH(T_Stocks[[#This Row],[Fecha]]),DAY(T_Stocks[[#This Row],[Fecha]]))</f>
        <v>PRHSX-44636</v>
      </c>
    </row>
    <row r="5931" spans="1:4" ht="14.65" thickBot="1" x14ac:dyDescent="0.5">
      <c r="A5931" s="17">
        <v>44637.666666666664</v>
      </c>
      <c r="B5931" s="19">
        <v>93.16</v>
      </c>
      <c r="C5931" t="s">
        <v>51</v>
      </c>
      <c r="D5931" t="str">
        <f>T_Stocks[[#This Row],[Ticker]] &amp; "-" &amp; DATE(YEAR(T_Stocks[[#This Row],[Fecha]]),MONTH(T_Stocks[[#This Row],[Fecha]]),DAY(T_Stocks[[#This Row],[Fecha]]))</f>
        <v>PRHSX-44637</v>
      </c>
    </row>
    <row r="5932" spans="1:4" ht="14.65" thickBot="1" x14ac:dyDescent="0.5">
      <c r="A5932" s="17">
        <v>44638.666666666664</v>
      </c>
      <c r="B5932" s="19">
        <v>94.59</v>
      </c>
      <c r="C5932" t="s">
        <v>51</v>
      </c>
      <c r="D5932" t="str">
        <f>T_Stocks[[#This Row],[Ticker]] &amp; "-" &amp; DATE(YEAR(T_Stocks[[#This Row],[Fecha]]),MONTH(T_Stocks[[#This Row],[Fecha]]),DAY(T_Stocks[[#This Row],[Fecha]]))</f>
        <v>PRHSX-44638</v>
      </c>
    </row>
    <row r="5933" spans="1:4" ht="14.65" thickBot="1" x14ac:dyDescent="0.5">
      <c r="A5933" s="17">
        <v>44641.666666666664</v>
      </c>
      <c r="B5933" s="19">
        <v>93.69</v>
      </c>
      <c r="C5933" t="s">
        <v>51</v>
      </c>
      <c r="D5933" t="str">
        <f>T_Stocks[[#This Row],[Ticker]] &amp; "-" &amp; DATE(YEAR(T_Stocks[[#This Row],[Fecha]]),MONTH(T_Stocks[[#This Row],[Fecha]]),DAY(T_Stocks[[#This Row],[Fecha]]))</f>
        <v>PRHSX-44641</v>
      </c>
    </row>
    <row r="5934" spans="1:4" ht="14.65" thickBot="1" x14ac:dyDescent="0.5">
      <c r="A5934" s="17">
        <v>44642.666666666664</v>
      </c>
      <c r="B5934" s="19">
        <v>94.62</v>
      </c>
      <c r="C5934" t="s">
        <v>51</v>
      </c>
      <c r="D5934" t="str">
        <f>T_Stocks[[#This Row],[Ticker]] &amp; "-" &amp; DATE(YEAR(T_Stocks[[#This Row],[Fecha]]),MONTH(T_Stocks[[#This Row],[Fecha]]),DAY(T_Stocks[[#This Row],[Fecha]]))</f>
        <v>PRHSX-44642</v>
      </c>
    </row>
    <row r="5935" spans="1:4" ht="14.65" thickBot="1" x14ac:dyDescent="0.5">
      <c r="A5935" s="17">
        <v>44643.666666666664</v>
      </c>
      <c r="B5935" s="19">
        <v>92.84</v>
      </c>
      <c r="C5935" t="s">
        <v>51</v>
      </c>
      <c r="D5935" t="str">
        <f>T_Stocks[[#This Row],[Ticker]] &amp; "-" &amp; DATE(YEAR(T_Stocks[[#This Row],[Fecha]]),MONTH(T_Stocks[[#This Row],[Fecha]]),DAY(T_Stocks[[#This Row],[Fecha]]))</f>
        <v>PRHSX-44643</v>
      </c>
    </row>
    <row r="5936" spans="1:4" ht="14.65" thickBot="1" x14ac:dyDescent="0.5">
      <c r="A5936" s="17">
        <v>44644.666666666664</v>
      </c>
      <c r="B5936" s="19">
        <v>94.08</v>
      </c>
      <c r="C5936" t="s">
        <v>51</v>
      </c>
      <c r="D5936" t="str">
        <f>T_Stocks[[#This Row],[Ticker]] &amp; "-" &amp; DATE(YEAR(T_Stocks[[#This Row],[Fecha]]),MONTH(T_Stocks[[#This Row],[Fecha]]),DAY(T_Stocks[[#This Row],[Fecha]]))</f>
        <v>PRHSX-44644</v>
      </c>
    </row>
    <row r="5937" spans="1:4" ht="14.65" thickBot="1" x14ac:dyDescent="0.5">
      <c r="A5937" s="17">
        <v>44645.666666666664</v>
      </c>
      <c r="B5937" s="19">
        <v>93.69</v>
      </c>
      <c r="C5937" t="s">
        <v>51</v>
      </c>
      <c r="D5937" t="str">
        <f>T_Stocks[[#This Row],[Ticker]] &amp; "-" &amp; DATE(YEAR(T_Stocks[[#This Row],[Fecha]]),MONTH(T_Stocks[[#This Row],[Fecha]]),DAY(T_Stocks[[#This Row],[Fecha]]))</f>
        <v>PRHSX-44645</v>
      </c>
    </row>
    <row r="5938" spans="1:4" ht="14.65" thickBot="1" x14ac:dyDescent="0.5">
      <c r="A5938" s="17">
        <v>44648.666666666664</v>
      </c>
      <c r="B5938" s="19">
        <v>94.28</v>
      </c>
      <c r="C5938" t="s">
        <v>51</v>
      </c>
      <c r="D5938" t="str">
        <f>T_Stocks[[#This Row],[Ticker]] &amp; "-" &amp; DATE(YEAR(T_Stocks[[#This Row],[Fecha]]),MONTH(T_Stocks[[#This Row],[Fecha]]),DAY(T_Stocks[[#This Row],[Fecha]]))</f>
        <v>PRHSX-44648</v>
      </c>
    </row>
    <row r="5939" spans="1:4" ht="14.65" thickBot="1" x14ac:dyDescent="0.5">
      <c r="A5939" s="17">
        <v>44649.666666666664</v>
      </c>
      <c r="B5939" s="19">
        <v>96.07</v>
      </c>
      <c r="C5939" t="s">
        <v>51</v>
      </c>
      <c r="D5939" t="str">
        <f>T_Stocks[[#This Row],[Ticker]] &amp; "-" &amp; DATE(YEAR(T_Stocks[[#This Row],[Fecha]]),MONTH(T_Stocks[[#This Row],[Fecha]]),DAY(T_Stocks[[#This Row],[Fecha]]))</f>
        <v>PRHSX-44649</v>
      </c>
    </row>
    <row r="5940" spans="1:4" ht="14.65" thickBot="1" x14ac:dyDescent="0.5">
      <c r="A5940" s="17">
        <v>44650.666666666664</v>
      </c>
      <c r="B5940" s="19">
        <v>96</v>
      </c>
      <c r="C5940" t="s">
        <v>51</v>
      </c>
      <c r="D5940" t="str">
        <f>T_Stocks[[#This Row],[Ticker]] &amp; "-" &amp; DATE(YEAR(T_Stocks[[#This Row],[Fecha]]),MONTH(T_Stocks[[#This Row],[Fecha]]),DAY(T_Stocks[[#This Row],[Fecha]]))</f>
        <v>PRHSX-44650</v>
      </c>
    </row>
    <row r="5941" spans="1:4" ht="14.65" thickBot="1" x14ac:dyDescent="0.5">
      <c r="A5941" s="17">
        <v>44651.666666666664</v>
      </c>
      <c r="B5941" s="19">
        <v>95.14</v>
      </c>
      <c r="C5941" t="s">
        <v>51</v>
      </c>
      <c r="D5941" t="str">
        <f>T_Stocks[[#This Row],[Ticker]] &amp; "-" &amp; DATE(YEAR(T_Stocks[[#This Row],[Fecha]]),MONTH(T_Stocks[[#This Row],[Fecha]]),DAY(T_Stocks[[#This Row],[Fecha]]))</f>
        <v>PRHSX-44651</v>
      </c>
    </row>
    <row r="5942" spans="1:4" ht="14.65" thickBot="1" x14ac:dyDescent="0.5">
      <c r="A5942" s="17">
        <v>44652.666666666664</v>
      </c>
      <c r="B5942" s="19">
        <v>96.61</v>
      </c>
      <c r="C5942" t="s">
        <v>51</v>
      </c>
      <c r="D5942" t="str">
        <f>T_Stocks[[#This Row],[Ticker]] &amp; "-" &amp; DATE(YEAR(T_Stocks[[#This Row],[Fecha]]),MONTH(T_Stocks[[#This Row],[Fecha]]),DAY(T_Stocks[[#This Row],[Fecha]]))</f>
        <v>PRHSX-44652</v>
      </c>
    </row>
    <row r="5943" spans="1:4" ht="14.65" thickBot="1" x14ac:dyDescent="0.5">
      <c r="A5943" s="17">
        <v>44655.666666666664</v>
      </c>
      <c r="B5943" s="19">
        <v>96.58</v>
      </c>
      <c r="C5943" t="s">
        <v>51</v>
      </c>
      <c r="D5943" t="str">
        <f>T_Stocks[[#This Row],[Ticker]] &amp; "-" &amp; DATE(YEAR(T_Stocks[[#This Row],[Fecha]]),MONTH(T_Stocks[[#This Row],[Fecha]]),DAY(T_Stocks[[#This Row],[Fecha]]))</f>
        <v>PRHSX-44655</v>
      </c>
    </row>
    <row r="5944" spans="1:4" ht="14.65" thickBot="1" x14ac:dyDescent="0.5">
      <c r="A5944" s="17">
        <v>44656.666666666664</v>
      </c>
      <c r="B5944" s="19">
        <v>96.05</v>
      </c>
      <c r="C5944" t="s">
        <v>51</v>
      </c>
      <c r="D5944" t="str">
        <f>T_Stocks[[#This Row],[Ticker]] &amp; "-" &amp; DATE(YEAR(T_Stocks[[#This Row],[Fecha]]),MONTH(T_Stocks[[#This Row],[Fecha]]),DAY(T_Stocks[[#This Row],[Fecha]]))</f>
        <v>PRHSX-44656</v>
      </c>
    </row>
    <row r="5945" spans="1:4" ht="14.65" thickBot="1" x14ac:dyDescent="0.5">
      <c r="A5945" s="17">
        <v>44657.666666666664</v>
      </c>
      <c r="B5945" s="19">
        <v>96.58</v>
      </c>
      <c r="C5945" t="s">
        <v>51</v>
      </c>
      <c r="D5945" t="str">
        <f>T_Stocks[[#This Row],[Ticker]] &amp; "-" &amp; DATE(YEAR(T_Stocks[[#This Row],[Fecha]]),MONTH(T_Stocks[[#This Row],[Fecha]]),DAY(T_Stocks[[#This Row],[Fecha]]))</f>
        <v>PRHSX-44657</v>
      </c>
    </row>
    <row r="5946" spans="1:4" ht="14.65" thickBot="1" x14ac:dyDescent="0.5">
      <c r="A5946" s="17">
        <v>44658.666666666664</v>
      </c>
      <c r="B5946" s="19">
        <v>97.86</v>
      </c>
      <c r="C5946" t="s">
        <v>51</v>
      </c>
      <c r="D5946" t="str">
        <f>T_Stocks[[#This Row],[Ticker]] &amp; "-" &amp; DATE(YEAR(T_Stocks[[#This Row],[Fecha]]),MONTH(T_Stocks[[#This Row],[Fecha]]),DAY(T_Stocks[[#This Row],[Fecha]]))</f>
        <v>PRHSX-44658</v>
      </c>
    </row>
    <row r="5947" spans="1:4" ht="14.65" thickBot="1" x14ac:dyDescent="0.5">
      <c r="A5947" s="17">
        <v>44659.666666666664</v>
      </c>
      <c r="B5947" s="19">
        <v>97.65</v>
      </c>
      <c r="C5947" t="s">
        <v>51</v>
      </c>
      <c r="D5947" t="str">
        <f>T_Stocks[[#This Row],[Ticker]] &amp; "-" &amp; DATE(YEAR(T_Stocks[[#This Row],[Fecha]]),MONTH(T_Stocks[[#This Row],[Fecha]]),DAY(T_Stocks[[#This Row],[Fecha]]))</f>
        <v>PRHSX-44659</v>
      </c>
    </row>
    <row r="5948" spans="1:4" ht="14.65" thickBot="1" x14ac:dyDescent="0.5">
      <c r="A5948" s="17">
        <v>44662.666666666664</v>
      </c>
      <c r="B5948" s="19">
        <v>95.5</v>
      </c>
      <c r="C5948" t="s">
        <v>51</v>
      </c>
      <c r="D5948" t="str">
        <f>T_Stocks[[#This Row],[Ticker]] &amp; "-" &amp; DATE(YEAR(T_Stocks[[#This Row],[Fecha]]),MONTH(T_Stocks[[#This Row],[Fecha]]),DAY(T_Stocks[[#This Row],[Fecha]]))</f>
        <v>PRHSX-44662</v>
      </c>
    </row>
    <row r="5949" spans="1:4" ht="14.65" thickBot="1" x14ac:dyDescent="0.5">
      <c r="A5949" s="17">
        <v>44663.666666666664</v>
      </c>
      <c r="B5949" s="19">
        <v>94.59</v>
      </c>
      <c r="C5949" t="s">
        <v>51</v>
      </c>
      <c r="D5949" t="str">
        <f>T_Stocks[[#This Row],[Ticker]] &amp; "-" &amp; DATE(YEAR(T_Stocks[[#This Row],[Fecha]]),MONTH(T_Stocks[[#This Row],[Fecha]]),DAY(T_Stocks[[#This Row],[Fecha]]))</f>
        <v>PRHSX-44663</v>
      </c>
    </row>
    <row r="5950" spans="1:4" ht="14.65" thickBot="1" x14ac:dyDescent="0.5">
      <c r="A5950" s="17">
        <v>44664.666666666664</v>
      </c>
      <c r="B5950" s="19">
        <v>95.91</v>
      </c>
      <c r="C5950" t="s">
        <v>51</v>
      </c>
      <c r="D5950" t="str">
        <f>T_Stocks[[#This Row],[Ticker]] &amp; "-" &amp; DATE(YEAR(T_Stocks[[#This Row],[Fecha]]),MONTH(T_Stocks[[#This Row],[Fecha]]),DAY(T_Stocks[[#This Row],[Fecha]]))</f>
        <v>PRHSX-44664</v>
      </c>
    </row>
    <row r="5951" spans="1:4" ht="14.65" thickBot="1" x14ac:dyDescent="0.5">
      <c r="A5951" s="17">
        <v>44665.666666666664</v>
      </c>
      <c r="B5951" s="19">
        <v>95.13</v>
      </c>
      <c r="C5951" t="s">
        <v>51</v>
      </c>
      <c r="D5951" t="str">
        <f>T_Stocks[[#This Row],[Ticker]] &amp; "-" &amp; DATE(YEAR(T_Stocks[[#This Row],[Fecha]]),MONTH(T_Stocks[[#This Row],[Fecha]]),DAY(T_Stocks[[#This Row],[Fecha]]))</f>
        <v>PRHSX-44665</v>
      </c>
    </row>
    <row r="5952" spans="1:4" ht="14.65" thickBot="1" x14ac:dyDescent="0.5">
      <c r="A5952" s="17">
        <v>44669.666666666664</v>
      </c>
      <c r="B5952" s="19">
        <v>93.34</v>
      </c>
      <c r="C5952" t="s">
        <v>51</v>
      </c>
      <c r="D5952" t="str">
        <f>T_Stocks[[#This Row],[Ticker]] &amp; "-" &amp; DATE(YEAR(T_Stocks[[#This Row],[Fecha]]),MONTH(T_Stocks[[#This Row],[Fecha]]),DAY(T_Stocks[[#This Row],[Fecha]]))</f>
        <v>PRHSX-44669</v>
      </c>
    </row>
    <row r="5953" spans="1:4" ht="14.65" thickBot="1" x14ac:dyDescent="0.5">
      <c r="A5953" s="17">
        <v>44670.666666666664</v>
      </c>
      <c r="B5953" s="19">
        <v>94.33</v>
      </c>
      <c r="C5953" t="s">
        <v>51</v>
      </c>
      <c r="D5953" t="str">
        <f>T_Stocks[[#This Row],[Ticker]] &amp; "-" &amp; DATE(YEAR(T_Stocks[[#This Row],[Fecha]]),MONTH(T_Stocks[[#This Row],[Fecha]]),DAY(T_Stocks[[#This Row],[Fecha]]))</f>
        <v>PRHSX-44670</v>
      </c>
    </row>
    <row r="5954" spans="1:4" ht="14.65" thickBot="1" x14ac:dyDescent="0.5">
      <c r="A5954" s="17">
        <v>44671.666666666664</v>
      </c>
      <c r="B5954" s="19">
        <v>95.33</v>
      </c>
      <c r="C5954" t="s">
        <v>51</v>
      </c>
      <c r="D5954" t="str">
        <f>T_Stocks[[#This Row],[Ticker]] &amp; "-" &amp; DATE(YEAR(T_Stocks[[#This Row],[Fecha]]),MONTH(T_Stocks[[#This Row],[Fecha]]),DAY(T_Stocks[[#This Row],[Fecha]]))</f>
        <v>PRHSX-44671</v>
      </c>
    </row>
    <row r="5955" spans="1:4" ht="14.65" thickBot="1" x14ac:dyDescent="0.5">
      <c r="A5955" s="17">
        <v>44672.666666666664</v>
      </c>
      <c r="B5955" s="19">
        <v>93.3</v>
      </c>
      <c r="C5955" t="s">
        <v>51</v>
      </c>
      <c r="D5955" t="str">
        <f>T_Stocks[[#This Row],[Ticker]] &amp; "-" &amp; DATE(YEAR(T_Stocks[[#This Row],[Fecha]]),MONTH(T_Stocks[[#This Row],[Fecha]]),DAY(T_Stocks[[#This Row],[Fecha]]))</f>
        <v>PRHSX-44672</v>
      </c>
    </row>
    <row r="5956" spans="1:4" ht="14.65" thickBot="1" x14ac:dyDescent="0.5">
      <c r="A5956" s="17">
        <v>44673.666666666664</v>
      </c>
      <c r="B5956" s="19">
        <v>89.89</v>
      </c>
      <c r="C5956" t="s">
        <v>51</v>
      </c>
      <c r="D5956" t="str">
        <f>T_Stocks[[#This Row],[Ticker]] &amp; "-" &amp; DATE(YEAR(T_Stocks[[#This Row],[Fecha]]),MONTH(T_Stocks[[#This Row],[Fecha]]),DAY(T_Stocks[[#This Row],[Fecha]]))</f>
        <v>PRHSX-44673</v>
      </c>
    </row>
    <row r="5957" spans="1:4" ht="14.65" thickBot="1" x14ac:dyDescent="0.5">
      <c r="A5957" s="20">
        <v>44676.666666666664</v>
      </c>
      <c r="B5957" s="21">
        <v>90.59</v>
      </c>
      <c r="C5957" t="s">
        <v>51</v>
      </c>
      <c r="D5957" t="str">
        <f>T_Stocks[[#This Row],[Ticker]] &amp; "-" &amp; DATE(YEAR(T_Stocks[[#This Row],[Fecha]]),MONTH(T_Stocks[[#This Row],[Fecha]]),DAY(T_Stocks[[#This Row],[Fecha]]))</f>
        <v>PRHSX-44676</v>
      </c>
    </row>
    <row r="5958" spans="1:4" ht="14.65" thickBot="1" x14ac:dyDescent="0.5">
      <c r="A5958" s="22">
        <v>44677.666666666664</v>
      </c>
      <c r="B5958" s="19">
        <v>87.82</v>
      </c>
      <c r="C5958" t="s">
        <v>51</v>
      </c>
      <c r="D5958" t="str">
        <f>T_Stocks[[#This Row],[Ticker]] &amp; "-" &amp; DATE(YEAR(T_Stocks[[#This Row],[Fecha]]),MONTH(T_Stocks[[#This Row],[Fecha]]),DAY(T_Stocks[[#This Row],[Fecha]]))</f>
        <v>PRHSX-44677</v>
      </c>
    </row>
    <row r="5959" spans="1:4" ht="14.65" thickBot="1" x14ac:dyDescent="0.5">
      <c r="A5959" s="17">
        <v>44678.666666666664</v>
      </c>
      <c r="B5959" s="19">
        <v>87.7</v>
      </c>
      <c r="C5959" t="s">
        <v>51</v>
      </c>
      <c r="D5959" t="str">
        <f>T_Stocks[[#This Row],[Ticker]] &amp; "-" &amp; DATE(YEAR(T_Stocks[[#This Row],[Fecha]]),MONTH(T_Stocks[[#This Row],[Fecha]]),DAY(T_Stocks[[#This Row],[Fecha]]))</f>
        <v>PRHSX-44678</v>
      </c>
    </row>
    <row r="5960" spans="1:4" ht="14.65" thickBot="1" x14ac:dyDescent="0.5">
      <c r="A5960" s="17">
        <v>44679.666666666664</v>
      </c>
      <c r="B5960" s="19">
        <v>88.71</v>
      </c>
      <c r="C5960" t="s">
        <v>51</v>
      </c>
      <c r="D5960" t="str">
        <f>T_Stocks[[#This Row],[Ticker]] &amp; "-" &amp; DATE(YEAR(T_Stocks[[#This Row],[Fecha]]),MONTH(T_Stocks[[#This Row],[Fecha]]),DAY(T_Stocks[[#This Row],[Fecha]]))</f>
        <v>PRHSX-44679</v>
      </c>
    </row>
    <row r="5961" spans="1:4" ht="14.65" thickBot="1" x14ac:dyDescent="0.5">
      <c r="A5961" s="17">
        <v>44680.666666666664</v>
      </c>
      <c r="B5961" s="19">
        <v>86.99</v>
      </c>
      <c r="C5961" t="s">
        <v>51</v>
      </c>
      <c r="D5961" t="str">
        <f>T_Stocks[[#This Row],[Ticker]] &amp; "-" &amp; DATE(YEAR(T_Stocks[[#This Row],[Fecha]]),MONTH(T_Stocks[[#This Row],[Fecha]]),DAY(T_Stocks[[#This Row],[Fecha]]))</f>
        <v>PRHSX-44680</v>
      </c>
    </row>
    <row r="5962" spans="1:4" ht="14.65" thickBot="1" x14ac:dyDescent="0.5">
      <c r="A5962" s="17">
        <v>44683.666666666664</v>
      </c>
      <c r="B5962" s="19">
        <v>87.13</v>
      </c>
      <c r="C5962" t="s">
        <v>51</v>
      </c>
      <c r="D5962" t="str">
        <f>T_Stocks[[#This Row],[Ticker]] &amp; "-" &amp; DATE(YEAR(T_Stocks[[#This Row],[Fecha]]),MONTH(T_Stocks[[#This Row],[Fecha]]),DAY(T_Stocks[[#This Row],[Fecha]]))</f>
        <v>PRHSX-44683</v>
      </c>
    </row>
    <row r="5963" spans="1:4" ht="14.65" thickBot="1" x14ac:dyDescent="0.5">
      <c r="A5963" s="17">
        <v>44684.666666666664</v>
      </c>
      <c r="B5963" s="19">
        <v>87.41</v>
      </c>
      <c r="C5963" t="s">
        <v>51</v>
      </c>
      <c r="D5963" t="str">
        <f>T_Stocks[[#This Row],[Ticker]] &amp; "-" &amp; DATE(YEAR(T_Stocks[[#This Row],[Fecha]]),MONTH(T_Stocks[[#This Row],[Fecha]]),DAY(T_Stocks[[#This Row],[Fecha]]))</f>
        <v>PRHSX-44684</v>
      </c>
    </row>
    <row r="5964" spans="1:4" ht="14.65" thickBot="1" x14ac:dyDescent="0.5">
      <c r="A5964" s="17">
        <v>44685.666666666664</v>
      </c>
      <c r="B5964" s="19">
        <v>89.08</v>
      </c>
      <c r="C5964" t="s">
        <v>51</v>
      </c>
      <c r="D5964" t="str">
        <f>T_Stocks[[#This Row],[Ticker]] &amp; "-" &amp; DATE(YEAR(T_Stocks[[#This Row],[Fecha]]),MONTH(T_Stocks[[#This Row],[Fecha]]),DAY(T_Stocks[[#This Row],[Fecha]]))</f>
        <v>PRHSX-44685</v>
      </c>
    </row>
    <row r="5965" spans="1:4" ht="14.65" thickBot="1" x14ac:dyDescent="0.5">
      <c r="A5965" s="17">
        <v>44686.666666666664</v>
      </c>
      <c r="B5965" s="19">
        <v>86.72</v>
      </c>
      <c r="C5965" t="s">
        <v>51</v>
      </c>
      <c r="D5965" t="str">
        <f>T_Stocks[[#This Row],[Ticker]] &amp; "-" &amp; DATE(YEAR(T_Stocks[[#This Row],[Fecha]]),MONTH(T_Stocks[[#This Row],[Fecha]]),DAY(T_Stocks[[#This Row],[Fecha]]))</f>
        <v>PRHSX-44686</v>
      </c>
    </row>
    <row r="5966" spans="1:4" ht="14.65" thickBot="1" x14ac:dyDescent="0.5">
      <c r="A5966" s="17">
        <v>44687.666666666664</v>
      </c>
      <c r="B5966" s="19">
        <v>85.24</v>
      </c>
      <c r="C5966" t="s">
        <v>51</v>
      </c>
      <c r="D5966" t="str">
        <f>T_Stocks[[#This Row],[Ticker]] &amp; "-" &amp; DATE(YEAR(T_Stocks[[#This Row],[Fecha]]),MONTH(T_Stocks[[#This Row],[Fecha]]),DAY(T_Stocks[[#This Row],[Fecha]]))</f>
        <v>PRHSX-44687</v>
      </c>
    </row>
    <row r="5967" spans="1:4" ht="14.65" thickBot="1" x14ac:dyDescent="0.5">
      <c r="A5967" s="17">
        <v>44690.666666666664</v>
      </c>
      <c r="B5967" s="19">
        <v>81.22</v>
      </c>
      <c r="C5967" t="s">
        <v>51</v>
      </c>
      <c r="D5967" t="str">
        <f>T_Stocks[[#This Row],[Ticker]] &amp; "-" &amp; DATE(YEAR(T_Stocks[[#This Row],[Fecha]]),MONTH(T_Stocks[[#This Row],[Fecha]]),DAY(T_Stocks[[#This Row],[Fecha]]))</f>
        <v>PRHSX-44690</v>
      </c>
    </row>
    <row r="5968" spans="1:4" ht="14.65" thickBot="1" x14ac:dyDescent="0.5">
      <c r="A5968" s="17">
        <v>44691.666666666664</v>
      </c>
      <c r="B5968" s="19">
        <v>82.29</v>
      </c>
      <c r="C5968" t="s">
        <v>51</v>
      </c>
      <c r="D5968" t="str">
        <f>T_Stocks[[#This Row],[Ticker]] &amp; "-" &amp; DATE(YEAR(T_Stocks[[#This Row],[Fecha]]),MONTH(T_Stocks[[#This Row],[Fecha]]),DAY(T_Stocks[[#This Row],[Fecha]]))</f>
        <v>PRHSX-44691</v>
      </c>
    </row>
    <row r="5969" spans="1:4" ht="14.65" thickBot="1" x14ac:dyDescent="0.5">
      <c r="A5969" s="17">
        <v>44692.666666666664</v>
      </c>
      <c r="B5969" s="19">
        <v>80.75</v>
      </c>
      <c r="C5969" t="s">
        <v>51</v>
      </c>
      <c r="D5969" t="str">
        <f>T_Stocks[[#This Row],[Ticker]] &amp; "-" &amp; DATE(YEAR(T_Stocks[[#This Row],[Fecha]]),MONTH(T_Stocks[[#This Row],[Fecha]]),DAY(T_Stocks[[#This Row],[Fecha]]))</f>
        <v>PRHSX-44692</v>
      </c>
    </row>
    <row r="5970" spans="1:4" ht="14.65" thickBot="1" x14ac:dyDescent="0.5">
      <c r="A5970" s="17">
        <v>44693.666666666664</v>
      </c>
      <c r="B5970" s="19">
        <v>81.78</v>
      </c>
      <c r="C5970" t="s">
        <v>51</v>
      </c>
      <c r="D5970" t="str">
        <f>T_Stocks[[#This Row],[Ticker]] &amp; "-" &amp; DATE(YEAR(T_Stocks[[#This Row],[Fecha]]),MONTH(T_Stocks[[#This Row],[Fecha]]),DAY(T_Stocks[[#This Row],[Fecha]]))</f>
        <v>PRHSX-44693</v>
      </c>
    </row>
    <row r="5971" spans="1:4" ht="14.65" thickBot="1" x14ac:dyDescent="0.5">
      <c r="A5971" s="17">
        <v>44694.666666666664</v>
      </c>
      <c r="B5971" s="19">
        <v>84.02</v>
      </c>
      <c r="C5971" t="s">
        <v>51</v>
      </c>
      <c r="D5971" t="str">
        <f>T_Stocks[[#This Row],[Ticker]] &amp; "-" &amp; DATE(YEAR(T_Stocks[[#This Row],[Fecha]]),MONTH(T_Stocks[[#This Row],[Fecha]]),DAY(T_Stocks[[#This Row],[Fecha]]))</f>
        <v>PRHSX-44694</v>
      </c>
    </row>
    <row r="5972" spans="1:4" ht="14.65" thickBot="1" x14ac:dyDescent="0.5">
      <c r="A5972" s="17">
        <v>44697.666666666664</v>
      </c>
      <c r="B5972" s="19">
        <v>84.35</v>
      </c>
      <c r="C5972" t="s">
        <v>51</v>
      </c>
      <c r="D5972" t="str">
        <f>T_Stocks[[#This Row],[Ticker]] &amp; "-" &amp; DATE(YEAR(T_Stocks[[#This Row],[Fecha]]),MONTH(T_Stocks[[#This Row],[Fecha]]),DAY(T_Stocks[[#This Row],[Fecha]]))</f>
        <v>PRHSX-44697</v>
      </c>
    </row>
    <row r="5973" spans="1:4" ht="14.65" thickBot="1" x14ac:dyDescent="0.5">
      <c r="A5973" s="17">
        <v>44698.666666666664</v>
      </c>
      <c r="B5973" s="19">
        <v>86</v>
      </c>
      <c r="C5973" t="s">
        <v>51</v>
      </c>
      <c r="D5973" t="str">
        <f>T_Stocks[[#This Row],[Ticker]] &amp; "-" &amp; DATE(YEAR(T_Stocks[[#This Row],[Fecha]]),MONTH(T_Stocks[[#This Row],[Fecha]]),DAY(T_Stocks[[#This Row],[Fecha]]))</f>
        <v>PRHSX-44698</v>
      </c>
    </row>
    <row r="5974" spans="1:4" ht="14.65" thickBot="1" x14ac:dyDescent="0.5">
      <c r="A5974" s="17">
        <v>44699.666666666664</v>
      </c>
      <c r="B5974" s="19">
        <v>83.35</v>
      </c>
      <c r="C5974" t="s">
        <v>51</v>
      </c>
      <c r="D5974" t="str">
        <f>T_Stocks[[#This Row],[Ticker]] &amp; "-" &amp; DATE(YEAR(T_Stocks[[#This Row],[Fecha]]),MONTH(T_Stocks[[#This Row],[Fecha]]),DAY(T_Stocks[[#This Row],[Fecha]]))</f>
        <v>PRHSX-44699</v>
      </c>
    </row>
    <row r="5975" spans="1:4" ht="14.65" thickBot="1" x14ac:dyDescent="0.5">
      <c r="A5975" s="17">
        <v>44700.666666666664</v>
      </c>
      <c r="B5975" s="19">
        <v>84.28</v>
      </c>
      <c r="C5975" t="s">
        <v>51</v>
      </c>
      <c r="D5975" t="str">
        <f>T_Stocks[[#This Row],[Ticker]] &amp; "-" &amp; DATE(YEAR(T_Stocks[[#This Row],[Fecha]]),MONTH(T_Stocks[[#This Row],[Fecha]]),DAY(T_Stocks[[#This Row],[Fecha]]))</f>
        <v>PRHSX-44700</v>
      </c>
    </row>
    <row r="5976" spans="1:4" ht="14.65" thickBot="1" x14ac:dyDescent="0.5">
      <c r="A5976" s="17">
        <v>44701.666666666664</v>
      </c>
      <c r="B5976" s="19">
        <v>85.2</v>
      </c>
      <c r="C5976" t="s">
        <v>51</v>
      </c>
      <c r="D5976" t="str">
        <f>T_Stocks[[#This Row],[Ticker]] &amp; "-" &amp; DATE(YEAR(T_Stocks[[#This Row],[Fecha]]),MONTH(T_Stocks[[#This Row],[Fecha]]),DAY(T_Stocks[[#This Row],[Fecha]]))</f>
        <v>PRHSX-44701</v>
      </c>
    </row>
    <row r="5977" spans="1:4" ht="14.65" thickBot="1" x14ac:dyDescent="0.5">
      <c r="A5977" s="17">
        <v>44704.666666666664</v>
      </c>
      <c r="B5977" s="19">
        <v>85.81</v>
      </c>
      <c r="C5977" t="s">
        <v>51</v>
      </c>
      <c r="D5977" t="str">
        <f>T_Stocks[[#This Row],[Ticker]] &amp; "-" &amp; DATE(YEAR(T_Stocks[[#This Row],[Fecha]]),MONTH(T_Stocks[[#This Row],[Fecha]]),DAY(T_Stocks[[#This Row],[Fecha]]))</f>
        <v>PRHSX-44704</v>
      </c>
    </row>
    <row r="5978" spans="1:4" ht="14.65" thickBot="1" x14ac:dyDescent="0.5">
      <c r="A5978" s="17">
        <v>44705.666666666664</v>
      </c>
      <c r="B5978" s="19">
        <v>85.13</v>
      </c>
      <c r="C5978" t="s">
        <v>51</v>
      </c>
      <c r="D5978" t="str">
        <f>T_Stocks[[#This Row],[Ticker]] &amp; "-" &amp; DATE(YEAR(T_Stocks[[#This Row],[Fecha]]),MONTH(T_Stocks[[#This Row],[Fecha]]),DAY(T_Stocks[[#This Row],[Fecha]]))</f>
        <v>PRHSX-44705</v>
      </c>
    </row>
    <row r="5979" spans="1:4" ht="14.65" thickBot="1" x14ac:dyDescent="0.5">
      <c r="A5979" s="17">
        <v>44706.666666666664</v>
      </c>
      <c r="B5979" s="19">
        <v>85.15</v>
      </c>
      <c r="C5979" t="s">
        <v>51</v>
      </c>
      <c r="D5979" t="str">
        <f>T_Stocks[[#This Row],[Ticker]] &amp; "-" &amp; DATE(YEAR(T_Stocks[[#This Row],[Fecha]]),MONTH(T_Stocks[[#This Row],[Fecha]]),DAY(T_Stocks[[#This Row],[Fecha]]))</f>
        <v>PRHSX-44706</v>
      </c>
    </row>
    <row r="5980" spans="1:4" ht="14.65" thickBot="1" x14ac:dyDescent="0.5">
      <c r="A5980" s="17">
        <v>44707.666666666664</v>
      </c>
      <c r="B5980" s="19">
        <v>85.71</v>
      </c>
      <c r="C5980" t="s">
        <v>51</v>
      </c>
      <c r="D5980" t="str">
        <f>T_Stocks[[#This Row],[Ticker]] &amp; "-" &amp; DATE(YEAR(T_Stocks[[#This Row],[Fecha]]),MONTH(T_Stocks[[#This Row],[Fecha]]),DAY(T_Stocks[[#This Row],[Fecha]]))</f>
        <v>PRHSX-44707</v>
      </c>
    </row>
    <row r="5981" spans="1:4" ht="14.65" thickBot="1" x14ac:dyDescent="0.5">
      <c r="A5981" s="17">
        <v>44708.666666666664</v>
      </c>
      <c r="B5981" s="19">
        <v>87.88</v>
      </c>
      <c r="C5981" t="s">
        <v>51</v>
      </c>
      <c r="D5981" t="str">
        <f>T_Stocks[[#This Row],[Ticker]] &amp; "-" &amp; DATE(YEAR(T_Stocks[[#This Row],[Fecha]]),MONTH(T_Stocks[[#This Row],[Fecha]]),DAY(T_Stocks[[#This Row],[Fecha]]))</f>
        <v>PRHSX-44708</v>
      </c>
    </row>
    <row r="5982" spans="1:4" ht="14.65" thickBot="1" x14ac:dyDescent="0.5">
      <c r="A5982" s="17">
        <v>44712.666666666664</v>
      </c>
      <c r="B5982" s="19">
        <v>86.21</v>
      </c>
      <c r="C5982" t="s">
        <v>51</v>
      </c>
      <c r="D5982" t="str">
        <f>T_Stocks[[#This Row],[Ticker]] &amp; "-" &amp; DATE(YEAR(T_Stocks[[#This Row],[Fecha]]),MONTH(T_Stocks[[#This Row],[Fecha]]),DAY(T_Stocks[[#This Row],[Fecha]]))</f>
        <v>PRHSX-44712</v>
      </c>
    </row>
    <row r="5983" spans="1:4" ht="14.65" thickBot="1" x14ac:dyDescent="0.5">
      <c r="A5983" s="17">
        <v>44713.666666666664</v>
      </c>
      <c r="B5983" s="19">
        <v>84.96</v>
      </c>
      <c r="C5983" t="s">
        <v>51</v>
      </c>
      <c r="D5983" t="str">
        <f>T_Stocks[[#This Row],[Ticker]] &amp; "-" &amp; DATE(YEAR(T_Stocks[[#This Row],[Fecha]]),MONTH(T_Stocks[[#This Row],[Fecha]]),DAY(T_Stocks[[#This Row],[Fecha]]))</f>
        <v>PRHSX-44713</v>
      </c>
    </row>
    <row r="5984" spans="1:4" ht="14.65" thickBot="1" x14ac:dyDescent="0.5">
      <c r="A5984" s="17">
        <v>44714.666666666664</v>
      </c>
      <c r="B5984" s="19">
        <v>86.43</v>
      </c>
      <c r="C5984" t="s">
        <v>51</v>
      </c>
      <c r="D5984" t="str">
        <f>T_Stocks[[#This Row],[Ticker]] &amp; "-" &amp; DATE(YEAR(T_Stocks[[#This Row],[Fecha]]),MONTH(T_Stocks[[#This Row],[Fecha]]),DAY(T_Stocks[[#This Row],[Fecha]]))</f>
        <v>PRHSX-44714</v>
      </c>
    </row>
    <row r="5985" spans="1:4" ht="14.65" thickBot="1" x14ac:dyDescent="0.5">
      <c r="A5985" s="17">
        <v>44715.666666666664</v>
      </c>
      <c r="B5985" s="19">
        <v>85.72</v>
      </c>
      <c r="C5985" t="s">
        <v>51</v>
      </c>
      <c r="D5985" t="str">
        <f>T_Stocks[[#This Row],[Ticker]] &amp; "-" &amp; DATE(YEAR(T_Stocks[[#This Row],[Fecha]]),MONTH(T_Stocks[[#This Row],[Fecha]]),DAY(T_Stocks[[#This Row],[Fecha]]))</f>
        <v>PRHSX-44715</v>
      </c>
    </row>
    <row r="5986" spans="1:4" ht="14.65" thickBot="1" x14ac:dyDescent="0.5">
      <c r="A5986" s="17">
        <v>44718.666666666664</v>
      </c>
      <c r="B5986" s="19">
        <v>85.51</v>
      </c>
      <c r="C5986" t="s">
        <v>51</v>
      </c>
      <c r="D5986" t="str">
        <f>T_Stocks[[#This Row],[Ticker]] &amp; "-" &amp; DATE(YEAR(T_Stocks[[#This Row],[Fecha]]),MONTH(T_Stocks[[#This Row],[Fecha]]),DAY(T_Stocks[[#This Row],[Fecha]]))</f>
        <v>PRHSX-44718</v>
      </c>
    </row>
    <row r="5987" spans="1:4" ht="14.65" thickBot="1" x14ac:dyDescent="0.5">
      <c r="A5987" s="17">
        <v>44719.666666666664</v>
      </c>
      <c r="B5987" s="19">
        <v>87.05</v>
      </c>
      <c r="C5987" t="s">
        <v>51</v>
      </c>
      <c r="D5987" t="str">
        <f>T_Stocks[[#This Row],[Ticker]] &amp; "-" &amp; DATE(YEAR(T_Stocks[[#This Row],[Fecha]]),MONTH(T_Stocks[[#This Row],[Fecha]]),DAY(T_Stocks[[#This Row],[Fecha]]))</f>
        <v>PRHSX-44719</v>
      </c>
    </row>
    <row r="5988" spans="1:4" ht="14.65" thickBot="1" x14ac:dyDescent="0.5">
      <c r="A5988" s="17">
        <v>44720.666666666664</v>
      </c>
      <c r="B5988" s="19">
        <v>86.78</v>
      </c>
      <c r="C5988" t="s">
        <v>51</v>
      </c>
      <c r="D5988" t="str">
        <f>T_Stocks[[#This Row],[Ticker]] &amp; "-" &amp; DATE(YEAR(T_Stocks[[#This Row],[Fecha]]),MONTH(T_Stocks[[#This Row],[Fecha]]),DAY(T_Stocks[[#This Row],[Fecha]]))</f>
        <v>PRHSX-44720</v>
      </c>
    </row>
    <row r="5989" spans="1:4" ht="14.65" thickBot="1" x14ac:dyDescent="0.5">
      <c r="A5989" s="17">
        <v>44721.666666666664</v>
      </c>
      <c r="B5989" s="19">
        <v>84.35</v>
      </c>
      <c r="C5989" t="s">
        <v>51</v>
      </c>
      <c r="D5989" t="str">
        <f>T_Stocks[[#This Row],[Ticker]] &amp; "-" &amp; DATE(YEAR(T_Stocks[[#This Row],[Fecha]]),MONTH(T_Stocks[[#This Row],[Fecha]]),DAY(T_Stocks[[#This Row],[Fecha]]))</f>
        <v>PRHSX-44721</v>
      </c>
    </row>
    <row r="5990" spans="1:4" ht="14.65" thickBot="1" x14ac:dyDescent="0.5">
      <c r="A5990" s="17">
        <v>44722.666666666664</v>
      </c>
      <c r="B5990" s="19">
        <v>82.6</v>
      </c>
      <c r="C5990" t="s">
        <v>51</v>
      </c>
      <c r="D5990" t="str">
        <f>T_Stocks[[#This Row],[Ticker]] &amp; "-" &amp; DATE(YEAR(T_Stocks[[#This Row],[Fecha]]),MONTH(T_Stocks[[#This Row],[Fecha]]),DAY(T_Stocks[[#This Row],[Fecha]]))</f>
        <v>PRHSX-44722</v>
      </c>
    </row>
    <row r="5991" spans="1:4" ht="14.65" thickBot="1" x14ac:dyDescent="0.5">
      <c r="A5991" s="17">
        <v>44725.666666666664</v>
      </c>
      <c r="B5991" s="19">
        <v>79.5</v>
      </c>
      <c r="C5991" t="s">
        <v>51</v>
      </c>
      <c r="D5991" t="str">
        <f>T_Stocks[[#This Row],[Ticker]] &amp; "-" &amp; DATE(YEAR(T_Stocks[[#This Row],[Fecha]]),MONTH(T_Stocks[[#This Row],[Fecha]]),DAY(T_Stocks[[#This Row],[Fecha]]))</f>
        <v>PRHSX-44725</v>
      </c>
    </row>
    <row r="5992" spans="1:4" ht="14.65" thickBot="1" x14ac:dyDescent="0.5">
      <c r="A5992" s="17">
        <v>44726.666666666664</v>
      </c>
      <c r="B5992" s="19">
        <v>79</v>
      </c>
      <c r="C5992" t="s">
        <v>51</v>
      </c>
      <c r="D5992" t="str">
        <f>T_Stocks[[#This Row],[Ticker]] &amp; "-" &amp; DATE(YEAR(T_Stocks[[#This Row],[Fecha]]),MONTH(T_Stocks[[#This Row],[Fecha]]),DAY(T_Stocks[[#This Row],[Fecha]]))</f>
        <v>PRHSX-44726</v>
      </c>
    </row>
    <row r="5993" spans="1:4" ht="14.65" thickBot="1" x14ac:dyDescent="0.5">
      <c r="A5993" s="17">
        <v>44727.666666666664</v>
      </c>
      <c r="B5993" s="19">
        <v>80.3</v>
      </c>
      <c r="C5993" t="s">
        <v>51</v>
      </c>
      <c r="D5993" t="str">
        <f>T_Stocks[[#This Row],[Ticker]] &amp; "-" &amp; DATE(YEAR(T_Stocks[[#This Row],[Fecha]]),MONTH(T_Stocks[[#This Row],[Fecha]]),DAY(T_Stocks[[#This Row],[Fecha]]))</f>
        <v>PRHSX-44727</v>
      </c>
    </row>
    <row r="5994" spans="1:4" ht="14.65" thickBot="1" x14ac:dyDescent="0.5">
      <c r="A5994" s="17">
        <v>44728.666666666664</v>
      </c>
      <c r="B5994" s="19">
        <v>78.67</v>
      </c>
      <c r="C5994" t="s">
        <v>51</v>
      </c>
      <c r="D5994" t="str">
        <f>T_Stocks[[#This Row],[Ticker]] &amp; "-" &amp; DATE(YEAR(T_Stocks[[#This Row],[Fecha]]),MONTH(T_Stocks[[#This Row],[Fecha]]),DAY(T_Stocks[[#This Row],[Fecha]]))</f>
        <v>PRHSX-44728</v>
      </c>
    </row>
    <row r="5995" spans="1:4" ht="14.65" thickBot="1" x14ac:dyDescent="0.5">
      <c r="A5995" s="17">
        <v>44729.666666666664</v>
      </c>
      <c r="B5995" s="19">
        <v>79.5</v>
      </c>
      <c r="C5995" t="s">
        <v>51</v>
      </c>
      <c r="D5995" t="str">
        <f>T_Stocks[[#This Row],[Ticker]] &amp; "-" &amp; DATE(YEAR(T_Stocks[[#This Row],[Fecha]]),MONTH(T_Stocks[[#This Row],[Fecha]]),DAY(T_Stocks[[#This Row],[Fecha]]))</f>
        <v>PRHSX-44729</v>
      </c>
    </row>
    <row r="5996" spans="1:4" ht="14.65" thickBot="1" x14ac:dyDescent="0.5">
      <c r="A5996" s="17">
        <v>44733.666666666664</v>
      </c>
      <c r="B5996" s="19">
        <v>81.489999999999995</v>
      </c>
      <c r="C5996" t="s">
        <v>51</v>
      </c>
      <c r="D5996" t="str">
        <f>T_Stocks[[#This Row],[Ticker]] &amp; "-" &amp; DATE(YEAR(T_Stocks[[#This Row],[Fecha]]),MONTH(T_Stocks[[#This Row],[Fecha]]),DAY(T_Stocks[[#This Row],[Fecha]]))</f>
        <v>PRHSX-44733</v>
      </c>
    </row>
    <row r="5997" spans="1:4" ht="14.65" thickBot="1" x14ac:dyDescent="0.5">
      <c r="A5997" s="17">
        <v>44734.666666666664</v>
      </c>
      <c r="B5997" s="19">
        <v>82.54</v>
      </c>
      <c r="C5997" t="s">
        <v>51</v>
      </c>
      <c r="D5997" t="str">
        <f>T_Stocks[[#This Row],[Ticker]] &amp; "-" &amp; DATE(YEAR(T_Stocks[[#This Row],[Fecha]]),MONTH(T_Stocks[[#This Row],[Fecha]]),DAY(T_Stocks[[#This Row],[Fecha]]))</f>
        <v>PRHSX-44734</v>
      </c>
    </row>
    <row r="5998" spans="1:4" ht="14.65" thickBot="1" x14ac:dyDescent="0.5">
      <c r="A5998" s="17">
        <v>44735.666666666664</v>
      </c>
      <c r="B5998" s="19">
        <v>85.09</v>
      </c>
      <c r="C5998" t="s">
        <v>51</v>
      </c>
      <c r="D5998" t="str">
        <f>T_Stocks[[#This Row],[Ticker]] &amp; "-" &amp; DATE(YEAR(T_Stocks[[#This Row],[Fecha]]),MONTH(T_Stocks[[#This Row],[Fecha]]),DAY(T_Stocks[[#This Row],[Fecha]]))</f>
        <v>PRHSX-44735</v>
      </c>
    </row>
    <row r="5999" spans="1:4" ht="14.65" thickBot="1" x14ac:dyDescent="0.5">
      <c r="A5999" s="17">
        <v>44736.666666666664</v>
      </c>
      <c r="B5999" s="19">
        <v>86.61</v>
      </c>
      <c r="C5999" t="s">
        <v>51</v>
      </c>
      <c r="D5999" t="str">
        <f>T_Stocks[[#This Row],[Ticker]] &amp; "-" &amp; DATE(YEAR(T_Stocks[[#This Row],[Fecha]]),MONTH(T_Stocks[[#This Row],[Fecha]]),DAY(T_Stocks[[#This Row],[Fecha]]))</f>
        <v>PRHSX-44736</v>
      </c>
    </row>
    <row r="6000" spans="1:4" ht="14.65" thickBot="1" x14ac:dyDescent="0.5">
      <c r="A6000" s="17">
        <v>44739.666666666664</v>
      </c>
      <c r="B6000" s="19">
        <v>86.87</v>
      </c>
      <c r="C6000" t="s">
        <v>51</v>
      </c>
      <c r="D6000" t="str">
        <f>T_Stocks[[#This Row],[Ticker]] &amp; "-" &amp; DATE(YEAR(T_Stocks[[#This Row],[Fecha]]),MONTH(T_Stocks[[#This Row],[Fecha]]),DAY(T_Stocks[[#This Row],[Fecha]]))</f>
        <v>PRHSX-44739</v>
      </c>
    </row>
    <row r="6001" spans="1:4" ht="14.65" thickBot="1" x14ac:dyDescent="0.5">
      <c r="A6001" s="17">
        <v>44740.666666666664</v>
      </c>
      <c r="B6001" s="19">
        <v>85.26</v>
      </c>
      <c r="C6001" t="s">
        <v>51</v>
      </c>
      <c r="D6001" t="str">
        <f>T_Stocks[[#This Row],[Ticker]] &amp; "-" &amp; DATE(YEAR(T_Stocks[[#This Row],[Fecha]]),MONTH(T_Stocks[[#This Row],[Fecha]]),DAY(T_Stocks[[#This Row],[Fecha]]))</f>
        <v>PRHSX-44740</v>
      </c>
    </row>
    <row r="6002" spans="1:4" ht="14.65" thickBot="1" x14ac:dyDescent="0.5">
      <c r="A6002" s="17">
        <v>44741.666666666664</v>
      </c>
      <c r="B6002" s="19">
        <v>85.98</v>
      </c>
      <c r="C6002" t="s">
        <v>51</v>
      </c>
      <c r="D6002" t="str">
        <f>T_Stocks[[#This Row],[Ticker]] &amp; "-" &amp; DATE(YEAR(T_Stocks[[#This Row],[Fecha]]),MONTH(T_Stocks[[#This Row],[Fecha]]),DAY(T_Stocks[[#This Row],[Fecha]]))</f>
        <v>PRHSX-44741</v>
      </c>
    </row>
    <row r="6003" spans="1:4" ht="14.65" thickBot="1" x14ac:dyDescent="0.5">
      <c r="A6003" s="17">
        <v>44742.666666666664</v>
      </c>
      <c r="B6003" s="19">
        <v>85.73</v>
      </c>
      <c r="C6003" t="s">
        <v>51</v>
      </c>
      <c r="D6003" t="str">
        <f>T_Stocks[[#This Row],[Ticker]] &amp; "-" &amp; DATE(YEAR(T_Stocks[[#This Row],[Fecha]]),MONTH(T_Stocks[[#This Row],[Fecha]]),DAY(T_Stocks[[#This Row],[Fecha]]))</f>
        <v>PRHSX-44742</v>
      </c>
    </row>
    <row r="6004" spans="1:4" ht="14.65" thickBot="1" x14ac:dyDescent="0.5">
      <c r="A6004" s="17">
        <v>44743.666666666664</v>
      </c>
      <c r="B6004" s="19">
        <v>87</v>
      </c>
      <c r="C6004" t="s">
        <v>51</v>
      </c>
      <c r="D6004" t="str">
        <f>T_Stocks[[#This Row],[Ticker]] &amp; "-" &amp; DATE(YEAR(T_Stocks[[#This Row],[Fecha]]),MONTH(T_Stocks[[#This Row],[Fecha]]),DAY(T_Stocks[[#This Row],[Fecha]]))</f>
        <v>PRHSX-44743</v>
      </c>
    </row>
    <row r="6005" spans="1:4" ht="14.65" thickBot="1" x14ac:dyDescent="0.5">
      <c r="A6005" s="17">
        <v>44747.666666666664</v>
      </c>
      <c r="B6005" s="19">
        <v>87.39</v>
      </c>
      <c r="C6005" t="s">
        <v>51</v>
      </c>
      <c r="D6005" t="str">
        <f>T_Stocks[[#This Row],[Ticker]] &amp; "-" &amp; DATE(YEAR(T_Stocks[[#This Row],[Fecha]]),MONTH(T_Stocks[[#This Row],[Fecha]]),DAY(T_Stocks[[#This Row],[Fecha]]))</f>
        <v>PRHSX-44747</v>
      </c>
    </row>
    <row r="6006" spans="1:4" ht="14.65" thickBot="1" x14ac:dyDescent="0.5">
      <c r="A6006" s="17">
        <v>44748.666666666664</v>
      </c>
      <c r="B6006" s="19">
        <v>87.83</v>
      </c>
      <c r="C6006" t="s">
        <v>51</v>
      </c>
      <c r="D6006" t="str">
        <f>T_Stocks[[#This Row],[Ticker]] &amp; "-" &amp; DATE(YEAR(T_Stocks[[#This Row],[Fecha]]),MONTH(T_Stocks[[#This Row],[Fecha]]),DAY(T_Stocks[[#This Row],[Fecha]]))</f>
        <v>PRHSX-44748</v>
      </c>
    </row>
    <row r="6007" spans="1:4" ht="14.65" thickBot="1" x14ac:dyDescent="0.5">
      <c r="A6007" s="17">
        <v>44749.666666666664</v>
      </c>
      <c r="B6007" s="19">
        <v>88.86</v>
      </c>
      <c r="C6007" t="s">
        <v>51</v>
      </c>
      <c r="D6007" t="str">
        <f>T_Stocks[[#This Row],[Ticker]] &amp; "-" &amp; DATE(YEAR(T_Stocks[[#This Row],[Fecha]]),MONTH(T_Stocks[[#This Row],[Fecha]]),DAY(T_Stocks[[#This Row],[Fecha]]))</f>
        <v>PRHSX-44749</v>
      </c>
    </row>
    <row r="6008" spans="1:4" ht="14.65" thickBot="1" x14ac:dyDescent="0.5">
      <c r="A6008" s="17">
        <v>44750.666666666664</v>
      </c>
      <c r="B6008" s="19">
        <v>89.26</v>
      </c>
      <c r="C6008" t="s">
        <v>51</v>
      </c>
      <c r="D6008" t="str">
        <f>T_Stocks[[#This Row],[Ticker]] &amp; "-" &amp; DATE(YEAR(T_Stocks[[#This Row],[Fecha]]),MONTH(T_Stocks[[#This Row],[Fecha]]),DAY(T_Stocks[[#This Row],[Fecha]]))</f>
        <v>PRHSX-44750</v>
      </c>
    </row>
    <row r="6009" spans="1:4" ht="14.65" thickBot="1" x14ac:dyDescent="0.5">
      <c r="A6009" s="17">
        <v>44753.666666666664</v>
      </c>
      <c r="B6009" s="19">
        <v>88.46</v>
      </c>
      <c r="C6009" t="s">
        <v>51</v>
      </c>
      <c r="D6009" t="str">
        <f>T_Stocks[[#This Row],[Ticker]] &amp; "-" &amp; DATE(YEAR(T_Stocks[[#This Row],[Fecha]]),MONTH(T_Stocks[[#This Row],[Fecha]]),DAY(T_Stocks[[#This Row],[Fecha]]))</f>
        <v>PRHSX-44753</v>
      </c>
    </row>
    <row r="6010" spans="1:4" ht="14.65" thickBot="1" x14ac:dyDescent="0.5">
      <c r="A6010" s="17">
        <v>44754.666666666664</v>
      </c>
      <c r="B6010" s="19">
        <v>87.27</v>
      </c>
      <c r="C6010" t="s">
        <v>51</v>
      </c>
      <c r="D6010" t="str">
        <f>T_Stocks[[#This Row],[Ticker]] &amp; "-" &amp; DATE(YEAR(T_Stocks[[#This Row],[Fecha]]),MONTH(T_Stocks[[#This Row],[Fecha]]),DAY(T_Stocks[[#This Row],[Fecha]]))</f>
        <v>PRHSX-44754</v>
      </c>
    </row>
    <row r="6011" spans="1:4" ht="14.65" thickBot="1" x14ac:dyDescent="0.5">
      <c r="A6011" s="17">
        <v>44755.666666666664</v>
      </c>
      <c r="B6011" s="19">
        <v>86.78</v>
      </c>
      <c r="C6011" t="s">
        <v>51</v>
      </c>
      <c r="D6011" t="str">
        <f>T_Stocks[[#This Row],[Ticker]] &amp; "-" &amp; DATE(YEAR(T_Stocks[[#This Row],[Fecha]]),MONTH(T_Stocks[[#This Row],[Fecha]]),DAY(T_Stocks[[#This Row],[Fecha]]))</f>
        <v>PRHSX-44755</v>
      </c>
    </row>
    <row r="6012" spans="1:4" ht="14.65" thickBot="1" x14ac:dyDescent="0.5">
      <c r="A6012" s="17">
        <v>44756.666666666664</v>
      </c>
      <c r="B6012" s="19">
        <v>86.13</v>
      </c>
      <c r="C6012" t="s">
        <v>51</v>
      </c>
      <c r="D6012" t="str">
        <f>T_Stocks[[#This Row],[Ticker]] &amp; "-" &amp; DATE(YEAR(T_Stocks[[#This Row],[Fecha]]),MONTH(T_Stocks[[#This Row],[Fecha]]),DAY(T_Stocks[[#This Row],[Fecha]]))</f>
        <v>PRHSX-44756</v>
      </c>
    </row>
    <row r="6013" spans="1:4" ht="14.65" thickBot="1" x14ac:dyDescent="0.5">
      <c r="A6013" s="17">
        <v>44757.666666666664</v>
      </c>
      <c r="B6013" s="19">
        <v>88.27</v>
      </c>
      <c r="C6013" t="s">
        <v>51</v>
      </c>
      <c r="D6013" t="str">
        <f>T_Stocks[[#This Row],[Ticker]] &amp; "-" &amp; DATE(YEAR(T_Stocks[[#This Row],[Fecha]]),MONTH(T_Stocks[[#This Row],[Fecha]]),DAY(T_Stocks[[#This Row],[Fecha]]))</f>
        <v>PRHSX-44757</v>
      </c>
    </row>
    <row r="6014" spans="1:4" ht="14.65" thickBot="1" x14ac:dyDescent="0.5">
      <c r="A6014" s="17">
        <v>44760.666666666664</v>
      </c>
      <c r="B6014" s="19">
        <v>86.43</v>
      </c>
      <c r="C6014" t="s">
        <v>51</v>
      </c>
      <c r="D6014" t="str">
        <f>T_Stocks[[#This Row],[Ticker]] &amp; "-" &amp; DATE(YEAR(T_Stocks[[#This Row],[Fecha]]),MONTH(T_Stocks[[#This Row],[Fecha]]),DAY(T_Stocks[[#This Row],[Fecha]]))</f>
        <v>PRHSX-44760</v>
      </c>
    </row>
    <row r="6015" spans="1:4" ht="14.65" thickBot="1" x14ac:dyDescent="0.5">
      <c r="A6015" s="17">
        <v>44761.666666666664</v>
      </c>
      <c r="B6015" s="19">
        <v>88.58</v>
      </c>
      <c r="C6015" t="s">
        <v>51</v>
      </c>
      <c r="D6015" t="str">
        <f>T_Stocks[[#This Row],[Ticker]] &amp; "-" &amp; DATE(YEAR(T_Stocks[[#This Row],[Fecha]]),MONTH(T_Stocks[[#This Row],[Fecha]]),DAY(T_Stocks[[#This Row],[Fecha]]))</f>
        <v>PRHSX-44761</v>
      </c>
    </row>
    <row r="6016" spans="1:4" ht="14.65" thickBot="1" x14ac:dyDescent="0.5">
      <c r="A6016" s="17">
        <v>44762.666666666664</v>
      </c>
      <c r="B6016" s="19">
        <v>88.11</v>
      </c>
      <c r="C6016" t="s">
        <v>51</v>
      </c>
      <c r="D6016" t="str">
        <f>T_Stocks[[#This Row],[Ticker]] &amp; "-" &amp; DATE(YEAR(T_Stocks[[#This Row],[Fecha]]),MONTH(T_Stocks[[#This Row],[Fecha]]),DAY(T_Stocks[[#This Row],[Fecha]]))</f>
        <v>PRHSX-44762</v>
      </c>
    </row>
    <row r="6017" spans="1:4" ht="14.65" thickBot="1" x14ac:dyDescent="0.5">
      <c r="A6017" s="17">
        <v>44763.666666666664</v>
      </c>
      <c r="B6017" s="19">
        <v>89.7</v>
      </c>
      <c r="C6017" t="s">
        <v>51</v>
      </c>
      <c r="D6017" t="str">
        <f>T_Stocks[[#This Row],[Ticker]] &amp; "-" &amp; DATE(YEAR(T_Stocks[[#This Row],[Fecha]]),MONTH(T_Stocks[[#This Row],[Fecha]]),DAY(T_Stocks[[#This Row],[Fecha]]))</f>
        <v>PRHSX-44763</v>
      </c>
    </row>
    <row r="6018" spans="1:4" ht="14.65" thickBot="1" x14ac:dyDescent="0.5">
      <c r="A6018" s="17">
        <v>44764.666666666664</v>
      </c>
      <c r="B6018" s="19">
        <v>88.47</v>
      </c>
      <c r="C6018" t="s">
        <v>51</v>
      </c>
      <c r="D6018" t="str">
        <f>T_Stocks[[#This Row],[Ticker]] &amp; "-" &amp; DATE(YEAR(T_Stocks[[#This Row],[Fecha]]),MONTH(T_Stocks[[#This Row],[Fecha]]),DAY(T_Stocks[[#This Row],[Fecha]]))</f>
        <v>PRHSX-44764</v>
      </c>
    </row>
    <row r="6019" spans="1:4" ht="14.65" thickBot="1" x14ac:dyDescent="0.5">
      <c r="A6019" s="17">
        <v>44767.666666666664</v>
      </c>
      <c r="B6019" s="19">
        <v>88.92</v>
      </c>
      <c r="C6019" t="s">
        <v>51</v>
      </c>
      <c r="D6019" t="str">
        <f>T_Stocks[[#This Row],[Ticker]] &amp; "-" &amp; DATE(YEAR(T_Stocks[[#This Row],[Fecha]]),MONTH(T_Stocks[[#This Row],[Fecha]]),DAY(T_Stocks[[#This Row],[Fecha]]))</f>
        <v>PRHSX-44767</v>
      </c>
    </row>
    <row r="6020" spans="1:4" ht="14.65" thickBot="1" x14ac:dyDescent="0.5">
      <c r="A6020" s="17">
        <v>44768.666666666664</v>
      </c>
      <c r="B6020" s="19">
        <v>89.16</v>
      </c>
      <c r="C6020" t="s">
        <v>51</v>
      </c>
      <c r="D6020" t="str">
        <f>T_Stocks[[#This Row],[Ticker]] &amp; "-" &amp; DATE(YEAR(T_Stocks[[#This Row],[Fecha]]),MONTH(T_Stocks[[#This Row],[Fecha]]),DAY(T_Stocks[[#This Row],[Fecha]]))</f>
        <v>PRHSX-44768</v>
      </c>
    </row>
    <row r="6021" spans="1:4" ht="14.65" thickBot="1" x14ac:dyDescent="0.5">
      <c r="A6021" s="17">
        <v>44769.666666666664</v>
      </c>
      <c r="B6021" s="19">
        <v>90</v>
      </c>
      <c r="C6021" t="s">
        <v>51</v>
      </c>
      <c r="D6021" t="str">
        <f>T_Stocks[[#This Row],[Ticker]] &amp; "-" &amp; DATE(YEAR(T_Stocks[[#This Row],[Fecha]]),MONTH(T_Stocks[[#This Row],[Fecha]]),DAY(T_Stocks[[#This Row],[Fecha]]))</f>
        <v>PRHSX-44769</v>
      </c>
    </row>
    <row r="6022" spans="1:4" ht="14.65" thickBot="1" x14ac:dyDescent="0.5">
      <c r="A6022" s="17">
        <v>44770.666666666664</v>
      </c>
      <c r="B6022" s="19">
        <v>90.71</v>
      </c>
      <c r="C6022" t="s">
        <v>51</v>
      </c>
      <c r="D6022" t="str">
        <f>T_Stocks[[#This Row],[Ticker]] &amp; "-" &amp; DATE(YEAR(T_Stocks[[#This Row],[Fecha]]),MONTH(T_Stocks[[#This Row],[Fecha]]),DAY(T_Stocks[[#This Row],[Fecha]]))</f>
        <v>PRHSX-44770</v>
      </c>
    </row>
    <row r="6023" spans="1:4" ht="14.65" thickBot="1" x14ac:dyDescent="0.5">
      <c r="A6023" s="17">
        <v>44771.666666666664</v>
      </c>
      <c r="B6023" s="19">
        <v>90.51</v>
      </c>
      <c r="C6023" t="s">
        <v>51</v>
      </c>
      <c r="D6023" t="str">
        <f>T_Stocks[[#This Row],[Ticker]] &amp; "-" &amp; DATE(YEAR(T_Stocks[[#This Row],[Fecha]]),MONTH(T_Stocks[[#This Row],[Fecha]]),DAY(T_Stocks[[#This Row],[Fecha]]))</f>
        <v>PRHSX-44771</v>
      </c>
    </row>
    <row r="6024" spans="1:4" ht="14.65" thickBot="1" x14ac:dyDescent="0.5">
      <c r="A6024" s="17">
        <v>44774.666666666664</v>
      </c>
      <c r="B6024" s="19">
        <v>89.61</v>
      </c>
      <c r="C6024" t="s">
        <v>51</v>
      </c>
      <c r="D6024" t="str">
        <f>T_Stocks[[#This Row],[Ticker]] &amp; "-" &amp; DATE(YEAR(T_Stocks[[#This Row],[Fecha]]),MONTH(T_Stocks[[#This Row],[Fecha]]),DAY(T_Stocks[[#This Row],[Fecha]]))</f>
        <v>PRHSX-44774</v>
      </c>
    </row>
    <row r="6025" spans="1:4" ht="14.65" thickBot="1" x14ac:dyDescent="0.5">
      <c r="A6025" s="17">
        <v>44775.666666666664</v>
      </c>
      <c r="B6025" s="19">
        <v>89.84</v>
      </c>
      <c r="C6025" t="s">
        <v>51</v>
      </c>
      <c r="D6025" t="str">
        <f>T_Stocks[[#This Row],[Ticker]] &amp; "-" &amp; DATE(YEAR(T_Stocks[[#This Row],[Fecha]]),MONTH(T_Stocks[[#This Row],[Fecha]]),DAY(T_Stocks[[#This Row],[Fecha]]))</f>
        <v>PRHSX-44775</v>
      </c>
    </row>
    <row r="6026" spans="1:4" ht="14.65" thickBot="1" x14ac:dyDescent="0.5">
      <c r="A6026" s="17">
        <v>44776.666666666664</v>
      </c>
      <c r="B6026" s="19">
        <v>91.46</v>
      </c>
      <c r="C6026" t="s">
        <v>51</v>
      </c>
      <c r="D6026" t="str">
        <f>T_Stocks[[#This Row],[Ticker]] &amp; "-" &amp; DATE(YEAR(T_Stocks[[#This Row],[Fecha]]),MONTH(T_Stocks[[#This Row],[Fecha]]),DAY(T_Stocks[[#This Row],[Fecha]]))</f>
        <v>PRHSX-44776</v>
      </c>
    </row>
    <row r="6027" spans="1:4" ht="14.65" thickBot="1" x14ac:dyDescent="0.5">
      <c r="A6027" s="17">
        <v>44777.666666666664</v>
      </c>
      <c r="B6027" s="19">
        <v>91.81</v>
      </c>
      <c r="C6027" t="s">
        <v>51</v>
      </c>
      <c r="D6027" t="str">
        <f>T_Stocks[[#This Row],[Ticker]] &amp; "-" &amp; DATE(YEAR(T_Stocks[[#This Row],[Fecha]]),MONTH(T_Stocks[[#This Row],[Fecha]]),DAY(T_Stocks[[#This Row],[Fecha]]))</f>
        <v>PRHSX-44777</v>
      </c>
    </row>
    <row r="6028" spans="1:4" ht="14.65" thickBot="1" x14ac:dyDescent="0.5">
      <c r="A6028" s="17">
        <v>44778.666666666664</v>
      </c>
      <c r="B6028" s="19">
        <v>92.31</v>
      </c>
      <c r="C6028" t="s">
        <v>51</v>
      </c>
      <c r="D6028" t="str">
        <f>T_Stocks[[#This Row],[Ticker]] &amp; "-" &amp; DATE(YEAR(T_Stocks[[#This Row],[Fecha]]),MONTH(T_Stocks[[#This Row],[Fecha]]),DAY(T_Stocks[[#This Row],[Fecha]]))</f>
        <v>PRHSX-44778</v>
      </c>
    </row>
    <row r="6029" spans="1:4" ht="14.65" thickBot="1" x14ac:dyDescent="0.5">
      <c r="A6029" s="17">
        <v>44781.666666666664</v>
      </c>
      <c r="B6029" s="19">
        <v>92.89</v>
      </c>
      <c r="C6029" t="s">
        <v>51</v>
      </c>
      <c r="D6029" t="str">
        <f>T_Stocks[[#This Row],[Ticker]] &amp; "-" &amp; DATE(YEAR(T_Stocks[[#This Row],[Fecha]]),MONTH(T_Stocks[[#This Row],[Fecha]]),DAY(T_Stocks[[#This Row],[Fecha]]))</f>
        <v>PRHSX-44781</v>
      </c>
    </row>
    <row r="6030" spans="1:4" ht="14.65" thickBot="1" x14ac:dyDescent="0.5">
      <c r="A6030" s="17">
        <v>44782.666666666664</v>
      </c>
      <c r="B6030" s="19">
        <v>92.12</v>
      </c>
      <c r="C6030" t="s">
        <v>51</v>
      </c>
      <c r="D6030" t="str">
        <f>T_Stocks[[#This Row],[Ticker]] &amp; "-" &amp; DATE(YEAR(T_Stocks[[#This Row],[Fecha]]),MONTH(T_Stocks[[#This Row],[Fecha]]),DAY(T_Stocks[[#This Row],[Fecha]]))</f>
        <v>PRHSX-44782</v>
      </c>
    </row>
    <row r="6031" spans="1:4" ht="14.65" thickBot="1" x14ac:dyDescent="0.5">
      <c r="A6031" s="17">
        <v>44783.666666666664</v>
      </c>
      <c r="B6031" s="19">
        <v>93.73</v>
      </c>
      <c r="C6031" t="s">
        <v>51</v>
      </c>
      <c r="D6031" t="str">
        <f>T_Stocks[[#This Row],[Ticker]] &amp; "-" &amp; DATE(YEAR(T_Stocks[[#This Row],[Fecha]]),MONTH(T_Stocks[[#This Row],[Fecha]]),DAY(T_Stocks[[#This Row],[Fecha]]))</f>
        <v>PRHSX-44783</v>
      </c>
    </row>
    <row r="6032" spans="1:4" ht="14.65" thickBot="1" x14ac:dyDescent="0.5">
      <c r="A6032" s="17">
        <v>44784.666666666664</v>
      </c>
      <c r="B6032" s="19">
        <v>93.02</v>
      </c>
      <c r="C6032" t="s">
        <v>51</v>
      </c>
      <c r="D6032" t="str">
        <f>T_Stocks[[#This Row],[Ticker]] &amp; "-" &amp; DATE(YEAR(T_Stocks[[#This Row],[Fecha]]),MONTH(T_Stocks[[#This Row],[Fecha]]),DAY(T_Stocks[[#This Row],[Fecha]]))</f>
        <v>PRHSX-44784</v>
      </c>
    </row>
    <row r="6033" spans="1:4" ht="14.65" thickBot="1" x14ac:dyDescent="0.5">
      <c r="A6033" s="17">
        <v>44785.666666666664</v>
      </c>
      <c r="B6033" s="19">
        <v>94.64</v>
      </c>
      <c r="C6033" t="s">
        <v>51</v>
      </c>
      <c r="D6033" t="str">
        <f>T_Stocks[[#This Row],[Ticker]] &amp; "-" &amp; DATE(YEAR(T_Stocks[[#This Row],[Fecha]]),MONTH(T_Stocks[[#This Row],[Fecha]]),DAY(T_Stocks[[#This Row],[Fecha]]))</f>
        <v>PRHSX-44785</v>
      </c>
    </row>
    <row r="6034" spans="1:4" ht="14.65" thickBot="1" x14ac:dyDescent="0.5">
      <c r="A6034" s="17">
        <v>44788.666666666664</v>
      </c>
      <c r="B6034" s="19">
        <v>95.26</v>
      </c>
      <c r="C6034" t="s">
        <v>51</v>
      </c>
      <c r="D6034" t="str">
        <f>T_Stocks[[#This Row],[Ticker]] &amp; "-" &amp; DATE(YEAR(T_Stocks[[#This Row],[Fecha]]),MONTH(T_Stocks[[#This Row],[Fecha]]),DAY(T_Stocks[[#This Row],[Fecha]]))</f>
        <v>PRHSX-44788</v>
      </c>
    </row>
    <row r="6035" spans="1:4" ht="14.65" thickBot="1" x14ac:dyDescent="0.5">
      <c r="A6035" s="17">
        <v>44789.666666666664</v>
      </c>
      <c r="B6035" s="19">
        <v>94.33</v>
      </c>
      <c r="C6035" t="s">
        <v>51</v>
      </c>
      <c r="D6035" t="str">
        <f>T_Stocks[[#This Row],[Ticker]] &amp; "-" &amp; DATE(YEAR(T_Stocks[[#This Row],[Fecha]]),MONTH(T_Stocks[[#This Row],[Fecha]]),DAY(T_Stocks[[#This Row],[Fecha]]))</f>
        <v>PRHSX-44789</v>
      </c>
    </row>
    <row r="6036" spans="1:4" ht="14.65" thickBot="1" x14ac:dyDescent="0.5">
      <c r="A6036" s="17">
        <v>44790.666666666664</v>
      </c>
      <c r="B6036" s="19">
        <v>93.37</v>
      </c>
      <c r="C6036" t="s">
        <v>51</v>
      </c>
      <c r="D6036" t="str">
        <f>T_Stocks[[#This Row],[Ticker]] &amp; "-" &amp; DATE(YEAR(T_Stocks[[#This Row],[Fecha]]),MONTH(T_Stocks[[#This Row],[Fecha]]),DAY(T_Stocks[[#This Row],[Fecha]]))</f>
        <v>PRHSX-44790</v>
      </c>
    </row>
    <row r="6037" spans="1:4" ht="14.65" thickBot="1" x14ac:dyDescent="0.5">
      <c r="A6037" s="17">
        <v>44791.666666666664</v>
      </c>
      <c r="B6037" s="19">
        <v>92.94</v>
      </c>
      <c r="C6037" t="s">
        <v>51</v>
      </c>
      <c r="D6037" t="str">
        <f>T_Stocks[[#This Row],[Ticker]] &amp; "-" &amp; DATE(YEAR(T_Stocks[[#This Row],[Fecha]]),MONTH(T_Stocks[[#This Row],[Fecha]]),DAY(T_Stocks[[#This Row],[Fecha]]))</f>
        <v>PRHSX-44791</v>
      </c>
    </row>
    <row r="6038" spans="1:4" ht="14.65" thickBot="1" x14ac:dyDescent="0.5">
      <c r="A6038" s="17">
        <v>44792.666666666664</v>
      </c>
      <c r="B6038" s="19">
        <v>92.55</v>
      </c>
      <c r="C6038" t="s">
        <v>51</v>
      </c>
      <c r="D6038" t="str">
        <f>T_Stocks[[#This Row],[Ticker]] &amp; "-" &amp; DATE(YEAR(T_Stocks[[#This Row],[Fecha]]),MONTH(T_Stocks[[#This Row],[Fecha]]),DAY(T_Stocks[[#This Row],[Fecha]]))</f>
        <v>PRHSX-44792</v>
      </c>
    </row>
    <row r="6039" spans="1:4" ht="14.65" thickBot="1" x14ac:dyDescent="0.5">
      <c r="A6039" s="17">
        <v>44795.666666666664</v>
      </c>
      <c r="B6039" s="19">
        <v>91.53</v>
      </c>
      <c r="C6039" t="s">
        <v>51</v>
      </c>
      <c r="D6039" t="str">
        <f>T_Stocks[[#This Row],[Ticker]] &amp; "-" &amp; DATE(YEAR(T_Stocks[[#This Row],[Fecha]]),MONTH(T_Stocks[[#This Row],[Fecha]]),DAY(T_Stocks[[#This Row],[Fecha]]))</f>
        <v>PRHSX-44795</v>
      </c>
    </row>
    <row r="6040" spans="1:4" ht="14.65" thickBot="1" x14ac:dyDescent="0.5">
      <c r="A6040" s="17">
        <v>44796.666666666664</v>
      </c>
      <c r="B6040" s="19">
        <v>90.83</v>
      </c>
      <c r="C6040" t="s">
        <v>51</v>
      </c>
      <c r="D6040" t="str">
        <f>T_Stocks[[#This Row],[Ticker]] &amp; "-" &amp; DATE(YEAR(T_Stocks[[#This Row],[Fecha]]),MONTH(T_Stocks[[#This Row],[Fecha]]),DAY(T_Stocks[[#This Row],[Fecha]]))</f>
        <v>PRHSX-44796</v>
      </c>
    </row>
    <row r="6041" spans="1:4" ht="14.65" thickBot="1" x14ac:dyDescent="0.5">
      <c r="A6041" s="17">
        <v>44797.666666666664</v>
      </c>
      <c r="B6041" s="19">
        <v>91.65</v>
      </c>
      <c r="C6041" t="s">
        <v>51</v>
      </c>
      <c r="D6041" t="str">
        <f>T_Stocks[[#This Row],[Ticker]] &amp; "-" &amp; DATE(YEAR(T_Stocks[[#This Row],[Fecha]]),MONTH(T_Stocks[[#This Row],[Fecha]]),DAY(T_Stocks[[#This Row],[Fecha]]))</f>
        <v>PRHSX-44797</v>
      </c>
    </row>
    <row r="6042" spans="1:4" ht="14.65" thickBot="1" x14ac:dyDescent="0.5">
      <c r="A6042" s="17">
        <v>44798.666666666664</v>
      </c>
      <c r="B6042" s="19">
        <v>92.49</v>
      </c>
      <c r="C6042" t="s">
        <v>51</v>
      </c>
      <c r="D6042" t="str">
        <f>T_Stocks[[#This Row],[Ticker]] &amp; "-" &amp; DATE(YEAR(T_Stocks[[#This Row],[Fecha]]),MONTH(T_Stocks[[#This Row],[Fecha]]),DAY(T_Stocks[[#This Row],[Fecha]]))</f>
        <v>PRHSX-44798</v>
      </c>
    </row>
    <row r="6043" spans="1:4" ht="14.65" thickBot="1" x14ac:dyDescent="0.5">
      <c r="A6043" s="17">
        <v>44799.666666666664</v>
      </c>
      <c r="B6043" s="19">
        <v>89.57</v>
      </c>
      <c r="C6043" t="s">
        <v>51</v>
      </c>
      <c r="D6043" t="str">
        <f>T_Stocks[[#This Row],[Ticker]] &amp; "-" &amp; DATE(YEAR(T_Stocks[[#This Row],[Fecha]]),MONTH(T_Stocks[[#This Row],[Fecha]]),DAY(T_Stocks[[#This Row],[Fecha]]))</f>
        <v>PRHSX-44799</v>
      </c>
    </row>
    <row r="6044" spans="1:4" ht="14.65" thickBot="1" x14ac:dyDescent="0.5">
      <c r="A6044" s="17">
        <v>44802.666666666664</v>
      </c>
      <c r="B6044" s="19">
        <v>88.95</v>
      </c>
      <c r="C6044" t="s">
        <v>51</v>
      </c>
      <c r="D6044" t="str">
        <f>T_Stocks[[#This Row],[Ticker]] &amp; "-" &amp; DATE(YEAR(T_Stocks[[#This Row],[Fecha]]),MONTH(T_Stocks[[#This Row],[Fecha]]),DAY(T_Stocks[[#This Row],[Fecha]]))</f>
        <v>PRHSX-44802</v>
      </c>
    </row>
    <row r="6045" spans="1:4" ht="14.65" thickBot="1" x14ac:dyDescent="0.5">
      <c r="A6045" s="17">
        <v>44803.666666666664</v>
      </c>
      <c r="B6045" s="19">
        <v>88.07</v>
      </c>
      <c r="C6045" t="s">
        <v>51</v>
      </c>
      <c r="D6045" t="str">
        <f>T_Stocks[[#This Row],[Ticker]] &amp; "-" &amp; DATE(YEAR(T_Stocks[[#This Row],[Fecha]]),MONTH(T_Stocks[[#This Row],[Fecha]]),DAY(T_Stocks[[#This Row],[Fecha]]))</f>
        <v>PRHSX-44803</v>
      </c>
    </row>
    <row r="6046" spans="1:4" ht="14.65" thickBot="1" x14ac:dyDescent="0.5">
      <c r="A6046" s="17">
        <v>44804.666666666664</v>
      </c>
      <c r="B6046" s="19">
        <v>87.71</v>
      </c>
      <c r="C6046" t="s">
        <v>51</v>
      </c>
      <c r="D6046" t="str">
        <f>T_Stocks[[#This Row],[Ticker]] &amp; "-" &amp; DATE(YEAR(T_Stocks[[#This Row],[Fecha]]),MONTH(T_Stocks[[#This Row],[Fecha]]),DAY(T_Stocks[[#This Row],[Fecha]]))</f>
        <v>PRHSX-44804</v>
      </c>
    </row>
    <row r="6047" spans="1:4" ht="14.65" thickBot="1" x14ac:dyDescent="0.5">
      <c r="A6047" s="17">
        <v>44805.666666666664</v>
      </c>
      <c r="B6047" s="19">
        <v>88.5</v>
      </c>
      <c r="C6047" t="s">
        <v>51</v>
      </c>
      <c r="D6047" t="str">
        <f>T_Stocks[[#This Row],[Ticker]] &amp; "-" &amp; DATE(YEAR(T_Stocks[[#This Row],[Fecha]]),MONTH(T_Stocks[[#This Row],[Fecha]]),DAY(T_Stocks[[#This Row],[Fecha]]))</f>
        <v>PRHSX-44805</v>
      </c>
    </row>
    <row r="6048" spans="1:4" ht="14.65" thickBot="1" x14ac:dyDescent="0.5">
      <c r="A6048" s="17">
        <v>44806.666666666664</v>
      </c>
      <c r="B6048" s="19">
        <v>87.39</v>
      </c>
      <c r="C6048" t="s">
        <v>51</v>
      </c>
      <c r="D6048" t="str">
        <f>T_Stocks[[#This Row],[Ticker]] &amp; "-" &amp; DATE(YEAR(T_Stocks[[#This Row],[Fecha]]),MONTH(T_Stocks[[#This Row],[Fecha]]),DAY(T_Stocks[[#This Row],[Fecha]]))</f>
        <v>PRHSX-44806</v>
      </c>
    </row>
    <row r="6049" spans="1:4" ht="14.65" thickBot="1" x14ac:dyDescent="0.5">
      <c r="A6049" s="17">
        <v>44810.666666666664</v>
      </c>
      <c r="B6049" s="19">
        <v>86.88</v>
      </c>
      <c r="C6049" t="s">
        <v>51</v>
      </c>
      <c r="D6049" t="str">
        <f>T_Stocks[[#This Row],[Ticker]] &amp; "-" &amp; DATE(YEAR(T_Stocks[[#This Row],[Fecha]]),MONTH(T_Stocks[[#This Row],[Fecha]]),DAY(T_Stocks[[#This Row],[Fecha]]))</f>
        <v>PRHSX-44810</v>
      </c>
    </row>
    <row r="6050" spans="1:4" ht="14.65" thickBot="1" x14ac:dyDescent="0.5">
      <c r="A6050" s="17">
        <v>44811.666666666664</v>
      </c>
      <c r="B6050" s="19">
        <v>88.82</v>
      </c>
      <c r="C6050" t="s">
        <v>51</v>
      </c>
      <c r="D6050" t="str">
        <f>T_Stocks[[#This Row],[Ticker]] &amp; "-" &amp; DATE(YEAR(T_Stocks[[#This Row],[Fecha]]),MONTH(T_Stocks[[#This Row],[Fecha]]),DAY(T_Stocks[[#This Row],[Fecha]]))</f>
        <v>PRHSX-44811</v>
      </c>
    </row>
    <row r="6051" spans="1:4" ht="14.65" thickBot="1" x14ac:dyDescent="0.5">
      <c r="A6051" s="17">
        <v>44812.666666666664</v>
      </c>
      <c r="B6051" s="19">
        <v>91.09</v>
      </c>
      <c r="C6051" t="s">
        <v>51</v>
      </c>
      <c r="D6051" t="str">
        <f>T_Stocks[[#This Row],[Ticker]] &amp; "-" &amp; DATE(YEAR(T_Stocks[[#This Row],[Fecha]]),MONTH(T_Stocks[[#This Row],[Fecha]]),DAY(T_Stocks[[#This Row],[Fecha]]))</f>
        <v>PRHSX-44812</v>
      </c>
    </row>
    <row r="6052" spans="1:4" ht="14.65" thickBot="1" x14ac:dyDescent="0.5">
      <c r="A6052" s="17">
        <v>44813.666666666664</v>
      </c>
      <c r="B6052" s="19">
        <v>91.85</v>
      </c>
      <c r="C6052" t="s">
        <v>51</v>
      </c>
      <c r="D6052" t="str">
        <f>T_Stocks[[#This Row],[Ticker]] &amp; "-" &amp; DATE(YEAR(T_Stocks[[#This Row],[Fecha]]),MONTH(T_Stocks[[#This Row],[Fecha]]),DAY(T_Stocks[[#This Row],[Fecha]]))</f>
        <v>PRHSX-44813</v>
      </c>
    </row>
    <row r="6053" spans="1:4" ht="14.65" thickBot="1" x14ac:dyDescent="0.5">
      <c r="A6053" s="17">
        <v>44816.666666666664</v>
      </c>
      <c r="B6053" s="19">
        <v>92.25</v>
      </c>
      <c r="C6053" t="s">
        <v>51</v>
      </c>
      <c r="D6053" t="str">
        <f>T_Stocks[[#This Row],[Ticker]] &amp; "-" &amp; DATE(YEAR(T_Stocks[[#This Row],[Fecha]]),MONTH(T_Stocks[[#This Row],[Fecha]]),DAY(T_Stocks[[#This Row],[Fecha]]))</f>
        <v>PRHSX-44816</v>
      </c>
    </row>
    <row r="6054" spans="1:4" ht="14.65" thickBot="1" x14ac:dyDescent="0.5">
      <c r="A6054" s="17">
        <v>44817.666666666664</v>
      </c>
      <c r="B6054" s="19">
        <v>89.06</v>
      </c>
      <c r="C6054" t="s">
        <v>51</v>
      </c>
      <c r="D6054" t="str">
        <f>T_Stocks[[#This Row],[Ticker]] &amp; "-" &amp; DATE(YEAR(T_Stocks[[#This Row],[Fecha]]),MONTH(T_Stocks[[#This Row],[Fecha]]),DAY(T_Stocks[[#This Row],[Fecha]]))</f>
        <v>PRHSX-44817</v>
      </c>
    </row>
    <row r="6055" spans="1:4" ht="14.65" thickBot="1" x14ac:dyDescent="0.5">
      <c r="A6055" s="17">
        <v>44818.666666666664</v>
      </c>
      <c r="B6055" s="19">
        <v>89.17</v>
      </c>
      <c r="C6055" t="s">
        <v>51</v>
      </c>
      <c r="D6055" t="str">
        <f>T_Stocks[[#This Row],[Ticker]] &amp; "-" &amp; DATE(YEAR(T_Stocks[[#This Row],[Fecha]]),MONTH(T_Stocks[[#This Row],[Fecha]]),DAY(T_Stocks[[#This Row],[Fecha]]))</f>
        <v>PRHSX-44818</v>
      </c>
    </row>
    <row r="6056" spans="1:4" ht="14.65" thickBot="1" x14ac:dyDescent="0.5">
      <c r="A6056" s="17">
        <v>44819.666666666664</v>
      </c>
      <c r="B6056" s="19">
        <v>89.55</v>
      </c>
      <c r="C6056" t="s">
        <v>51</v>
      </c>
      <c r="D6056" t="str">
        <f>T_Stocks[[#This Row],[Ticker]] &amp; "-" &amp; DATE(YEAR(T_Stocks[[#This Row],[Fecha]]),MONTH(T_Stocks[[#This Row],[Fecha]]),DAY(T_Stocks[[#This Row],[Fecha]]))</f>
        <v>PRHSX-44819</v>
      </c>
    </row>
    <row r="6057" spans="1:4" ht="14.65" thickBot="1" x14ac:dyDescent="0.5">
      <c r="A6057" s="17">
        <v>44820.666666666664</v>
      </c>
      <c r="B6057" s="19">
        <v>88.5</v>
      </c>
      <c r="C6057" t="s">
        <v>51</v>
      </c>
      <c r="D6057" t="str">
        <f>T_Stocks[[#This Row],[Ticker]] &amp; "-" &amp; DATE(YEAR(T_Stocks[[#This Row],[Fecha]]),MONTH(T_Stocks[[#This Row],[Fecha]]),DAY(T_Stocks[[#This Row],[Fecha]]))</f>
        <v>PRHSX-44820</v>
      </c>
    </row>
    <row r="6058" spans="1:4" ht="14.65" thickBot="1" x14ac:dyDescent="0.5">
      <c r="A6058" s="17">
        <v>44823.666666666664</v>
      </c>
      <c r="B6058" s="19">
        <v>88.02</v>
      </c>
      <c r="C6058" t="s">
        <v>51</v>
      </c>
      <c r="D6058" t="str">
        <f>T_Stocks[[#This Row],[Ticker]] &amp; "-" &amp; DATE(YEAR(T_Stocks[[#This Row],[Fecha]]),MONTH(T_Stocks[[#This Row],[Fecha]]),DAY(T_Stocks[[#This Row],[Fecha]]))</f>
        <v>PRHSX-44823</v>
      </c>
    </row>
    <row r="6059" spans="1:4" ht="14.65" thickBot="1" x14ac:dyDescent="0.5">
      <c r="A6059" s="17">
        <v>44824.666666666664</v>
      </c>
      <c r="B6059" s="19">
        <v>87.23</v>
      </c>
      <c r="C6059" t="s">
        <v>51</v>
      </c>
      <c r="D6059" t="str">
        <f>T_Stocks[[#This Row],[Ticker]] &amp; "-" &amp; DATE(YEAR(T_Stocks[[#This Row],[Fecha]]),MONTH(T_Stocks[[#This Row],[Fecha]]),DAY(T_Stocks[[#This Row],[Fecha]]))</f>
        <v>PRHSX-44824</v>
      </c>
    </row>
    <row r="6060" spans="1:4" ht="14.65" thickBot="1" x14ac:dyDescent="0.5">
      <c r="A6060" s="17">
        <v>44825.666666666664</v>
      </c>
      <c r="B6060" s="19">
        <v>85.31</v>
      </c>
      <c r="C6060" t="s">
        <v>51</v>
      </c>
      <c r="D6060" t="str">
        <f>T_Stocks[[#This Row],[Ticker]] &amp; "-" &amp; DATE(YEAR(T_Stocks[[#This Row],[Fecha]]),MONTH(T_Stocks[[#This Row],[Fecha]]),DAY(T_Stocks[[#This Row],[Fecha]]))</f>
        <v>PRHSX-44825</v>
      </c>
    </row>
    <row r="6061" spans="1:4" ht="14.65" thickBot="1" x14ac:dyDescent="0.5">
      <c r="A6061" s="17">
        <v>44826.666666666664</v>
      </c>
      <c r="B6061" s="19">
        <v>84.73</v>
      </c>
      <c r="C6061" t="s">
        <v>51</v>
      </c>
      <c r="D6061" t="str">
        <f>T_Stocks[[#This Row],[Ticker]] &amp; "-" &amp; DATE(YEAR(T_Stocks[[#This Row],[Fecha]]),MONTH(T_Stocks[[#This Row],[Fecha]]),DAY(T_Stocks[[#This Row],[Fecha]]))</f>
        <v>PRHSX-44826</v>
      </c>
    </row>
    <row r="6062" spans="1:4" ht="14.65" thickBot="1" x14ac:dyDescent="0.5">
      <c r="A6062" s="17">
        <v>44827.666666666664</v>
      </c>
      <c r="B6062" s="19">
        <v>83.84</v>
      </c>
      <c r="C6062" t="s">
        <v>51</v>
      </c>
      <c r="D6062" t="str">
        <f>T_Stocks[[#This Row],[Ticker]] &amp; "-" &amp; DATE(YEAR(T_Stocks[[#This Row],[Fecha]]),MONTH(T_Stocks[[#This Row],[Fecha]]),DAY(T_Stocks[[#This Row],[Fecha]]))</f>
        <v>PRHSX-44827</v>
      </c>
    </row>
    <row r="6063" spans="1:4" ht="14.65" thickBot="1" x14ac:dyDescent="0.5">
      <c r="A6063" s="17">
        <v>44830.666666666664</v>
      </c>
      <c r="B6063" s="19">
        <v>82.85</v>
      </c>
      <c r="C6063" t="s">
        <v>51</v>
      </c>
      <c r="D6063" t="str">
        <f>T_Stocks[[#This Row],[Ticker]] &amp; "-" &amp; DATE(YEAR(T_Stocks[[#This Row],[Fecha]]),MONTH(T_Stocks[[#This Row],[Fecha]]),DAY(T_Stocks[[#This Row],[Fecha]]))</f>
        <v>PRHSX-44830</v>
      </c>
    </row>
    <row r="6064" spans="1:4" ht="14.65" thickBot="1" x14ac:dyDescent="0.5">
      <c r="A6064" s="17">
        <v>44831.666666666664</v>
      </c>
      <c r="B6064" s="19">
        <v>83.21</v>
      </c>
      <c r="C6064" t="s">
        <v>51</v>
      </c>
      <c r="D6064" t="str">
        <f>T_Stocks[[#This Row],[Ticker]] &amp; "-" &amp; DATE(YEAR(T_Stocks[[#This Row],[Fecha]]),MONTH(T_Stocks[[#This Row],[Fecha]]),DAY(T_Stocks[[#This Row],[Fecha]]))</f>
        <v>PRHSX-44831</v>
      </c>
    </row>
    <row r="6065" spans="1:4" ht="14.65" thickBot="1" x14ac:dyDescent="0.5">
      <c r="A6065" s="17">
        <v>44832.666666666664</v>
      </c>
      <c r="B6065" s="19">
        <v>85.55</v>
      </c>
      <c r="C6065" t="s">
        <v>51</v>
      </c>
      <c r="D6065" t="str">
        <f>T_Stocks[[#This Row],[Ticker]] &amp; "-" &amp; DATE(YEAR(T_Stocks[[#This Row],[Fecha]]),MONTH(T_Stocks[[#This Row],[Fecha]]),DAY(T_Stocks[[#This Row],[Fecha]]))</f>
        <v>PRHSX-44832</v>
      </c>
    </row>
    <row r="6066" spans="1:4" ht="14.65" thickBot="1" x14ac:dyDescent="0.5">
      <c r="A6066" s="17">
        <v>44833.666666666664</v>
      </c>
      <c r="B6066" s="19">
        <v>84.79</v>
      </c>
      <c r="C6066" t="s">
        <v>51</v>
      </c>
      <c r="D6066" t="str">
        <f>T_Stocks[[#This Row],[Ticker]] &amp; "-" &amp; DATE(YEAR(T_Stocks[[#This Row],[Fecha]]),MONTH(T_Stocks[[#This Row],[Fecha]]),DAY(T_Stocks[[#This Row],[Fecha]]))</f>
        <v>PRHSX-44833</v>
      </c>
    </row>
    <row r="6067" spans="1:4" ht="14.65" thickBot="1" x14ac:dyDescent="0.5">
      <c r="A6067" s="17">
        <v>44834.666666666664</v>
      </c>
      <c r="B6067" s="19">
        <v>83.98</v>
      </c>
      <c r="C6067" t="s">
        <v>51</v>
      </c>
      <c r="D6067" t="str">
        <f>T_Stocks[[#This Row],[Ticker]] &amp; "-" &amp; DATE(YEAR(T_Stocks[[#This Row],[Fecha]]),MONTH(T_Stocks[[#This Row],[Fecha]]),DAY(T_Stocks[[#This Row],[Fecha]]))</f>
        <v>PRHSX-44834</v>
      </c>
    </row>
    <row r="6068" spans="1:4" ht="14.65" thickBot="1" x14ac:dyDescent="0.5">
      <c r="A6068" s="17">
        <v>44837.666666666664</v>
      </c>
      <c r="B6068" s="19">
        <v>85.67</v>
      </c>
      <c r="C6068" t="s">
        <v>51</v>
      </c>
      <c r="D6068" t="str">
        <f>T_Stocks[[#This Row],[Ticker]] &amp; "-" &amp; DATE(YEAR(T_Stocks[[#This Row],[Fecha]]),MONTH(T_Stocks[[#This Row],[Fecha]]),DAY(T_Stocks[[#This Row],[Fecha]]))</f>
        <v>PRHSX-44837</v>
      </c>
    </row>
    <row r="6069" spans="1:4" ht="14.65" thickBot="1" x14ac:dyDescent="0.5">
      <c r="A6069" s="17">
        <v>44838.666666666664</v>
      </c>
      <c r="B6069" s="19">
        <v>88.01</v>
      </c>
      <c r="C6069" t="s">
        <v>51</v>
      </c>
      <c r="D6069" t="str">
        <f>T_Stocks[[#This Row],[Ticker]] &amp; "-" &amp; DATE(YEAR(T_Stocks[[#This Row],[Fecha]]),MONTH(T_Stocks[[#This Row],[Fecha]]),DAY(T_Stocks[[#This Row],[Fecha]]))</f>
        <v>PRHSX-44838</v>
      </c>
    </row>
    <row r="6070" spans="1:4" ht="14.65" thickBot="1" x14ac:dyDescent="0.5">
      <c r="A6070" s="17">
        <v>44839.666666666664</v>
      </c>
      <c r="B6070" s="19">
        <v>88.12</v>
      </c>
      <c r="C6070" t="s">
        <v>51</v>
      </c>
      <c r="D6070" t="str">
        <f>T_Stocks[[#This Row],[Ticker]] &amp; "-" &amp; DATE(YEAR(T_Stocks[[#This Row],[Fecha]]),MONTH(T_Stocks[[#This Row],[Fecha]]),DAY(T_Stocks[[#This Row],[Fecha]]))</f>
        <v>PRHSX-44839</v>
      </c>
    </row>
    <row r="6071" spans="1:4" ht="14.65" thickBot="1" x14ac:dyDescent="0.5">
      <c r="A6071" s="17">
        <v>44840.666666666664</v>
      </c>
      <c r="B6071" s="19">
        <v>87.34</v>
      </c>
      <c r="C6071" t="s">
        <v>51</v>
      </c>
      <c r="D6071" t="str">
        <f>T_Stocks[[#This Row],[Ticker]] &amp; "-" &amp; DATE(YEAR(T_Stocks[[#This Row],[Fecha]]),MONTH(T_Stocks[[#This Row],[Fecha]]),DAY(T_Stocks[[#This Row],[Fecha]]))</f>
        <v>PRHSX-44840</v>
      </c>
    </row>
    <row r="6072" spans="1:4" ht="14.65" thickBot="1" x14ac:dyDescent="0.5">
      <c r="A6072" s="17">
        <v>44841.666666666664</v>
      </c>
      <c r="B6072" s="19">
        <v>85.03</v>
      </c>
      <c r="C6072" t="s">
        <v>51</v>
      </c>
      <c r="D6072" t="str">
        <f>T_Stocks[[#This Row],[Ticker]] &amp; "-" &amp; DATE(YEAR(T_Stocks[[#This Row],[Fecha]]),MONTH(T_Stocks[[#This Row],[Fecha]]),DAY(T_Stocks[[#This Row],[Fecha]]))</f>
        <v>PRHSX-44841</v>
      </c>
    </row>
    <row r="6073" spans="1:4" ht="14.65" thickBot="1" x14ac:dyDescent="0.5">
      <c r="A6073" s="17">
        <v>44844.666666666664</v>
      </c>
      <c r="B6073" s="19">
        <v>84.03</v>
      </c>
      <c r="C6073" t="s">
        <v>51</v>
      </c>
      <c r="D6073" t="str">
        <f>T_Stocks[[#This Row],[Ticker]] &amp; "-" &amp; DATE(YEAR(T_Stocks[[#This Row],[Fecha]]),MONTH(T_Stocks[[#This Row],[Fecha]]),DAY(T_Stocks[[#This Row],[Fecha]]))</f>
        <v>PRHSX-44844</v>
      </c>
    </row>
    <row r="6074" spans="1:4" ht="14.65" thickBot="1" x14ac:dyDescent="0.5">
      <c r="A6074" s="17">
        <v>44845.666666666664</v>
      </c>
      <c r="B6074" s="19">
        <v>84.11</v>
      </c>
      <c r="C6074" t="s">
        <v>51</v>
      </c>
      <c r="D6074" t="str">
        <f>T_Stocks[[#This Row],[Ticker]] &amp; "-" &amp; DATE(YEAR(T_Stocks[[#This Row],[Fecha]]),MONTH(T_Stocks[[#This Row],[Fecha]]),DAY(T_Stocks[[#This Row],[Fecha]]))</f>
        <v>PRHSX-44845</v>
      </c>
    </row>
    <row r="6075" spans="1:4" ht="14.65" thickBot="1" x14ac:dyDescent="0.5">
      <c r="A6075" s="17">
        <v>44846.666666666664</v>
      </c>
      <c r="B6075" s="19">
        <v>83.98</v>
      </c>
      <c r="C6075" t="s">
        <v>51</v>
      </c>
      <c r="D6075" t="str">
        <f>T_Stocks[[#This Row],[Ticker]] &amp; "-" &amp; DATE(YEAR(T_Stocks[[#This Row],[Fecha]]),MONTH(T_Stocks[[#This Row],[Fecha]]),DAY(T_Stocks[[#This Row],[Fecha]]))</f>
        <v>PRHSX-44846</v>
      </c>
    </row>
    <row r="6076" spans="1:4" ht="14.65" thickBot="1" x14ac:dyDescent="0.5">
      <c r="A6076" s="17">
        <v>44847.666666666664</v>
      </c>
      <c r="B6076" s="19">
        <v>85.5</v>
      </c>
      <c r="C6076" t="s">
        <v>51</v>
      </c>
      <c r="D6076" t="str">
        <f>T_Stocks[[#This Row],[Ticker]] &amp; "-" &amp; DATE(YEAR(T_Stocks[[#This Row],[Fecha]]),MONTH(T_Stocks[[#This Row],[Fecha]]),DAY(T_Stocks[[#This Row],[Fecha]]))</f>
        <v>PRHSX-44847</v>
      </c>
    </row>
    <row r="6077" spans="1:4" ht="14.65" thickBot="1" x14ac:dyDescent="0.5">
      <c r="A6077" s="17">
        <v>44848.666666666664</v>
      </c>
      <c r="B6077" s="19">
        <v>84.35</v>
      </c>
      <c r="C6077" t="s">
        <v>51</v>
      </c>
      <c r="D6077" t="str">
        <f>T_Stocks[[#This Row],[Ticker]] &amp; "-" &amp; DATE(YEAR(T_Stocks[[#This Row],[Fecha]]),MONTH(T_Stocks[[#This Row],[Fecha]]),DAY(T_Stocks[[#This Row],[Fecha]]))</f>
        <v>PRHSX-44848</v>
      </c>
    </row>
    <row r="6078" spans="1:4" ht="14.65" thickBot="1" x14ac:dyDescent="0.5">
      <c r="A6078" s="17">
        <v>44851.666666666664</v>
      </c>
      <c r="B6078" s="19">
        <v>86.08</v>
      </c>
      <c r="C6078" t="s">
        <v>51</v>
      </c>
      <c r="D6078" t="str">
        <f>T_Stocks[[#This Row],[Ticker]] &amp; "-" &amp; DATE(YEAR(T_Stocks[[#This Row],[Fecha]]),MONTH(T_Stocks[[#This Row],[Fecha]]),DAY(T_Stocks[[#This Row],[Fecha]]))</f>
        <v>PRHSX-44851</v>
      </c>
    </row>
    <row r="6079" spans="1:4" ht="14.65" thickBot="1" x14ac:dyDescent="0.5">
      <c r="A6079" s="17">
        <v>44852.666666666664</v>
      </c>
      <c r="B6079" s="19">
        <v>86.63</v>
      </c>
      <c r="C6079" t="s">
        <v>51</v>
      </c>
      <c r="D6079" t="str">
        <f>T_Stocks[[#This Row],[Ticker]] &amp; "-" &amp; DATE(YEAR(T_Stocks[[#This Row],[Fecha]]),MONTH(T_Stocks[[#This Row],[Fecha]]),DAY(T_Stocks[[#This Row],[Fecha]]))</f>
        <v>PRHSX-44852</v>
      </c>
    </row>
    <row r="6080" spans="1:4" ht="14.65" thickBot="1" x14ac:dyDescent="0.5">
      <c r="A6080" s="17">
        <v>44853.666666666664</v>
      </c>
      <c r="B6080" s="19">
        <v>84.88</v>
      </c>
      <c r="C6080" t="s">
        <v>51</v>
      </c>
      <c r="D6080" t="str">
        <f>T_Stocks[[#This Row],[Ticker]] &amp; "-" &amp; DATE(YEAR(T_Stocks[[#This Row],[Fecha]]),MONTH(T_Stocks[[#This Row],[Fecha]]),DAY(T_Stocks[[#This Row],[Fecha]]))</f>
        <v>PRHSX-44853</v>
      </c>
    </row>
    <row r="6081" spans="1:4" ht="14.65" thickBot="1" x14ac:dyDescent="0.5">
      <c r="A6081" s="17">
        <v>44854.666666666664</v>
      </c>
      <c r="B6081" s="19">
        <v>84.21</v>
      </c>
      <c r="C6081" t="s">
        <v>51</v>
      </c>
      <c r="D6081" t="str">
        <f>T_Stocks[[#This Row],[Ticker]] &amp; "-" &amp; DATE(YEAR(T_Stocks[[#This Row],[Fecha]]),MONTH(T_Stocks[[#This Row],[Fecha]]),DAY(T_Stocks[[#This Row],[Fecha]]))</f>
        <v>PRHSX-44854</v>
      </c>
    </row>
    <row r="6082" spans="1:4" ht="14.65" thickBot="1" x14ac:dyDescent="0.5">
      <c r="A6082" s="17">
        <v>44855.666666666664</v>
      </c>
      <c r="B6082" s="19">
        <v>85.98</v>
      </c>
      <c r="C6082" t="s">
        <v>51</v>
      </c>
      <c r="D6082" t="str">
        <f>T_Stocks[[#This Row],[Ticker]] &amp; "-" &amp; DATE(YEAR(T_Stocks[[#This Row],[Fecha]]),MONTH(T_Stocks[[#This Row],[Fecha]]),DAY(T_Stocks[[#This Row],[Fecha]]))</f>
        <v>PRHSX-44855</v>
      </c>
    </row>
    <row r="6083" spans="1:4" ht="14.65" thickBot="1" x14ac:dyDescent="0.5">
      <c r="A6083" s="17">
        <v>44858.666666666664</v>
      </c>
      <c r="B6083" s="19">
        <v>86.93</v>
      </c>
      <c r="C6083" t="s">
        <v>51</v>
      </c>
      <c r="D6083" t="str">
        <f>T_Stocks[[#This Row],[Ticker]] &amp; "-" &amp; DATE(YEAR(T_Stocks[[#This Row],[Fecha]]),MONTH(T_Stocks[[#This Row],[Fecha]]),DAY(T_Stocks[[#This Row],[Fecha]]))</f>
        <v>PRHSX-44858</v>
      </c>
    </row>
    <row r="6084" spans="1:4" ht="14.65" thickBot="1" x14ac:dyDescent="0.5">
      <c r="A6084" s="17">
        <v>44859.666666666664</v>
      </c>
      <c r="B6084" s="19">
        <v>88.53</v>
      </c>
      <c r="C6084" t="s">
        <v>51</v>
      </c>
      <c r="D6084" t="str">
        <f>T_Stocks[[#This Row],[Ticker]] &amp; "-" &amp; DATE(YEAR(T_Stocks[[#This Row],[Fecha]]),MONTH(T_Stocks[[#This Row],[Fecha]]),DAY(T_Stocks[[#This Row],[Fecha]]))</f>
        <v>PRHSX-44859</v>
      </c>
    </row>
    <row r="6085" spans="1:4" ht="14.65" thickBot="1" x14ac:dyDescent="0.5">
      <c r="A6085" s="17">
        <v>44860.666666666664</v>
      </c>
      <c r="B6085" s="19">
        <v>89.46</v>
      </c>
      <c r="C6085" t="s">
        <v>51</v>
      </c>
      <c r="D6085" t="str">
        <f>T_Stocks[[#This Row],[Ticker]] &amp; "-" &amp; DATE(YEAR(T_Stocks[[#This Row],[Fecha]]),MONTH(T_Stocks[[#This Row],[Fecha]]),DAY(T_Stocks[[#This Row],[Fecha]]))</f>
        <v>PRHSX-44860</v>
      </c>
    </row>
    <row r="6086" spans="1:4" ht="14.65" thickBot="1" x14ac:dyDescent="0.5">
      <c r="A6086" s="17">
        <v>44861.666666666664</v>
      </c>
      <c r="B6086" s="19">
        <v>88.47</v>
      </c>
      <c r="C6086" t="s">
        <v>51</v>
      </c>
      <c r="D6086" t="str">
        <f>T_Stocks[[#This Row],[Ticker]] &amp; "-" &amp; DATE(YEAR(T_Stocks[[#This Row],[Fecha]]),MONTH(T_Stocks[[#This Row],[Fecha]]),DAY(T_Stocks[[#This Row],[Fecha]]))</f>
        <v>PRHSX-44861</v>
      </c>
    </row>
    <row r="6087" spans="1:4" ht="14.65" thickBot="1" x14ac:dyDescent="0.5">
      <c r="A6087" s="17">
        <v>44862.666666666664</v>
      </c>
      <c r="B6087" s="19">
        <v>90.32</v>
      </c>
      <c r="C6087" t="s">
        <v>51</v>
      </c>
      <c r="D6087" t="str">
        <f>T_Stocks[[#This Row],[Ticker]] &amp; "-" &amp; DATE(YEAR(T_Stocks[[#This Row],[Fecha]]),MONTH(T_Stocks[[#This Row],[Fecha]]),DAY(T_Stocks[[#This Row],[Fecha]]))</f>
        <v>PRHSX-44862</v>
      </c>
    </row>
    <row r="6088" spans="1:4" ht="14.65" thickBot="1" x14ac:dyDescent="0.5">
      <c r="A6088" s="17">
        <v>44865.666666666664</v>
      </c>
      <c r="B6088" s="19">
        <v>90.43</v>
      </c>
      <c r="C6088" t="s">
        <v>51</v>
      </c>
      <c r="D6088" t="str">
        <f>T_Stocks[[#This Row],[Ticker]] &amp; "-" &amp; DATE(YEAR(T_Stocks[[#This Row],[Fecha]]),MONTH(T_Stocks[[#This Row],[Fecha]]),DAY(T_Stocks[[#This Row],[Fecha]]))</f>
        <v>PRHSX-44865</v>
      </c>
    </row>
    <row r="6089" spans="1:4" ht="14.65" thickBot="1" x14ac:dyDescent="0.5">
      <c r="A6089" s="17">
        <v>44866.666666666664</v>
      </c>
      <c r="B6089" s="19">
        <v>90.56</v>
      </c>
      <c r="C6089" t="s">
        <v>51</v>
      </c>
      <c r="D6089" t="str">
        <f>T_Stocks[[#This Row],[Ticker]] &amp; "-" &amp; DATE(YEAR(T_Stocks[[#This Row],[Fecha]]),MONTH(T_Stocks[[#This Row],[Fecha]]),DAY(T_Stocks[[#This Row],[Fecha]]))</f>
        <v>PRHSX-44866</v>
      </c>
    </row>
    <row r="6090" spans="1:4" ht="14.65" thickBot="1" x14ac:dyDescent="0.5">
      <c r="A6090" s="17">
        <v>44867.666666666664</v>
      </c>
      <c r="B6090" s="19">
        <v>88.77</v>
      </c>
      <c r="C6090" t="s">
        <v>51</v>
      </c>
      <c r="D6090" t="str">
        <f>T_Stocks[[#This Row],[Ticker]] &amp; "-" &amp; DATE(YEAR(T_Stocks[[#This Row],[Fecha]]),MONTH(T_Stocks[[#This Row],[Fecha]]),DAY(T_Stocks[[#This Row],[Fecha]]))</f>
        <v>PRHSX-44867</v>
      </c>
    </row>
    <row r="6091" spans="1:4" ht="14.65" thickBot="1" x14ac:dyDescent="0.5">
      <c r="A6091" s="17">
        <v>44868.666666666664</v>
      </c>
      <c r="B6091" s="19">
        <v>88.48</v>
      </c>
      <c r="C6091" t="s">
        <v>51</v>
      </c>
      <c r="D6091" t="str">
        <f>T_Stocks[[#This Row],[Ticker]] &amp; "-" &amp; DATE(YEAR(T_Stocks[[#This Row],[Fecha]]),MONTH(T_Stocks[[#This Row],[Fecha]]),DAY(T_Stocks[[#This Row],[Fecha]]))</f>
        <v>PRHSX-44868</v>
      </c>
    </row>
    <row r="6092" spans="1:4" ht="14.65" thickBot="1" x14ac:dyDescent="0.5">
      <c r="A6092" s="17">
        <v>44869.666666666664</v>
      </c>
      <c r="B6092" s="19">
        <v>88.61</v>
      </c>
      <c r="C6092" t="s">
        <v>51</v>
      </c>
      <c r="D6092" t="str">
        <f>T_Stocks[[#This Row],[Ticker]] &amp; "-" &amp; DATE(YEAR(T_Stocks[[#This Row],[Fecha]]),MONTH(T_Stocks[[#This Row],[Fecha]]),DAY(T_Stocks[[#This Row],[Fecha]]))</f>
        <v>PRHSX-44869</v>
      </c>
    </row>
    <row r="6093" spans="1:4" ht="14.65" thickBot="1" x14ac:dyDescent="0.5">
      <c r="A6093" s="17">
        <v>44872.666666666664</v>
      </c>
      <c r="B6093" s="19">
        <v>88.99</v>
      </c>
      <c r="C6093" t="s">
        <v>51</v>
      </c>
      <c r="D6093" t="str">
        <f>T_Stocks[[#This Row],[Ticker]] &amp; "-" &amp; DATE(YEAR(T_Stocks[[#This Row],[Fecha]]),MONTH(T_Stocks[[#This Row],[Fecha]]),DAY(T_Stocks[[#This Row],[Fecha]]))</f>
        <v>PRHSX-44872</v>
      </c>
    </row>
    <row r="6094" spans="1:4" ht="14.65" thickBot="1" x14ac:dyDescent="0.5">
      <c r="A6094" s="17">
        <v>44873.666666666664</v>
      </c>
      <c r="B6094" s="19">
        <v>89.33</v>
      </c>
      <c r="C6094" t="s">
        <v>51</v>
      </c>
      <c r="D6094" t="str">
        <f>T_Stocks[[#This Row],[Ticker]] &amp; "-" &amp; DATE(YEAR(T_Stocks[[#This Row],[Fecha]]),MONTH(T_Stocks[[#This Row],[Fecha]]),DAY(T_Stocks[[#This Row],[Fecha]]))</f>
        <v>PRHSX-44873</v>
      </c>
    </row>
    <row r="6095" spans="1:4" ht="14.65" thickBot="1" x14ac:dyDescent="0.5">
      <c r="A6095" s="17">
        <v>44874.666666666664</v>
      </c>
      <c r="B6095" s="19">
        <v>88.09</v>
      </c>
      <c r="C6095" t="s">
        <v>51</v>
      </c>
      <c r="D6095" t="str">
        <f>T_Stocks[[#This Row],[Ticker]] &amp; "-" &amp; DATE(YEAR(T_Stocks[[#This Row],[Fecha]]),MONTH(T_Stocks[[#This Row],[Fecha]]),DAY(T_Stocks[[#This Row],[Fecha]]))</f>
        <v>PRHSX-44874</v>
      </c>
    </row>
    <row r="6096" spans="1:4" ht="14.65" thickBot="1" x14ac:dyDescent="0.5">
      <c r="A6096" s="17">
        <v>44875.666666666664</v>
      </c>
      <c r="B6096" s="19">
        <v>91.73</v>
      </c>
      <c r="C6096" t="s">
        <v>51</v>
      </c>
      <c r="D6096" t="str">
        <f>T_Stocks[[#This Row],[Ticker]] &amp; "-" &amp; DATE(YEAR(T_Stocks[[#This Row],[Fecha]]),MONTH(T_Stocks[[#This Row],[Fecha]]),DAY(T_Stocks[[#This Row],[Fecha]]))</f>
        <v>PRHSX-44875</v>
      </c>
    </row>
    <row r="6097" spans="1:4" ht="14.65" thickBot="1" x14ac:dyDescent="0.5">
      <c r="A6097" s="17">
        <v>44876.666666666664</v>
      </c>
      <c r="B6097" s="19">
        <v>91.37</v>
      </c>
      <c r="C6097" t="s">
        <v>51</v>
      </c>
      <c r="D6097" t="str">
        <f>T_Stocks[[#This Row],[Ticker]] &amp; "-" &amp; DATE(YEAR(T_Stocks[[#This Row],[Fecha]]),MONTH(T_Stocks[[#This Row],[Fecha]]),DAY(T_Stocks[[#This Row],[Fecha]]))</f>
        <v>PRHSX-44876</v>
      </c>
    </row>
    <row r="6098" spans="1:4" ht="14.65" thickBot="1" x14ac:dyDescent="0.5">
      <c r="A6098" s="17">
        <v>44879.666666666664</v>
      </c>
      <c r="B6098" s="19">
        <v>90.8</v>
      </c>
      <c r="C6098" t="s">
        <v>51</v>
      </c>
      <c r="D6098" t="str">
        <f>T_Stocks[[#This Row],[Ticker]] &amp; "-" &amp; DATE(YEAR(T_Stocks[[#This Row],[Fecha]]),MONTH(T_Stocks[[#This Row],[Fecha]]),DAY(T_Stocks[[#This Row],[Fecha]]))</f>
        <v>PRHSX-44879</v>
      </c>
    </row>
    <row r="6099" spans="1:4" ht="14.65" thickBot="1" x14ac:dyDescent="0.5">
      <c r="A6099" s="17">
        <v>44880.666666666664</v>
      </c>
      <c r="B6099" s="19">
        <v>91.06</v>
      </c>
      <c r="C6099" t="s">
        <v>51</v>
      </c>
      <c r="D6099" t="str">
        <f>T_Stocks[[#This Row],[Ticker]] &amp; "-" &amp; DATE(YEAR(T_Stocks[[#This Row],[Fecha]]),MONTH(T_Stocks[[#This Row],[Fecha]]),DAY(T_Stocks[[#This Row],[Fecha]]))</f>
        <v>PRHSX-44880</v>
      </c>
    </row>
    <row r="6100" spans="1:4" ht="14.65" thickBot="1" x14ac:dyDescent="0.5">
      <c r="A6100" s="17">
        <v>44881.666666666664</v>
      </c>
      <c r="B6100" s="19">
        <v>90.48</v>
      </c>
      <c r="C6100" t="s">
        <v>51</v>
      </c>
      <c r="D6100" t="str">
        <f>T_Stocks[[#This Row],[Ticker]] &amp; "-" &amp; DATE(YEAR(T_Stocks[[#This Row],[Fecha]]),MONTH(T_Stocks[[#This Row],[Fecha]]),DAY(T_Stocks[[#This Row],[Fecha]]))</f>
        <v>PRHSX-44881</v>
      </c>
    </row>
    <row r="6101" spans="1:4" ht="14.65" thickBot="1" x14ac:dyDescent="0.5">
      <c r="A6101" s="17">
        <v>44882.666666666664</v>
      </c>
      <c r="B6101" s="19">
        <v>90.07</v>
      </c>
      <c r="C6101" t="s">
        <v>51</v>
      </c>
      <c r="D6101" t="str">
        <f>T_Stocks[[#This Row],[Ticker]] &amp; "-" &amp; DATE(YEAR(T_Stocks[[#This Row],[Fecha]]),MONTH(T_Stocks[[#This Row],[Fecha]]),DAY(T_Stocks[[#This Row],[Fecha]]))</f>
        <v>PRHSX-44882</v>
      </c>
    </row>
    <row r="6102" spans="1:4" ht="14.65" thickBot="1" x14ac:dyDescent="0.5">
      <c r="A6102" s="17">
        <v>44883.666666666664</v>
      </c>
      <c r="B6102" s="19">
        <v>91.08</v>
      </c>
      <c r="C6102" t="s">
        <v>51</v>
      </c>
      <c r="D6102" t="str">
        <f>T_Stocks[[#This Row],[Ticker]] &amp; "-" &amp; DATE(YEAR(T_Stocks[[#This Row],[Fecha]]),MONTH(T_Stocks[[#This Row],[Fecha]]),DAY(T_Stocks[[#This Row],[Fecha]]))</f>
        <v>PRHSX-44883</v>
      </c>
    </row>
    <row r="6103" spans="1:4" ht="14.65" thickBot="1" x14ac:dyDescent="0.5">
      <c r="A6103" s="17">
        <v>44886.666666666664</v>
      </c>
      <c r="B6103" s="19">
        <v>90.58</v>
      </c>
      <c r="C6103" t="s">
        <v>51</v>
      </c>
      <c r="D6103" t="str">
        <f>T_Stocks[[#This Row],[Ticker]] &amp; "-" &amp; DATE(YEAR(T_Stocks[[#This Row],[Fecha]]),MONTH(T_Stocks[[#This Row],[Fecha]]),DAY(T_Stocks[[#This Row],[Fecha]]))</f>
        <v>PRHSX-44886</v>
      </c>
    </row>
    <row r="6104" spans="1:4" ht="14.65" thickBot="1" x14ac:dyDescent="0.5">
      <c r="A6104" s="17">
        <v>44887.666666666664</v>
      </c>
      <c r="B6104" s="19">
        <v>91.56</v>
      </c>
      <c r="C6104" t="s">
        <v>51</v>
      </c>
      <c r="D6104" t="str">
        <f>T_Stocks[[#This Row],[Ticker]] &amp; "-" &amp; DATE(YEAR(T_Stocks[[#This Row],[Fecha]]),MONTH(T_Stocks[[#This Row],[Fecha]]),DAY(T_Stocks[[#This Row],[Fecha]]))</f>
        <v>PRHSX-44887</v>
      </c>
    </row>
    <row r="6105" spans="1:4" ht="14.65" thickBot="1" x14ac:dyDescent="0.5">
      <c r="A6105" s="17">
        <v>44888.666666666664</v>
      </c>
      <c r="B6105" s="19">
        <v>91.98</v>
      </c>
      <c r="C6105" t="s">
        <v>51</v>
      </c>
      <c r="D6105" t="str">
        <f>T_Stocks[[#This Row],[Ticker]] &amp; "-" &amp; DATE(YEAR(T_Stocks[[#This Row],[Fecha]]),MONTH(T_Stocks[[#This Row],[Fecha]]),DAY(T_Stocks[[#This Row],[Fecha]]))</f>
        <v>PRHSX-44888</v>
      </c>
    </row>
    <row r="6106" spans="1:4" ht="14.65" thickBot="1" x14ac:dyDescent="0.5">
      <c r="A6106" s="17">
        <v>44890.541666666664</v>
      </c>
      <c r="B6106" s="19">
        <v>92.42</v>
      </c>
      <c r="C6106" t="s">
        <v>51</v>
      </c>
      <c r="D6106" t="str">
        <f>T_Stocks[[#This Row],[Ticker]] &amp; "-" &amp; DATE(YEAR(T_Stocks[[#This Row],[Fecha]]),MONTH(T_Stocks[[#This Row],[Fecha]]),DAY(T_Stocks[[#This Row],[Fecha]]))</f>
        <v>PRHSX-44890</v>
      </c>
    </row>
    <row r="6107" spans="1:4" ht="14.65" thickBot="1" x14ac:dyDescent="0.5">
      <c r="A6107" s="17">
        <v>44893.666666666664</v>
      </c>
      <c r="B6107" s="19">
        <v>91.62</v>
      </c>
      <c r="C6107" t="s">
        <v>51</v>
      </c>
      <c r="D6107" t="str">
        <f>T_Stocks[[#This Row],[Ticker]] &amp; "-" &amp; DATE(YEAR(T_Stocks[[#This Row],[Fecha]]),MONTH(T_Stocks[[#This Row],[Fecha]]),DAY(T_Stocks[[#This Row],[Fecha]]))</f>
        <v>PRHSX-44893</v>
      </c>
    </row>
    <row r="6108" spans="1:4" ht="14.65" thickBot="1" x14ac:dyDescent="0.5">
      <c r="A6108" s="17">
        <v>44894.666666666664</v>
      </c>
      <c r="B6108" s="19">
        <v>91.27</v>
      </c>
      <c r="C6108" t="s">
        <v>51</v>
      </c>
      <c r="D6108" t="str">
        <f>T_Stocks[[#This Row],[Ticker]] &amp; "-" &amp; DATE(YEAR(T_Stocks[[#This Row],[Fecha]]),MONTH(T_Stocks[[#This Row],[Fecha]]),DAY(T_Stocks[[#This Row],[Fecha]]))</f>
        <v>PRHSX-44894</v>
      </c>
    </row>
    <row r="6109" spans="1:4" ht="14.65" thickBot="1" x14ac:dyDescent="0.5">
      <c r="A6109" s="17">
        <v>44895.666666666664</v>
      </c>
      <c r="B6109" s="19">
        <v>94.19</v>
      </c>
      <c r="C6109" t="s">
        <v>51</v>
      </c>
      <c r="D6109" t="str">
        <f>T_Stocks[[#This Row],[Ticker]] &amp; "-" &amp; DATE(YEAR(T_Stocks[[#This Row],[Fecha]]),MONTH(T_Stocks[[#This Row],[Fecha]]),DAY(T_Stocks[[#This Row],[Fecha]]))</f>
        <v>PRHSX-44895</v>
      </c>
    </row>
    <row r="6110" spans="1:4" ht="14.65" thickBot="1" x14ac:dyDescent="0.5">
      <c r="A6110" s="17">
        <v>44896.666666666664</v>
      </c>
      <c r="B6110" s="19">
        <v>94.49</v>
      </c>
      <c r="C6110" t="s">
        <v>51</v>
      </c>
      <c r="D6110" t="str">
        <f>T_Stocks[[#This Row],[Ticker]] &amp; "-" &amp; DATE(YEAR(T_Stocks[[#This Row],[Fecha]]),MONTH(T_Stocks[[#This Row],[Fecha]]),DAY(T_Stocks[[#This Row],[Fecha]]))</f>
        <v>PRHSX-44896</v>
      </c>
    </row>
    <row r="6111" spans="1:4" ht="14.65" thickBot="1" x14ac:dyDescent="0.5">
      <c r="A6111" s="17">
        <v>44897.666666666664</v>
      </c>
      <c r="B6111" s="19">
        <v>94.9</v>
      </c>
      <c r="C6111" t="s">
        <v>51</v>
      </c>
      <c r="D6111" t="str">
        <f>T_Stocks[[#This Row],[Ticker]] &amp; "-" &amp; DATE(YEAR(T_Stocks[[#This Row],[Fecha]]),MONTH(T_Stocks[[#This Row],[Fecha]]),DAY(T_Stocks[[#This Row],[Fecha]]))</f>
        <v>PRHSX-44897</v>
      </c>
    </row>
    <row r="6112" spans="1:4" ht="14.65" thickBot="1" x14ac:dyDescent="0.5">
      <c r="A6112" s="17">
        <v>44900.666666666664</v>
      </c>
      <c r="B6112" s="19">
        <v>93.54</v>
      </c>
      <c r="C6112" t="s">
        <v>51</v>
      </c>
      <c r="D6112" t="str">
        <f>T_Stocks[[#This Row],[Ticker]] &amp; "-" &amp; DATE(YEAR(T_Stocks[[#This Row],[Fecha]]),MONTH(T_Stocks[[#This Row],[Fecha]]),DAY(T_Stocks[[#This Row],[Fecha]]))</f>
        <v>PRHSX-44900</v>
      </c>
    </row>
    <row r="6113" spans="1:4" ht="14.65" thickBot="1" x14ac:dyDescent="0.5">
      <c r="A6113" s="17">
        <v>44901.666666666664</v>
      </c>
      <c r="B6113" s="19">
        <v>92.42</v>
      </c>
      <c r="C6113" t="s">
        <v>51</v>
      </c>
      <c r="D6113" t="str">
        <f>T_Stocks[[#This Row],[Ticker]] &amp; "-" &amp; DATE(YEAR(T_Stocks[[#This Row],[Fecha]]),MONTH(T_Stocks[[#This Row],[Fecha]]),DAY(T_Stocks[[#This Row],[Fecha]]))</f>
        <v>PRHSX-44901</v>
      </c>
    </row>
    <row r="6114" spans="1:4" ht="14.65" thickBot="1" x14ac:dyDescent="0.5">
      <c r="A6114" s="17">
        <v>44902.666666666664</v>
      </c>
      <c r="B6114" s="19">
        <v>93.18</v>
      </c>
      <c r="C6114" t="s">
        <v>51</v>
      </c>
      <c r="D6114" t="str">
        <f>T_Stocks[[#This Row],[Ticker]] &amp; "-" &amp; DATE(YEAR(T_Stocks[[#This Row],[Fecha]]),MONTH(T_Stocks[[#This Row],[Fecha]]),DAY(T_Stocks[[#This Row],[Fecha]]))</f>
        <v>PRHSX-44902</v>
      </c>
    </row>
    <row r="6115" spans="1:4" ht="14.65" thickBot="1" x14ac:dyDescent="0.5">
      <c r="A6115" s="17">
        <v>44903.666666666664</v>
      </c>
      <c r="B6115" s="19">
        <v>94.14</v>
      </c>
      <c r="C6115" t="s">
        <v>51</v>
      </c>
      <c r="D6115" t="str">
        <f>T_Stocks[[#This Row],[Ticker]] &amp; "-" &amp; DATE(YEAR(T_Stocks[[#This Row],[Fecha]]),MONTH(T_Stocks[[#This Row],[Fecha]]),DAY(T_Stocks[[#This Row],[Fecha]]))</f>
        <v>PRHSX-44903</v>
      </c>
    </row>
    <row r="6116" spans="1:4" ht="14.65" thickBot="1" x14ac:dyDescent="0.5">
      <c r="A6116" s="17">
        <v>44904.666666666664</v>
      </c>
      <c r="B6116" s="19">
        <v>92.71</v>
      </c>
      <c r="C6116" t="s">
        <v>51</v>
      </c>
      <c r="D6116" t="str">
        <f>T_Stocks[[#This Row],[Ticker]] &amp; "-" &amp; DATE(YEAR(T_Stocks[[#This Row],[Fecha]]),MONTH(T_Stocks[[#This Row],[Fecha]]),DAY(T_Stocks[[#This Row],[Fecha]]))</f>
        <v>PRHSX-44904</v>
      </c>
    </row>
    <row r="6117" spans="1:4" ht="14.65" thickBot="1" x14ac:dyDescent="0.5">
      <c r="A6117" s="17">
        <v>44907.666666666664</v>
      </c>
      <c r="B6117" s="19">
        <v>93.6</v>
      </c>
      <c r="C6117" t="s">
        <v>51</v>
      </c>
      <c r="D6117" t="str">
        <f>T_Stocks[[#This Row],[Ticker]] &amp; "-" &amp; DATE(YEAR(T_Stocks[[#This Row],[Fecha]]),MONTH(T_Stocks[[#This Row],[Fecha]]),DAY(T_Stocks[[#This Row],[Fecha]]))</f>
        <v>PRHSX-44907</v>
      </c>
    </row>
    <row r="6118" spans="1:4" ht="14.65" thickBot="1" x14ac:dyDescent="0.5">
      <c r="A6118" s="17">
        <v>44908.666666666664</v>
      </c>
      <c r="B6118" s="19">
        <v>94.13</v>
      </c>
      <c r="C6118" t="s">
        <v>51</v>
      </c>
      <c r="D6118" t="str">
        <f>T_Stocks[[#This Row],[Ticker]] &amp; "-" &amp; DATE(YEAR(T_Stocks[[#This Row],[Fecha]]),MONTH(T_Stocks[[#This Row],[Fecha]]),DAY(T_Stocks[[#This Row],[Fecha]]))</f>
        <v>PRHSX-44908</v>
      </c>
    </row>
    <row r="6119" spans="1:4" ht="14.65" thickBot="1" x14ac:dyDescent="0.5">
      <c r="A6119" s="17">
        <v>44909.666666666664</v>
      </c>
      <c r="B6119" s="19">
        <v>94.29</v>
      </c>
      <c r="C6119" t="s">
        <v>51</v>
      </c>
      <c r="D6119" t="str">
        <f>T_Stocks[[#This Row],[Ticker]] &amp; "-" &amp; DATE(YEAR(T_Stocks[[#This Row],[Fecha]]),MONTH(T_Stocks[[#This Row],[Fecha]]),DAY(T_Stocks[[#This Row],[Fecha]]))</f>
        <v>PRHSX-44909</v>
      </c>
    </row>
    <row r="6120" spans="1:4" ht="14.65" thickBot="1" x14ac:dyDescent="0.5">
      <c r="A6120" s="17">
        <v>44910.666666666664</v>
      </c>
      <c r="B6120" s="19">
        <v>90.84</v>
      </c>
      <c r="C6120" t="s">
        <v>51</v>
      </c>
      <c r="D6120" t="str">
        <f>T_Stocks[[#This Row],[Ticker]] &amp; "-" &amp; DATE(YEAR(T_Stocks[[#This Row],[Fecha]]),MONTH(T_Stocks[[#This Row],[Fecha]]),DAY(T_Stocks[[#This Row],[Fecha]]))</f>
        <v>PRHSX-44910</v>
      </c>
    </row>
    <row r="6121" spans="1:4" ht="14.65" thickBot="1" x14ac:dyDescent="0.5">
      <c r="A6121" s="17">
        <v>44911.666666666664</v>
      </c>
      <c r="B6121" s="19">
        <v>89.83</v>
      </c>
      <c r="C6121" t="s">
        <v>51</v>
      </c>
      <c r="D6121" t="str">
        <f>T_Stocks[[#This Row],[Ticker]] &amp; "-" &amp; DATE(YEAR(T_Stocks[[#This Row],[Fecha]]),MONTH(T_Stocks[[#This Row],[Fecha]]),DAY(T_Stocks[[#This Row],[Fecha]]))</f>
        <v>PRHSX-44911</v>
      </c>
    </row>
    <row r="6122" spans="1:4" ht="14.65" thickBot="1" x14ac:dyDescent="0.5">
      <c r="A6122" s="17">
        <v>44914.666666666664</v>
      </c>
      <c r="B6122" s="19">
        <v>88.94</v>
      </c>
      <c r="C6122" t="s">
        <v>51</v>
      </c>
      <c r="D6122" t="str">
        <f>T_Stocks[[#This Row],[Ticker]] &amp; "-" &amp; DATE(YEAR(T_Stocks[[#This Row],[Fecha]]),MONTH(T_Stocks[[#This Row],[Fecha]]),DAY(T_Stocks[[#This Row],[Fecha]]))</f>
        <v>PRHSX-44914</v>
      </c>
    </row>
    <row r="6123" spans="1:4" ht="14.65" thickBot="1" x14ac:dyDescent="0.5">
      <c r="A6123" s="17">
        <v>44915.666666666664</v>
      </c>
      <c r="B6123" s="19">
        <v>89.24</v>
      </c>
      <c r="C6123" t="s">
        <v>51</v>
      </c>
      <c r="D6123" t="str">
        <f>T_Stocks[[#This Row],[Ticker]] &amp; "-" &amp; DATE(YEAR(T_Stocks[[#This Row],[Fecha]]),MONTH(T_Stocks[[#This Row],[Fecha]]),DAY(T_Stocks[[#This Row],[Fecha]]))</f>
        <v>PRHSX-44915</v>
      </c>
    </row>
    <row r="6124" spans="1:4" ht="14.65" thickBot="1" x14ac:dyDescent="0.5">
      <c r="A6124" s="17">
        <v>44916.666666666664</v>
      </c>
      <c r="B6124" s="19">
        <v>90.48</v>
      </c>
      <c r="C6124" t="s">
        <v>51</v>
      </c>
      <c r="D6124" t="str">
        <f>T_Stocks[[#This Row],[Ticker]] &amp; "-" &amp; DATE(YEAR(T_Stocks[[#This Row],[Fecha]]),MONTH(T_Stocks[[#This Row],[Fecha]]),DAY(T_Stocks[[#This Row],[Fecha]]))</f>
        <v>PRHSX-44916</v>
      </c>
    </row>
    <row r="6125" spans="1:4" ht="14.65" thickBot="1" x14ac:dyDescent="0.5">
      <c r="A6125" s="17">
        <v>44917.666666666664</v>
      </c>
      <c r="B6125" s="19">
        <v>90.38</v>
      </c>
      <c r="C6125" t="s">
        <v>51</v>
      </c>
      <c r="D6125" t="str">
        <f>T_Stocks[[#This Row],[Ticker]] &amp; "-" &amp; DATE(YEAR(T_Stocks[[#This Row],[Fecha]]),MONTH(T_Stocks[[#This Row],[Fecha]]),DAY(T_Stocks[[#This Row],[Fecha]]))</f>
        <v>PRHSX-44917</v>
      </c>
    </row>
    <row r="6126" spans="1:4" ht="14.65" thickBot="1" x14ac:dyDescent="0.5">
      <c r="A6126" s="17">
        <v>44918.666666666664</v>
      </c>
      <c r="B6126" s="19">
        <v>89.98</v>
      </c>
      <c r="C6126" t="s">
        <v>51</v>
      </c>
      <c r="D6126" t="str">
        <f>T_Stocks[[#This Row],[Ticker]] &amp; "-" &amp; DATE(YEAR(T_Stocks[[#This Row],[Fecha]]),MONTH(T_Stocks[[#This Row],[Fecha]]),DAY(T_Stocks[[#This Row],[Fecha]]))</f>
        <v>PRHSX-44918</v>
      </c>
    </row>
    <row r="6127" spans="1:4" ht="14.65" thickBot="1" x14ac:dyDescent="0.5">
      <c r="A6127" s="17">
        <v>44922.666666666664</v>
      </c>
      <c r="B6127" s="19">
        <v>89.27</v>
      </c>
      <c r="C6127" t="s">
        <v>51</v>
      </c>
      <c r="D6127" t="str">
        <f>T_Stocks[[#This Row],[Ticker]] &amp; "-" &amp; DATE(YEAR(T_Stocks[[#This Row],[Fecha]]),MONTH(T_Stocks[[#This Row],[Fecha]]),DAY(T_Stocks[[#This Row],[Fecha]]))</f>
        <v>PRHSX-44922</v>
      </c>
    </row>
    <row r="6128" spans="1:4" ht="14.65" thickBot="1" x14ac:dyDescent="0.5">
      <c r="A6128" s="17">
        <v>44923.666666666664</v>
      </c>
      <c r="B6128" s="19">
        <v>88.59</v>
      </c>
      <c r="C6128" t="s">
        <v>51</v>
      </c>
      <c r="D6128" t="str">
        <f>T_Stocks[[#This Row],[Ticker]] &amp; "-" &amp; DATE(YEAR(T_Stocks[[#This Row],[Fecha]]),MONTH(T_Stocks[[#This Row],[Fecha]]),DAY(T_Stocks[[#This Row],[Fecha]]))</f>
        <v>PRHSX-44923</v>
      </c>
    </row>
    <row r="6129" spans="1:4" ht="14.65" thickBot="1" x14ac:dyDescent="0.5">
      <c r="A6129" s="17">
        <v>44924.666666666664</v>
      </c>
      <c r="B6129" s="19">
        <v>89.98</v>
      </c>
      <c r="C6129" t="s">
        <v>51</v>
      </c>
      <c r="D6129" t="str">
        <f>T_Stocks[[#This Row],[Ticker]] &amp; "-" &amp; DATE(YEAR(T_Stocks[[#This Row],[Fecha]]),MONTH(T_Stocks[[#This Row],[Fecha]]),DAY(T_Stocks[[#This Row],[Fecha]]))</f>
        <v>PRHSX-44924</v>
      </c>
    </row>
    <row r="6130" spans="1:4" ht="14.65" thickBot="1" x14ac:dyDescent="0.5">
      <c r="A6130" s="17">
        <v>44925.666666666664</v>
      </c>
      <c r="B6130" s="19">
        <v>89.82</v>
      </c>
      <c r="C6130" t="s">
        <v>51</v>
      </c>
      <c r="D6130" t="str">
        <f>T_Stocks[[#This Row],[Ticker]] &amp; "-" &amp; DATE(YEAR(T_Stocks[[#This Row],[Fecha]]),MONTH(T_Stocks[[#This Row],[Fecha]]),DAY(T_Stocks[[#This Row],[Fecha]]))</f>
        <v>PRHSX-44925</v>
      </c>
    </row>
    <row r="6131" spans="1:4" ht="14.65" thickBot="1" x14ac:dyDescent="0.5">
      <c r="A6131" s="17">
        <v>44929.666666666664</v>
      </c>
      <c r="B6131" s="19">
        <v>89.04</v>
      </c>
      <c r="C6131" t="s">
        <v>51</v>
      </c>
      <c r="D6131" t="str">
        <f>T_Stocks[[#This Row],[Ticker]] &amp; "-" &amp; DATE(YEAR(T_Stocks[[#This Row],[Fecha]]),MONTH(T_Stocks[[#This Row],[Fecha]]),DAY(T_Stocks[[#This Row],[Fecha]]))</f>
        <v>PRHSX-44929</v>
      </c>
    </row>
    <row r="6132" spans="1:4" ht="14.65" thickBot="1" x14ac:dyDescent="0.5">
      <c r="A6132" s="17">
        <v>44930.666666666664</v>
      </c>
      <c r="B6132" s="19">
        <v>89.38</v>
      </c>
      <c r="C6132" t="s">
        <v>51</v>
      </c>
      <c r="D6132" t="str">
        <f>T_Stocks[[#This Row],[Ticker]] &amp; "-" &amp; DATE(YEAR(T_Stocks[[#This Row],[Fecha]]),MONTH(T_Stocks[[#This Row],[Fecha]]),DAY(T_Stocks[[#This Row],[Fecha]]))</f>
        <v>PRHSX-44930</v>
      </c>
    </row>
    <row r="6133" spans="1:4" ht="14.65" thickBot="1" x14ac:dyDescent="0.5">
      <c r="A6133" s="17">
        <v>44931.666666666664</v>
      </c>
      <c r="B6133" s="19">
        <v>88.7</v>
      </c>
      <c r="C6133" t="s">
        <v>51</v>
      </c>
      <c r="D6133" t="str">
        <f>T_Stocks[[#This Row],[Ticker]] &amp; "-" &amp; DATE(YEAR(T_Stocks[[#This Row],[Fecha]]),MONTH(T_Stocks[[#This Row],[Fecha]]),DAY(T_Stocks[[#This Row],[Fecha]]))</f>
        <v>PRHSX-44931</v>
      </c>
    </row>
    <row r="6134" spans="1:4" ht="14.65" thickBot="1" x14ac:dyDescent="0.5">
      <c r="A6134" s="17">
        <v>44932.666666666664</v>
      </c>
      <c r="B6134" s="19">
        <v>89.05</v>
      </c>
      <c r="C6134" t="s">
        <v>51</v>
      </c>
      <c r="D6134" t="str">
        <f>T_Stocks[[#This Row],[Ticker]] &amp; "-" &amp; DATE(YEAR(T_Stocks[[#This Row],[Fecha]]),MONTH(T_Stocks[[#This Row],[Fecha]]),DAY(T_Stocks[[#This Row],[Fecha]]))</f>
        <v>PRHSX-44932</v>
      </c>
    </row>
    <row r="6135" spans="1:4" ht="14.65" thickBot="1" x14ac:dyDescent="0.5">
      <c r="A6135" s="17">
        <v>44935.666666666664</v>
      </c>
      <c r="B6135" s="19">
        <v>87.86</v>
      </c>
      <c r="C6135" t="s">
        <v>51</v>
      </c>
      <c r="D6135" t="str">
        <f>T_Stocks[[#This Row],[Ticker]] &amp; "-" &amp; DATE(YEAR(T_Stocks[[#This Row],[Fecha]]),MONTH(T_Stocks[[#This Row],[Fecha]]),DAY(T_Stocks[[#This Row],[Fecha]]))</f>
        <v>PRHSX-44935</v>
      </c>
    </row>
    <row r="6136" spans="1:4" ht="14.65" thickBot="1" x14ac:dyDescent="0.5">
      <c r="A6136" s="17">
        <v>44936.666666666664</v>
      </c>
      <c r="B6136" s="19">
        <v>89.14</v>
      </c>
      <c r="C6136" t="s">
        <v>51</v>
      </c>
      <c r="D6136" t="str">
        <f>T_Stocks[[#This Row],[Ticker]] &amp; "-" &amp; DATE(YEAR(T_Stocks[[#This Row],[Fecha]]),MONTH(T_Stocks[[#This Row],[Fecha]]),DAY(T_Stocks[[#This Row],[Fecha]]))</f>
        <v>PRHSX-44936</v>
      </c>
    </row>
    <row r="6137" spans="1:4" ht="14.65" thickBot="1" x14ac:dyDescent="0.5">
      <c r="A6137" s="17">
        <v>44937.666666666664</v>
      </c>
      <c r="B6137" s="19">
        <v>89.95</v>
      </c>
      <c r="C6137" t="s">
        <v>51</v>
      </c>
      <c r="D6137" t="str">
        <f>T_Stocks[[#This Row],[Ticker]] &amp; "-" &amp; DATE(YEAR(T_Stocks[[#This Row],[Fecha]]),MONTH(T_Stocks[[#This Row],[Fecha]]),DAY(T_Stocks[[#This Row],[Fecha]]))</f>
        <v>PRHSX-44937</v>
      </c>
    </row>
    <row r="6138" spans="1:4" ht="14.65" thickBot="1" x14ac:dyDescent="0.5">
      <c r="A6138" s="17">
        <v>44938.666666666664</v>
      </c>
      <c r="B6138" s="19">
        <v>90.37</v>
      </c>
      <c r="C6138" t="s">
        <v>51</v>
      </c>
      <c r="D6138" t="str">
        <f>T_Stocks[[#This Row],[Ticker]] &amp; "-" &amp; DATE(YEAR(T_Stocks[[#This Row],[Fecha]]),MONTH(T_Stocks[[#This Row],[Fecha]]),DAY(T_Stocks[[#This Row],[Fecha]]))</f>
        <v>PRHSX-44938</v>
      </c>
    </row>
    <row r="6139" spans="1:4" ht="14.65" thickBot="1" x14ac:dyDescent="0.5">
      <c r="A6139" s="17">
        <v>44939.666666666664</v>
      </c>
      <c r="B6139" s="19">
        <v>90.86</v>
      </c>
      <c r="C6139" t="s">
        <v>51</v>
      </c>
      <c r="D6139" t="str">
        <f>T_Stocks[[#This Row],[Ticker]] &amp; "-" &amp; DATE(YEAR(T_Stocks[[#This Row],[Fecha]]),MONTH(T_Stocks[[#This Row],[Fecha]]),DAY(T_Stocks[[#This Row],[Fecha]]))</f>
        <v>PRHSX-44939</v>
      </c>
    </row>
    <row r="6140" spans="1:4" ht="14.65" thickBot="1" x14ac:dyDescent="0.5">
      <c r="A6140" s="17">
        <v>44943.666666666664</v>
      </c>
      <c r="B6140" s="19">
        <v>90.51</v>
      </c>
      <c r="C6140" t="s">
        <v>51</v>
      </c>
      <c r="D6140" t="str">
        <f>T_Stocks[[#This Row],[Ticker]] &amp; "-" &amp; DATE(YEAR(T_Stocks[[#This Row],[Fecha]]),MONTH(T_Stocks[[#This Row],[Fecha]]),DAY(T_Stocks[[#This Row],[Fecha]]))</f>
        <v>PRHSX-44943</v>
      </c>
    </row>
    <row r="6141" spans="1:4" ht="14.65" thickBot="1" x14ac:dyDescent="0.5">
      <c r="A6141" s="17">
        <v>44944.666666666664</v>
      </c>
      <c r="B6141" s="19">
        <v>89.51</v>
      </c>
      <c r="C6141" t="s">
        <v>51</v>
      </c>
      <c r="D6141" t="str">
        <f>T_Stocks[[#This Row],[Ticker]] &amp; "-" &amp; DATE(YEAR(T_Stocks[[#This Row],[Fecha]]),MONTH(T_Stocks[[#This Row],[Fecha]]),DAY(T_Stocks[[#This Row],[Fecha]]))</f>
        <v>PRHSX-44944</v>
      </c>
    </row>
    <row r="6142" spans="1:4" ht="14.65" thickBot="1" x14ac:dyDescent="0.5">
      <c r="A6142" s="17">
        <v>44945.666666666664</v>
      </c>
      <c r="B6142" s="19">
        <v>89.4</v>
      </c>
      <c r="C6142" t="s">
        <v>51</v>
      </c>
      <c r="D6142" t="str">
        <f>T_Stocks[[#This Row],[Ticker]] &amp; "-" &amp; DATE(YEAR(T_Stocks[[#This Row],[Fecha]]),MONTH(T_Stocks[[#This Row],[Fecha]]),DAY(T_Stocks[[#This Row],[Fecha]]))</f>
        <v>PRHSX-44945</v>
      </c>
    </row>
    <row r="6143" spans="1:4" ht="14.65" thickBot="1" x14ac:dyDescent="0.5">
      <c r="A6143" s="17">
        <v>44946.666666666664</v>
      </c>
      <c r="B6143" s="19">
        <v>90.15</v>
      </c>
      <c r="C6143" t="s">
        <v>51</v>
      </c>
      <c r="D6143" t="str">
        <f>T_Stocks[[#This Row],[Ticker]] &amp; "-" &amp; DATE(YEAR(T_Stocks[[#This Row],[Fecha]]),MONTH(T_Stocks[[#This Row],[Fecha]]),DAY(T_Stocks[[#This Row],[Fecha]]))</f>
        <v>PRHSX-44946</v>
      </c>
    </row>
    <row r="6144" spans="1:4" ht="14.65" thickBot="1" x14ac:dyDescent="0.5">
      <c r="A6144" s="17">
        <v>44949.666666666664</v>
      </c>
      <c r="B6144" s="19">
        <v>90.54</v>
      </c>
      <c r="C6144" t="s">
        <v>51</v>
      </c>
      <c r="D6144" t="str">
        <f>T_Stocks[[#This Row],[Ticker]] &amp; "-" &amp; DATE(YEAR(T_Stocks[[#This Row],[Fecha]]),MONTH(T_Stocks[[#This Row],[Fecha]]),DAY(T_Stocks[[#This Row],[Fecha]]))</f>
        <v>PRHSX-44949</v>
      </c>
    </row>
    <row r="6145" spans="1:4" ht="14.65" thickBot="1" x14ac:dyDescent="0.5">
      <c r="A6145" s="17">
        <v>44950.666666666664</v>
      </c>
      <c r="B6145" s="19">
        <v>90.11</v>
      </c>
      <c r="C6145" t="s">
        <v>51</v>
      </c>
      <c r="D6145" t="str">
        <f>T_Stocks[[#This Row],[Ticker]] &amp; "-" &amp; DATE(YEAR(T_Stocks[[#This Row],[Fecha]]),MONTH(T_Stocks[[#This Row],[Fecha]]),DAY(T_Stocks[[#This Row],[Fecha]]))</f>
        <v>PRHSX-44950</v>
      </c>
    </row>
    <row r="6146" spans="1:4" ht="14.65" thickBot="1" x14ac:dyDescent="0.5">
      <c r="A6146" s="17">
        <v>44951.666666666664</v>
      </c>
      <c r="B6146" s="19">
        <v>90.05</v>
      </c>
      <c r="C6146" t="s">
        <v>51</v>
      </c>
      <c r="D6146" t="str">
        <f>T_Stocks[[#This Row],[Ticker]] &amp; "-" &amp; DATE(YEAR(T_Stocks[[#This Row],[Fecha]]),MONTH(T_Stocks[[#This Row],[Fecha]]),DAY(T_Stocks[[#This Row],[Fecha]]))</f>
        <v>PRHSX-44951</v>
      </c>
    </row>
    <row r="6147" spans="1:4" ht="14.65" thickBot="1" x14ac:dyDescent="0.5">
      <c r="A6147" s="17">
        <v>44952.666666666664</v>
      </c>
      <c r="B6147" s="19">
        <v>90.39</v>
      </c>
      <c r="C6147" t="s">
        <v>51</v>
      </c>
      <c r="D6147" t="str">
        <f>T_Stocks[[#This Row],[Ticker]] &amp; "-" &amp; DATE(YEAR(T_Stocks[[#This Row],[Fecha]]),MONTH(T_Stocks[[#This Row],[Fecha]]),DAY(T_Stocks[[#This Row],[Fecha]]))</f>
        <v>PRHSX-44952</v>
      </c>
    </row>
    <row r="6148" spans="1:4" ht="14.65" thickBot="1" x14ac:dyDescent="0.5">
      <c r="A6148" s="17">
        <v>44953.666666666664</v>
      </c>
      <c r="B6148" s="19">
        <v>90.08</v>
      </c>
      <c r="C6148" t="s">
        <v>51</v>
      </c>
      <c r="D6148" t="str">
        <f>T_Stocks[[#This Row],[Ticker]] &amp; "-" &amp; DATE(YEAR(T_Stocks[[#This Row],[Fecha]]),MONTH(T_Stocks[[#This Row],[Fecha]]),DAY(T_Stocks[[#This Row],[Fecha]]))</f>
        <v>PRHSX-44953</v>
      </c>
    </row>
    <row r="6149" spans="1:4" ht="14.65" thickBot="1" x14ac:dyDescent="0.5">
      <c r="A6149" s="17">
        <v>44956.666666666664</v>
      </c>
      <c r="B6149" s="19">
        <v>89.12</v>
      </c>
      <c r="C6149" t="s">
        <v>51</v>
      </c>
      <c r="D6149" t="str">
        <f>T_Stocks[[#This Row],[Ticker]] &amp; "-" &amp; DATE(YEAR(T_Stocks[[#This Row],[Fecha]]),MONTH(T_Stocks[[#This Row],[Fecha]]),DAY(T_Stocks[[#This Row],[Fecha]]))</f>
        <v>PRHSX-44956</v>
      </c>
    </row>
    <row r="6150" spans="1:4" ht="14.65" thickBot="1" x14ac:dyDescent="0.5">
      <c r="A6150" s="17">
        <v>44957.666666666664</v>
      </c>
      <c r="B6150" s="19">
        <v>90.34</v>
      </c>
      <c r="C6150" t="s">
        <v>51</v>
      </c>
      <c r="D6150" t="str">
        <f>T_Stocks[[#This Row],[Ticker]] &amp; "-" &amp; DATE(YEAR(T_Stocks[[#This Row],[Fecha]]),MONTH(T_Stocks[[#This Row],[Fecha]]),DAY(T_Stocks[[#This Row],[Fecha]]))</f>
        <v>PRHSX-44957</v>
      </c>
    </row>
    <row r="6151" spans="1:4" ht="14.65" thickBot="1" x14ac:dyDescent="0.5">
      <c r="A6151" s="17">
        <v>44958.666666666664</v>
      </c>
      <c r="B6151" s="19">
        <v>90.86</v>
      </c>
      <c r="C6151" t="s">
        <v>51</v>
      </c>
      <c r="D6151" t="str">
        <f>T_Stocks[[#This Row],[Ticker]] &amp; "-" &amp; DATE(YEAR(T_Stocks[[#This Row],[Fecha]]),MONTH(T_Stocks[[#This Row],[Fecha]]),DAY(T_Stocks[[#This Row],[Fecha]]))</f>
        <v>PRHSX-44958</v>
      </c>
    </row>
    <row r="6152" spans="1:4" ht="14.65" thickBot="1" x14ac:dyDescent="0.5">
      <c r="A6152" s="17">
        <v>44959.666666666664</v>
      </c>
      <c r="B6152" s="19">
        <v>90.38</v>
      </c>
      <c r="C6152" t="s">
        <v>51</v>
      </c>
      <c r="D6152" t="str">
        <f>T_Stocks[[#This Row],[Ticker]] &amp; "-" &amp; DATE(YEAR(T_Stocks[[#This Row],[Fecha]]),MONTH(T_Stocks[[#This Row],[Fecha]]),DAY(T_Stocks[[#This Row],[Fecha]]))</f>
        <v>PRHSX-44959</v>
      </c>
    </row>
    <row r="6153" spans="1:4" ht="14.65" thickBot="1" x14ac:dyDescent="0.5">
      <c r="A6153" s="17">
        <v>44960.666666666664</v>
      </c>
      <c r="B6153" s="19">
        <v>89.97</v>
      </c>
      <c r="C6153" t="s">
        <v>51</v>
      </c>
      <c r="D6153" t="str">
        <f>T_Stocks[[#This Row],[Ticker]] &amp; "-" &amp; DATE(YEAR(T_Stocks[[#This Row],[Fecha]]),MONTH(T_Stocks[[#This Row],[Fecha]]),DAY(T_Stocks[[#This Row],[Fecha]]))</f>
        <v>PRHSX-44960</v>
      </c>
    </row>
    <row r="6154" spans="1:4" ht="14.65" thickBot="1" x14ac:dyDescent="0.5">
      <c r="A6154" s="17">
        <v>44963.666666666664</v>
      </c>
      <c r="B6154" s="19">
        <v>89.36</v>
      </c>
      <c r="C6154" t="s">
        <v>51</v>
      </c>
      <c r="D6154" t="str">
        <f>T_Stocks[[#This Row],[Ticker]] &amp; "-" &amp; DATE(YEAR(T_Stocks[[#This Row],[Fecha]]),MONTH(T_Stocks[[#This Row],[Fecha]]),DAY(T_Stocks[[#This Row],[Fecha]]))</f>
        <v>PRHSX-44963</v>
      </c>
    </row>
    <row r="6155" spans="1:4" ht="14.65" thickBot="1" x14ac:dyDescent="0.5">
      <c r="A6155" s="17">
        <v>44964.666666666664</v>
      </c>
      <c r="B6155" s="19">
        <v>89.99</v>
      </c>
      <c r="C6155" t="s">
        <v>51</v>
      </c>
      <c r="D6155" t="str">
        <f>T_Stocks[[#This Row],[Ticker]] &amp; "-" &amp; DATE(YEAR(T_Stocks[[#This Row],[Fecha]]),MONTH(T_Stocks[[#This Row],[Fecha]]),DAY(T_Stocks[[#This Row],[Fecha]]))</f>
        <v>PRHSX-44964</v>
      </c>
    </row>
    <row r="6156" spans="1:4" ht="14.65" thickBot="1" x14ac:dyDescent="0.5">
      <c r="A6156" s="17">
        <v>44965.666666666664</v>
      </c>
      <c r="B6156" s="19">
        <v>89.32</v>
      </c>
      <c r="C6156" t="s">
        <v>51</v>
      </c>
      <c r="D6156" t="str">
        <f>T_Stocks[[#This Row],[Ticker]] &amp; "-" &amp; DATE(YEAR(T_Stocks[[#This Row],[Fecha]]),MONTH(T_Stocks[[#This Row],[Fecha]]),DAY(T_Stocks[[#This Row],[Fecha]]))</f>
        <v>PRHSX-44965</v>
      </c>
    </row>
    <row r="6157" spans="1:4" ht="14.65" thickBot="1" x14ac:dyDescent="0.5">
      <c r="A6157" s="17">
        <v>44966.666666666664</v>
      </c>
      <c r="B6157" s="19">
        <v>88.74</v>
      </c>
      <c r="C6157" t="s">
        <v>51</v>
      </c>
      <c r="D6157" t="str">
        <f>T_Stocks[[#This Row],[Ticker]] &amp; "-" &amp; DATE(YEAR(T_Stocks[[#This Row],[Fecha]]),MONTH(T_Stocks[[#This Row],[Fecha]]),DAY(T_Stocks[[#This Row],[Fecha]]))</f>
        <v>PRHSX-44966</v>
      </c>
    </row>
    <row r="6158" spans="1:4" ht="14.65" thickBot="1" x14ac:dyDescent="0.5">
      <c r="A6158" s="17">
        <v>44967.666666666664</v>
      </c>
      <c r="B6158" s="19">
        <v>89.23</v>
      </c>
      <c r="C6158" t="s">
        <v>51</v>
      </c>
      <c r="D6158" t="str">
        <f>T_Stocks[[#This Row],[Ticker]] &amp; "-" &amp; DATE(YEAR(T_Stocks[[#This Row],[Fecha]]),MONTH(T_Stocks[[#This Row],[Fecha]]),DAY(T_Stocks[[#This Row],[Fecha]]))</f>
        <v>PRHSX-44967</v>
      </c>
    </row>
    <row r="6159" spans="1:4" ht="14.65" thickBot="1" x14ac:dyDescent="0.5">
      <c r="A6159" s="17">
        <v>44970.666666666664</v>
      </c>
      <c r="B6159" s="19">
        <v>89.95</v>
      </c>
      <c r="C6159" t="s">
        <v>51</v>
      </c>
      <c r="D6159" t="str">
        <f>T_Stocks[[#This Row],[Ticker]] &amp; "-" &amp; DATE(YEAR(T_Stocks[[#This Row],[Fecha]]),MONTH(T_Stocks[[#This Row],[Fecha]]),DAY(T_Stocks[[#This Row],[Fecha]]))</f>
        <v>PRHSX-44970</v>
      </c>
    </row>
    <row r="6160" spans="1:4" ht="14.65" thickBot="1" x14ac:dyDescent="0.5">
      <c r="A6160" s="17">
        <v>44971.666666666664</v>
      </c>
      <c r="B6160" s="19">
        <v>89.66</v>
      </c>
      <c r="C6160" t="s">
        <v>51</v>
      </c>
      <c r="D6160" t="str">
        <f>T_Stocks[[#This Row],[Ticker]] &amp; "-" &amp; DATE(YEAR(T_Stocks[[#This Row],[Fecha]]),MONTH(T_Stocks[[#This Row],[Fecha]]),DAY(T_Stocks[[#This Row],[Fecha]]))</f>
        <v>PRHSX-44971</v>
      </c>
    </row>
    <row r="6161" spans="1:4" ht="14.65" thickBot="1" x14ac:dyDescent="0.5">
      <c r="A6161" s="17">
        <v>44972.666666666664</v>
      </c>
      <c r="B6161" s="19">
        <v>89.5</v>
      </c>
      <c r="C6161" t="s">
        <v>51</v>
      </c>
      <c r="D6161" t="str">
        <f>T_Stocks[[#This Row],[Ticker]] &amp; "-" &amp; DATE(YEAR(T_Stocks[[#This Row],[Fecha]]),MONTH(T_Stocks[[#This Row],[Fecha]]),DAY(T_Stocks[[#This Row],[Fecha]]))</f>
        <v>PRHSX-44972</v>
      </c>
    </row>
    <row r="6162" spans="1:4" ht="14.65" thickBot="1" x14ac:dyDescent="0.5">
      <c r="A6162" s="17">
        <v>44973.666666666664</v>
      </c>
      <c r="B6162" s="19">
        <v>88.67</v>
      </c>
      <c r="C6162" t="s">
        <v>51</v>
      </c>
      <c r="D6162" t="str">
        <f>T_Stocks[[#This Row],[Ticker]] &amp; "-" &amp; DATE(YEAR(T_Stocks[[#This Row],[Fecha]]),MONTH(T_Stocks[[#This Row],[Fecha]]),DAY(T_Stocks[[#This Row],[Fecha]]))</f>
        <v>PRHSX-44973</v>
      </c>
    </row>
    <row r="6163" spans="1:4" ht="14.65" thickBot="1" x14ac:dyDescent="0.5">
      <c r="A6163" s="17">
        <v>44974.666666666664</v>
      </c>
      <c r="B6163" s="19">
        <v>89.53</v>
      </c>
      <c r="C6163" t="s">
        <v>51</v>
      </c>
      <c r="D6163" t="str">
        <f>T_Stocks[[#This Row],[Ticker]] &amp; "-" &amp; DATE(YEAR(T_Stocks[[#This Row],[Fecha]]),MONTH(T_Stocks[[#This Row],[Fecha]]),DAY(T_Stocks[[#This Row],[Fecha]]))</f>
        <v>PRHSX-44974</v>
      </c>
    </row>
    <row r="6164" spans="1:4" ht="14.65" thickBot="1" x14ac:dyDescent="0.5">
      <c r="A6164" s="17">
        <v>44978.666666666664</v>
      </c>
      <c r="B6164" s="19">
        <v>87.61</v>
      </c>
      <c r="C6164" t="s">
        <v>51</v>
      </c>
      <c r="D6164" t="str">
        <f>T_Stocks[[#This Row],[Ticker]] &amp; "-" &amp; DATE(YEAR(T_Stocks[[#This Row],[Fecha]]),MONTH(T_Stocks[[#This Row],[Fecha]]),DAY(T_Stocks[[#This Row],[Fecha]]))</f>
        <v>PRHSX-44978</v>
      </c>
    </row>
    <row r="6165" spans="1:4" ht="14.65" thickBot="1" x14ac:dyDescent="0.5">
      <c r="A6165" s="17">
        <v>44979.666666666664</v>
      </c>
      <c r="B6165" s="19">
        <v>87.57</v>
      </c>
      <c r="C6165" t="s">
        <v>51</v>
      </c>
      <c r="D6165" t="str">
        <f>T_Stocks[[#This Row],[Ticker]] &amp; "-" &amp; DATE(YEAR(T_Stocks[[#This Row],[Fecha]]),MONTH(T_Stocks[[#This Row],[Fecha]]),DAY(T_Stocks[[#This Row],[Fecha]]))</f>
        <v>PRHSX-44979</v>
      </c>
    </row>
    <row r="6166" spans="1:4" ht="14.65" thickBot="1" x14ac:dyDescent="0.5">
      <c r="A6166" s="17">
        <v>44980.666666666664</v>
      </c>
      <c r="B6166" s="19">
        <v>87.73</v>
      </c>
      <c r="C6166" t="s">
        <v>51</v>
      </c>
      <c r="D6166" t="str">
        <f>T_Stocks[[#This Row],[Ticker]] &amp; "-" &amp; DATE(YEAR(T_Stocks[[#This Row],[Fecha]]),MONTH(T_Stocks[[#This Row],[Fecha]]),DAY(T_Stocks[[#This Row],[Fecha]]))</f>
        <v>PRHSX-44980</v>
      </c>
    </row>
    <row r="6167" spans="1:4" ht="14.65" thickBot="1" x14ac:dyDescent="0.5">
      <c r="A6167" s="17">
        <v>44981.666666666664</v>
      </c>
      <c r="B6167" s="19">
        <v>86.48</v>
      </c>
      <c r="C6167" t="s">
        <v>51</v>
      </c>
      <c r="D6167" t="str">
        <f>T_Stocks[[#This Row],[Ticker]] &amp; "-" &amp; DATE(YEAR(T_Stocks[[#This Row],[Fecha]]),MONTH(T_Stocks[[#This Row],[Fecha]]),DAY(T_Stocks[[#This Row],[Fecha]]))</f>
        <v>PRHSX-44981</v>
      </c>
    </row>
    <row r="6168" spans="1:4" ht="14.65" thickBot="1" x14ac:dyDescent="0.5">
      <c r="A6168" s="17">
        <v>44984.666666666664</v>
      </c>
      <c r="B6168" s="19">
        <v>86.54</v>
      </c>
      <c r="C6168" t="s">
        <v>51</v>
      </c>
      <c r="D6168" t="str">
        <f>T_Stocks[[#This Row],[Ticker]] &amp; "-" &amp; DATE(YEAR(T_Stocks[[#This Row],[Fecha]]),MONTH(T_Stocks[[#This Row],[Fecha]]),DAY(T_Stocks[[#This Row],[Fecha]]))</f>
        <v>PRHSX-44984</v>
      </c>
    </row>
    <row r="6169" spans="1:4" ht="14.65" thickBot="1" x14ac:dyDescent="0.5">
      <c r="A6169" s="17">
        <v>44985.666666666664</v>
      </c>
      <c r="B6169" s="19">
        <v>86.1</v>
      </c>
      <c r="C6169" t="s">
        <v>51</v>
      </c>
      <c r="D6169" t="str">
        <f>T_Stocks[[#This Row],[Ticker]] &amp; "-" &amp; DATE(YEAR(T_Stocks[[#This Row],[Fecha]]),MONTH(T_Stocks[[#This Row],[Fecha]]),DAY(T_Stocks[[#This Row],[Fecha]]))</f>
        <v>PRHSX-44985</v>
      </c>
    </row>
    <row r="6170" spans="1:4" ht="14.65" thickBot="1" x14ac:dyDescent="0.5">
      <c r="A6170" s="17">
        <v>44986.666666666664</v>
      </c>
      <c r="B6170" s="19">
        <v>86.18</v>
      </c>
      <c r="C6170" t="s">
        <v>51</v>
      </c>
      <c r="D6170" t="str">
        <f>T_Stocks[[#This Row],[Ticker]] &amp; "-" &amp; DATE(YEAR(T_Stocks[[#This Row],[Fecha]]),MONTH(T_Stocks[[#This Row],[Fecha]]),DAY(T_Stocks[[#This Row],[Fecha]]))</f>
        <v>PRHSX-44986</v>
      </c>
    </row>
    <row r="6171" spans="1:4" ht="14.65" thickBot="1" x14ac:dyDescent="0.5">
      <c r="A6171" s="17">
        <v>44987.666666666664</v>
      </c>
      <c r="B6171" s="19">
        <v>86.57</v>
      </c>
      <c r="C6171" t="s">
        <v>51</v>
      </c>
      <c r="D6171" t="str">
        <f>T_Stocks[[#This Row],[Ticker]] &amp; "-" &amp; DATE(YEAR(T_Stocks[[#This Row],[Fecha]]),MONTH(T_Stocks[[#This Row],[Fecha]]),DAY(T_Stocks[[#This Row],[Fecha]]))</f>
        <v>PRHSX-44987</v>
      </c>
    </row>
    <row r="6172" spans="1:4" ht="14.65" thickBot="1" x14ac:dyDescent="0.5">
      <c r="A6172" s="17">
        <v>44988.666666666664</v>
      </c>
      <c r="B6172" s="19">
        <v>87.81</v>
      </c>
      <c r="C6172" t="s">
        <v>51</v>
      </c>
      <c r="D6172" t="str">
        <f>T_Stocks[[#This Row],[Ticker]] &amp; "-" &amp; DATE(YEAR(T_Stocks[[#This Row],[Fecha]]),MONTH(T_Stocks[[#This Row],[Fecha]]),DAY(T_Stocks[[#This Row],[Fecha]]))</f>
        <v>PRHSX-44988</v>
      </c>
    </row>
    <row r="6173" spans="1:4" ht="14.65" thickBot="1" x14ac:dyDescent="0.5">
      <c r="A6173" s="17">
        <v>44991.666666666664</v>
      </c>
      <c r="B6173" s="19">
        <v>87.27</v>
      </c>
      <c r="C6173" t="s">
        <v>51</v>
      </c>
      <c r="D6173" t="str">
        <f>T_Stocks[[#This Row],[Ticker]] &amp; "-" &amp; DATE(YEAR(T_Stocks[[#This Row],[Fecha]]),MONTH(T_Stocks[[#This Row],[Fecha]]),DAY(T_Stocks[[#This Row],[Fecha]]))</f>
        <v>PRHSX-44991</v>
      </c>
    </row>
    <row r="6174" spans="1:4" ht="14.65" thickBot="1" x14ac:dyDescent="0.5">
      <c r="A6174" s="17">
        <v>44992.666666666664</v>
      </c>
      <c r="B6174" s="19">
        <v>86.22</v>
      </c>
      <c r="C6174" t="s">
        <v>51</v>
      </c>
      <c r="D6174" t="str">
        <f>T_Stocks[[#This Row],[Ticker]] &amp; "-" &amp; DATE(YEAR(T_Stocks[[#This Row],[Fecha]]),MONTH(T_Stocks[[#This Row],[Fecha]]),DAY(T_Stocks[[#This Row],[Fecha]]))</f>
        <v>PRHSX-44992</v>
      </c>
    </row>
    <row r="6175" spans="1:4" ht="14.65" thickBot="1" x14ac:dyDescent="0.5">
      <c r="A6175" s="17">
        <v>44993.666666666664</v>
      </c>
      <c r="B6175" s="19">
        <v>85.74</v>
      </c>
      <c r="C6175" t="s">
        <v>51</v>
      </c>
      <c r="D6175" t="str">
        <f>T_Stocks[[#This Row],[Ticker]] &amp; "-" &amp; DATE(YEAR(T_Stocks[[#This Row],[Fecha]]),MONTH(T_Stocks[[#This Row],[Fecha]]),DAY(T_Stocks[[#This Row],[Fecha]]))</f>
        <v>PRHSX-44993</v>
      </c>
    </row>
    <row r="6176" spans="1:4" ht="14.65" thickBot="1" x14ac:dyDescent="0.5">
      <c r="A6176" s="17">
        <v>44994.666666666664</v>
      </c>
      <c r="B6176" s="19">
        <v>84.77</v>
      </c>
      <c r="C6176" t="s">
        <v>51</v>
      </c>
      <c r="D6176" t="str">
        <f>T_Stocks[[#This Row],[Ticker]] &amp; "-" &amp; DATE(YEAR(T_Stocks[[#This Row],[Fecha]]),MONTH(T_Stocks[[#This Row],[Fecha]]),DAY(T_Stocks[[#This Row],[Fecha]]))</f>
        <v>PRHSX-44994</v>
      </c>
    </row>
    <row r="6177" spans="1:4" ht="14.65" thickBot="1" x14ac:dyDescent="0.5">
      <c r="A6177" s="17">
        <v>44995.666666666664</v>
      </c>
      <c r="B6177" s="19">
        <v>83.54</v>
      </c>
      <c r="C6177" t="s">
        <v>51</v>
      </c>
      <c r="D6177" t="str">
        <f>T_Stocks[[#This Row],[Ticker]] &amp; "-" &amp; DATE(YEAR(T_Stocks[[#This Row],[Fecha]]),MONTH(T_Stocks[[#This Row],[Fecha]]),DAY(T_Stocks[[#This Row],[Fecha]]))</f>
        <v>PRHSX-44995</v>
      </c>
    </row>
    <row r="6178" spans="1:4" ht="14.65" thickBot="1" x14ac:dyDescent="0.5">
      <c r="A6178" s="17">
        <v>44998.666666666664</v>
      </c>
      <c r="B6178" s="19">
        <v>84.69</v>
      </c>
      <c r="C6178" t="s">
        <v>51</v>
      </c>
      <c r="D6178" t="str">
        <f>T_Stocks[[#This Row],[Ticker]] &amp; "-" &amp; DATE(YEAR(T_Stocks[[#This Row],[Fecha]]),MONTH(T_Stocks[[#This Row],[Fecha]]),DAY(T_Stocks[[#This Row],[Fecha]]))</f>
        <v>PRHSX-44998</v>
      </c>
    </row>
    <row r="6179" spans="1:4" ht="14.65" thickBot="1" x14ac:dyDescent="0.5">
      <c r="A6179" s="17">
        <v>44999.666666666664</v>
      </c>
      <c r="B6179" s="19">
        <v>85.8</v>
      </c>
      <c r="C6179" t="s">
        <v>51</v>
      </c>
      <c r="D6179" t="str">
        <f>T_Stocks[[#This Row],[Ticker]] &amp; "-" &amp; DATE(YEAR(T_Stocks[[#This Row],[Fecha]]),MONTH(T_Stocks[[#This Row],[Fecha]]),DAY(T_Stocks[[#This Row],[Fecha]]))</f>
        <v>PRHSX-44999</v>
      </c>
    </row>
    <row r="6180" spans="1:4" ht="14.65" thickBot="1" x14ac:dyDescent="0.5">
      <c r="A6180" s="17">
        <v>45000.666666666664</v>
      </c>
      <c r="B6180" s="19">
        <v>85.24</v>
      </c>
      <c r="C6180" t="s">
        <v>51</v>
      </c>
      <c r="D6180" t="str">
        <f>T_Stocks[[#This Row],[Ticker]] &amp; "-" &amp; DATE(YEAR(T_Stocks[[#This Row],[Fecha]]),MONTH(T_Stocks[[#This Row],[Fecha]]),DAY(T_Stocks[[#This Row],[Fecha]]))</f>
        <v>PRHSX-45000</v>
      </c>
    </row>
    <row r="6181" spans="1:4" ht="14.65" thickBot="1" x14ac:dyDescent="0.5">
      <c r="A6181" s="17">
        <v>45001.666666666664</v>
      </c>
      <c r="B6181" s="19">
        <v>86.32</v>
      </c>
      <c r="C6181" t="s">
        <v>51</v>
      </c>
      <c r="D6181" t="str">
        <f>T_Stocks[[#This Row],[Ticker]] &amp; "-" &amp; DATE(YEAR(T_Stocks[[#This Row],[Fecha]]),MONTH(T_Stocks[[#This Row],[Fecha]]),DAY(T_Stocks[[#This Row],[Fecha]]))</f>
        <v>PRHSX-45001</v>
      </c>
    </row>
    <row r="6182" spans="1:4" ht="14.65" thickBot="1" x14ac:dyDescent="0.5">
      <c r="A6182" s="17">
        <v>45002.666666666664</v>
      </c>
      <c r="B6182" s="19">
        <v>85.22</v>
      </c>
      <c r="C6182" t="s">
        <v>51</v>
      </c>
      <c r="D6182" t="str">
        <f>T_Stocks[[#This Row],[Ticker]] &amp; "-" &amp; DATE(YEAR(T_Stocks[[#This Row],[Fecha]]),MONTH(T_Stocks[[#This Row],[Fecha]]),DAY(T_Stocks[[#This Row],[Fecha]]))</f>
        <v>PRHSX-45002</v>
      </c>
    </row>
    <row r="6183" spans="1:4" ht="14.65" thickBot="1" x14ac:dyDescent="0.5">
      <c r="A6183" s="17">
        <v>45005.666666666664</v>
      </c>
      <c r="B6183" s="19">
        <v>86</v>
      </c>
      <c r="C6183" t="s">
        <v>51</v>
      </c>
      <c r="D6183" t="str">
        <f>T_Stocks[[#This Row],[Ticker]] &amp; "-" &amp; DATE(YEAR(T_Stocks[[#This Row],[Fecha]]),MONTH(T_Stocks[[#This Row],[Fecha]]),DAY(T_Stocks[[#This Row],[Fecha]]))</f>
        <v>PRHSX-45005</v>
      </c>
    </row>
    <row r="6184" spans="1:4" ht="14.65" thickBot="1" x14ac:dyDescent="0.5">
      <c r="A6184" s="17">
        <v>45006.666666666664</v>
      </c>
      <c r="B6184" s="19">
        <v>86.55</v>
      </c>
      <c r="C6184" t="s">
        <v>51</v>
      </c>
      <c r="D6184" t="str">
        <f>T_Stocks[[#This Row],[Ticker]] &amp; "-" &amp; DATE(YEAR(T_Stocks[[#This Row],[Fecha]]),MONTH(T_Stocks[[#This Row],[Fecha]]),DAY(T_Stocks[[#This Row],[Fecha]]))</f>
        <v>PRHSX-45006</v>
      </c>
    </row>
    <row r="6185" spans="1:4" ht="14.65" thickBot="1" x14ac:dyDescent="0.5">
      <c r="A6185" s="17">
        <v>45007.666666666664</v>
      </c>
      <c r="B6185" s="19">
        <v>85.34</v>
      </c>
      <c r="C6185" t="s">
        <v>51</v>
      </c>
      <c r="D6185" t="str">
        <f>T_Stocks[[#This Row],[Ticker]] &amp; "-" &amp; DATE(YEAR(T_Stocks[[#This Row],[Fecha]]),MONTH(T_Stocks[[#This Row],[Fecha]]),DAY(T_Stocks[[#This Row],[Fecha]]))</f>
        <v>PRHSX-45007</v>
      </c>
    </row>
    <row r="6186" spans="1:4" ht="14.65" thickBot="1" x14ac:dyDescent="0.5">
      <c r="A6186" s="17">
        <v>45008.666666666664</v>
      </c>
      <c r="B6186" s="19">
        <v>85.48</v>
      </c>
      <c r="C6186" t="s">
        <v>51</v>
      </c>
      <c r="D6186" t="str">
        <f>T_Stocks[[#This Row],[Ticker]] &amp; "-" &amp; DATE(YEAR(T_Stocks[[#This Row],[Fecha]]),MONTH(T_Stocks[[#This Row],[Fecha]]),DAY(T_Stocks[[#This Row],[Fecha]]))</f>
        <v>PRHSX-45008</v>
      </c>
    </row>
    <row r="6187" spans="1:4" ht="14.65" thickBot="1" x14ac:dyDescent="0.5">
      <c r="A6187" s="17">
        <v>45009.666666666664</v>
      </c>
      <c r="B6187" s="19">
        <v>86.35</v>
      </c>
      <c r="C6187" t="s">
        <v>51</v>
      </c>
      <c r="D6187" t="str">
        <f>T_Stocks[[#This Row],[Ticker]] &amp; "-" &amp; DATE(YEAR(T_Stocks[[#This Row],[Fecha]]),MONTH(T_Stocks[[#This Row],[Fecha]]),DAY(T_Stocks[[#This Row],[Fecha]]))</f>
        <v>PRHSX-45009</v>
      </c>
    </row>
    <row r="6188" spans="1:4" ht="14.65" thickBot="1" x14ac:dyDescent="0.5">
      <c r="A6188" s="17">
        <v>45012.666666666664</v>
      </c>
      <c r="B6188" s="19">
        <v>86.86</v>
      </c>
      <c r="C6188" t="s">
        <v>51</v>
      </c>
      <c r="D6188" t="str">
        <f>T_Stocks[[#This Row],[Ticker]] &amp; "-" &amp; DATE(YEAR(T_Stocks[[#This Row],[Fecha]]),MONTH(T_Stocks[[#This Row],[Fecha]]),DAY(T_Stocks[[#This Row],[Fecha]]))</f>
        <v>PRHSX-45012</v>
      </c>
    </row>
    <row r="6189" spans="1:4" ht="14.65" thickBot="1" x14ac:dyDescent="0.5">
      <c r="A6189" s="17">
        <v>45013.666666666664</v>
      </c>
      <c r="B6189" s="19">
        <v>86.24</v>
      </c>
      <c r="C6189" t="s">
        <v>51</v>
      </c>
      <c r="D6189" t="str">
        <f>T_Stocks[[#This Row],[Ticker]] &amp; "-" &amp; DATE(YEAR(T_Stocks[[#This Row],[Fecha]]),MONTH(T_Stocks[[#This Row],[Fecha]]),DAY(T_Stocks[[#This Row],[Fecha]]))</f>
        <v>PRHSX-45013</v>
      </c>
    </row>
    <row r="6190" spans="1:4" ht="14.65" thickBot="1" x14ac:dyDescent="0.5">
      <c r="A6190" s="17">
        <v>45014.666666666664</v>
      </c>
      <c r="B6190" s="19">
        <v>86.68</v>
      </c>
      <c r="C6190" t="s">
        <v>51</v>
      </c>
      <c r="D6190" t="str">
        <f>T_Stocks[[#This Row],[Ticker]] &amp; "-" &amp; DATE(YEAR(T_Stocks[[#This Row],[Fecha]]),MONTH(T_Stocks[[#This Row],[Fecha]]),DAY(T_Stocks[[#This Row],[Fecha]]))</f>
        <v>PRHSX-45014</v>
      </c>
    </row>
    <row r="6191" spans="1:4" ht="14.65" thickBot="1" x14ac:dyDescent="0.5">
      <c r="A6191" s="17">
        <v>45015.666666666664</v>
      </c>
      <c r="B6191" s="19">
        <v>86.82</v>
      </c>
      <c r="C6191" t="s">
        <v>51</v>
      </c>
      <c r="D6191" t="str">
        <f>T_Stocks[[#This Row],[Ticker]] &amp; "-" &amp; DATE(YEAR(T_Stocks[[#This Row],[Fecha]]),MONTH(T_Stocks[[#This Row],[Fecha]]),DAY(T_Stocks[[#This Row],[Fecha]]))</f>
        <v>PRHSX-45015</v>
      </c>
    </row>
    <row r="6192" spans="1:4" ht="14.65" thickBot="1" x14ac:dyDescent="0.5">
      <c r="A6192" s="17">
        <v>45016.666666666664</v>
      </c>
      <c r="B6192" s="19">
        <v>87.75</v>
      </c>
      <c r="C6192" t="s">
        <v>51</v>
      </c>
      <c r="D6192" t="str">
        <f>T_Stocks[[#This Row],[Ticker]] &amp; "-" &amp; DATE(YEAR(T_Stocks[[#This Row],[Fecha]]),MONTH(T_Stocks[[#This Row],[Fecha]]),DAY(T_Stocks[[#This Row],[Fecha]]))</f>
        <v>PRHSX-45016</v>
      </c>
    </row>
    <row r="6193" spans="1:4" ht="14.65" thickBot="1" x14ac:dyDescent="0.5">
      <c r="A6193" s="17">
        <v>45019.666666666664</v>
      </c>
      <c r="B6193" s="19">
        <v>88.38</v>
      </c>
      <c r="C6193" t="s">
        <v>51</v>
      </c>
      <c r="D6193" t="str">
        <f>T_Stocks[[#This Row],[Ticker]] &amp; "-" &amp; DATE(YEAR(T_Stocks[[#This Row],[Fecha]]),MONTH(T_Stocks[[#This Row],[Fecha]]),DAY(T_Stocks[[#This Row],[Fecha]]))</f>
        <v>PRHSX-45019</v>
      </c>
    </row>
    <row r="6194" spans="1:4" ht="14.65" thickBot="1" x14ac:dyDescent="0.5">
      <c r="A6194" s="17">
        <v>45020.666666666664</v>
      </c>
      <c r="B6194" s="19">
        <v>88.24</v>
      </c>
      <c r="C6194" t="s">
        <v>51</v>
      </c>
      <c r="D6194" t="str">
        <f>T_Stocks[[#This Row],[Ticker]] &amp; "-" &amp; DATE(YEAR(T_Stocks[[#This Row],[Fecha]]),MONTH(T_Stocks[[#This Row],[Fecha]]),DAY(T_Stocks[[#This Row],[Fecha]]))</f>
        <v>PRHSX-45020</v>
      </c>
    </row>
    <row r="6195" spans="1:4" ht="14.65" thickBot="1" x14ac:dyDescent="0.5">
      <c r="A6195" s="17">
        <v>45021.666666666664</v>
      </c>
      <c r="B6195" s="19">
        <v>89.08</v>
      </c>
      <c r="C6195" t="s">
        <v>51</v>
      </c>
      <c r="D6195" t="str">
        <f>T_Stocks[[#This Row],[Ticker]] &amp; "-" &amp; DATE(YEAR(T_Stocks[[#This Row],[Fecha]]),MONTH(T_Stocks[[#This Row],[Fecha]]),DAY(T_Stocks[[#This Row],[Fecha]]))</f>
        <v>PRHSX-45021</v>
      </c>
    </row>
    <row r="6196" spans="1:4" ht="14.65" thickBot="1" x14ac:dyDescent="0.5">
      <c r="A6196" s="17">
        <v>45022.666666666664</v>
      </c>
      <c r="B6196" s="19">
        <v>89.68</v>
      </c>
      <c r="C6196" t="s">
        <v>51</v>
      </c>
      <c r="D6196" t="str">
        <f>T_Stocks[[#This Row],[Ticker]] &amp; "-" &amp; DATE(YEAR(T_Stocks[[#This Row],[Fecha]]),MONTH(T_Stocks[[#This Row],[Fecha]]),DAY(T_Stocks[[#This Row],[Fecha]]))</f>
        <v>PRHSX-45022</v>
      </c>
    </row>
    <row r="6197" spans="1:4" ht="14.65" thickBot="1" x14ac:dyDescent="0.5">
      <c r="A6197" s="17">
        <v>45026.666666666664</v>
      </c>
      <c r="B6197" s="19">
        <v>89.7</v>
      </c>
      <c r="C6197" t="s">
        <v>51</v>
      </c>
      <c r="D6197" t="str">
        <f>T_Stocks[[#This Row],[Ticker]] &amp; "-" &amp; DATE(YEAR(T_Stocks[[#This Row],[Fecha]]),MONTH(T_Stocks[[#This Row],[Fecha]]),DAY(T_Stocks[[#This Row],[Fecha]]))</f>
        <v>PRHSX-45026</v>
      </c>
    </row>
    <row r="6198" spans="1:4" ht="14.65" thickBot="1" x14ac:dyDescent="0.5">
      <c r="A6198" s="17">
        <v>45027.666666666664</v>
      </c>
      <c r="B6198" s="19">
        <v>90.34</v>
      </c>
      <c r="C6198" t="s">
        <v>51</v>
      </c>
      <c r="D6198" t="str">
        <f>T_Stocks[[#This Row],[Ticker]] &amp; "-" &amp; DATE(YEAR(T_Stocks[[#This Row],[Fecha]]),MONTH(T_Stocks[[#This Row],[Fecha]]),DAY(T_Stocks[[#This Row],[Fecha]]))</f>
        <v>PRHSX-45027</v>
      </c>
    </row>
    <row r="6199" spans="1:4" ht="14.65" thickBot="1" x14ac:dyDescent="0.5">
      <c r="A6199" s="17">
        <v>45028.666666666664</v>
      </c>
      <c r="B6199" s="19">
        <v>90.38</v>
      </c>
      <c r="C6199" t="s">
        <v>51</v>
      </c>
      <c r="D6199" t="str">
        <f>T_Stocks[[#This Row],[Ticker]] &amp; "-" &amp; DATE(YEAR(T_Stocks[[#This Row],[Fecha]]),MONTH(T_Stocks[[#This Row],[Fecha]]),DAY(T_Stocks[[#This Row],[Fecha]]))</f>
        <v>PRHSX-45028</v>
      </c>
    </row>
    <row r="6200" spans="1:4" ht="14.65" thickBot="1" x14ac:dyDescent="0.5">
      <c r="A6200" s="17">
        <v>45029.666666666664</v>
      </c>
      <c r="B6200" s="19">
        <v>91.82</v>
      </c>
      <c r="C6200" t="s">
        <v>51</v>
      </c>
      <c r="D6200" t="str">
        <f>T_Stocks[[#This Row],[Ticker]] &amp; "-" &amp; DATE(YEAR(T_Stocks[[#This Row],[Fecha]]),MONTH(T_Stocks[[#This Row],[Fecha]]),DAY(T_Stocks[[#This Row],[Fecha]]))</f>
        <v>PRHSX-45029</v>
      </c>
    </row>
    <row r="6201" spans="1:4" ht="14.65" thickBot="1" x14ac:dyDescent="0.5">
      <c r="A6201" s="17">
        <v>45030.666666666664</v>
      </c>
      <c r="B6201" s="19">
        <v>90.97</v>
      </c>
      <c r="C6201" t="s">
        <v>51</v>
      </c>
      <c r="D6201" t="str">
        <f>T_Stocks[[#This Row],[Ticker]] &amp; "-" &amp; DATE(YEAR(T_Stocks[[#This Row],[Fecha]]),MONTH(T_Stocks[[#This Row],[Fecha]]),DAY(T_Stocks[[#This Row],[Fecha]]))</f>
        <v>PRHSX-45030</v>
      </c>
    </row>
    <row r="6202" spans="1:4" ht="14.65" thickBot="1" x14ac:dyDescent="0.5">
      <c r="A6202" s="17">
        <v>45033.666666666664</v>
      </c>
      <c r="B6202" s="19">
        <v>91.5</v>
      </c>
      <c r="C6202" t="s">
        <v>51</v>
      </c>
      <c r="D6202" t="str">
        <f>T_Stocks[[#This Row],[Ticker]] &amp; "-" &amp; DATE(YEAR(T_Stocks[[#This Row],[Fecha]]),MONTH(T_Stocks[[#This Row],[Fecha]]),DAY(T_Stocks[[#This Row],[Fecha]]))</f>
        <v>PRHSX-45033</v>
      </c>
    </row>
    <row r="6203" spans="1:4" ht="14.65" thickBot="1" x14ac:dyDescent="0.5">
      <c r="A6203" s="17">
        <v>45034.666666666664</v>
      </c>
      <c r="B6203" s="19">
        <v>91.04</v>
      </c>
      <c r="C6203" t="s">
        <v>51</v>
      </c>
      <c r="D6203" t="str">
        <f>T_Stocks[[#This Row],[Ticker]] &amp; "-" &amp; DATE(YEAR(T_Stocks[[#This Row],[Fecha]]),MONTH(T_Stocks[[#This Row],[Fecha]]),DAY(T_Stocks[[#This Row],[Fecha]]))</f>
        <v>PRHSX-45034</v>
      </c>
    </row>
    <row r="6204" spans="1:4" ht="14.65" thickBot="1" x14ac:dyDescent="0.5">
      <c r="A6204" s="17">
        <v>45035.666666666664</v>
      </c>
      <c r="B6204" s="19">
        <v>91.09</v>
      </c>
      <c r="C6204" t="s">
        <v>51</v>
      </c>
      <c r="D6204" t="str">
        <f>T_Stocks[[#This Row],[Ticker]] &amp; "-" &amp; DATE(YEAR(T_Stocks[[#This Row],[Fecha]]),MONTH(T_Stocks[[#This Row],[Fecha]]),DAY(T_Stocks[[#This Row],[Fecha]]))</f>
        <v>PRHSX-45035</v>
      </c>
    </row>
    <row r="6205" spans="1:4" ht="14.65" thickBot="1" x14ac:dyDescent="0.5">
      <c r="A6205" s="17">
        <v>45036.666666666664</v>
      </c>
      <c r="B6205" s="19">
        <v>90.49</v>
      </c>
      <c r="C6205" t="s">
        <v>51</v>
      </c>
      <c r="D6205" t="str">
        <f>T_Stocks[[#This Row],[Ticker]] &amp; "-" &amp; DATE(YEAR(T_Stocks[[#This Row],[Fecha]]),MONTH(T_Stocks[[#This Row],[Fecha]]),DAY(T_Stocks[[#This Row],[Fecha]]))</f>
        <v>PRHSX-45036</v>
      </c>
    </row>
    <row r="6206" spans="1:4" ht="14.65" thickBot="1" x14ac:dyDescent="0.5">
      <c r="A6206" s="17">
        <v>45037.666666666664</v>
      </c>
      <c r="B6206" s="19">
        <v>91.43</v>
      </c>
      <c r="C6206" t="s">
        <v>51</v>
      </c>
      <c r="D6206" t="str">
        <f>T_Stocks[[#This Row],[Ticker]] &amp; "-" &amp; DATE(YEAR(T_Stocks[[#This Row],[Fecha]]),MONTH(T_Stocks[[#This Row],[Fecha]]),DAY(T_Stocks[[#This Row],[Fecha]]))</f>
        <v>PRHSX-45037</v>
      </c>
    </row>
    <row r="6207" spans="1:4" ht="14.65" thickBot="1" x14ac:dyDescent="0.5">
      <c r="A6207" s="17">
        <v>45040.666666666664</v>
      </c>
      <c r="B6207" s="19">
        <v>91.72</v>
      </c>
      <c r="C6207" t="s">
        <v>51</v>
      </c>
      <c r="D6207" t="str">
        <f>T_Stocks[[#This Row],[Ticker]] &amp; "-" &amp; DATE(YEAR(T_Stocks[[#This Row],[Fecha]]),MONTH(T_Stocks[[#This Row],[Fecha]]),DAY(T_Stocks[[#This Row],[Fecha]]))</f>
        <v>PRHSX-45040</v>
      </c>
    </row>
    <row r="6208" spans="1:4" ht="14.65" thickBot="1" x14ac:dyDescent="0.5">
      <c r="A6208" s="17">
        <v>45041.666666666664</v>
      </c>
      <c r="B6208" s="19">
        <v>90.33</v>
      </c>
      <c r="C6208" t="s">
        <v>51</v>
      </c>
      <c r="D6208" t="str">
        <f>T_Stocks[[#This Row],[Ticker]] &amp; "-" &amp; DATE(YEAR(T_Stocks[[#This Row],[Fecha]]),MONTH(T_Stocks[[#This Row],[Fecha]]),DAY(T_Stocks[[#This Row],[Fecha]]))</f>
        <v>PRHSX-45041</v>
      </c>
    </row>
    <row r="6209" spans="1:4" ht="14.65" thickBot="1" x14ac:dyDescent="0.5">
      <c r="A6209" s="17">
        <v>45042.666666666664</v>
      </c>
      <c r="B6209" s="19">
        <v>89.32</v>
      </c>
      <c r="C6209" t="s">
        <v>51</v>
      </c>
      <c r="D6209" t="str">
        <f>T_Stocks[[#This Row],[Ticker]] &amp; "-" &amp; DATE(YEAR(T_Stocks[[#This Row],[Fecha]]),MONTH(T_Stocks[[#This Row],[Fecha]]),DAY(T_Stocks[[#This Row],[Fecha]]))</f>
        <v>PRHSX-45042</v>
      </c>
    </row>
    <row r="6210" spans="1:4" ht="14.65" thickBot="1" x14ac:dyDescent="0.5">
      <c r="A6210" s="17">
        <v>45043.666666666664</v>
      </c>
      <c r="B6210" s="19">
        <v>90.05</v>
      </c>
      <c r="C6210" t="s">
        <v>51</v>
      </c>
      <c r="D6210" t="str">
        <f>T_Stocks[[#This Row],[Ticker]] &amp; "-" &amp; DATE(YEAR(T_Stocks[[#This Row],[Fecha]]),MONTH(T_Stocks[[#This Row],[Fecha]]),DAY(T_Stocks[[#This Row],[Fecha]]))</f>
        <v>PRHSX-45043</v>
      </c>
    </row>
    <row r="6211" spans="1:4" ht="14.65" thickBot="1" x14ac:dyDescent="0.5">
      <c r="A6211" s="17">
        <v>45044.666666666664</v>
      </c>
      <c r="B6211" s="19">
        <v>90.88</v>
      </c>
      <c r="C6211" t="s">
        <v>51</v>
      </c>
      <c r="D6211" t="str">
        <f>T_Stocks[[#This Row],[Ticker]] &amp; "-" &amp; DATE(YEAR(T_Stocks[[#This Row],[Fecha]]),MONTH(T_Stocks[[#This Row],[Fecha]]),DAY(T_Stocks[[#This Row],[Fecha]]))</f>
        <v>PRHSX-45044</v>
      </c>
    </row>
    <row r="6212" spans="1:4" ht="14.65" thickBot="1" x14ac:dyDescent="0.5">
      <c r="A6212" s="17">
        <v>45047.666666666664</v>
      </c>
      <c r="B6212" s="19">
        <v>91.67</v>
      </c>
      <c r="C6212" t="s">
        <v>51</v>
      </c>
      <c r="D6212" t="str">
        <f>T_Stocks[[#This Row],[Ticker]] &amp; "-" &amp; DATE(YEAR(T_Stocks[[#This Row],[Fecha]]),MONTH(T_Stocks[[#This Row],[Fecha]]),DAY(T_Stocks[[#This Row],[Fecha]]))</f>
        <v>PRHSX-45047</v>
      </c>
    </row>
    <row r="6213" spans="1:4" ht="14.65" thickBot="1" x14ac:dyDescent="0.5">
      <c r="A6213" s="17">
        <v>45048.666666666664</v>
      </c>
      <c r="B6213" s="19">
        <v>90.84</v>
      </c>
      <c r="C6213" t="s">
        <v>51</v>
      </c>
      <c r="D6213" t="str">
        <f>T_Stocks[[#This Row],[Ticker]] &amp; "-" &amp; DATE(YEAR(T_Stocks[[#This Row],[Fecha]]),MONTH(T_Stocks[[#This Row],[Fecha]]),DAY(T_Stocks[[#This Row],[Fecha]]))</f>
        <v>PRHSX-45048</v>
      </c>
    </row>
    <row r="6214" spans="1:4" ht="14.65" thickBot="1" x14ac:dyDescent="0.5">
      <c r="A6214" s="17">
        <v>45049.666666666664</v>
      </c>
      <c r="B6214" s="19">
        <v>91.67</v>
      </c>
      <c r="C6214" t="s">
        <v>51</v>
      </c>
      <c r="D6214" t="str">
        <f>T_Stocks[[#This Row],[Ticker]] &amp; "-" &amp; DATE(YEAR(T_Stocks[[#This Row],[Fecha]]),MONTH(T_Stocks[[#This Row],[Fecha]]),DAY(T_Stocks[[#This Row],[Fecha]]))</f>
        <v>PRHSX-45049</v>
      </c>
    </row>
    <row r="6215" spans="1:4" ht="14.65" thickBot="1" x14ac:dyDescent="0.5">
      <c r="A6215" s="17">
        <v>45050.666666666664</v>
      </c>
      <c r="B6215" s="19">
        <v>91.23</v>
      </c>
      <c r="C6215" t="s">
        <v>51</v>
      </c>
      <c r="D6215" t="str">
        <f>T_Stocks[[#This Row],[Ticker]] &amp; "-" &amp; DATE(YEAR(T_Stocks[[#This Row],[Fecha]]),MONTH(T_Stocks[[#This Row],[Fecha]]),DAY(T_Stocks[[#This Row],[Fecha]]))</f>
        <v>PRHSX-45050</v>
      </c>
    </row>
    <row r="6216" spans="1:4" ht="14.65" thickBot="1" x14ac:dyDescent="0.5">
      <c r="A6216" s="17">
        <v>45051.666666666664</v>
      </c>
      <c r="B6216" s="19">
        <v>92.27</v>
      </c>
      <c r="C6216" t="s">
        <v>51</v>
      </c>
      <c r="D6216" t="str">
        <f>T_Stocks[[#This Row],[Ticker]] &amp; "-" &amp; DATE(YEAR(T_Stocks[[#This Row],[Fecha]]),MONTH(T_Stocks[[#This Row],[Fecha]]),DAY(T_Stocks[[#This Row],[Fecha]]))</f>
        <v>PRHSX-45051</v>
      </c>
    </row>
    <row r="6217" spans="1:4" ht="14.65" thickBot="1" x14ac:dyDescent="0.5">
      <c r="A6217" s="17">
        <v>45054.666666666664</v>
      </c>
      <c r="B6217" s="19">
        <v>91.92</v>
      </c>
      <c r="C6217" t="s">
        <v>51</v>
      </c>
      <c r="D6217" t="str">
        <f>T_Stocks[[#This Row],[Ticker]] &amp; "-" &amp; DATE(YEAR(T_Stocks[[#This Row],[Fecha]]),MONTH(T_Stocks[[#This Row],[Fecha]]),DAY(T_Stocks[[#This Row],[Fecha]]))</f>
        <v>PRHSX-45054</v>
      </c>
    </row>
    <row r="6218" spans="1:4" ht="14.65" thickBot="1" x14ac:dyDescent="0.5">
      <c r="A6218" s="17">
        <v>45055.666666666664</v>
      </c>
      <c r="B6218" s="19">
        <v>91.5</v>
      </c>
      <c r="C6218" t="s">
        <v>51</v>
      </c>
      <c r="D6218" t="str">
        <f>T_Stocks[[#This Row],[Ticker]] &amp; "-" &amp; DATE(YEAR(T_Stocks[[#This Row],[Fecha]]),MONTH(T_Stocks[[#This Row],[Fecha]]),DAY(T_Stocks[[#This Row],[Fecha]]))</f>
        <v>PRHSX-45055</v>
      </c>
    </row>
    <row r="6219" spans="1:4" ht="14.65" thickBot="1" x14ac:dyDescent="0.5">
      <c r="A6219" s="17">
        <v>45056.666666666664</v>
      </c>
      <c r="B6219" s="19">
        <v>91.92</v>
      </c>
      <c r="C6219" t="s">
        <v>51</v>
      </c>
      <c r="D6219" t="str">
        <f>T_Stocks[[#This Row],[Ticker]] &amp; "-" &amp; DATE(YEAR(T_Stocks[[#This Row],[Fecha]]),MONTH(T_Stocks[[#This Row],[Fecha]]),DAY(T_Stocks[[#This Row],[Fecha]]))</f>
        <v>PRHSX-45056</v>
      </c>
    </row>
    <row r="6220" spans="1:4" ht="14.65" thickBot="1" x14ac:dyDescent="0.5">
      <c r="A6220" s="17">
        <v>45057.666666666664</v>
      </c>
      <c r="B6220" s="19">
        <v>91.6</v>
      </c>
      <c r="C6220" t="s">
        <v>51</v>
      </c>
      <c r="D6220" t="str">
        <f>T_Stocks[[#This Row],[Ticker]] &amp; "-" &amp; DATE(YEAR(T_Stocks[[#This Row],[Fecha]]),MONTH(T_Stocks[[#This Row],[Fecha]]),DAY(T_Stocks[[#This Row],[Fecha]]))</f>
        <v>PRHSX-45057</v>
      </c>
    </row>
    <row r="6221" spans="1:4" ht="14.65" thickBot="1" x14ac:dyDescent="0.5">
      <c r="A6221" s="17">
        <v>45058.666666666664</v>
      </c>
      <c r="B6221" s="19">
        <v>91.44</v>
      </c>
      <c r="C6221" t="s">
        <v>51</v>
      </c>
      <c r="D6221" t="str">
        <f>T_Stocks[[#This Row],[Ticker]] &amp; "-" &amp; DATE(YEAR(T_Stocks[[#This Row],[Fecha]]),MONTH(T_Stocks[[#This Row],[Fecha]]),DAY(T_Stocks[[#This Row],[Fecha]]))</f>
        <v>PRHSX-45058</v>
      </c>
    </row>
    <row r="6222" spans="1:4" ht="14.65" thickBot="1" x14ac:dyDescent="0.5">
      <c r="A6222" s="17">
        <v>45061.666666666664</v>
      </c>
      <c r="B6222" s="19">
        <v>91.81</v>
      </c>
      <c r="C6222" t="s">
        <v>51</v>
      </c>
      <c r="D6222" t="str">
        <f>T_Stocks[[#This Row],[Ticker]] &amp; "-" &amp; DATE(YEAR(T_Stocks[[#This Row],[Fecha]]),MONTH(T_Stocks[[#This Row],[Fecha]]),DAY(T_Stocks[[#This Row],[Fecha]]))</f>
        <v>PRHSX-45061</v>
      </c>
    </row>
    <row r="6223" spans="1:4" ht="14.65" thickBot="1" x14ac:dyDescent="0.5">
      <c r="A6223" s="17">
        <v>45062.666666666664</v>
      </c>
      <c r="B6223" s="19">
        <v>90.78</v>
      </c>
      <c r="C6223" t="s">
        <v>51</v>
      </c>
      <c r="D6223" t="str">
        <f>T_Stocks[[#This Row],[Ticker]] &amp; "-" &amp; DATE(YEAR(T_Stocks[[#This Row],[Fecha]]),MONTH(T_Stocks[[#This Row],[Fecha]]),DAY(T_Stocks[[#This Row],[Fecha]]))</f>
        <v>PRHSX-45062</v>
      </c>
    </row>
    <row r="6224" spans="1:4" ht="14.65" thickBot="1" x14ac:dyDescent="0.5">
      <c r="A6224" s="17">
        <v>45063.666666666664</v>
      </c>
      <c r="B6224" s="19">
        <v>91.03</v>
      </c>
      <c r="C6224" t="s">
        <v>51</v>
      </c>
      <c r="D6224" t="str">
        <f>T_Stocks[[#This Row],[Ticker]] &amp; "-" &amp; DATE(YEAR(T_Stocks[[#This Row],[Fecha]]),MONTH(T_Stocks[[#This Row],[Fecha]]),DAY(T_Stocks[[#This Row],[Fecha]]))</f>
        <v>PRHSX-45063</v>
      </c>
    </row>
    <row r="6225" spans="1:4" ht="14.65" thickBot="1" x14ac:dyDescent="0.5">
      <c r="A6225" s="17">
        <v>45064.666666666664</v>
      </c>
      <c r="B6225" s="19">
        <v>90.75</v>
      </c>
      <c r="C6225" t="s">
        <v>51</v>
      </c>
      <c r="D6225" t="str">
        <f>T_Stocks[[#This Row],[Ticker]] &amp; "-" &amp; DATE(YEAR(T_Stocks[[#This Row],[Fecha]]),MONTH(T_Stocks[[#This Row],[Fecha]]),DAY(T_Stocks[[#This Row],[Fecha]]))</f>
        <v>PRHSX-45064</v>
      </c>
    </row>
    <row r="6226" spans="1:4" ht="14.65" thickBot="1" x14ac:dyDescent="0.5">
      <c r="A6226" s="17">
        <v>45065.666666666664</v>
      </c>
      <c r="B6226" s="19">
        <v>91.33</v>
      </c>
      <c r="C6226" t="s">
        <v>51</v>
      </c>
      <c r="D6226" t="str">
        <f>T_Stocks[[#This Row],[Ticker]] &amp; "-" &amp; DATE(YEAR(T_Stocks[[#This Row],[Fecha]]),MONTH(T_Stocks[[#This Row],[Fecha]]),DAY(T_Stocks[[#This Row],[Fecha]]))</f>
        <v>PRHSX-45065</v>
      </c>
    </row>
    <row r="6227" spans="1:4" ht="14.65" thickBot="1" x14ac:dyDescent="0.5">
      <c r="A6227" s="17">
        <v>45068.666666666664</v>
      </c>
      <c r="B6227" s="19">
        <v>91.62</v>
      </c>
      <c r="C6227" t="s">
        <v>51</v>
      </c>
      <c r="D6227" t="str">
        <f>T_Stocks[[#This Row],[Ticker]] &amp; "-" &amp; DATE(YEAR(T_Stocks[[#This Row],[Fecha]]),MONTH(T_Stocks[[#This Row],[Fecha]]),DAY(T_Stocks[[#This Row],[Fecha]]))</f>
        <v>PRHSX-45068</v>
      </c>
    </row>
    <row r="6228" spans="1:4" ht="14.65" thickBot="1" x14ac:dyDescent="0.5">
      <c r="A6228" s="17">
        <v>45069.666666666664</v>
      </c>
      <c r="B6228" s="19">
        <v>90.25</v>
      </c>
      <c r="C6228" t="s">
        <v>51</v>
      </c>
      <c r="D6228" t="str">
        <f>T_Stocks[[#This Row],[Ticker]] &amp; "-" &amp; DATE(YEAR(T_Stocks[[#This Row],[Fecha]]),MONTH(T_Stocks[[#This Row],[Fecha]]),DAY(T_Stocks[[#This Row],[Fecha]]))</f>
        <v>PRHSX-45069</v>
      </c>
    </row>
    <row r="6229" spans="1:4" ht="14.65" thickBot="1" x14ac:dyDescent="0.5">
      <c r="A6229" s="17">
        <v>45070.666666666664</v>
      </c>
      <c r="B6229" s="19">
        <v>89.32</v>
      </c>
      <c r="C6229" t="s">
        <v>51</v>
      </c>
      <c r="D6229" t="str">
        <f>T_Stocks[[#This Row],[Ticker]] &amp; "-" &amp; DATE(YEAR(T_Stocks[[#This Row],[Fecha]]),MONTH(T_Stocks[[#This Row],[Fecha]]),DAY(T_Stocks[[#This Row],[Fecha]]))</f>
        <v>PRHSX-45070</v>
      </c>
    </row>
    <row r="6230" spans="1:4" ht="14.65" thickBot="1" x14ac:dyDescent="0.5">
      <c r="A6230" s="17">
        <v>45071.666666666664</v>
      </c>
      <c r="B6230" s="19">
        <v>88.35</v>
      </c>
      <c r="C6230" t="s">
        <v>51</v>
      </c>
      <c r="D6230" t="str">
        <f>T_Stocks[[#This Row],[Ticker]] &amp; "-" &amp; DATE(YEAR(T_Stocks[[#This Row],[Fecha]]),MONTH(T_Stocks[[#This Row],[Fecha]]),DAY(T_Stocks[[#This Row],[Fecha]]))</f>
        <v>PRHSX-45071</v>
      </c>
    </row>
    <row r="6231" spans="1:4" ht="14.65" thickBot="1" x14ac:dyDescent="0.5">
      <c r="A6231" s="17">
        <v>45072.666666666664</v>
      </c>
      <c r="B6231" s="19">
        <v>88.54</v>
      </c>
      <c r="C6231" t="s">
        <v>51</v>
      </c>
      <c r="D6231" t="str">
        <f>T_Stocks[[#This Row],[Ticker]] &amp; "-" &amp; DATE(YEAR(T_Stocks[[#This Row],[Fecha]]),MONTH(T_Stocks[[#This Row],[Fecha]]),DAY(T_Stocks[[#This Row],[Fecha]]))</f>
        <v>PRHSX-45072</v>
      </c>
    </row>
    <row r="6232" spans="1:4" ht="14.65" thickBot="1" x14ac:dyDescent="0.5">
      <c r="A6232" s="17">
        <v>45076.666666666664</v>
      </c>
      <c r="B6232" s="19">
        <v>87.75</v>
      </c>
      <c r="C6232" t="s">
        <v>51</v>
      </c>
      <c r="D6232" t="str">
        <f>T_Stocks[[#This Row],[Ticker]] &amp; "-" &amp; DATE(YEAR(T_Stocks[[#This Row],[Fecha]]),MONTH(T_Stocks[[#This Row],[Fecha]]),DAY(T_Stocks[[#This Row],[Fecha]]))</f>
        <v>PRHSX-45076</v>
      </c>
    </row>
    <row r="6233" spans="1:4" ht="14.65" thickBot="1" x14ac:dyDescent="0.5">
      <c r="A6233" s="17">
        <v>45077.666666666664</v>
      </c>
      <c r="B6233" s="19">
        <v>88.21</v>
      </c>
      <c r="C6233" t="s">
        <v>51</v>
      </c>
      <c r="D6233" t="str">
        <f>T_Stocks[[#This Row],[Ticker]] &amp; "-" &amp; DATE(YEAR(T_Stocks[[#This Row],[Fecha]]),MONTH(T_Stocks[[#This Row],[Fecha]]),DAY(T_Stocks[[#This Row],[Fecha]]))</f>
        <v>PRHSX-45077</v>
      </c>
    </row>
    <row r="6234" spans="1:4" ht="14.65" thickBot="1" x14ac:dyDescent="0.5">
      <c r="A6234" s="17">
        <v>45078.666666666664</v>
      </c>
      <c r="B6234" s="19">
        <v>89.34</v>
      </c>
      <c r="C6234" t="s">
        <v>51</v>
      </c>
      <c r="D6234" t="str">
        <f>T_Stocks[[#This Row],[Ticker]] &amp; "-" &amp; DATE(YEAR(T_Stocks[[#This Row],[Fecha]]),MONTH(T_Stocks[[#This Row],[Fecha]]),DAY(T_Stocks[[#This Row],[Fecha]]))</f>
        <v>PRHSX-45078</v>
      </c>
    </row>
    <row r="6235" spans="1:4" ht="14.65" thickBot="1" x14ac:dyDescent="0.5">
      <c r="A6235" s="17">
        <v>45079.666666666664</v>
      </c>
      <c r="B6235" s="19">
        <v>90.47</v>
      </c>
      <c r="C6235" t="s">
        <v>51</v>
      </c>
      <c r="D6235" t="str">
        <f>T_Stocks[[#This Row],[Ticker]] &amp; "-" &amp; DATE(YEAR(T_Stocks[[#This Row],[Fecha]]),MONTH(T_Stocks[[#This Row],[Fecha]]),DAY(T_Stocks[[#This Row],[Fecha]]))</f>
        <v>PRHSX-45079</v>
      </c>
    </row>
    <row r="6236" spans="1:4" ht="14.65" thickBot="1" x14ac:dyDescent="0.5">
      <c r="A6236" s="17">
        <v>45082.666666666664</v>
      </c>
      <c r="B6236" s="19">
        <v>90.87</v>
      </c>
      <c r="C6236" t="s">
        <v>51</v>
      </c>
      <c r="D6236" t="str">
        <f>T_Stocks[[#This Row],[Ticker]] &amp; "-" &amp; DATE(YEAR(T_Stocks[[#This Row],[Fecha]]),MONTH(T_Stocks[[#This Row],[Fecha]]),DAY(T_Stocks[[#This Row],[Fecha]]))</f>
        <v>PRHSX-45082</v>
      </c>
    </row>
    <row r="6237" spans="1:4" ht="14.65" thickBot="1" x14ac:dyDescent="0.5">
      <c r="A6237" s="17">
        <v>45083.666666666664</v>
      </c>
      <c r="B6237" s="19">
        <v>90.31</v>
      </c>
      <c r="C6237" t="s">
        <v>51</v>
      </c>
      <c r="D6237" t="str">
        <f>T_Stocks[[#This Row],[Ticker]] &amp; "-" &amp; DATE(YEAR(T_Stocks[[#This Row],[Fecha]]),MONTH(T_Stocks[[#This Row],[Fecha]]),DAY(T_Stocks[[#This Row],[Fecha]]))</f>
        <v>PRHSX-45083</v>
      </c>
    </row>
    <row r="6238" spans="1:4" ht="14.65" thickBot="1" x14ac:dyDescent="0.5">
      <c r="A6238" s="17">
        <v>45084.666666666664</v>
      </c>
      <c r="B6238" s="19">
        <v>89.74</v>
      </c>
      <c r="C6238" t="s">
        <v>51</v>
      </c>
      <c r="D6238" t="str">
        <f>T_Stocks[[#This Row],[Ticker]] &amp; "-" &amp; DATE(YEAR(T_Stocks[[#This Row],[Fecha]]),MONTH(T_Stocks[[#This Row],[Fecha]]),DAY(T_Stocks[[#This Row],[Fecha]]))</f>
        <v>PRHSX-45084</v>
      </c>
    </row>
    <row r="6239" spans="1:4" ht="14.65" thickBot="1" x14ac:dyDescent="0.5">
      <c r="A6239" s="17">
        <v>45085.666666666664</v>
      </c>
      <c r="B6239" s="19">
        <v>90.17</v>
      </c>
      <c r="C6239" t="s">
        <v>51</v>
      </c>
      <c r="D6239" t="str">
        <f>T_Stocks[[#This Row],[Ticker]] &amp; "-" &amp; DATE(YEAR(T_Stocks[[#This Row],[Fecha]]),MONTH(T_Stocks[[#This Row],[Fecha]]),DAY(T_Stocks[[#This Row],[Fecha]]))</f>
        <v>PRHSX-45085</v>
      </c>
    </row>
    <row r="6240" spans="1:4" ht="14.65" thickBot="1" x14ac:dyDescent="0.5">
      <c r="A6240" s="17">
        <v>45086.666666666664</v>
      </c>
      <c r="B6240" s="19">
        <v>90.18</v>
      </c>
      <c r="C6240" t="s">
        <v>51</v>
      </c>
      <c r="D6240" t="str">
        <f>T_Stocks[[#This Row],[Ticker]] &amp; "-" &amp; DATE(YEAR(T_Stocks[[#This Row],[Fecha]]),MONTH(T_Stocks[[#This Row],[Fecha]]),DAY(T_Stocks[[#This Row],[Fecha]]))</f>
        <v>PRHSX-45086</v>
      </c>
    </row>
    <row r="6241" spans="1:4" ht="14.65" thickBot="1" x14ac:dyDescent="0.5">
      <c r="A6241" s="17">
        <v>45089.666666666664</v>
      </c>
      <c r="B6241" s="19">
        <v>90.84</v>
      </c>
      <c r="C6241" t="s">
        <v>51</v>
      </c>
      <c r="D6241" t="str">
        <f>T_Stocks[[#This Row],[Ticker]] &amp; "-" &amp; DATE(YEAR(T_Stocks[[#This Row],[Fecha]]),MONTH(T_Stocks[[#This Row],[Fecha]]),DAY(T_Stocks[[#This Row],[Fecha]]))</f>
        <v>PRHSX-45089</v>
      </c>
    </row>
    <row r="6242" spans="1:4" ht="14.65" thickBot="1" x14ac:dyDescent="0.5">
      <c r="A6242" s="17">
        <v>45090.666666666664</v>
      </c>
      <c r="B6242" s="19">
        <v>91.46</v>
      </c>
      <c r="C6242" t="s">
        <v>51</v>
      </c>
      <c r="D6242" t="str">
        <f>T_Stocks[[#This Row],[Ticker]] &amp; "-" &amp; DATE(YEAR(T_Stocks[[#This Row],[Fecha]]),MONTH(T_Stocks[[#This Row],[Fecha]]),DAY(T_Stocks[[#This Row],[Fecha]]))</f>
        <v>PRHSX-45090</v>
      </c>
    </row>
    <row r="6243" spans="1:4" ht="14.65" thickBot="1" x14ac:dyDescent="0.5">
      <c r="A6243" s="17">
        <v>45091.666666666664</v>
      </c>
      <c r="B6243" s="19">
        <v>90.22</v>
      </c>
      <c r="C6243" t="s">
        <v>51</v>
      </c>
      <c r="D6243" t="str">
        <f>T_Stocks[[#This Row],[Ticker]] &amp; "-" &amp; DATE(YEAR(T_Stocks[[#This Row],[Fecha]]),MONTH(T_Stocks[[#This Row],[Fecha]]),DAY(T_Stocks[[#This Row],[Fecha]]))</f>
        <v>PRHSX-45091</v>
      </c>
    </row>
    <row r="6244" spans="1:4" ht="14.65" thickBot="1" x14ac:dyDescent="0.5">
      <c r="A6244" s="17">
        <v>45092.666666666664</v>
      </c>
      <c r="B6244" s="19">
        <v>91.44</v>
      </c>
      <c r="C6244" t="s">
        <v>51</v>
      </c>
      <c r="D6244" t="str">
        <f>T_Stocks[[#This Row],[Ticker]] &amp; "-" &amp; DATE(YEAR(T_Stocks[[#This Row],[Fecha]]),MONTH(T_Stocks[[#This Row],[Fecha]]),DAY(T_Stocks[[#This Row],[Fecha]]))</f>
        <v>PRHSX-45092</v>
      </c>
    </row>
    <row r="6245" spans="1:4" ht="14.65" thickBot="1" x14ac:dyDescent="0.5">
      <c r="A6245" s="17">
        <v>45093.666666666664</v>
      </c>
      <c r="B6245" s="19">
        <v>90.97</v>
      </c>
      <c r="C6245" t="s">
        <v>51</v>
      </c>
      <c r="D6245" t="str">
        <f>T_Stocks[[#This Row],[Ticker]] &amp; "-" &amp; DATE(YEAR(T_Stocks[[#This Row],[Fecha]]),MONTH(T_Stocks[[#This Row],[Fecha]]),DAY(T_Stocks[[#This Row],[Fecha]]))</f>
        <v>PRHSX-45093</v>
      </c>
    </row>
    <row r="6246" spans="1:4" ht="14.65" thickBot="1" x14ac:dyDescent="0.5">
      <c r="A6246" s="17">
        <v>45097.666666666664</v>
      </c>
      <c r="B6246" s="19">
        <v>90.89</v>
      </c>
      <c r="C6246" t="s">
        <v>51</v>
      </c>
      <c r="D6246" t="str">
        <f>T_Stocks[[#This Row],[Ticker]] &amp; "-" &amp; DATE(YEAR(T_Stocks[[#This Row],[Fecha]]),MONTH(T_Stocks[[#This Row],[Fecha]]),DAY(T_Stocks[[#This Row],[Fecha]]))</f>
        <v>PRHSX-45097</v>
      </c>
    </row>
    <row r="6247" spans="1:4" ht="14.65" thickBot="1" x14ac:dyDescent="0.5">
      <c r="A6247" s="17">
        <v>45098.666666666664</v>
      </c>
      <c r="B6247" s="19">
        <v>90.78</v>
      </c>
      <c r="C6247" t="s">
        <v>51</v>
      </c>
      <c r="D6247" t="str">
        <f>T_Stocks[[#This Row],[Ticker]] &amp; "-" &amp; DATE(YEAR(T_Stocks[[#This Row],[Fecha]]),MONTH(T_Stocks[[#This Row],[Fecha]]),DAY(T_Stocks[[#This Row],[Fecha]]))</f>
        <v>PRHSX-45098</v>
      </c>
    </row>
    <row r="6248" spans="1:4" ht="14.65" thickBot="1" x14ac:dyDescent="0.5">
      <c r="A6248" s="17">
        <v>45099.666666666664</v>
      </c>
      <c r="B6248" s="19">
        <v>91.1</v>
      </c>
      <c r="C6248" t="s">
        <v>51</v>
      </c>
      <c r="D6248" t="str">
        <f>T_Stocks[[#This Row],[Ticker]] &amp; "-" &amp; DATE(YEAR(T_Stocks[[#This Row],[Fecha]]),MONTH(T_Stocks[[#This Row],[Fecha]]),DAY(T_Stocks[[#This Row],[Fecha]]))</f>
        <v>PRHSX-45099</v>
      </c>
    </row>
    <row r="6249" spans="1:4" ht="14.65" thickBot="1" x14ac:dyDescent="0.5">
      <c r="A6249" s="17">
        <v>45100.666666666664</v>
      </c>
      <c r="B6249" s="19">
        <v>90.41</v>
      </c>
      <c r="C6249" t="s">
        <v>51</v>
      </c>
      <c r="D6249" t="str">
        <f>T_Stocks[[#This Row],[Ticker]] &amp; "-" &amp; DATE(YEAR(T_Stocks[[#This Row],[Fecha]]),MONTH(T_Stocks[[#This Row],[Fecha]]),DAY(T_Stocks[[#This Row],[Fecha]]))</f>
        <v>PRHSX-45100</v>
      </c>
    </row>
    <row r="6250" spans="1:4" ht="14.65" thickBot="1" x14ac:dyDescent="0.5">
      <c r="A6250" s="17">
        <v>45103.666666666664</v>
      </c>
      <c r="B6250" s="19">
        <v>89.8</v>
      </c>
      <c r="C6250" t="s">
        <v>51</v>
      </c>
      <c r="D6250" t="str">
        <f>T_Stocks[[#This Row],[Ticker]] &amp; "-" &amp; DATE(YEAR(T_Stocks[[#This Row],[Fecha]]),MONTH(T_Stocks[[#This Row],[Fecha]]),DAY(T_Stocks[[#This Row],[Fecha]]))</f>
        <v>PRHSX-45103</v>
      </c>
    </row>
    <row r="6251" spans="1:4" ht="14.65" thickBot="1" x14ac:dyDescent="0.5">
      <c r="A6251" s="17">
        <v>45104.666666666664</v>
      </c>
      <c r="B6251" s="19">
        <v>89.55</v>
      </c>
      <c r="C6251" t="s">
        <v>51</v>
      </c>
      <c r="D6251" t="str">
        <f>T_Stocks[[#This Row],[Ticker]] &amp; "-" &amp; DATE(YEAR(T_Stocks[[#This Row],[Fecha]]),MONTH(T_Stocks[[#This Row],[Fecha]]),DAY(T_Stocks[[#This Row],[Fecha]]))</f>
        <v>PRHSX-45104</v>
      </c>
    </row>
    <row r="6252" spans="1:4" ht="14.65" thickBot="1" x14ac:dyDescent="0.5">
      <c r="A6252" s="17">
        <v>45105.666666666664</v>
      </c>
      <c r="B6252" s="19">
        <v>89.67</v>
      </c>
      <c r="C6252" t="s">
        <v>51</v>
      </c>
      <c r="D6252" t="str">
        <f>T_Stocks[[#This Row],[Ticker]] &amp; "-" &amp; DATE(YEAR(T_Stocks[[#This Row],[Fecha]]),MONTH(T_Stocks[[#This Row],[Fecha]]),DAY(T_Stocks[[#This Row],[Fecha]]))</f>
        <v>PRHSX-45105</v>
      </c>
    </row>
    <row r="6253" spans="1:4" ht="14.65" thickBot="1" x14ac:dyDescent="0.5">
      <c r="A6253" s="17">
        <v>45106.666666666664</v>
      </c>
      <c r="B6253" s="19">
        <v>89.9</v>
      </c>
      <c r="C6253" t="s">
        <v>51</v>
      </c>
      <c r="D6253" t="str">
        <f>T_Stocks[[#This Row],[Ticker]] &amp; "-" &amp; DATE(YEAR(T_Stocks[[#This Row],[Fecha]]),MONTH(T_Stocks[[#This Row],[Fecha]]),DAY(T_Stocks[[#This Row],[Fecha]]))</f>
        <v>PRHSX-45106</v>
      </c>
    </row>
    <row r="6254" spans="1:4" ht="14.65" thickBot="1" x14ac:dyDescent="0.5">
      <c r="A6254" s="17">
        <v>45107.666666666664</v>
      </c>
      <c r="B6254" s="19">
        <v>90.77</v>
      </c>
      <c r="C6254" t="s">
        <v>51</v>
      </c>
      <c r="D6254" t="str">
        <f>T_Stocks[[#This Row],[Ticker]] &amp; "-" &amp; DATE(YEAR(T_Stocks[[#This Row],[Fecha]]),MONTH(T_Stocks[[#This Row],[Fecha]]),DAY(T_Stocks[[#This Row],[Fecha]]))</f>
        <v>PRHSX-45107</v>
      </c>
    </row>
    <row r="6255" spans="1:4" ht="14.65" thickBot="1" x14ac:dyDescent="0.5">
      <c r="A6255" s="17">
        <v>45110.541666666664</v>
      </c>
      <c r="B6255" s="19">
        <v>89.78</v>
      </c>
      <c r="C6255" t="s">
        <v>51</v>
      </c>
      <c r="D6255" t="str">
        <f>T_Stocks[[#This Row],[Ticker]] &amp; "-" &amp; DATE(YEAR(T_Stocks[[#This Row],[Fecha]]),MONTH(T_Stocks[[#This Row],[Fecha]]),DAY(T_Stocks[[#This Row],[Fecha]]))</f>
        <v>PRHSX-45110</v>
      </c>
    </row>
    <row r="6256" spans="1:4" ht="14.65" thickBot="1" x14ac:dyDescent="0.5">
      <c r="A6256" s="17">
        <v>45112.666666666664</v>
      </c>
      <c r="B6256" s="19">
        <v>89.78</v>
      </c>
      <c r="C6256" t="s">
        <v>51</v>
      </c>
      <c r="D6256" t="str">
        <f>T_Stocks[[#This Row],[Ticker]] &amp; "-" &amp; DATE(YEAR(T_Stocks[[#This Row],[Fecha]]),MONTH(T_Stocks[[#This Row],[Fecha]]),DAY(T_Stocks[[#This Row],[Fecha]]))</f>
        <v>PRHSX-45112</v>
      </c>
    </row>
    <row r="6257" spans="1:4" ht="14.65" thickBot="1" x14ac:dyDescent="0.5">
      <c r="A6257" s="17">
        <v>45113.666666666664</v>
      </c>
      <c r="B6257" s="19">
        <v>88.89</v>
      </c>
      <c r="C6257" t="s">
        <v>51</v>
      </c>
      <c r="D6257" t="str">
        <f>T_Stocks[[#This Row],[Ticker]] &amp; "-" &amp; DATE(YEAR(T_Stocks[[#This Row],[Fecha]]),MONTH(T_Stocks[[#This Row],[Fecha]]),DAY(T_Stocks[[#This Row],[Fecha]]))</f>
        <v>PRHSX-45113</v>
      </c>
    </row>
    <row r="6258" spans="1:4" ht="14.65" thickBot="1" x14ac:dyDescent="0.5">
      <c r="A6258" s="17">
        <v>45114.666666666664</v>
      </c>
      <c r="B6258" s="19">
        <v>88.09</v>
      </c>
      <c r="C6258" t="s">
        <v>51</v>
      </c>
      <c r="D6258" t="str">
        <f>T_Stocks[[#This Row],[Ticker]] &amp; "-" &amp; DATE(YEAR(T_Stocks[[#This Row],[Fecha]]),MONTH(T_Stocks[[#This Row],[Fecha]]),DAY(T_Stocks[[#This Row],[Fecha]]))</f>
        <v>PRHSX-45114</v>
      </c>
    </row>
    <row r="6259" spans="1:4" ht="14.65" thickBot="1" x14ac:dyDescent="0.5">
      <c r="A6259" s="17">
        <v>45117.666666666664</v>
      </c>
      <c r="B6259" s="19">
        <v>89.2</v>
      </c>
      <c r="C6259" t="s">
        <v>51</v>
      </c>
      <c r="D6259" t="str">
        <f>T_Stocks[[#This Row],[Ticker]] &amp; "-" &amp; DATE(YEAR(T_Stocks[[#This Row],[Fecha]]),MONTH(T_Stocks[[#This Row],[Fecha]]),DAY(T_Stocks[[#This Row],[Fecha]]))</f>
        <v>PRHSX-45117</v>
      </c>
    </row>
    <row r="6260" spans="1:4" ht="14.65" thickBot="1" x14ac:dyDescent="0.5">
      <c r="A6260" s="17">
        <v>45118.666666666664</v>
      </c>
      <c r="B6260" s="19">
        <v>88.98</v>
      </c>
      <c r="C6260" t="s">
        <v>51</v>
      </c>
      <c r="D6260" t="str">
        <f>T_Stocks[[#This Row],[Ticker]] &amp; "-" &amp; DATE(YEAR(T_Stocks[[#This Row],[Fecha]]),MONTH(T_Stocks[[#This Row],[Fecha]]),DAY(T_Stocks[[#This Row],[Fecha]]))</f>
        <v>PRHSX-45118</v>
      </c>
    </row>
    <row r="6261" spans="1:4" ht="14.65" thickBot="1" x14ac:dyDescent="0.5">
      <c r="A6261" s="17">
        <v>45119.666666666664</v>
      </c>
      <c r="B6261" s="19">
        <v>88.92</v>
      </c>
      <c r="C6261" t="s">
        <v>51</v>
      </c>
      <c r="D6261" t="str">
        <f>T_Stocks[[#This Row],[Ticker]] &amp; "-" &amp; DATE(YEAR(T_Stocks[[#This Row],[Fecha]]),MONTH(T_Stocks[[#This Row],[Fecha]]),DAY(T_Stocks[[#This Row],[Fecha]]))</f>
        <v>PRHSX-45119</v>
      </c>
    </row>
    <row r="6262" spans="1:4" ht="14.65" thickBot="1" x14ac:dyDescent="0.5">
      <c r="A6262" s="17">
        <v>45120.666666666664</v>
      </c>
      <c r="B6262" s="19">
        <v>88.98</v>
      </c>
      <c r="C6262" t="s">
        <v>51</v>
      </c>
      <c r="D6262" t="str">
        <f>T_Stocks[[#This Row],[Ticker]] &amp; "-" &amp; DATE(YEAR(T_Stocks[[#This Row],[Fecha]]),MONTH(T_Stocks[[#This Row],[Fecha]]),DAY(T_Stocks[[#This Row],[Fecha]]))</f>
        <v>PRHSX-45120</v>
      </c>
    </row>
    <row r="6263" spans="1:4" ht="14.65" thickBot="1" x14ac:dyDescent="0.5">
      <c r="A6263" s="17">
        <v>45121.666666666664</v>
      </c>
      <c r="B6263" s="19">
        <v>90.03</v>
      </c>
      <c r="C6263" t="s">
        <v>51</v>
      </c>
      <c r="D6263" t="str">
        <f>T_Stocks[[#This Row],[Ticker]] &amp; "-" &amp; DATE(YEAR(T_Stocks[[#This Row],[Fecha]]),MONTH(T_Stocks[[#This Row],[Fecha]]),DAY(T_Stocks[[#This Row],[Fecha]]))</f>
        <v>PRHSX-45121</v>
      </c>
    </row>
    <row r="6264" spans="1:4" ht="14.65" thickBot="1" x14ac:dyDescent="0.5">
      <c r="A6264" s="17">
        <v>45124.666666666664</v>
      </c>
      <c r="B6264" s="19">
        <v>89.91</v>
      </c>
      <c r="C6264" t="s">
        <v>51</v>
      </c>
      <c r="D6264" t="str">
        <f>T_Stocks[[#This Row],[Ticker]] &amp; "-" &amp; DATE(YEAR(T_Stocks[[#This Row],[Fecha]]),MONTH(T_Stocks[[#This Row],[Fecha]]),DAY(T_Stocks[[#This Row],[Fecha]]))</f>
        <v>PRHSX-45124</v>
      </c>
    </row>
    <row r="6265" spans="1:4" ht="14.65" thickBot="1" x14ac:dyDescent="0.5">
      <c r="A6265" s="17">
        <v>45125.666666666664</v>
      </c>
      <c r="B6265" s="19">
        <v>90.34</v>
      </c>
      <c r="C6265" t="s">
        <v>51</v>
      </c>
      <c r="D6265" t="str">
        <f>T_Stocks[[#This Row],[Ticker]] &amp; "-" &amp; DATE(YEAR(T_Stocks[[#This Row],[Fecha]]),MONTH(T_Stocks[[#This Row],[Fecha]]),DAY(T_Stocks[[#This Row],[Fecha]]))</f>
        <v>PRHSX-45125</v>
      </c>
    </row>
    <row r="6266" spans="1:4" ht="14.65" thickBot="1" x14ac:dyDescent="0.5">
      <c r="A6266" s="17">
        <v>45126.666666666664</v>
      </c>
      <c r="B6266" s="19">
        <v>90.77</v>
      </c>
      <c r="C6266" t="s">
        <v>51</v>
      </c>
      <c r="D6266" t="str">
        <f>T_Stocks[[#This Row],[Ticker]] &amp; "-" &amp; DATE(YEAR(T_Stocks[[#This Row],[Fecha]]),MONTH(T_Stocks[[#This Row],[Fecha]]),DAY(T_Stocks[[#This Row],[Fecha]]))</f>
        <v>PRHSX-45126</v>
      </c>
    </row>
    <row r="6267" spans="1:4" ht="14.65" thickBot="1" x14ac:dyDescent="0.5">
      <c r="A6267" s="17">
        <v>45127.666666666664</v>
      </c>
      <c r="B6267" s="19">
        <v>91.06</v>
      </c>
      <c r="C6267" t="s">
        <v>51</v>
      </c>
      <c r="D6267" t="str">
        <f>T_Stocks[[#This Row],[Ticker]] &amp; "-" &amp; DATE(YEAR(T_Stocks[[#This Row],[Fecha]]),MONTH(T_Stocks[[#This Row],[Fecha]]),DAY(T_Stocks[[#This Row],[Fecha]]))</f>
        <v>PRHSX-45127</v>
      </c>
    </row>
    <row r="6268" spans="1:4" ht="14.65" thickBot="1" x14ac:dyDescent="0.5">
      <c r="A6268" s="17">
        <v>45128.666666666664</v>
      </c>
      <c r="B6268" s="19">
        <v>91.69</v>
      </c>
      <c r="C6268" t="s">
        <v>51</v>
      </c>
      <c r="D6268" t="str">
        <f>T_Stocks[[#This Row],[Ticker]] &amp; "-" &amp; DATE(YEAR(T_Stocks[[#This Row],[Fecha]]),MONTH(T_Stocks[[#This Row],[Fecha]]),DAY(T_Stocks[[#This Row],[Fecha]]))</f>
        <v>PRHSX-45128</v>
      </c>
    </row>
    <row r="6269" spans="1:4" ht="14.65" thickBot="1" x14ac:dyDescent="0.5">
      <c r="A6269" s="17">
        <v>45131.666666666664</v>
      </c>
      <c r="B6269" s="19">
        <v>90.88</v>
      </c>
      <c r="C6269" t="s">
        <v>51</v>
      </c>
      <c r="D6269" t="str">
        <f>T_Stocks[[#This Row],[Ticker]] &amp; "-" &amp; DATE(YEAR(T_Stocks[[#This Row],[Fecha]]),MONTH(T_Stocks[[#This Row],[Fecha]]),DAY(T_Stocks[[#This Row],[Fecha]]))</f>
        <v>PRHSX-45131</v>
      </c>
    </row>
    <row r="6270" spans="1:4" ht="14.65" thickBot="1" x14ac:dyDescent="0.5">
      <c r="A6270" s="17">
        <v>45132.666666666664</v>
      </c>
      <c r="B6270" s="19">
        <v>91.02</v>
      </c>
      <c r="C6270" t="s">
        <v>51</v>
      </c>
      <c r="D6270" t="str">
        <f>T_Stocks[[#This Row],[Ticker]] &amp; "-" &amp; DATE(YEAR(T_Stocks[[#This Row],[Fecha]]),MONTH(T_Stocks[[#This Row],[Fecha]]),DAY(T_Stocks[[#This Row],[Fecha]]))</f>
        <v>PRHSX-45132</v>
      </c>
    </row>
    <row r="6271" spans="1:4" ht="14.65" thickBot="1" x14ac:dyDescent="0.5">
      <c r="A6271" s="17">
        <v>45133.666666666664</v>
      </c>
      <c r="B6271" s="19">
        <v>90.97</v>
      </c>
      <c r="C6271" t="s">
        <v>51</v>
      </c>
      <c r="D6271" t="str">
        <f>T_Stocks[[#This Row],[Ticker]] &amp; "-" &amp; DATE(YEAR(T_Stocks[[#This Row],[Fecha]]),MONTH(T_Stocks[[#This Row],[Fecha]]),DAY(T_Stocks[[#This Row],[Fecha]]))</f>
        <v>PRHSX-45133</v>
      </c>
    </row>
    <row r="6272" spans="1:4" ht="14.65" thickBot="1" x14ac:dyDescent="0.5">
      <c r="A6272" s="17">
        <v>45134.666666666664</v>
      </c>
      <c r="B6272" s="19">
        <v>90.06</v>
      </c>
      <c r="C6272" t="s">
        <v>51</v>
      </c>
      <c r="D6272" t="str">
        <f>T_Stocks[[#This Row],[Ticker]] &amp; "-" &amp; DATE(YEAR(T_Stocks[[#This Row],[Fecha]]),MONTH(T_Stocks[[#This Row],[Fecha]]),DAY(T_Stocks[[#This Row],[Fecha]]))</f>
        <v>PRHSX-45134</v>
      </c>
    </row>
    <row r="6273" spans="1:4" ht="14.65" thickBot="1" x14ac:dyDescent="0.5">
      <c r="A6273" s="17">
        <v>45135.666666666664</v>
      </c>
      <c r="B6273" s="19">
        <v>90.94</v>
      </c>
      <c r="C6273" t="s">
        <v>51</v>
      </c>
      <c r="D6273" t="str">
        <f>T_Stocks[[#This Row],[Ticker]] &amp; "-" &amp; DATE(YEAR(T_Stocks[[#This Row],[Fecha]]),MONTH(T_Stocks[[#This Row],[Fecha]]),DAY(T_Stocks[[#This Row],[Fecha]]))</f>
        <v>PRHSX-45135</v>
      </c>
    </row>
    <row r="6274" spans="1:4" ht="14.65" thickBot="1" x14ac:dyDescent="0.5">
      <c r="A6274" s="17">
        <v>45138.666666666664</v>
      </c>
      <c r="B6274" s="19">
        <v>90.64</v>
      </c>
      <c r="C6274" t="s">
        <v>51</v>
      </c>
      <c r="D6274" t="str">
        <f>T_Stocks[[#This Row],[Ticker]] &amp; "-" &amp; DATE(YEAR(T_Stocks[[#This Row],[Fecha]]),MONTH(T_Stocks[[#This Row],[Fecha]]),DAY(T_Stocks[[#This Row],[Fecha]]))</f>
        <v>PRHSX-45138</v>
      </c>
    </row>
    <row r="6275" spans="1:4" ht="14.65" thickBot="1" x14ac:dyDescent="0.5">
      <c r="A6275" s="17">
        <v>45139.666666666664</v>
      </c>
      <c r="B6275" s="19">
        <v>90.03</v>
      </c>
      <c r="C6275" t="s">
        <v>51</v>
      </c>
      <c r="D6275" t="str">
        <f>T_Stocks[[#This Row],[Ticker]] &amp; "-" &amp; DATE(YEAR(T_Stocks[[#This Row],[Fecha]]),MONTH(T_Stocks[[#This Row],[Fecha]]),DAY(T_Stocks[[#This Row],[Fecha]]))</f>
        <v>PRHSX-45139</v>
      </c>
    </row>
    <row r="6276" spans="1:4" ht="14.65" thickBot="1" x14ac:dyDescent="0.5">
      <c r="A6276" s="17">
        <v>45140.666666666664</v>
      </c>
      <c r="B6276" s="19">
        <v>89.39</v>
      </c>
      <c r="C6276" t="s">
        <v>51</v>
      </c>
      <c r="D6276" t="str">
        <f>T_Stocks[[#This Row],[Ticker]] &amp; "-" &amp; DATE(YEAR(T_Stocks[[#This Row],[Fecha]]),MONTH(T_Stocks[[#This Row],[Fecha]]),DAY(T_Stocks[[#This Row],[Fecha]]))</f>
        <v>PRHSX-45140</v>
      </c>
    </row>
    <row r="6277" spans="1:4" ht="14.65" thickBot="1" x14ac:dyDescent="0.5">
      <c r="A6277" s="17">
        <v>45141.666666666664</v>
      </c>
      <c r="B6277" s="19">
        <v>88.76</v>
      </c>
      <c r="C6277" t="s">
        <v>51</v>
      </c>
      <c r="D6277" t="str">
        <f>T_Stocks[[#This Row],[Ticker]] &amp; "-" &amp; DATE(YEAR(T_Stocks[[#This Row],[Fecha]]),MONTH(T_Stocks[[#This Row],[Fecha]]),DAY(T_Stocks[[#This Row],[Fecha]]))</f>
        <v>PRHSX-45141</v>
      </c>
    </row>
    <row r="6278" spans="1:4" ht="14.65" thickBot="1" x14ac:dyDescent="0.5">
      <c r="A6278" s="17">
        <v>45142.666666666664</v>
      </c>
      <c r="B6278" s="19">
        <v>88.42</v>
      </c>
      <c r="C6278" t="s">
        <v>51</v>
      </c>
      <c r="D6278" t="str">
        <f>T_Stocks[[#This Row],[Ticker]] &amp; "-" &amp; DATE(YEAR(T_Stocks[[#This Row],[Fecha]]),MONTH(T_Stocks[[#This Row],[Fecha]]),DAY(T_Stocks[[#This Row],[Fecha]]))</f>
        <v>PRHSX-45142</v>
      </c>
    </row>
    <row r="6279" spans="1:4" ht="14.65" thickBot="1" x14ac:dyDescent="0.5">
      <c r="A6279" s="17">
        <v>45145.666666666664</v>
      </c>
      <c r="B6279" s="19">
        <v>88.46</v>
      </c>
      <c r="C6279" t="s">
        <v>51</v>
      </c>
      <c r="D6279" t="str">
        <f>T_Stocks[[#This Row],[Ticker]] &amp; "-" &amp; DATE(YEAR(T_Stocks[[#This Row],[Fecha]]),MONTH(T_Stocks[[#This Row],[Fecha]]),DAY(T_Stocks[[#This Row],[Fecha]]))</f>
        <v>PRHSX-45145</v>
      </c>
    </row>
    <row r="6280" spans="1:4" ht="14.65" thickBot="1" x14ac:dyDescent="0.5">
      <c r="A6280" s="17">
        <v>45146.666666666664</v>
      </c>
      <c r="B6280" s="19">
        <v>89.14</v>
      </c>
      <c r="C6280" t="s">
        <v>51</v>
      </c>
      <c r="D6280" t="str">
        <f>T_Stocks[[#This Row],[Ticker]] &amp; "-" &amp; DATE(YEAR(T_Stocks[[#This Row],[Fecha]]),MONTH(T_Stocks[[#This Row],[Fecha]]),DAY(T_Stocks[[#This Row],[Fecha]]))</f>
        <v>PRHSX-45146</v>
      </c>
    </row>
    <row r="6281" spans="1:4" ht="14.65" thickBot="1" x14ac:dyDescent="0.5">
      <c r="A6281" s="17">
        <v>45147.666666666664</v>
      </c>
      <c r="B6281" s="19">
        <v>89.21</v>
      </c>
      <c r="C6281" t="s">
        <v>51</v>
      </c>
      <c r="D6281" t="str">
        <f>T_Stocks[[#This Row],[Ticker]] &amp; "-" &amp; DATE(YEAR(T_Stocks[[#This Row],[Fecha]]),MONTH(T_Stocks[[#This Row],[Fecha]]),DAY(T_Stocks[[#This Row],[Fecha]]))</f>
        <v>PRHSX-45147</v>
      </c>
    </row>
    <row r="6282" spans="1:4" ht="14.65" thickBot="1" x14ac:dyDescent="0.5">
      <c r="A6282" s="17">
        <v>45148.666666666664</v>
      </c>
      <c r="B6282" s="19">
        <v>89.33</v>
      </c>
      <c r="C6282" t="s">
        <v>51</v>
      </c>
      <c r="D6282" t="str">
        <f>T_Stocks[[#This Row],[Ticker]] &amp; "-" &amp; DATE(YEAR(T_Stocks[[#This Row],[Fecha]]),MONTH(T_Stocks[[#This Row],[Fecha]]),DAY(T_Stocks[[#This Row],[Fecha]]))</f>
        <v>PRHSX-45148</v>
      </c>
    </row>
    <row r="6283" spans="1:4" ht="14.65" thickBot="1" x14ac:dyDescent="0.5">
      <c r="A6283" s="17">
        <v>45149.666666666664</v>
      </c>
      <c r="B6283" s="19">
        <v>89.58</v>
      </c>
      <c r="C6283" t="s">
        <v>51</v>
      </c>
      <c r="D6283" t="str">
        <f>T_Stocks[[#This Row],[Ticker]] &amp; "-" &amp; DATE(YEAR(T_Stocks[[#This Row],[Fecha]]),MONTH(T_Stocks[[#This Row],[Fecha]]),DAY(T_Stocks[[#This Row],[Fecha]]))</f>
        <v>PRHSX-45149</v>
      </c>
    </row>
    <row r="6284" spans="1:4" ht="14.65" thickBot="1" x14ac:dyDescent="0.5">
      <c r="A6284" s="17">
        <v>45152.666666666664</v>
      </c>
      <c r="B6284" s="19">
        <v>90.04</v>
      </c>
      <c r="C6284" t="s">
        <v>51</v>
      </c>
      <c r="D6284" t="str">
        <f>T_Stocks[[#This Row],[Ticker]] &amp; "-" &amp; DATE(YEAR(T_Stocks[[#This Row],[Fecha]]),MONTH(T_Stocks[[#This Row],[Fecha]]),DAY(T_Stocks[[#This Row],[Fecha]]))</f>
        <v>PRHSX-45152</v>
      </c>
    </row>
    <row r="6285" spans="1:4" ht="14.65" thickBot="1" x14ac:dyDescent="0.5">
      <c r="A6285" s="17">
        <v>45153.666666666664</v>
      </c>
      <c r="B6285" s="19">
        <v>89.71</v>
      </c>
      <c r="C6285" t="s">
        <v>51</v>
      </c>
      <c r="D6285" t="str">
        <f>T_Stocks[[#This Row],[Ticker]] &amp; "-" &amp; DATE(YEAR(T_Stocks[[#This Row],[Fecha]]),MONTH(T_Stocks[[#This Row],[Fecha]]),DAY(T_Stocks[[#This Row],[Fecha]]))</f>
        <v>PRHSX-45153</v>
      </c>
    </row>
    <row r="6286" spans="1:4" ht="14.65" thickBot="1" x14ac:dyDescent="0.5">
      <c r="A6286" s="17">
        <v>45154.666666666664</v>
      </c>
      <c r="B6286" s="19">
        <v>88.79</v>
      </c>
      <c r="C6286" t="s">
        <v>51</v>
      </c>
      <c r="D6286" t="str">
        <f>T_Stocks[[#This Row],[Ticker]] &amp; "-" &amp; DATE(YEAR(T_Stocks[[#This Row],[Fecha]]),MONTH(T_Stocks[[#This Row],[Fecha]]),DAY(T_Stocks[[#This Row],[Fecha]]))</f>
        <v>PRHSX-45154</v>
      </c>
    </row>
    <row r="6287" spans="1:4" ht="14.65" thickBot="1" x14ac:dyDescent="0.5">
      <c r="A6287" s="17">
        <v>45155.666666666664</v>
      </c>
      <c r="B6287" s="19">
        <v>87.89</v>
      </c>
      <c r="C6287" t="s">
        <v>51</v>
      </c>
      <c r="D6287" t="str">
        <f>T_Stocks[[#This Row],[Ticker]] &amp; "-" &amp; DATE(YEAR(T_Stocks[[#This Row],[Fecha]]),MONTH(T_Stocks[[#This Row],[Fecha]]),DAY(T_Stocks[[#This Row],[Fecha]]))</f>
        <v>PRHSX-45155</v>
      </c>
    </row>
    <row r="6288" spans="1:4" ht="14.65" thickBot="1" x14ac:dyDescent="0.5">
      <c r="A6288" s="17">
        <v>45156.666666666664</v>
      </c>
      <c r="B6288" s="19">
        <v>88.06</v>
      </c>
      <c r="C6288" t="s">
        <v>51</v>
      </c>
      <c r="D6288" t="str">
        <f>T_Stocks[[#This Row],[Ticker]] &amp; "-" &amp; DATE(YEAR(T_Stocks[[#This Row],[Fecha]]),MONTH(T_Stocks[[#This Row],[Fecha]]),DAY(T_Stocks[[#This Row],[Fecha]]))</f>
        <v>PRHSX-45156</v>
      </c>
    </row>
    <row r="6289" spans="1:4" ht="14.65" thickBot="1" x14ac:dyDescent="0.5">
      <c r="A6289" s="17">
        <v>45159.666666666664</v>
      </c>
      <c r="B6289" s="19">
        <v>88.75</v>
      </c>
      <c r="C6289" t="s">
        <v>51</v>
      </c>
      <c r="D6289" t="str">
        <f>T_Stocks[[#This Row],[Ticker]] &amp; "-" &amp; DATE(YEAR(T_Stocks[[#This Row],[Fecha]]),MONTH(T_Stocks[[#This Row],[Fecha]]),DAY(T_Stocks[[#This Row],[Fecha]]))</f>
        <v>PRHSX-45159</v>
      </c>
    </row>
    <row r="6290" spans="1:4" ht="14.65" thickBot="1" x14ac:dyDescent="0.5">
      <c r="A6290" s="17">
        <v>45160.666666666664</v>
      </c>
      <c r="B6290" s="19">
        <v>88.42</v>
      </c>
      <c r="C6290" t="s">
        <v>51</v>
      </c>
      <c r="D6290" t="str">
        <f>T_Stocks[[#This Row],[Ticker]] &amp; "-" &amp; DATE(YEAR(T_Stocks[[#This Row],[Fecha]]),MONTH(T_Stocks[[#This Row],[Fecha]]),DAY(T_Stocks[[#This Row],[Fecha]]))</f>
        <v>PRHSX-45160</v>
      </c>
    </row>
    <row r="6291" spans="1:4" ht="14.65" thickBot="1" x14ac:dyDescent="0.5">
      <c r="A6291" s="17">
        <v>45161.666666666664</v>
      </c>
      <c r="B6291" s="19">
        <v>89</v>
      </c>
      <c r="C6291" t="s">
        <v>51</v>
      </c>
      <c r="D6291" t="str">
        <f>T_Stocks[[#This Row],[Ticker]] &amp; "-" &amp; DATE(YEAR(T_Stocks[[#This Row],[Fecha]]),MONTH(T_Stocks[[#This Row],[Fecha]]),DAY(T_Stocks[[#This Row],[Fecha]]))</f>
        <v>PRHSX-45161</v>
      </c>
    </row>
    <row r="6292" spans="1:4" ht="14.65" thickBot="1" x14ac:dyDescent="0.5">
      <c r="A6292" s="17">
        <v>45162.666666666664</v>
      </c>
      <c r="B6292" s="19">
        <v>88.11</v>
      </c>
      <c r="C6292" t="s">
        <v>51</v>
      </c>
      <c r="D6292" t="str">
        <f>T_Stocks[[#This Row],[Ticker]] &amp; "-" &amp; DATE(YEAR(T_Stocks[[#This Row],[Fecha]]),MONTH(T_Stocks[[#This Row],[Fecha]]),DAY(T_Stocks[[#This Row],[Fecha]]))</f>
        <v>PRHSX-45162</v>
      </c>
    </row>
    <row r="6293" spans="1:4" ht="14.65" thickBot="1" x14ac:dyDescent="0.5">
      <c r="A6293" s="17">
        <v>45163.666666666664</v>
      </c>
      <c r="B6293" s="19">
        <v>88.74</v>
      </c>
      <c r="C6293" t="s">
        <v>51</v>
      </c>
      <c r="D6293" t="str">
        <f>T_Stocks[[#This Row],[Ticker]] &amp; "-" &amp; DATE(YEAR(T_Stocks[[#This Row],[Fecha]]),MONTH(T_Stocks[[#This Row],[Fecha]]),DAY(T_Stocks[[#This Row],[Fecha]]))</f>
        <v>PRHSX-45163</v>
      </c>
    </row>
    <row r="6294" spans="1:4" ht="14.65" thickBot="1" x14ac:dyDescent="0.5">
      <c r="A6294" s="17">
        <v>45166.666666666664</v>
      </c>
      <c r="B6294" s="19">
        <v>88.98</v>
      </c>
      <c r="C6294" t="s">
        <v>51</v>
      </c>
      <c r="D6294" t="str">
        <f>T_Stocks[[#This Row],[Ticker]] &amp; "-" &amp; DATE(YEAR(T_Stocks[[#This Row],[Fecha]]),MONTH(T_Stocks[[#This Row],[Fecha]]),DAY(T_Stocks[[#This Row],[Fecha]]))</f>
        <v>PRHSX-45166</v>
      </c>
    </row>
    <row r="6295" spans="1:4" ht="14.65" thickBot="1" x14ac:dyDescent="0.5">
      <c r="A6295" s="17">
        <v>45167.666666666664</v>
      </c>
      <c r="B6295" s="19">
        <v>89.85</v>
      </c>
      <c r="C6295" t="s">
        <v>51</v>
      </c>
      <c r="D6295" t="str">
        <f>T_Stocks[[#This Row],[Ticker]] &amp; "-" &amp; DATE(YEAR(T_Stocks[[#This Row],[Fecha]]),MONTH(T_Stocks[[#This Row],[Fecha]]),DAY(T_Stocks[[#This Row],[Fecha]]))</f>
        <v>PRHSX-45167</v>
      </c>
    </row>
    <row r="6296" spans="1:4" ht="14.65" thickBot="1" x14ac:dyDescent="0.5">
      <c r="A6296" s="17">
        <v>45168.666666666664</v>
      </c>
      <c r="B6296" s="19">
        <v>90.11</v>
      </c>
      <c r="C6296" t="s">
        <v>51</v>
      </c>
      <c r="D6296" t="str">
        <f>T_Stocks[[#This Row],[Ticker]] &amp; "-" &amp; DATE(YEAR(T_Stocks[[#This Row],[Fecha]]),MONTH(T_Stocks[[#This Row],[Fecha]]),DAY(T_Stocks[[#This Row],[Fecha]]))</f>
        <v>PRHSX-45168</v>
      </c>
    </row>
    <row r="6297" spans="1:4" ht="14.65" thickBot="1" x14ac:dyDescent="0.5">
      <c r="A6297" s="17">
        <v>45169.666666666664</v>
      </c>
      <c r="B6297" s="19">
        <v>89.27</v>
      </c>
      <c r="C6297" t="s">
        <v>51</v>
      </c>
      <c r="D6297" t="str">
        <f>T_Stocks[[#This Row],[Ticker]] &amp; "-" &amp; DATE(YEAR(T_Stocks[[#This Row],[Fecha]]),MONTH(T_Stocks[[#This Row],[Fecha]]),DAY(T_Stocks[[#This Row],[Fecha]]))</f>
        <v>PRHSX-45169</v>
      </c>
    </row>
    <row r="6298" spans="1:4" ht="14.65" thickBot="1" x14ac:dyDescent="0.5">
      <c r="A6298" s="17">
        <v>45170.666666666664</v>
      </c>
      <c r="B6298" s="19">
        <v>89.76</v>
      </c>
      <c r="C6298" t="s">
        <v>51</v>
      </c>
      <c r="D6298" t="str">
        <f>T_Stocks[[#This Row],[Ticker]] &amp; "-" &amp; DATE(YEAR(T_Stocks[[#This Row],[Fecha]]),MONTH(T_Stocks[[#This Row],[Fecha]]),DAY(T_Stocks[[#This Row],[Fecha]]))</f>
        <v>PRHSX-45170</v>
      </c>
    </row>
    <row r="6299" spans="1:4" ht="14.65" thickBot="1" x14ac:dyDescent="0.5">
      <c r="A6299" s="17">
        <v>45174.666666666664</v>
      </c>
      <c r="B6299" s="19">
        <v>89.05</v>
      </c>
      <c r="C6299" t="s">
        <v>51</v>
      </c>
      <c r="D6299" t="str">
        <f>T_Stocks[[#This Row],[Ticker]] &amp; "-" &amp; DATE(YEAR(T_Stocks[[#This Row],[Fecha]]),MONTH(T_Stocks[[#This Row],[Fecha]]),DAY(T_Stocks[[#This Row],[Fecha]]))</f>
        <v>PRHSX-45174</v>
      </c>
    </row>
    <row r="6300" spans="1:4" ht="14.65" thickBot="1" x14ac:dyDescent="0.5">
      <c r="A6300" s="17">
        <v>45175.666666666664</v>
      </c>
      <c r="B6300" s="19">
        <v>88.89</v>
      </c>
      <c r="C6300" t="s">
        <v>51</v>
      </c>
      <c r="D6300" t="str">
        <f>T_Stocks[[#This Row],[Ticker]] &amp; "-" &amp; DATE(YEAR(T_Stocks[[#This Row],[Fecha]]),MONTH(T_Stocks[[#This Row],[Fecha]]),DAY(T_Stocks[[#This Row],[Fecha]]))</f>
        <v>PRHSX-45175</v>
      </c>
    </row>
    <row r="6301" spans="1:4" ht="14.65" thickBot="1" x14ac:dyDescent="0.5">
      <c r="A6301" s="17">
        <v>45176.666666666664</v>
      </c>
      <c r="B6301" s="19">
        <v>89.05</v>
      </c>
      <c r="C6301" t="s">
        <v>51</v>
      </c>
      <c r="D6301" t="str">
        <f>T_Stocks[[#This Row],[Ticker]] &amp; "-" &amp; DATE(YEAR(T_Stocks[[#This Row],[Fecha]]),MONTH(T_Stocks[[#This Row],[Fecha]]),DAY(T_Stocks[[#This Row],[Fecha]]))</f>
        <v>PRHSX-45176</v>
      </c>
    </row>
    <row r="6302" spans="1:4" ht="14.65" thickBot="1" x14ac:dyDescent="0.5">
      <c r="A6302" s="17">
        <v>45177.666666666664</v>
      </c>
      <c r="B6302" s="19">
        <v>88.79</v>
      </c>
      <c r="C6302" t="s">
        <v>51</v>
      </c>
      <c r="D6302" t="str">
        <f>T_Stocks[[#This Row],[Ticker]] &amp; "-" &amp; DATE(YEAR(T_Stocks[[#This Row],[Fecha]]),MONTH(T_Stocks[[#This Row],[Fecha]]),DAY(T_Stocks[[#This Row],[Fecha]]))</f>
        <v>PRHSX-45177</v>
      </c>
    </row>
    <row r="6303" spans="1:4" ht="14.65" thickBot="1" x14ac:dyDescent="0.5">
      <c r="A6303" s="17">
        <v>45180.666666666664</v>
      </c>
      <c r="B6303" s="19">
        <v>89.43</v>
      </c>
      <c r="C6303" t="s">
        <v>51</v>
      </c>
      <c r="D6303" t="str">
        <f>T_Stocks[[#This Row],[Ticker]] &amp; "-" &amp; DATE(YEAR(T_Stocks[[#This Row],[Fecha]]),MONTH(T_Stocks[[#This Row],[Fecha]]),DAY(T_Stocks[[#This Row],[Fecha]]))</f>
        <v>PRHSX-45180</v>
      </c>
    </row>
    <row r="6304" spans="1:4" ht="14.65" thickBot="1" x14ac:dyDescent="0.5">
      <c r="A6304" s="17">
        <v>45181.666666666664</v>
      </c>
      <c r="B6304" s="19">
        <v>89.12</v>
      </c>
      <c r="C6304" t="s">
        <v>51</v>
      </c>
      <c r="D6304" t="str">
        <f>T_Stocks[[#This Row],[Ticker]] &amp; "-" &amp; DATE(YEAR(T_Stocks[[#This Row],[Fecha]]),MONTH(T_Stocks[[#This Row],[Fecha]]),DAY(T_Stocks[[#This Row],[Fecha]]))</f>
        <v>PRHSX-45181</v>
      </c>
    </row>
    <row r="6305" spans="1:4" ht="14.65" thickBot="1" x14ac:dyDescent="0.5">
      <c r="A6305" s="17">
        <v>45182.666666666664</v>
      </c>
      <c r="B6305" s="19">
        <v>88.92</v>
      </c>
      <c r="C6305" t="s">
        <v>51</v>
      </c>
      <c r="D6305" t="str">
        <f>T_Stocks[[#This Row],[Ticker]] &amp; "-" &amp; DATE(YEAR(T_Stocks[[#This Row],[Fecha]]),MONTH(T_Stocks[[#This Row],[Fecha]]),DAY(T_Stocks[[#This Row],[Fecha]]))</f>
        <v>PRHSX-45182</v>
      </c>
    </row>
    <row r="6306" spans="1:4" ht="14.65" thickBot="1" x14ac:dyDescent="0.5">
      <c r="A6306" s="17">
        <v>45183.666666666664</v>
      </c>
      <c r="B6306" s="19">
        <v>88.92</v>
      </c>
      <c r="C6306" t="s">
        <v>51</v>
      </c>
      <c r="D6306" t="str">
        <f>T_Stocks[[#This Row],[Ticker]] &amp; "-" &amp; DATE(YEAR(T_Stocks[[#This Row],[Fecha]]),MONTH(T_Stocks[[#This Row],[Fecha]]),DAY(T_Stocks[[#This Row],[Fecha]]))</f>
        <v>PRHSX-45183</v>
      </c>
    </row>
    <row r="6307" spans="1:4" ht="14.65" thickBot="1" x14ac:dyDescent="0.5">
      <c r="A6307" s="17">
        <v>45184.666666666664</v>
      </c>
      <c r="B6307" s="19">
        <v>88.3</v>
      </c>
      <c r="C6307" t="s">
        <v>51</v>
      </c>
      <c r="D6307" t="str">
        <f>T_Stocks[[#This Row],[Ticker]] &amp; "-" &amp; DATE(YEAR(T_Stocks[[#This Row],[Fecha]]),MONTH(T_Stocks[[#This Row],[Fecha]]),DAY(T_Stocks[[#This Row],[Fecha]]))</f>
        <v>PRHSX-45184</v>
      </c>
    </row>
    <row r="6308" spans="1:4" ht="14.65" thickBot="1" x14ac:dyDescent="0.5">
      <c r="A6308" s="17">
        <v>45187.666666666664</v>
      </c>
      <c r="B6308" s="19">
        <v>87.8</v>
      </c>
      <c r="C6308" t="s">
        <v>51</v>
      </c>
      <c r="D6308" t="str">
        <f>T_Stocks[[#This Row],[Ticker]] &amp; "-" &amp; DATE(YEAR(T_Stocks[[#This Row],[Fecha]]),MONTH(T_Stocks[[#This Row],[Fecha]]),DAY(T_Stocks[[#This Row],[Fecha]]))</f>
        <v>PRHSX-45187</v>
      </c>
    </row>
    <row r="6309" spans="1:4" ht="14.65" thickBot="1" x14ac:dyDescent="0.5">
      <c r="A6309" s="17">
        <v>45188.666666666664</v>
      </c>
      <c r="B6309" s="19">
        <v>87.76</v>
      </c>
      <c r="C6309" t="s">
        <v>51</v>
      </c>
      <c r="D6309" t="str">
        <f>T_Stocks[[#This Row],[Ticker]] &amp; "-" &amp; DATE(YEAR(T_Stocks[[#This Row],[Fecha]]),MONTH(T_Stocks[[#This Row],[Fecha]]),DAY(T_Stocks[[#This Row],[Fecha]]))</f>
        <v>PRHSX-45188</v>
      </c>
    </row>
    <row r="6310" spans="1:4" ht="14.65" thickBot="1" x14ac:dyDescent="0.5">
      <c r="A6310" s="17">
        <v>45189.666666666664</v>
      </c>
      <c r="B6310" s="19">
        <v>87.4</v>
      </c>
      <c r="C6310" t="s">
        <v>51</v>
      </c>
      <c r="D6310" t="str">
        <f>T_Stocks[[#This Row],[Ticker]] &amp; "-" &amp; DATE(YEAR(T_Stocks[[#This Row],[Fecha]]),MONTH(T_Stocks[[#This Row],[Fecha]]),DAY(T_Stocks[[#This Row],[Fecha]]))</f>
        <v>PRHSX-45189</v>
      </c>
    </row>
    <row r="6311" spans="1:4" ht="14.65" thickBot="1" x14ac:dyDescent="0.5">
      <c r="A6311" s="17">
        <v>45190.666666666664</v>
      </c>
      <c r="B6311" s="19">
        <v>86.46</v>
      </c>
      <c r="C6311" t="s">
        <v>51</v>
      </c>
      <c r="D6311" t="str">
        <f>T_Stocks[[#This Row],[Ticker]] &amp; "-" &amp; DATE(YEAR(T_Stocks[[#This Row],[Fecha]]),MONTH(T_Stocks[[#This Row],[Fecha]]),DAY(T_Stocks[[#This Row],[Fecha]]))</f>
        <v>PRHSX-45190</v>
      </c>
    </row>
    <row r="6312" spans="1:4" ht="14.65" thickBot="1" x14ac:dyDescent="0.5">
      <c r="A6312" s="17">
        <v>45191.666666666664</v>
      </c>
      <c r="B6312" s="19">
        <v>86.27</v>
      </c>
      <c r="C6312" t="s">
        <v>51</v>
      </c>
      <c r="D6312" t="str">
        <f>T_Stocks[[#This Row],[Ticker]] &amp; "-" &amp; DATE(YEAR(T_Stocks[[#This Row],[Fecha]]),MONTH(T_Stocks[[#This Row],[Fecha]]),DAY(T_Stocks[[#This Row],[Fecha]]))</f>
        <v>PRHSX-45191</v>
      </c>
    </row>
    <row r="6313" spans="1:4" ht="14.65" thickBot="1" x14ac:dyDescent="0.5">
      <c r="A6313" s="17">
        <v>45194.666666666664</v>
      </c>
      <c r="B6313" s="19">
        <v>86.59</v>
      </c>
      <c r="C6313" t="s">
        <v>51</v>
      </c>
      <c r="D6313" t="str">
        <f>T_Stocks[[#This Row],[Ticker]] &amp; "-" &amp; DATE(YEAR(T_Stocks[[#This Row],[Fecha]]),MONTH(T_Stocks[[#This Row],[Fecha]]),DAY(T_Stocks[[#This Row],[Fecha]]))</f>
        <v>PRHSX-45194</v>
      </c>
    </row>
    <row r="6314" spans="1:4" ht="14.65" thickBot="1" x14ac:dyDescent="0.5">
      <c r="A6314" s="17">
        <v>45195.666666666664</v>
      </c>
      <c r="B6314" s="19">
        <v>86.02</v>
      </c>
      <c r="C6314" t="s">
        <v>51</v>
      </c>
      <c r="D6314" t="str">
        <f>T_Stocks[[#This Row],[Ticker]] &amp; "-" &amp; DATE(YEAR(T_Stocks[[#This Row],[Fecha]]),MONTH(T_Stocks[[#This Row],[Fecha]]),DAY(T_Stocks[[#This Row],[Fecha]]))</f>
        <v>PRHSX-45195</v>
      </c>
    </row>
    <row r="6315" spans="1:4" ht="14.65" thickBot="1" x14ac:dyDescent="0.5">
      <c r="A6315" s="17">
        <v>45196.666666666664</v>
      </c>
      <c r="B6315" s="19">
        <v>86</v>
      </c>
      <c r="C6315" t="s">
        <v>51</v>
      </c>
      <c r="D6315" t="str">
        <f>T_Stocks[[#This Row],[Ticker]] &amp; "-" &amp; DATE(YEAR(T_Stocks[[#This Row],[Fecha]]),MONTH(T_Stocks[[#This Row],[Fecha]]),DAY(T_Stocks[[#This Row],[Fecha]]))</f>
        <v>PRHSX-45196</v>
      </c>
    </row>
    <row r="6316" spans="1:4" ht="14.65" thickBot="1" x14ac:dyDescent="0.5">
      <c r="A6316" s="17">
        <v>45197.666666666664</v>
      </c>
      <c r="B6316" s="19">
        <v>86.46</v>
      </c>
      <c r="C6316" t="s">
        <v>51</v>
      </c>
      <c r="D6316" t="str">
        <f>T_Stocks[[#This Row],[Ticker]] &amp; "-" &amp; DATE(YEAR(T_Stocks[[#This Row],[Fecha]]),MONTH(T_Stocks[[#This Row],[Fecha]]),DAY(T_Stocks[[#This Row],[Fecha]]))</f>
        <v>PRHSX-45197</v>
      </c>
    </row>
    <row r="6317" spans="1:4" ht="14.65" thickBot="1" x14ac:dyDescent="0.5">
      <c r="A6317" s="17">
        <v>45198.666666666664</v>
      </c>
      <c r="B6317" s="19">
        <v>85.83</v>
      </c>
      <c r="C6317" t="s">
        <v>51</v>
      </c>
      <c r="D6317" t="str">
        <f>T_Stocks[[#This Row],[Ticker]] &amp; "-" &amp; DATE(YEAR(T_Stocks[[#This Row],[Fecha]]),MONTH(T_Stocks[[#This Row],[Fecha]]),DAY(T_Stocks[[#This Row],[Fecha]]))</f>
        <v>PRHSX-45198</v>
      </c>
    </row>
    <row r="6318" spans="1:4" ht="14.65" thickBot="1" x14ac:dyDescent="0.5">
      <c r="A6318" s="17">
        <v>45201.666666666664</v>
      </c>
      <c r="B6318" s="19">
        <v>85.31</v>
      </c>
      <c r="C6318" t="s">
        <v>51</v>
      </c>
      <c r="D6318" t="str">
        <f>T_Stocks[[#This Row],[Ticker]] &amp; "-" &amp; DATE(YEAR(T_Stocks[[#This Row],[Fecha]]),MONTH(T_Stocks[[#This Row],[Fecha]]),DAY(T_Stocks[[#This Row],[Fecha]]))</f>
        <v>PRHSX-45201</v>
      </c>
    </row>
    <row r="6319" spans="1:4" ht="14.65" thickBot="1" x14ac:dyDescent="0.5">
      <c r="A6319" s="17">
        <v>45202.666666666664</v>
      </c>
      <c r="B6319" s="19">
        <v>84.33</v>
      </c>
      <c r="C6319" t="s">
        <v>51</v>
      </c>
      <c r="D6319" t="str">
        <f>T_Stocks[[#This Row],[Ticker]] &amp; "-" &amp; DATE(YEAR(T_Stocks[[#This Row],[Fecha]]),MONTH(T_Stocks[[#This Row],[Fecha]]),DAY(T_Stocks[[#This Row],[Fecha]]))</f>
        <v>PRHSX-45202</v>
      </c>
    </row>
    <row r="6320" spans="1:4" ht="14.65" thickBot="1" x14ac:dyDescent="0.5">
      <c r="A6320" s="17">
        <v>45203.666666666664</v>
      </c>
      <c r="B6320" s="19">
        <v>84.54</v>
      </c>
      <c r="C6320" t="s">
        <v>51</v>
      </c>
      <c r="D6320" t="str">
        <f>T_Stocks[[#This Row],[Ticker]] &amp; "-" &amp; DATE(YEAR(T_Stocks[[#This Row],[Fecha]]),MONTH(T_Stocks[[#This Row],[Fecha]]),DAY(T_Stocks[[#This Row],[Fecha]]))</f>
        <v>PRHSX-45203</v>
      </c>
    </row>
    <row r="6321" spans="1:4" ht="14.65" thickBot="1" x14ac:dyDescent="0.5">
      <c r="A6321" s="17">
        <v>45204.666666666664</v>
      </c>
      <c r="B6321" s="19">
        <v>85.48</v>
      </c>
      <c r="C6321" t="s">
        <v>51</v>
      </c>
      <c r="D6321" t="str">
        <f>T_Stocks[[#This Row],[Ticker]] &amp; "-" &amp; DATE(YEAR(T_Stocks[[#This Row],[Fecha]]),MONTH(T_Stocks[[#This Row],[Fecha]]),DAY(T_Stocks[[#This Row],[Fecha]]))</f>
        <v>PRHSX-45204</v>
      </c>
    </row>
    <row r="6322" spans="1:4" ht="14.65" thickBot="1" x14ac:dyDescent="0.5">
      <c r="A6322" s="17">
        <v>45205.666666666664</v>
      </c>
      <c r="B6322" s="19">
        <v>86.37</v>
      </c>
      <c r="C6322" t="s">
        <v>51</v>
      </c>
      <c r="D6322" t="str">
        <f>T_Stocks[[#This Row],[Ticker]] &amp; "-" &amp; DATE(YEAR(T_Stocks[[#This Row],[Fecha]]),MONTH(T_Stocks[[#This Row],[Fecha]]),DAY(T_Stocks[[#This Row],[Fecha]]))</f>
        <v>PRHSX-45205</v>
      </c>
    </row>
    <row r="6323" spans="1:4" ht="14.65" thickBot="1" x14ac:dyDescent="0.5">
      <c r="A6323" s="17">
        <v>45208.666666666664</v>
      </c>
      <c r="B6323" s="19">
        <v>86.42</v>
      </c>
      <c r="C6323" t="s">
        <v>51</v>
      </c>
      <c r="D6323" t="str">
        <f>T_Stocks[[#This Row],[Ticker]] &amp; "-" &amp; DATE(YEAR(T_Stocks[[#This Row],[Fecha]]),MONTH(T_Stocks[[#This Row],[Fecha]]),DAY(T_Stocks[[#This Row],[Fecha]]))</f>
        <v>PRHSX-45208</v>
      </c>
    </row>
    <row r="6324" spans="1:4" ht="14.65" thickBot="1" x14ac:dyDescent="0.5">
      <c r="A6324" s="17">
        <v>45209.666666666664</v>
      </c>
      <c r="B6324" s="19">
        <v>86.95</v>
      </c>
      <c r="C6324" t="s">
        <v>51</v>
      </c>
      <c r="D6324" t="str">
        <f>T_Stocks[[#This Row],[Ticker]] &amp; "-" &amp; DATE(YEAR(T_Stocks[[#This Row],[Fecha]]),MONTH(T_Stocks[[#This Row],[Fecha]]),DAY(T_Stocks[[#This Row],[Fecha]]))</f>
        <v>PRHSX-45209</v>
      </c>
    </row>
    <row r="6325" spans="1:4" ht="14.65" thickBot="1" x14ac:dyDescent="0.5">
      <c r="A6325" s="17">
        <v>45210.666666666664</v>
      </c>
      <c r="B6325" s="19">
        <v>86.61</v>
      </c>
      <c r="C6325" t="s">
        <v>51</v>
      </c>
      <c r="D6325" t="str">
        <f>T_Stocks[[#This Row],[Ticker]] &amp; "-" &amp; DATE(YEAR(T_Stocks[[#This Row],[Fecha]]),MONTH(T_Stocks[[#This Row],[Fecha]]),DAY(T_Stocks[[#This Row],[Fecha]]))</f>
        <v>PRHSX-45210</v>
      </c>
    </row>
    <row r="6326" spans="1:4" ht="14.65" thickBot="1" x14ac:dyDescent="0.5">
      <c r="A6326" s="17">
        <v>45211.666666666664</v>
      </c>
      <c r="B6326" s="19">
        <v>85.42</v>
      </c>
      <c r="C6326" t="s">
        <v>51</v>
      </c>
      <c r="D6326" t="str">
        <f>T_Stocks[[#This Row],[Ticker]] &amp; "-" &amp; DATE(YEAR(T_Stocks[[#This Row],[Fecha]]),MONTH(T_Stocks[[#This Row],[Fecha]]),DAY(T_Stocks[[#This Row],[Fecha]]))</f>
        <v>PRHSX-45211</v>
      </c>
    </row>
    <row r="6327" spans="1:4" ht="14.65" thickBot="1" x14ac:dyDescent="0.5">
      <c r="A6327" s="17">
        <v>45212.666666666664</v>
      </c>
      <c r="B6327" s="19">
        <v>86.06</v>
      </c>
      <c r="C6327" t="s">
        <v>51</v>
      </c>
      <c r="D6327" t="str">
        <f>T_Stocks[[#This Row],[Ticker]] &amp; "-" &amp; DATE(YEAR(T_Stocks[[#This Row],[Fecha]]),MONTH(T_Stocks[[#This Row],[Fecha]]),DAY(T_Stocks[[#This Row],[Fecha]]))</f>
        <v>PRHSX-45212</v>
      </c>
    </row>
    <row r="6328" spans="1:4" ht="14.65" thickBot="1" x14ac:dyDescent="0.5">
      <c r="A6328" s="17">
        <v>45215.666666666664</v>
      </c>
      <c r="B6328" s="19">
        <v>86.9</v>
      </c>
      <c r="C6328" t="s">
        <v>51</v>
      </c>
      <c r="D6328" t="str">
        <f>T_Stocks[[#This Row],[Ticker]] &amp; "-" &amp; DATE(YEAR(T_Stocks[[#This Row],[Fecha]]),MONTH(T_Stocks[[#This Row],[Fecha]]),DAY(T_Stocks[[#This Row],[Fecha]]))</f>
        <v>PRHSX-45215</v>
      </c>
    </row>
    <row r="6329" spans="1:4" ht="14.65" thickBot="1" x14ac:dyDescent="0.5">
      <c r="A6329" s="17">
        <v>45216.666666666664</v>
      </c>
      <c r="B6329" s="19">
        <v>87.03</v>
      </c>
      <c r="C6329" t="s">
        <v>51</v>
      </c>
      <c r="D6329" t="str">
        <f>T_Stocks[[#This Row],[Ticker]] &amp; "-" &amp; DATE(YEAR(T_Stocks[[#This Row],[Fecha]]),MONTH(T_Stocks[[#This Row],[Fecha]]),DAY(T_Stocks[[#This Row],[Fecha]]))</f>
        <v>PRHSX-45216</v>
      </c>
    </row>
    <row r="6330" spans="1:4" ht="14.65" thickBot="1" x14ac:dyDescent="0.5">
      <c r="A6330" s="17">
        <v>45217.666666666664</v>
      </c>
      <c r="B6330" s="19">
        <v>85.85</v>
      </c>
      <c r="C6330" t="s">
        <v>51</v>
      </c>
      <c r="D6330" t="str">
        <f>T_Stocks[[#This Row],[Ticker]] &amp; "-" &amp; DATE(YEAR(T_Stocks[[#This Row],[Fecha]]),MONTH(T_Stocks[[#This Row],[Fecha]]),DAY(T_Stocks[[#This Row],[Fecha]]))</f>
        <v>PRHSX-45217</v>
      </c>
    </row>
    <row r="6331" spans="1:4" ht="14.65" thickBot="1" x14ac:dyDescent="0.5">
      <c r="A6331" s="17">
        <v>45218.666666666664</v>
      </c>
      <c r="B6331" s="19">
        <v>84.82</v>
      </c>
      <c r="C6331" t="s">
        <v>51</v>
      </c>
      <c r="D6331" t="str">
        <f>T_Stocks[[#This Row],[Ticker]] &amp; "-" &amp; DATE(YEAR(T_Stocks[[#This Row],[Fecha]]),MONTH(T_Stocks[[#This Row],[Fecha]]),DAY(T_Stocks[[#This Row],[Fecha]]))</f>
        <v>PRHSX-45218</v>
      </c>
    </row>
    <row r="6332" spans="1:4" ht="14.65" thickBot="1" x14ac:dyDescent="0.5">
      <c r="A6332" s="17">
        <v>45219.666666666664</v>
      </c>
      <c r="B6332" s="19">
        <v>84.31</v>
      </c>
      <c r="C6332" t="s">
        <v>51</v>
      </c>
      <c r="D6332" t="str">
        <f>T_Stocks[[#This Row],[Ticker]] &amp; "-" &amp; DATE(YEAR(T_Stocks[[#This Row],[Fecha]]),MONTH(T_Stocks[[#This Row],[Fecha]]),DAY(T_Stocks[[#This Row],[Fecha]]))</f>
        <v>PRHSX-45219</v>
      </c>
    </row>
    <row r="6333" spans="1:4" ht="14.65" thickBot="1" x14ac:dyDescent="0.5">
      <c r="A6333" s="17">
        <v>45222.666666666664</v>
      </c>
      <c r="B6333" s="19">
        <v>83.65</v>
      </c>
      <c r="C6333" t="s">
        <v>51</v>
      </c>
      <c r="D6333" t="str">
        <f>T_Stocks[[#This Row],[Ticker]] &amp; "-" &amp; DATE(YEAR(T_Stocks[[#This Row],[Fecha]]),MONTH(T_Stocks[[#This Row],[Fecha]]),DAY(T_Stocks[[#This Row],[Fecha]]))</f>
        <v>PRHSX-45222</v>
      </c>
    </row>
    <row r="6334" spans="1:4" ht="14.65" thickBot="1" x14ac:dyDescent="0.5">
      <c r="A6334" s="17">
        <v>45223.666666666664</v>
      </c>
      <c r="B6334" s="19">
        <v>84.28</v>
      </c>
      <c r="C6334" t="s">
        <v>51</v>
      </c>
      <c r="D6334" t="str">
        <f>T_Stocks[[#This Row],[Ticker]] &amp; "-" &amp; DATE(YEAR(T_Stocks[[#This Row],[Fecha]]),MONTH(T_Stocks[[#This Row],[Fecha]]),DAY(T_Stocks[[#This Row],[Fecha]]))</f>
        <v>PRHSX-45223</v>
      </c>
    </row>
    <row r="6335" spans="1:4" ht="14.65" thickBot="1" x14ac:dyDescent="0.5">
      <c r="A6335" s="17">
        <v>45224.666666666664</v>
      </c>
      <c r="B6335" s="19">
        <v>83.02</v>
      </c>
      <c r="C6335" t="s">
        <v>51</v>
      </c>
      <c r="D6335" t="str">
        <f>T_Stocks[[#This Row],[Ticker]] &amp; "-" &amp; DATE(YEAR(T_Stocks[[#This Row],[Fecha]]),MONTH(T_Stocks[[#This Row],[Fecha]]),DAY(T_Stocks[[#This Row],[Fecha]]))</f>
        <v>PRHSX-45224</v>
      </c>
    </row>
    <row r="6336" spans="1:4" ht="14.65" thickBot="1" x14ac:dyDescent="0.5">
      <c r="A6336" s="17">
        <v>45225.666666666664</v>
      </c>
      <c r="B6336" s="19">
        <v>82.62</v>
      </c>
      <c r="C6336" t="s">
        <v>51</v>
      </c>
      <c r="D6336" t="str">
        <f>T_Stocks[[#This Row],[Ticker]] &amp; "-" &amp; DATE(YEAR(T_Stocks[[#This Row],[Fecha]]),MONTH(T_Stocks[[#This Row],[Fecha]]),DAY(T_Stocks[[#This Row],[Fecha]]))</f>
        <v>PRHSX-45225</v>
      </c>
    </row>
    <row r="6337" spans="1:4" ht="14.65" thickBot="1" x14ac:dyDescent="0.5">
      <c r="A6337" s="17">
        <v>45226.666666666664</v>
      </c>
      <c r="B6337" s="19">
        <v>81.459999999999994</v>
      </c>
      <c r="C6337" t="s">
        <v>51</v>
      </c>
      <c r="D6337" t="str">
        <f>T_Stocks[[#This Row],[Ticker]] &amp; "-" &amp; DATE(YEAR(T_Stocks[[#This Row],[Fecha]]),MONTH(T_Stocks[[#This Row],[Fecha]]),DAY(T_Stocks[[#This Row],[Fecha]]))</f>
        <v>PRHSX-45226</v>
      </c>
    </row>
    <row r="6338" spans="1:4" ht="14.65" thickBot="1" x14ac:dyDescent="0.5">
      <c r="A6338" s="17">
        <v>45229.666666666664</v>
      </c>
      <c r="B6338" s="19">
        <v>81.84</v>
      </c>
      <c r="C6338" t="s">
        <v>51</v>
      </c>
      <c r="D6338" t="str">
        <f>T_Stocks[[#This Row],[Ticker]] &amp; "-" &amp; DATE(YEAR(T_Stocks[[#This Row],[Fecha]]),MONTH(T_Stocks[[#This Row],[Fecha]]),DAY(T_Stocks[[#This Row],[Fecha]]))</f>
        <v>PRHSX-45229</v>
      </c>
    </row>
    <row r="6339" spans="1:4" ht="14.65" thickBot="1" x14ac:dyDescent="0.5">
      <c r="A6339" s="17">
        <v>45230.666666666664</v>
      </c>
      <c r="B6339" s="19">
        <v>82.49</v>
      </c>
      <c r="C6339" t="s">
        <v>51</v>
      </c>
      <c r="D6339" t="str">
        <f>T_Stocks[[#This Row],[Ticker]] &amp; "-" &amp; DATE(YEAR(T_Stocks[[#This Row],[Fecha]]),MONTH(T_Stocks[[#This Row],[Fecha]]),DAY(T_Stocks[[#This Row],[Fecha]]))</f>
        <v>PRHSX-45230</v>
      </c>
    </row>
    <row r="6340" spans="1:4" ht="14.65" thickBot="1" x14ac:dyDescent="0.5">
      <c r="A6340" s="17">
        <v>45231.666666666664</v>
      </c>
      <c r="B6340" s="19">
        <v>82.96</v>
      </c>
      <c r="C6340" t="s">
        <v>51</v>
      </c>
      <c r="D6340" t="str">
        <f>T_Stocks[[#This Row],[Ticker]] &amp; "-" &amp; DATE(YEAR(T_Stocks[[#This Row],[Fecha]]),MONTH(T_Stocks[[#This Row],[Fecha]]),DAY(T_Stocks[[#This Row],[Fecha]]))</f>
        <v>PRHSX-45231</v>
      </c>
    </row>
    <row r="6341" spans="1:4" ht="14.65" thickBot="1" x14ac:dyDescent="0.5">
      <c r="A6341" s="17">
        <v>45232.666666666664</v>
      </c>
      <c r="B6341" s="19">
        <v>84.09</v>
      </c>
      <c r="C6341" t="s">
        <v>51</v>
      </c>
      <c r="D6341" t="str">
        <f>T_Stocks[[#This Row],[Ticker]] &amp; "-" &amp; DATE(YEAR(T_Stocks[[#This Row],[Fecha]]),MONTH(T_Stocks[[#This Row],[Fecha]]),DAY(T_Stocks[[#This Row],[Fecha]]))</f>
        <v>PRHSX-45232</v>
      </c>
    </row>
    <row r="6342" spans="1:4" ht="14.65" thickBot="1" x14ac:dyDescent="0.5">
      <c r="A6342" s="17">
        <v>45233.666666666664</v>
      </c>
      <c r="B6342" s="19">
        <v>84.82</v>
      </c>
      <c r="C6342" t="s">
        <v>51</v>
      </c>
      <c r="D6342" t="str">
        <f>T_Stocks[[#This Row],[Ticker]] &amp; "-" &amp; DATE(YEAR(T_Stocks[[#This Row],[Fecha]]),MONTH(T_Stocks[[#This Row],[Fecha]]),DAY(T_Stocks[[#This Row],[Fecha]]))</f>
        <v>PRHSX-45233</v>
      </c>
    </row>
    <row r="6343" spans="1:4" ht="14.65" thickBot="1" x14ac:dyDescent="0.5">
      <c r="A6343" s="17">
        <v>45236.666666666664</v>
      </c>
      <c r="B6343" s="19">
        <v>84.99</v>
      </c>
      <c r="C6343" t="s">
        <v>51</v>
      </c>
      <c r="D6343" t="str">
        <f>T_Stocks[[#This Row],[Ticker]] &amp; "-" &amp; DATE(YEAR(T_Stocks[[#This Row],[Fecha]]),MONTH(T_Stocks[[#This Row],[Fecha]]),DAY(T_Stocks[[#This Row],[Fecha]]))</f>
        <v>PRHSX-45236</v>
      </c>
    </row>
    <row r="6344" spans="1:4" ht="14.65" thickBot="1" x14ac:dyDescent="0.5">
      <c r="A6344" s="17">
        <v>45237.666666666664</v>
      </c>
      <c r="B6344" s="19">
        <v>85.27</v>
      </c>
      <c r="C6344" t="s">
        <v>51</v>
      </c>
      <c r="D6344" t="str">
        <f>T_Stocks[[#This Row],[Ticker]] &amp; "-" &amp; DATE(YEAR(T_Stocks[[#This Row],[Fecha]]),MONTH(T_Stocks[[#This Row],[Fecha]]),DAY(T_Stocks[[#This Row],[Fecha]]))</f>
        <v>PRHSX-45237</v>
      </c>
    </row>
    <row r="6345" spans="1:4" ht="14.65" thickBot="1" x14ac:dyDescent="0.5">
      <c r="A6345" s="17">
        <v>45238.666666666664</v>
      </c>
      <c r="B6345" s="19">
        <v>84.9</v>
      </c>
      <c r="C6345" t="s">
        <v>51</v>
      </c>
      <c r="D6345" t="str">
        <f>T_Stocks[[#This Row],[Ticker]] &amp; "-" &amp; DATE(YEAR(T_Stocks[[#This Row],[Fecha]]),MONTH(T_Stocks[[#This Row],[Fecha]]),DAY(T_Stocks[[#This Row],[Fecha]]))</f>
        <v>PRHSX-45238</v>
      </c>
    </row>
    <row r="6346" spans="1:4" ht="14.65" thickBot="1" x14ac:dyDescent="0.5">
      <c r="A6346" s="17">
        <v>45239.666666666664</v>
      </c>
      <c r="B6346" s="19">
        <v>82.98</v>
      </c>
      <c r="C6346" t="s">
        <v>51</v>
      </c>
      <c r="D6346" t="str">
        <f>T_Stocks[[#This Row],[Ticker]] &amp; "-" &amp; DATE(YEAR(T_Stocks[[#This Row],[Fecha]]),MONTH(T_Stocks[[#This Row],[Fecha]]),DAY(T_Stocks[[#This Row],[Fecha]]))</f>
        <v>PRHSX-45239</v>
      </c>
    </row>
    <row r="6347" spans="1:4" ht="14.65" thickBot="1" x14ac:dyDescent="0.5">
      <c r="A6347" s="17">
        <v>45240.666666666664</v>
      </c>
      <c r="B6347" s="19">
        <v>83.41</v>
      </c>
      <c r="C6347" t="s">
        <v>51</v>
      </c>
      <c r="D6347" t="str">
        <f>T_Stocks[[#This Row],[Ticker]] &amp; "-" &amp; DATE(YEAR(T_Stocks[[#This Row],[Fecha]]),MONTH(T_Stocks[[#This Row],[Fecha]]),DAY(T_Stocks[[#This Row],[Fecha]]))</f>
        <v>PRHSX-45240</v>
      </c>
    </row>
    <row r="6348" spans="1:4" ht="14.65" thickBot="1" x14ac:dyDescent="0.5">
      <c r="A6348" s="17">
        <v>45243.666666666664</v>
      </c>
      <c r="B6348" s="19">
        <v>84.07</v>
      </c>
      <c r="C6348" t="s">
        <v>51</v>
      </c>
      <c r="D6348" t="str">
        <f>T_Stocks[[#This Row],[Ticker]] &amp; "-" &amp; DATE(YEAR(T_Stocks[[#This Row],[Fecha]]),MONTH(T_Stocks[[#This Row],[Fecha]]),DAY(T_Stocks[[#This Row],[Fecha]]))</f>
        <v>PRHSX-45243</v>
      </c>
    </row>
    <row r="6349" spans="1:4" ht="14.65" thickBot="1" x14ac:dyDescent="0.5">
      <c r="A6349" s="17">
        <v>45244.666666666664</v>
      </c>
      <c r="B6349" s="19">
        <v>85.23</v>
      </c>
      <c r="C6349" t="s">
        <v>51</v>
      </c>
      <c r="D6349" t="str">
        <f>T_Stocks[[#This Row],[Ticker]] &amp; "-" &amp; DATE(YEAR(T_Stocks[[#This Row],[Fecha]]),MONTH(T_Stocks[[#This Row],[Fecha]]),DAY(T_Stocks[[#This Row],[Fecha]]))</f>
        <v>PRHSX-45244</v>
      </c>
    </row>
    <row r="6350" spans="1:4" ht="14.65" thickBot="1" x14ac:dyDescent="0.5">
      <c r="A6350" s="17">
        <v>45245.666666666664</v>
      </c>
      <c r="B6350" s="19">
        <v>84.96</v>
      </c>
      <c r="C6350" t="s">
        <v>51</v>
      </c>
      <c r="D6350" t="str">
        <f>T_Stocks[[#This Row],[Ticker]] &amp; "-" &amp; DATE(YEAR(T_Stocks[[#This Row],[Fecha]]),MONTH(T_Stocks[[#This Row],[Fecha]]),DAY(T_Stocks[[#This Row],[Fecha]]))</f>
        <v>PRHSX-45245</v>
      </c>
    </row>
    <row r="6351" spans="1:4" ht="14.65" thickBot="1" x14ac:dyDescent="0.5">
      <c r="A6351" s="17">
        <v>45246.666666666664</v>
      </c>
      <c r="B6351" s="19">
        <v>85.04</v>
      </c>
      <c r="C6351" t="s">
        <v>51</v>
      </c>
      <c r="D6351" t="str">
        <f>T_Stocks[[#This Row],[Ticker]] &amp; "-" &amp; DATE(YEAR(T_Stocks[[#This Row],[Fecha]]),MONTH(T_Stocks[[#This Row],[Fecha]]),DAY(T_Stocks[[#This Row],[Fecha]]))</f>
        <v>PRHSX-45246</v>
      </c>
    </row>
    <row r="6352" spans="1:4" ht="14.65" thickBot="1" x14ac:dyDescent="0.5">
      <c r="A6352" s="17">
        <v>45247.666666666664</v>
      </c>
      <c r="B6352" s="19">
        <v>85.22</v>
      </c>
      <c r="C6352" t="s">
        <v>51</v>
      </c>
      <c r="D6352" t="str">
        <f>T_Stocks[[#This Row],[Ticker]] &amp; "-" &amp; DATE(YEAR(T_Stocks[[#This Row],[Fecha]]),MONTH(T_Stocks[[#This Row],[Fecha]]),DAY(T_Stocks[[#This Row],[Fecha]]))</f>
        <v>PRHSX-45247</v>
      </c>
    </row>
    <row r="6353" spans="1:4" ht="14.65" thickBot="1" x14ac:dyDescent="0.5">
      <c r="A6353" s="17">
        <v>45250.666666666664</v>
      </c>
      <c r="B6353" s="19">
        <v>85.72</v>
      </c>
      <c r="C6353" t="s">
        <v>51</v>
      </c>
      <c r="D6353" t="str">
        <f>T_Stocks[[#This Row],[Ticker]] &amp; "-" &amp; DATE(YEAR(T_Stocks[[#This Row],[Fecha]]),MONTH(T_Stocks[[#This Row],[Fecha]]),DAY(T_Stocks[[#This Row],[Fecha]]))</f>
        <v>PRHSX-45250</v>
      </c>
    </row>
    <row r="6354" spans="1:4" ht="14.65" thickBot="1" x14ac:dyDescent="0.5">
      <c r="A6354" s="17">
        <v>45251.666666666664</v>
      </c>
      <c r="B6354" s="19">
        <v>85.89</v>
      </c>
      <c r="C6354" t="s">
        <v>51</v>
      </c>
      <c r="D6354" t="str">
        <f>T_Stocks[[#This Row],[Ticker]] &amp; "-" &amp; DATE(YEAR(T_Stocks[[#This Row],[Fecha]]),MONTH(T_Stocks[[#This Row],[Fecha]]),DAY(T_Stocks[[#This Row],[Fecha]]))</f>
        <v>PRHSX-45251</v>
      </c>
    </row>
    <row r="6355" spans="1:4" ht="14.65" thickBot="1" x14ac:dyDescent="0.5">
      <c r="A6355" s="17">
        <v>45252.666666666664</v>
      </c>
      <c r="B6355" s="19">
        <v>86.41</v>
      </c>
      <c r="C6355" t="s">
        <v>51</v>
      </c>
      <c r="D6355" t="str">
        <f>T_Stocks[[#This Row],[Ticker]] &amp; "-" &amp; DATE(YEAR(T_Stocks[[#This Row],[Fecha]]),MONTH(T_Stocks[[#This Row],[Fecha]]),DAY(T_Stocks[[#This Row],[Fecha]]))</f>
        <v>PRHSX-45252</v>
      </c>
    </row>
    <row r="6356" spans="1:4" ht="14.65" thickBot="1" x14ac:dyDescent="0.5">
      <c r="A6356" s="17">
        <v>45254.541666666664</v>
      </c>
      <c r="B6356" s="19">
        <v>86.93</v>
      </c>
      <c r="C6356" t="s">
        <v>51</v>
      </c>
      <c r="D6356" t="str">
        <f>T_Stocks[[#This Row],[Ticker]] &amp; "-" &amp; DATE(YEAR(T_Stocks[[#This Row],[Fecha]]),MONTH(T_Stocks[[#This Row],[Fecha]]),DAY(T_Stocks[[#This Row],[Fecha]]))</f>
        <v>PRHSX-45254</v>
      </c>
    </row>
    <row r="6357" spans="1:4" ht="14.65" thickBot="1" x14ac:dyDescent="0.5">
      <c r="A6357" s="17">
        <v>45257.666666666664</v>
      </c>
      <c r="B6357" s="19">
        <v>86.45</v>
      </c>
      <c r="C6357" t="s">
        <v>51</v>
      </c>
      <c r="D6357" t="str">
        <f>T_Stocks[[#This Row],[Ticker]] &amp; "-" &amp; DATE(YEAR(T_Stocks[[#This Row],[Fecha]]),MONTH(T_Stocks[[#This Row],[Fecha]]),DAY(T_Stocks[[#This Row],[Fecha]]))</f>
        <v>PRHSX-45257</v>
      </c>
    </row>
    <row r="6358" spans="1:4" ht="14.65" thickBot="1" x14ac:dyDescent="0.5">
      <c r="A6358" s="17">
        <v>45258.666666666664</v>
      </c>
      <c r="B6358" s="19">
        <v>85.78</v>
      </c>
      <c r="C6358" t="s">
        <v>51</v>
      </c>
      <c r="D6358" t="str">
        <f>T_Stocks[[#This Row],[Ticker]] &amp; "-" &amp; DATE(YEAR(T_Stocks[[#This Row],[Fecha]]),MONTH(T_Stocks[[#This Row],[Fecha]]),DAY(T_Stocks[[#This Row],[Fecha]]))</f>
        <v>PRHSX-45258</v>
      </c>
    </row>
    <row r="6359" spans="1:4" ht="14.65" thickBot="1" x14ac:dyDescent="0.5">
      <c r="A6359" s="17">
        <v>45259.666666666664</v>
      </c>
      <c r="B6359" s="19">
        <v>85.9</v>
      </c>
      <c r="C6359" t="s">
        <v>51</v>
      </c>
      <c r="D6359" t="str">
        <f>T_Stocks[[#This Row],[Ticker]] &amp; "-" &amp; DATE(YEAR(T_Stocks[[#This Row],[Fecha]]),MONTH(T_Stocks[[#This Row],[Fecha]]),DAY(T_Stocks[[#This Row],[Fecha]]))</f>
        <v>PRHSX-45259</v>
      </c>
    </row>
    <row r="6360" spans="1:4" ht="14.65" thickBot="1" x14ac:dyDescent="0.5">
      <c r="A6360" s="17">
        <v>45260.666666666664</v>
      </c>
      <c r="B6360" s="19">
        <v>87.08</v>
      </c>
      <c r="C6360" t="s">
        <v>51</v>
      </c>
      <c r="D6360" t="str">
        <f>T_Stocks[[#This Row],[Ticker]] &amp; "-" &amp; DATE(YEAR(T_Stocks[[#This Row],[Fecha]]),MONTH(T_Stocks[[#This Row],[Fecha]]),DAY(T_Stocks[[#This Row],[Fecha]]))</f>
        <v>PRHSX-45260</v>
      </c>
    </row>
    <row r="6361" spans="1:4" ht="14.65" thickBot="1" x14ac:dyDescent="0.5">
      <c r="A6361" s="17">
        <v>45261.666666666664</v>
      </c>
      <c r="B6361" s="19">
        <v>87.74</v>
      </c>
      <c r="C6361" t="s">
        <v>51</v>
      </c>
      <c r="D6361" t="str">
        <f>T_Stocks[[#This Row],[Ticker]] &amp; "-" &amp; DATE(YEAR(T_Stocks[[#This Row],[Fecha]]),MONTH(T_Stocks[[#This Row],[Fecha]]),DAY(T_Stocks[[#This Row],[Fecha]]))</f>
        <v>PRHSX-45261</v>
      </c>
    </row>
    <row r="6362" spans="1:4" ht="14.65" thickBot="1" x14ac:dyDescent="0.5">
      <c r="A6362" s="17">
        <v>45264.666666666664</v>
      </c>
      <c r="B6362" s="19">
        <v>88.01</v>
      </c>
      <c r="C6362" t="s">
        <v>51</v>
      </c>
      <c r="D6362" t="str">
        <f>T_Stocks[[#This Row],[Ticker]] &amp; "-" &amp; DATE(YEAR(T_Stocks[[#This Row],[Fecha]]),MONTH(T_Stocks[[#This Row],[Fecha]]),DAY(T_Stocks[[#This Row],[Fecha]]))</f>
        <v>PRHSX-45264</v>
      </c>
    </row>
    <row r="6363" spans="1:4" ht="14.65" thickBot="1" x14ac:dyDescent="0.5">
      <c r="A6363" s="17">
        <v>45265.666666666664</v>
      </c>
      <c r="B6363" s="19">
        <v>87.82</v>
      </c>
      <c r="C6363" t="s">
        <v>51</v>
      </c>
      <c r="D6363" t="str">
        <f>T_Stocks[[#This Row],[Ticker]] &amp; "-" &amp; DATE(YEAR(T_Stocks[[#This Row],[Fecha]]),MONTH(T_Stocks[[#This Row],[Fecha]]),DAY(T_Stocks[[#This Row],[Fecha]]))</f>
        <v>PRHSX-45265</v>
      </c>
    </row>
    <row r="6364" spans="1:4" ht="14.65" thickBot="1" x14ac:dyDescent="0.5">
      <c r="A6364" s="17">
        <v>45266.666666666664</v>
      </c>
      <c r="B6364" s="19">
        <v>87.84</v>
      </c>
      <c r="C6364" t="s">
        <v>51</v>
      </c>
      <c r="D6364" t="str">
        <f>T_Stocks[[#This Row],[Ticker]] &amp; "-" &amp; DATE(YEAR(T_Stocks[[#This Row],[Fecha]]),MONTH(T_Stocks[[#This Row],[Fecha]]),DAY(T_Stocks[[#This Row],[Fecha]]))</f>
        <v>PRHSX-45266</v>
      </c>
    </row>
    <row r="6365" spans="1:4" ht="14.65" thickBot="1" x14ac:dyDescent="0.5">
      <c r="A6365" s="17">
        <v>45267.666666666664</v>
      </c>
      <c r="B6365" s="19">
        <v>88.15</v>
      </c>
      <c r="C6365" t="s">
        <v>51</v>
      </c>
      <c r="D6365" t="str">
        <f>T_Stocks[[#This Row],[Ticker]] &amp; "-" &amp; DATE(YEAR(T_Stocks[[#This Row],[Fecha]]),MONTH(T_Stocks[[#This Row],[Fecha]]),DAY(T_Stocks[[#This Row],[Fecha]]))</f>
        <v>PRHSX-45267</v>
      </c>
    </row>
    <row r="6366" spans="1:4" ht="14.65" thickBot="1" x14ac:dyDescent="0.5">
      <c r="A6366" s="17">
        <v>45268.666666666664</v>
      </c>
      <c r="B6366" s="19">
        <v>88.02</v>
      </c>
      <c r="C6366" t="s">
        <v>51</v>
      </c>
      <c r="D6366" t="str">
        <f>T_Stocks[[#This Row],[Ticker]] &amp; "-" &amp; DATE(YEAR(T_Stocks[[#This Row],[Fecha]]),MONTH(T_Stocks[[#This Row],[Fecha]]),DAY(T_Stocks[[#This Row],[Fecha]]))</f>
        <v>PRHSX-45268</v>
      </c>
    </row>
    <row r="6367" spans="1:4" ht="14.65" thickBot="1" x14ac:dyDescent="0.5">
      <c r="A6367" s="17">
        <v>45271.666666666664</v>
      </c>
      <c r="B6367" s="19">
        <v>88.26</v>
      </c>
      <c r="C6367" t="s">
        <v>51</v>
      </c>
      <c r="D6367" t="str">
        <f>T_Stocks[[#This Row],[Ticker]] &amp; "-" &amp; DATE(YEAR(T_Stocks[[#This Row],[Fecha]]),MONTH(T_Stocks[[#This Row],[Fecha]]),DAY(T_Stocks[[#This Row],[Fecha]]))</f>
        <v>PRHSX-45271</v>
      </c>
    </row>
    <row r="6368" spans="1:4" ht="14.65" thickBot="1" x14ac:dyDescent="0.5">
      <c r="A6368" s="17">
        <v>45272.666666666664</v>
      </c>
      <c r="B6368" s="19">
        <v>89.11</v>
      </c>
      <c r="C6368" t="s">
        <v>51</v>
      </c>
      <c r="D6368" t="str">
        <f>T_Stocks[[#This Row],[Ticker]] &amp; "-" &amp; DATE(YEAR(T_Stocks[[#This Row],[Fecha]]),MONTH(T_Stocks[[#This Row],[Fecha]]),DAY(T_Stocks[[#This Row],[Fecha]]))</f>
        <v>PRHSX-45272</v>
      </c>
    </row>
    <row r="6369" spans="1:4" ht="14.65" thickBot="1" x14ac:dyDescent="0.5">
      <c r="A6369" s="17">
        <v>45273.666666666664</v>
      </c>
      <c r="B6369" s="19">
        <v>91.43</v>
      </c>
      <c r="C6369" t="s">
        <v>51</v>
      </c>
      <c r="D6369" t="str">
        <f>T_Stocks[[#This Row],[Ticker]] &amp; "-" &amp; DATE(YEAR(T_Stocks[[#This Row],[Fecha]]),MONTH(T_Stocks[[#This Row],[Fecha]]),DAY(T_Stocks[[#This Row],[Fecha]]))</f>
        <v>PRHSX-45273</v>
      </c>
    </row>
    <row r="6370" spans="1:4" ht="14.65" thickBot="1" x14ac:dyDescent="0.5">
      <c r="A6370" s="17">
        <v>45274.666666666664</v>
      </c>
      <c r="B6370" s="19">
        <v>91.24</v>
      </c>
      <c r="C6370" t="s">
        <v>51</v>
      </c>
      <c r="D6370" t="str">
        <f>T_Stocks[[#This Row],[Ticker]] &amp; "-" &amp; DATE(YEAR(T_Stocks[[#This Row],[Fecha]]),MONTH(T_Stocks[[#This Row],[Fecha]]),DAY(T_Stocks[[#This Row],[Fecha]]))</f>
        <v>PRHSX-45274</v>
      </c>
    </row>
    <row r="6371" spans="1:4" ht="14.65" thickBot="1" x14ac:dyDescent="0.5">
      <c r="A6371" s="17">
        <v>45275.666666666664</v>
      </c>
      <c r="B6371" s="19">
        <v>85.92</v>
      </c>
      <c r="C6371" t="s">
        <v>51</v>
      </c>
      <c r="D6371" t="str">
        <f>T_Stocks[[#This Row],[Ticker]] &amp; "-" &amp; DATE(YEAR(T_Stocks[[#This Row],[Fecha]]),MONTH(T_Stocks[[#This Row],[Fecha]]),DAY(T_Stocks[[#This Row],[Fecha]]))</f>
        <v>PRHSX-45275</v>
      </c>
    </row>
    <row r="6372" spans="1:4" ht="14.65" thickBot="1" x14ac:dyDescent="0.5">
      <c r="A6372" s="17">
        <v>45278.666666666664</v>
      </c>
      <c r="B6372" s="19">
        <v>85.64</v>
      </c>
      <c r="C6372" t="s">
        <v>51</v>
      </c>
      <c r="D6372" t="str">
        <f>T_Stocks[[#This Row],[Ticker]] &amp; "-" &amp; DATE(YEAR(T_Stocks[[#This Row],[Fecha]]),MONTH(T_Stocks[[#This Row],[Fecha]]),DAY(T_Stocks[[#This Row],[Fecha]]))</f>
        <v>PRHSX-45278</v>
      </c>
    </row>
    <row r="6373" spans="1:4" ht="14.65" thickBot="1" x14ac:dyDescent="0.5">
      <c r="A6373" s="17">
        <v>45279.666666666664</v>
      </c>
      <c r="B6373" s="19">
        <v>86.33</v>
      </c>
      <c r="C6373" t="s">
        <v>51</v>
      </c>
      <c r="D6373" t="str">
        <f>T_Stocks[[#This Row],[Ticker]] &amp; "-" &amp; DATE(YEAR(T_Stocks[[#This Row],[Fecha]]),MONTH(T_Stocks[[#This Row],[Fecha]]),DAY(T_Stocks[[#This Row],[Fecha]]))</f>
        <v>PRHSX-45279</v>
      </c>
    </row>
    <row r="6374" spans="1:4" ht="14.65" thickBot="1" x14ac:dyDescent="0.5">
      <c r="A6374" s="17">
        <v>45280.666666666664</v>
      </c>
      <c r="B6374" s="19">
        <v>84.25</v>
      </c>
      <c r="C6374" t="s">
        <v>51</v>
      </c>
      <c r="D6374" t="str">
        <f>T_Stocks[[#This Row],[Ticker]] &amp; "-" &amp; DATE(YEAR(T_Stocks[[#This Row],[Fecha]]),MONTH(T_Stocks[[#This Row],[Fecha]]),DAY(T_Stocks[[#This Row],[Fecha]]))</f>
        <v>PRHSX-45280</v>
      </c>
    </row>
    <row r="6375" spans="1:4" ht="14.65" thickBot="1" x14ac:dyDescent="0.5">
      <c r="A6375" s="17">
        <v>45281.666666666664</v>
      </c>
      <c r="B6375" s="19">
        <v>85.48</v>
      </c>
      <c r="C6375" t="s">
        <v>51</v>
      </c>
      <c r="D6375" t="str">
        <f>T_Stocks[[#This Row],[Ticker]] &amp; "-" &amp; DATE(YEAR(T_Stocks[[#This Row],[Fecha]]),MONTH(T_Stocks[[#This Row],[Fecha]]),DAY(T_Stocks[[#This Row],[Fecha]]))</f>
        <v>PRHSX-45281</v>
      </c>
    </row>
    <row r="6376" spans="1:4" ht="14.65" thickBot="1" x14ac:dyDescent="0.5">
      <c r="A6376" s="17">
        <v>45282.666666666664</v>
      </c>
      <c r="B6376" s="19">
        <v>86.84</v>
      </c>
      <c r="C6376" t="s">
        <v>51</v>
      </c>
      <c r="D6376" t="str">
        <f>T_Stocks[[#This Row],[Ticker]] &amp; "-" &amp; DATE(YEAR(T_Stocks[[#This Row],[Fecha]]),MONTH(T_Stocks[[#This Row],[Fecha]]),DAY(T_Stocks[[#This Row],[Fecha]]))</f>
        <v>PRHSX-45282</v>
      </c>
    </row>
    <row r="6377" spans="1:4" ht="14.65" thickBot="1" x14ac:dyDescent="0.5">
      <c r="A6377" s="17">
        <v>45286.666666666664</v>
      </c>
      <c r="B6377" s="19">
        <v>87.43</v>
      </c>
      <c r="C6377" t="s">
        <v>51</v>
      </c>
      <c r="D6377" t="str">
        <f>T_Stocks[[#This Row],[Ticker]] &amp; "-" &amp; DATE(YEAR(T_Stocks[[#This Row],[Fecha]]),MONTH(T_Stocks[[#This Row],[Fecha]]),DAY(T_Stocks[[#This Row],[Fecha]]))</f>
        <v>PRHSX-45286</v>
      </c>
    </row>
    <row r="6378" spans="1:4" ht="14.65" thickBot="1" x14ac:dyDescent="0.5">
      <c r="A6378" s="17">
        <v>45287.666666666664</v>
      </c>
      <c r="B6378" s="19">
        <v>88.09</v>
      </c>
      <c r="C6378" t="s">
        <v>51</v>
      </c>
      <c r="D6378" t="str">
        <f>T_Stocks[[#This Row],[Ticker]] &amp; "-" &amp; DATE(YEAR(T_Stocks[[#This Row],[Fecha]]),MONTH(T_Stocks[[#This Row],[Fecha]]),DAY(T_Stocks[[#This Row],[Fecha]]))</f>
        <v>PRHSX-45287</v>
      </c>
    </row>
    <row r="6379" spans="1:4" ht="14.65" thickBot="1" x14ac:dyDescent="0.5">
      <c r="A6379" s="17">
        <v>45288.666666666664</v>
      </c>
      <c r="B6379" s="19">
        <v>88.2</v>
      </c>
      <c r="C6379" t="s">
        <v>51</v>
      </c>
      <c r="D6379" t="str">
        <f>T_Stocks[[#This Row],[Ticker]] &amp; "-" &amp; DATE(YEAR(T_Stocks[[#This Row],[Fecha]]),MONTH(T_Stocks[[#This Row],[Fecha]]),DAY(T_Stocks[[#This Row],[Fecha]]))</f>
        <v>PRHSX-45288</v>
      </c>
    </row>
    <row r="6380" spans="1:4" ht="14.65" thickBot="1" x14ac:dyDescent="0.5">
      <c r="A6380" s="17">
        <v>45289.666666666664</v>
      </c>
      <c r="B6380" s="19">
        <v>87.9</v>
      </c>
      <c r="C6380" t="s">
        <v>51</v>
      </c>
      <c r="D6380" t="str">
        <f>T_Stocks[[#This Row],[Ticker]] &amp; "-" &amp; DATE(YEAR(T_Stocks[[#This Row],[Fecha]]),MONTH(T_Stocks[[#This Row],[Fecha]]),DAY(T_Stocks[[#This Row],[Fecha]]))</f>
        <v>PRHSX-45289</v>
      </c>
    </row>
    <row r="6381" spans="1:4" ht="14.65" thickBot="1" x14ac:dyDescent="0.5">
      <c r="A6381" s="17">
        <v>45293.666666666664</v>
      </c>
      <c r="B6381" s="19">
        <v>88.8</v>
      </c>
      <c r="C6381" t="s">
        <v>51</v>
      </c>
      <c r="D6381" t="str">
        <f>T_Stocks[[#This Row],[Ticker]] &amp; "-" &amp; DATE(YEAR(T_Stocks[[#This Row],[Fecha]]),MONTH(T_Stocks[[#This Row],[Fecha]]),DAY(T_Stocks[[#This Row],[Fecha]]))</f>
        <v>PRHSX-45293</v>
      </c>
    </row>
    <row r="6382" spans="1:4" ht="14.65" thickBot="1" x14ac:dyDescent="0.5">
      <c r="A6382" s="17">
        <v>45294.666666666664</v>
      </c>
      <c r="B6382" s="19">
        <v>88.11</v>
      </c>
      <c r="C6382" t="s">
        <v>51</v>
      </c>
      <c r="D6382" t="str">
        <f>T_Stocks[[#This Row],[Ticker]] &amp; "-" &amp; DATE(YEAR(T_Stocks[[#This Row],[Fecha]]),MONTH(T_Stocks[[#This Row],[Fecha]]),DAY(T_Stocks[[#This Row],[Fecha]]))</f>
        <v>PRHSX-45294</v>
      </c>
    </row>
    <row r="6383" spans="1:4" ht="14.65" thickBot="1" x14ac:dyDescent="0.5">
      <c r="A6383" s="17">
        <v>45295.666666666664</v>
      </c>
      <c r="B6383" s="19">
        <v>88.64</v>
      </c>
      <c r="C6383" t="s">
        <v>51</v>
      </c>
      <c r="D6383" t="str">
        <f>T_Stocks[[#This Row],[Ticker]] &amp; "-" &amp; DATE(YEAR(T_Stocks[[#This Row],[Fecha]]),MONTH(T_Stocks[[#This Row],[Fecha]]),DAY(T_Stocks[[#This Row],[Fecha]]))</f>
        <v>PRHSX-45295</v>
      </c>
    </row>
    <row r="6384" spans="1:4" ht="14.65" thickBot="1" x14ac:dyDescent="0.5">
      <c r="A6384" s="17">
        <v>45296.666666666664</v>
      </c>
      <c r="B6384" s="19">
        <v>88.33</v>
      </c>
      <c r="C6384" t="s">
        <v>51</v>
      </c>
      <c r="D6384" t="str">
        <f>T_Stocks[[#This Row],[Ticker]] &amp; "-" &amp; DATE(YEAR(T_Stocks[[#This Row],[Fecha]]),MONTH(T_Stocks[[#This Row],[Fecha]]),DAY(T_Stocks[[#This Row],[Fecha]]))</f>
        <v>PRHSX-45296</v>
      </c>
    </row>
    <row r="6385" spans="1:4" ht="14.65" thickBot="1" x14ac:dyDescent="0.5">
      <c r="A6385" s="17">
        <v>45299.666666666664</v>
      </c>
      <c r="B6385" s="19">
        <v>89.96</v>
      </c>
      <c r="C6385" t="s">
        <v>51</v>
      </c>
      <c r="D6385" t="str">
        <f>T_Stocks[[#This Row],[Ticker]] &amp; "-" &amp; DATE(YEAR(T_Stocks[[#This Row],[Fecha]]),MONTH(T_Stocks[[#This Row],[Fecha]]),DAY(T_Stocks[[#This Row],[Fecha]]))</f>
        <v>PRHSX-45299</v>
      </c>
    </row>
    <row r="6386" spans="1:4" ht="14.65" thickBot="1" x14ac:dyDescent="0.5">
      <c r="A6386" s="17">
        <v>45300.666666666664</v>
      </c>
      <c r="B6386" s="19">
        <v>90.06</v>
      </c>
      <c r="C6386" t="s">
        <v>51</v>
      </c>
      <c r="D6386" t="str">
        <f>T_Stocks[[#This Row],[Ticker]] &amp; "-" &amp; DATE(YEAR(T_Stocks[[#This Row],[Fecha]]),MONTH(T_Stocks[[#This Row],[Fecha]]),DAY(T_Stocks[[#This Row],[Fecha]]))</f>
        <v>PRHSX-45300</v>
      </c>
    </row>
    <row r="6387" spans="1:4" ht="14.65" thickBot="1" x14ac:dyDescent="0.5">
      <c r="A6387" s="17">
        <v>45301.666666666664</v>
      </c>
      <c r="B6387" s="19">
        <v>90.35</v>
      </c>
      <c r="C6387" t="s">
        <v>51</v>
      </c>
      <c r="D6387" t="str">
        <f>T_Stocks[[#This Row],[Ticker]] &amp; "-" &amp; DATE(YEAR(T_Stocks[[#This Row],[Fecha]]),MONTH(T_Stocks[[#This Row],[Fecha]]),DAY(T_Stocks[[#This Row],[Fecha]]))</f>
        <v>PRHSX-45301</v>
      </c>
    </row>
    <row r="6388" spans="1:4" ht="14.65" thickBot="1" x14ac:dyDescent="0.5">
      <c r="A6388" s="17">
        <v>45302.666666666664</v>
      </c>
      <c r="B6388" s="19">
        <v>89.99</v>
      </c>
      <c r="C6388" t="s">
        <v>51</v>
      </c>
      <c r="D6388" t="str">
        <f>T_Stocks[[#This Row],[Ticker]] &amp; "-" &amp; DATE(YEAR(T_Stocks[[#This Row],[Fecha]]),MONTH(T_Stocks[[#This Row],[Fecha]]),DAY(T_Stocks[[#This Row],[Fecha]]))</f>
        <v>PRHSX-45302</v>
      </c>
    </row>
    <row r="6389" spans="1:4" ht="14.65" thickBot="1" x14ac:dyDescent="0.5">
      <c r="A6389" s="17">
        <v>45303.666666666664</v>
      </c>
      <c r="B6389" s="19">
        <v>89.76</v>
      </c>
      <c r="C6389" t="s">
        <v>51</v>
      </c>
      <c r="D6389" t="str">
        <f>T_Stocks[[#This Row],[Ticker]] &amp; "-" &amp; DATE(YEAR(T_Stocks[[#This Row],[Fecha]]),MONTH(T_Stocks[[#This Row],[Fecha]]),DAY(T_Stocks[[#This Row],[Fecha]]))</f>
        <v>PRHSX-45303</v>
      </c>
    </row>
    <row r="6390" spans="1:4" ht="14.65" thickBot="1" x14ac:dyDescent="0.5">
      <c r="A6390" s="17">
        <v>45307.666666666664</v>
      </c>
      <c r="B6390" s="19">
        <v>89.2</v>
      </c>
      <c r="C6390" t="s">
        <v>51</v>
      </c>
      <c r="D6390" t="str">
        <f>T_Stocks[[#This Row],[Ticker]] &amp; "-" &amp; DATE(YEAR(T_Stocks[[#This Row],[Fecha]]),MONTH(T_Stocks[[#This Row],[Fecha]]),DAY(T_Stocks[[#This Row],[Fecha]]))</f>
        <v>PRHSX-45307</v>
      </c>
    </row>
    <row r="6391" spans="1:4" ht="14.65" thickBot="1" x14ac:dyDescent="0.5">
      <c r="A6391" s="17">
        <v>45308.666666666664</v>
      </c>
      <c r="B6391" s="19">
        <v>88.77</v>
      </c>
      <c r="C6391" t="s">
        <v>51</v>
      </c>
      <c r="D6391" t="str">
        <f>T_Stocks[[#This Row],[Ticker]] &amp; "-" &amp; DATE(YEAR(T_Stocks[[#This Row],[Fecha]]),MONTH(T_Stocks[[#This Row],[Fecha]]),DAY(T_Stocks[[#This Row],[Fecha]]))</f>
        <v>PRHSX-45308</v>
      </c>
    </row>
    <row r="6392" spans="1:4" ht="14.65" thickBot="1" x14ac:dyDescent="0.5">
      <c r="A6392" s="17">
        <v>45309.666666666664</v>
      </c>
      <c r="B6392" s="19">
        <v>88.49</v>
      </c>
      <c r="C6392" t="s">
        <v>51</v>
      </c>
      <c r="D6392" t="str">
        <f>T_Stocks[[#This Row],[Ticker]] &amp; "-" &amp; DATE(YEAR(T_Stocks[[#This Row],[Fecha]]),MONTH(T_Stocks[[#This Row],[Fecha]]),DAY(T_Stocks[[#This Row],[Fecha]]))</f>
        <v>PRHSX-45309</v>
      </c>
    </row>
    <row r="6393" spans="1:4" ht="14.65" thickBot="1" x14ac:dyDescent="0.5">
      <c r="A6393" s="17">
        <v>45310.666666666664</v>
      </c>
      <c r="B6393" s="19">
        <v>88.38</v>
      </c>
      <c r="C6393" t="s">
        <v>51</v>
      </c>
      <c r="D6393" t="str">
        <f>T_Stocks[[#This Row],[Ticker]] &amp; "-" &amp; DATE(YEAR(T_Stocks[[#This Row],[Fecha]]),MONTH(T_Stocks[[#This Row],[Fecha]]),DAY(T_Stocks[[#This Row],[Fecha]]))</f>
        <v>PRHSX-45310</v>
      </c>
    </row>
    <row r="6394" spans="1:4" ht="14.65" thickBot="1" x14ac:dyDescent="0.5">
      <c r="A6394" s="17">
        <v>45313.666666666664</v>
      </c>
      <c r="B6394" s="19">
        <v>89.24</v>
      </c>
      <c r="C6394" t="s">
        <v>51</v>
      </c>
      <c r="D6394" t="str">
        <f>T_Stocks[[#This Row],[Ticker]] &amp; "-" &amp; DATE(YEAR(T_Stocks[[#This Row],[Fecha]]),MONTH(T_Stocks[[#This Row],[Fecha]]),DAY(T_Stocks[[#This Row],[Fecha]]))</f>
        <v>PRHSX-45313</v>
      </c>
    </row>
    <row r="6395" spans="1:4" ht="14.65" thickBot="1" x14ac:dyDescent="0.5">
      <c r="A6395" s="17">
        <v>45314.666666666664</v>
      </c>
      <c r="B6395" s="19">
        <v>89.35</v>
      </c>
      <c r="C6395" t="s">
        <v>51</v>
      </c>
      <c r="D6395" t="str">
        <f>T_Stocks[[#This Row],[Ticker]] &amp; "-" &amp; DATE(YEAR(T_Stocks[[#This Row],[Fecha]]),MONTH(T_Stocks[[#This Row],[Fecha]]),DAY(T_Stocks[[#This Row],[Fecha]]))</f>
        <v>PRHSX-45314</v>
      </c>
    </row>
    <row r="6396" spans="1:4" ht="14.65" thickBot="1" x14ac:dyDescent="0.5">
      <c r="A6396" s="17">
        <v>45315.666666666664</v>
      </c>
      <c r="B6396" s="19">
        <v>88.57</v>
      </c>
      <c r="C6396" t="s">
        <v>51</v>
      </c>
      <c r="D6396" t="str">
        <f>T_Stocks[[#This Row],[Ticker]] &amp; "-" &amp; DATE(YEAR(T_Stocks[[#This Row],[Fecha]]),MONTH(T_Stocks[[#This Row],[Fecha]]),DAY(T_Stocks[[#This Row],[Fecha]]))</f>
        <v>PRHSX-45315</v>
      </c>
    </row>
    <row r="6397" spans="1:4" ht="14.65" thickBot="1" x14ac:dyDescent="0.5">
      <c r="A6397" s="17">
        <v>45316.666666666664</v>
      </c>
      <c r="B6397" s="19">
        <v>88.62</v>
      </c>
      <c r="C6397" t="s">
        <v>51</v>
      </c>
      <c r="D6397" t="str">
        <f>T_Stocks[[#This Row],[Ticker]] &amp; "-" &amp; DATE(YEAR(T_Stocks[[#This Row],[Fecha]]),MONTH(T_Stocks[[#This Row],[Fecha]]),DAY(T_Stocks[[#This Row],[Fecha]]))</f>
        <v>PRHSX-45316</v>
      </c>
    </row>
    <row r="6398" spans="1:4" ht="14.65" thickBot="1" x14ac:dyDescent="0.5">
      <c r="A6398" s="17">
        <v>45317.666666666664</v>
      </c>
      <c r="B6398" s="19">
        <v>89.11</v>
      </c>
      <c r="C6398" t="s">
        <v>51</v>
      </c>
      <c r="D6398" t="str">
        <f>T_Stocks[[#This Row],[Ticker]] &amp; "-" &amp; DATE(YEAR(T_Stocks[[#This Row],[Fecha]]),MONTH(T_Stocks[[#This Row],[Fecha]]),DAY(T_Stocks[[#This Row],[Fecha]]))</f>
        <v>PRHSX-45317</v>
      </c>
    </row>
    <row r="6399" spans="1:4" ht="14.65" thickBot="1" x14ac:dyDescent="0.5">
      <c r="A6399" s="17">
        <v>45320.666666666664</v>
      </c>
      <c r="B6399" s="19">
        <v>90.17</v>
      </c>
      <c r="C6399" t="s">
        <v>51</v>
      </c>
      <c r="D6399" t="str">
        <f>T_Stocks[[#This Row],[Ticker]] &amp; "-" &amp; DATE(YEAR(T_Stocks[[#This Row],[Fecha]]),MONTH(T_Stocks[[#This Row],[Fecha]]),DAY(T_Stocks[[#This Row],[Fecha]]))</f>
        <v>PRHSX-45320</v>
      </c>
    </row>
    <row r="6400" spans="1:4" ht="14.65" thickBot="1" x14ac:dyDescent="0.5">
      <c r="A6400" s="17">
        <v>45321.666666666664</v>
      </c>
      <c r="B6400" s="19">
        <v>89.98</v>
      </c>
      <c r="C6400" t="s">
        <v>51</v>
      </c>
      <c r="D6400" t="str">
        <f>T_Stocks[[#This Row],[Ticker]] &amp; "-" &amp; DATE(YEAR(T_Stocks[[#This Row],[Fecha]]),MONTH(T_Stocks[[#This Row],[Fecha]]),DAY(T_Stocks[[#This Row],[Fecha]]))</f>
        <v>PRHSX-45321</v>
      </c>
    </row>
    <row r="6401" spans="1:4" ht="14.65" thickBot="1" x14ac:dyDescent="0.5">
      <c r="A6401" s="17">
        <v>45322.666666666664</v>
      </c>
      <c r="B6401" s="19">
        <v>89.7</v>
      </c>
      <c r="C6401" t="s">
        <v>51</v>
      </c>
      <c r="D6401" t="str">
        <f>T_Stocks[[#This Row],[Ticker]] &amp; "-" &amp; DATE(YEAR(T_Stocks[[#This Row],[Fecha]]),MONTH(T_Stocks[[#This Row],[Fecha]]),DAY(T_Stocks[[#This Row],[Fecha]]))</f>
        <v>PRHSX-45322</v>
      </c>
    </row>
    <row r="6402" spans="1:4" ht="14.65" thickBot="1" x14ac:dyDescent="0.5">
      <c r="A6402" s="17">
        <v>45323.666666666664</v>
      </c>
      <c r="B6402" s="19">
        <v>91.08</v>
      </c>
      <c r="C6402" t="s">
        <v>51</v>
      </c>
      <c r="D6402" t="str">
        <f>T_Stocks[[#This Row],[Ticker]] &amp; "-" &amp; DATE(YEAR(T_Stocks[[#This Row],[Fecha]]),MONTH(T_Stocks[[#This Row],[Fecha]]),DAY(T_Stocks[[#This Row],[Fecha]]))</f>
        <v>PRHSX-45323</v>
      </c>
    </row>
    <row r="6403" spans="1:4" ht="14.65" thickBot="1" x14ac:dyDescent="0.5">
      <c r="A6403" s="17">
        <v>45324.666666666664</v>
      </c>
      <c r="B6403" s="19">
        <v>90.88</v>
      </c>
      <c r="C6403" t="s">
        <v>51</v>
      </c>
      <c r="D6403" t="str">
        <f>T_Stocks[[#This Row],[Ticker]] &amp; "-" &amp; DATE(YEAR(T_Stocks[[#This Row],[Fecha]]),MONTH(T_Stocks[[#This Row],[Fecha]]),DAY(T_Stocks[[#This Row],[Fecha]]))</f>
        <v>PRHSX-45324</v>
      </c>
    </row>
    <row r="6404" spans="1:4" ht="14.65" thickBot="1" x14ac:dyDescent="0.5">
      <c r="A6404" s="17">
        <v>45327.666666666664</v>
      </c>
      <c r="B6404" s="19">
        <v>91.56</v>
      </c>
      <c r="C6404" t="s">
        <v>51</v>
      </c>
      <c r="D6404" t="str">
        <f>T_Stocks[[#This Row],[Ticker]] &amp; "-" &amp; DATE(YEAR(T_Stocks[[#This Row],[Fecha]]),MONTH(T_Stocks[[#This Row],[Fecha]]),DAY(T_Stocks[[#This Row],[Fecha]]))</f>
        <v>PRHSX-45327</v>
      </c>
    </row>
    <row r="6405" spans="1:4" ht="14.65" thickBot="1" x14ac:dyDescent="0.5">
      <c r="A6405" s="17">
        <v>45328.666666666664</v>
      </c>
      <c r="B6405" s="19">
        <v>92.34</v>
      </c>
      <c r="C6405" t="s">
        <v>51</v>
      </c>
      <c r="D6405" t="str">
        <f>T_Stocks[[#This Row],[Ticker]] &amp; "-" &amp; DATE(YEAR(T_Stocks[[#This Row],[Fecha]]),MONTH(T_Stocks[[#This Row],[Fecha]]),DAY(T_Stocks[[#This Row],[Fecha]]))</f>
        <v>PRHSX-45328</v>
      </c>
    </row>
    <row r="6406" spans="1:4" ht="14.65" thickBot="1" x14ac:dyDescent="0.5">
      <c r="A6406" s="17">
        <v>45329.666666666664</v>
      </c>
      <c r="B6406" s="19">
        <v>92.39</v>
      </c>
      <c r="C6406" t="s">
        <v>51</v>
      </c>
      <c r="D6406" t="str">
        <f>T_Stocks[[#This Row],[Ticker]] &amp; "-" &amp; DATE(YEAR(T_Stocks[[#This Row],[Fecha]]),MONTH(T_Stocks[[#This Row],[Fecha]]),DAY(T_Stocks[[#This Row],[Fecha]]))</f>
        <v>PRHSX-45329</v>
      </c>
    </row>
    <row r="6407" spans="1:4" ht="14.65" thickBot="1" x14ac:dyDescent="0.5">
      <c r="A6407" s="17">
        <v>45330.666666666664</v>
      </c>
      <c r="B6407" s="19">
        <v>92.66</v>
      </c>
      <c r="C6407" t="s">
        <v>51</v>
      </c>
      <c r="D6407" t="str">
        <f>T_Stocks[[#This Row],[Ticker]] &amp; "-" &amp; DATE(YEAR(T_Stocks[[#This Row],[Fecha]]),MONTH(T_Stocks[[#This Row],[Fecha]]),DAY(T_Stocks[[#This Row],[Fecha]]))</f>
        <v>PRHSX-45330</v>
      </c>
    </row>
    <row r="6408" spans="1:4" ht="14.65" thickBot="1" x14ac:dyDescent="0.5">
      <c r="A6408" s="17">
        <v>45331.666666666664</v>
      </c>
      <c r="B6408" s="19">
        <v>93.1</v>
      </c>
      <c r="C6408" t="s">
        <v>51</v>
      </c>
      <c r="D6408" t="str">
        <f>T_Stocks[[#This Row],[Ticker]] &amp; "-" &amp; DATE(YEAR(T_Stocks[[#This Row],[Fecha]]),MONTH(T_Stocks[[#This Row],[Fecha]]),DAY(T_Stocks[[#This Row],[Fecha]]))</f>
        <v>PRHSX-45331</v>
      </c>
    </row>
    <row r="6409" spans="1:4" ht="14.65" thickBot="1" x14ac:dyDescent="0.5">
      <c r="A6409" s="17">
        <v>45334.666666666664</v>
      </c>
      <c r="B6409" s="19">
        <v>93.18</v>
      </c>
      <c r="C6409" t="s">
        <v>51</v>
      </c>
      <c r="D6409" t="str">
        <f>T_Stocks[[#This Row],[Ticker]] &amp; "-" &amp; DATE(YEAR(T_Stocks[[#This Row],[Fecha]]),MONTH(T_Stocks[[#This Row],[Fecha]]),DAY(T_Stocks[[#This Row],[Fecha]]))</f>
        <v>PRHSX-45334</v>
      </c>
    </row>
    <row r="6410" spans="1:4" ht="14.65" thickBot="1" x14ac:dyDescent="0.5">
      <c r="A6410" s="17">
        <v>45335.666666666664</v>
      </c>
      <c r="B6410" s="19">
        <v>91.88</v>
      </c>
      <c r="C6410" t="s">
        <v>51</v>
      </c>
      <c r="D6410" t="str">
        <f>T_Stocks[[#This Row],[Ticker]] &amp; "-" &amp; DATE(YEAR(T_Stocks[[#This Row],[Fecha]]),MONTH(T_Stocks[[#This Row],[Fecha]]),DAY(T_Stocks[[#This Row],[Fecha]]))</f>
        <v>PRHSX-45335</v>
      </c>
    </row>
    <row r="6411" spans="1:4" ht="14.65" thickBot="1" x14ac:dyDescent="0.5">
      <c r="A6411" s="17">
        <v>45336.666666666664</v>
      </c>
      <c r="B6411" s="19">
        <v>93.04</v>
      </c>
      <c r="C6411" t="s">
        <v>51</v>
      </c>
      <c r="D6411" t="str">
        <f>T_Stocks[[#This Row],[Ticker]] &amp; "-" &amp; DATE(YEAR(T_Stocks[[#This Row],[Fecha]]),MONTH(T_Stocks[[#This Row],[Fecha]]),DAY(T_Stocks[[#This Row],[Fecha]]))</f>
        <v>PRHSX-45336</v>
      </c>
    </row>
    <row r="6412" spans="1:4" ht="14.65" thickBot="1" x14ac:dyDescent="0.5">
      <c r="A6412" s="17">
        <v>45337.666666666664</v>
      </c>
      <c r="B6412" s="19">
        <v>93.53</v>
      </c>
      <c r="C6412" t="s">
        <v>51</v>
      </c>
      <c r="D6412" t="str">
        <f>T_Stocks[[#This Row],[Ticker]] &amp; "-" &amp; DATE(YEAR(T_Stocks[[#This Row],[Fecha]]),MONTH(T_Stocks[[#This Row],[Fecha]]),DAY(T_Stocks[[#This Row],[Fecha]]))</f>
        <v>PRHSX-45337</v>
      </c>
    </row>
    <row r="6413" spans="1:4" ht="14.65" thickBot="1" x14ac:dyDescent="0.5">
      <c r="A6413" s="17">
        <v>45338.666666666664</v>
      </c>
      <c r="B6413" s="19">
        <v>94.19</v>
      </c>
      <c r="C6413" t="s">
        <v>51</v>
      </c>
      <c r="D6413" t="str">
        <f>T_Stocks[[#This Row],[Ticker]] &amp; "-" &amp; DATE(YEAR(T_Stocks[[#This Row],[Fecha]]),MONTH(T_Stocks[[#This Row],[Fecha]]),DAY(T_Stocks[[#This Row],[Fecha]]))</f>
        <v>PRHSX-45338</v>
      </c>
    </row>
    <row r="6414" spans="1:4" ht="14.65" thickBot="1" x14ac:dyDescent="0.5">
      <c r="A6414" s="17">
        <v>45342.666666666664</v>
      </c>
      <c r="B6414" s="19">
        <v>93.35</v>
      </c>
      <c r="C6414" t="s">
        <v>51</v>
      </c>
      <c r="D6414" t="str">
        <f>T_Stocks[[#This Row],[Ticker]] &amp; "-" &amp; DATE(YEAR(T_Stocks[[#This Row],[Fecha]]),MONTH(T_Stocks[[#This Row],[Fecha]]),DAY(T_Stocks[[#This Row],[Fecha]]))</f>
        <v>PRHSX-45342</v>
      </c>
    </row>
    <row r="6415" spans="1:4" ht="14.65" thickBot="1" x14ac:dyDescent="0.5">
      <c r="A6415" s="17">
        <v>45343.666666666664</v>
      </c>
      <c r="B6415" s="19">
        <v>93.3</v>
      </c>
      <c r="C6415" t="s">
        <v>51</v>
      </c>
      <c r="D6415" t="str">
        <f>T_Stocks[[#This Row],[Ticker]] &amp; "-" &amp; DATE(YEAR(T_Stocks[[#This Row],[Fecha]]),MONTH(T_Stocks[[#This Row],[Fecha]]),DAY(T_Stocks[[#This Row],[Fecha]]))</f>
        <v>PRHSX-45343</v>
      </c>
    </row>
    <row r="6416" spans="1:4" ht="14.65" thickBot="1" x14ac:dyDescent="0.5">
      <c r="A6416" s="17">
        <v>45344.666666666664</v>
      </c>
      <c r="B6416" s="19">
        <v>94.56</v>
      </c>
      <c r="C6416" t="s">
        <v>51</v>
      </c>
      <c r="D6416" t="str">
        <f>T_Stocks[[#This Row],[Ticker]] &amp; "-" &amp; DATE(YEAR(T_Stocks[[#This Row],[Fecha]]),MONTH(T_Stocks[[#This Row],[Fecha]]),DAY(T_Stocks[[#This Row],[Fecha]]))</f>
        <v>PRHSX-45344</v>
      </c>
    </row>
    <row r="6417" spans="1:4" ht="14.65" thickBot="1" x14ac:dyDescent="0.5">
      <c r="A6417" s="17">
        <v>45345.666666666664</v>
      </c>
      <c r="B6417" s="19">
        <v>94.81</v>
      </c>
      <c r="C6417" t="s">
        <v>51</v>
      </c>
      <c r="D6417" t="str">
        <f>T_Stocks[[#This Row],[Ticker]] &amp; "-" &amp; DATE(YEAR(T_Stocks[[#This Row],[Fecha]]),MONTH(T_Stocks[[#This Row],[Fecha]]),DAY(T_Stocks[[#This Row],[Fecha]]))</f>
        <v>PRHSX-45345</v>
      </c>
    </row>
    <row r="6418" spans="1:4" ht="14.65" thickBot="1" x14ac:dyDescent="0.5">
      <c r="A6418" s="17">
        <v>45348.666666666664</v>
      </c>
      <c r="B6418" s="19">
        <v>95.03</v>
      </c>
      <c r="C6418" t="s">
        <v>51</v>
      </c>
      <c r="D6418" t="str">
        <f>T_Stocks[[#This Row],[Ticker]] &amp; "-" &amp; DATE(YEAR(T_Stocks[[#This Row],[Fecha]]),MONTH(T_Stocks[[#This Row],[Fecha]]),DAY(T_Stocks[[#This Row],[Fecha]]))</f>
        <v>PRHSX-45348</v>
      </c>
    </row>
    <row r="6419" spans="1:4" ht="14.65" thickBot="1" x14ac:dyDescent="0.5">
      <c r="A6419" s="17">
        <v>45349.666666666664</v>
      </c>
      <c r="B6419" s="19">
        <v>95.49</v>
      </c>
      <c r="C6419" t="s">
        <v>51</v>
      </c>
      <c r="D6419" t="str">
        <f>T_Stocks[[#This Row],[Ticker]] &amp; "-" &amp; DATE(YEAR(T_Stocks[[#This Row],[Fecha]]),MONTH(T_Stocks[[#This Row],[Fecha]]),DAY(T_Stocks[[#This Row],[Fecha]]))</f>
        <v>PRHSX-45349</v>
      </c>
    </row>
    <row r="6420" spans="1:4" ht="14.65" thickBot="1" x14ac:dyDescent="0.5">
      <c r="A6420" s="17">
        <v>45350.666666666664</v>
      </c>
      <c r="B6420" s="19">
        <v>94.43</v>
      </c>
      <c r="C6420" t="s">
        <v>51</v>
      </c>
      <c r="D6420" t="str">
        <f>T_Stocks[[#This Row],[Ticker]] &amp; "-" &amp; DATE(YEAR(T_Stocks[[#This Row],[Fecha]]),MONTH(T_Stocks[[#This Row],[Fecha]]),DAY(T_Stocks[[#This Row],[Fecha]]))</f>
        <v>PRHSX-45350</v>
      </c>
    </row>
    <row r="6421" spans="1:4" ht="14.65" thickBot="1" x14ac:dyDescent="0.5">
      <c r="A6421" s="17">
        <v>45351.666666666664</v>
      </c>
      <c r="B6421" s="19">
        <v>93.34</v>
      </c>
      <c r="C6421" t="s">
        <v>51</v>
      </c>
      <c r="D6421" t="str">
        <f>T_Stocks[[#This Row],[Ticker]] &amp; "-" &amp; DATE(YEAR(T_Stocks[[#This Row],[Fecha]]),MONTH(T_Stocks[[#This Row],[Fecha]]),DAY(T_Stocks[[#This Row],[Fecha]]))</f>
        <v>PRHSX-45351</v>
      </c>
    </row>
    <row r="6422" spans="1:4" ht="14.65" thickBot="1" x14ac:dyDescent="0.5">
      <c r="A6422" s="17">
        <v>45352.666666666664</v>
      </c>
      <c r="B6422" s="19">
        <v>94.78</v>
      </c>
      <c r="C6422" t="s">
        <v>51</v>
      </c>
      <c r="D6422" t="str">
        <f>T_Stocks[[#This Row],[Ticker]] &amp; "-" &amp; DATE(YEAR(T_Stocks[[#This Row],[Fecha]]),MONTH(T_Stocks[[#This Row],[Fecha]]),DAY(T_Stocks[[#This Row],[Fecha]]))</f>
        <v>PRHSX-45352</v>
      </c>
    </row>
    <row r="6423" spans="1:4" ht="14.65" thickBot="1" x14ac:dyDescent="0.5">
      <c r="A6423" s="17">
        <v>45355.666666666664</v>
      </c>
      <c r="B6423" s="19">
        <v>94.63</v>
      </c>
      <c r="C6423" t="s">
        <v>51</v>
      </c>
      <c r="D6423" t="str">
        <f>T_Stocks[[#This Row],[Ticker]] &amp; "-" &amp; DATE(YEAR(T_Stocks[[#This Row],[Fecha]]),MONTH(T_Stocks[[#This Row],[Fecha]]),DAY(T_Stocks[[#This Row],[Fecha]]))</f>
        <v>PRHSX-45355</v>
      </c>
    </row>
    <row r="6424" spans="1:4" ht="14.65" thickBot="1" x14ac:dyDescent="0.5">
      <c r="A6424" s="17">
        <v>45356.666666666664</v>
      </c>
      <c r="B6424" s="19">
        <v>93.72</v>
      </c>
      <c r="C6424" t="s">
        <v>51</v>
      </c>
      <c r="D6424" t="str">
        <f>T_Stocks[[#This Row],[Ticker]] &amp; "-" &amp; DATE(YEAR(T_Stocks[[#This Row],[Fecha]]),MONTH(T_Stocks[[#This Row],[Fecha]]),DAY(T_Stocks[[#This Row],[Fecha]]))</f>
        <v>PRHSX-45356</v>
      </c>
    </row>
    <row r="6425" spans="1:4" ht="14.65" thickBot="1" x14ac:dyDescent="0.5">
      <c r="A6425" s="17">
        <v>45357.666666666664</v>
      </c>
      <c r="B6425" s="19">
        <v>94.2</v>
      </c>
      <c r="C6425" t="s">
        <v>51</v>
      </c>
      <c r="D6425" t="str">
        <f>T_Stocks[[#This Row],[Ticker]] &amp; "-" &amp; DATE(YEAR(T_Stocks[[#This Row],[Fecha]]),MONTH(T_Stocks[[#This Row],[Fecha]]),DAY(T_Stocks[[#This Row],[Fecha]]))</f>
        <v>PRHSX-45357</v>
      </c>
    </row>
    <row r="6426" spans="1:4" ht="14.65" thickBot="1" x14ac:dyDescent="0.5">
      <c r="A6426" s="17">
        <v>45358.666666666664</v>
      </c>
      <c r="B6426" s="19">
        <v>94.81</v>
      </c>
      <c r="C6426" t="s">
        <v>51</v>
      </c>
      <c r="D6426" t="str">
        <f>T_Stocks[[#This Row],[Ticker]] &amp; "-" &amp; DATE(YEAR(T_Stocks[[#This Row],[Fecha]]),MONTH(T_Stocks[[#This Row],[Fecha]]),DAY(T_Stocks[[#This Row],[Fecha]]))</f>
        <v>PRHSX-45358</v>
      </c>
    </row>
    <row r="6427" spans="1:4" ht="14.65" thickBot="1" x14ac:dyDescent="0.5">
      <c r="A6427" s="17">
        <v>45359.666666666664</v>
      </c>
      <c r="B6427" s="19">
        <v>94.35</v>
      </c>
      <c r="C6427" t="s">
        <v>51</v>
      </c>
      <c r="D6427" t="str">
        <f>T_Stocks[[#This Row],[Ticker]] &amp; "-" &amp; DATE(YEAR(T_Stocks[[#This Row],[Fecha]]),MONTH(T_Stocks[[#This Row],[Fecha]]),DAY(T_Stocks[[#This Row],[Fecha]]))</f>
        <v>PRHSX-45359</v>
      </c>
    </row>
    <row r="6428" spans="1:4" ht="14.65" thickBot="1" x14ac:dyDescent="0.5">
      <c r="A6428" s="17">
        <v>45362.666666666664</v>
      </c>
      <c r="B6428" s="19">
        <v>93.56</v>
      </c>
      <c r="C6428" t="s">
        <v>51</v>
      </c>
      <c r="D6428" t="str">
        <f>T_Stocks[[#This Row],[Ticker]] &amp; "-" &amp; DATE(YEAR(T_Stocks[[#This Row],[Fecha]]),MONTH(T_Stocks[[#This Row],[Fecha]]),DAY(T_Stocks[[#This Row],[Fecha]]))</f>
        <v>PRHSX-45362</v>
      </c>
    </row>
    <row r="6429" spans="1:4" ht="14.65" thickBot="1" x14ac:dyDescent="0.5">
      <c r="A6429" s="17">
        <v>45363.666666666664</v>
      </c>
      <c r="B6429" s="19">
        <v>94.04</v>
      </c>
      <c r="C6429" t="s">
        <v>51</v>
      </c>
      <c r="D6429" t="str">
        <f>T_Stocks[[#This Row],[Ticker]] &amp; "-" &amp; DATE(YEAR(T_Stocks[[#This Row],[Fecha]]),MONTH(T_Stocks[[#This Row],[Fecha]]),DAY(T_Stocks[[#This Row],[Fecha]]))</f>
        <v>PRHSX-45363</v>
      </c>
    </row>
    <row r="6430" spans="1:4" ht="14.65" thickBot="1" x14ac:dyDescent="0.5">
      <c r="A6430" s="17">
        <v>45364.666666666664</v>
      </c>
      <c r="B6430" s="19">
        <v>94.15</v>
      </c>
      <c r="C6430" t="s">
        <v>51</v>
      </c>
      <c r="D6430" t="str">
        <f>T_Stocks[[#This Row],[Ticker]] &amp; "-" &amp; DATE(YEAR(T_Stocks[[#This Row],[Fecha]]),MONTH(T_Stocks[[#This Row],[Fecha]]),DAY(T_Stocks[[#This Row],[Fecha]]))</f>
        <v>PRHSX-45364</v>
      </c>
    </row>
    <row r="6431" spans="1:4" ht="14.65" thickBot="1" x14ac:dyDescent="0.5">
      <c r="A6431" s="17">
        <v>45365.666666666664</v>
      </c>
      <c r="B6431" s="19">
        <v>93.21</v>
      </c>
      <c r="C6431" t="s">
        <v>51</v>
      </c>
      <c r="D6431" t="str">
        <f>T_Stocks[[#This Row],[Ticker]] &amp; "-" &amp; DATE(YEAR(T_Stocks[[#This Row],[Fecha]]),MONTH(T_Stocks[[#This Row],[Fecha]]),DAY(T_Stocks[[#This Row],[Fecha]]))</f>
        <v>PRHSX-45365</v>
      </c>
    </row>
    <row r="6432" spans="1:4" ht="14.65" thickBot="1" x14ac:dyDescent="0.5">
      <c r="A6432" s="17">
        <v>45366.666666666664</v>
      </c>
      <c r="B6432" s="19">
        <v>93.17</v>
      </c>
      <c r="C6432" t="s">
        <v>51</v>
      </c>
      <c r="D6432" t="str">
        <f>T_Stocks[[#This Row],[Ticker]] &amp; "-" &amp; DATE(YEAR(T_Stocks[[#This Row],[Fecha]]),MONTH(T_Stocks[[#This Row],[Fecha]]),DAY(T_Stocks[[#This Row],[Fecha]]))</f>
        <v>PRHSX-45366</v>
      </c>
    </row>
    <row r="6433" spans="1:4" ht="14.65" thickBot="1" x14ac:dyDescent="0.5">
      <c r="A6433" s="17">
        <v>45369.666666666664</v>
      </c>
      <c r="B6433" s="19">
        <v>92.96</v>
      </c>
      <c r="C6433" t="s">
        <v>51</v>
      </c>
      <c r="D6433" t="str">
        <f>T_Stocks[[#This Row],[Ticker]] &amp; "-" &amp; DATE(YEAR(T_Stocks[[#This Row],[Fecha]]),MONTH(T_Stocks[[#This Row],[Fecha]]),DAY(T_Stocks[[#This Row],[Fecha]]))</f>
        <v>PRHSX-45369</v>
      </c>
    </row>
    <row r="6434" spans="1:4" ht="14.65" thickBot="1" x14ac:dyDescent="0.5">
      <c r="A6434" s="17">
        <v>45370.666666666664</v>
      </c>
      <c r="B6434" s="19">
        <v>93.75</v>
      </c>
      <c r="C6434" t="s">
        <v>51</v>
      </c>
      <c r="D6434" t="str">
        <f>T_Stocks[[#This Row],[Ticker]] &amp; "-" &amp; DATE(YEAR(T_Stocks[[#This Row],[Fecha]]),MONTH(T_Stocks[[#This Row],[Fecha]]),DAY(T_Stocks[[#This Row],[Fecha]]))</f>
        <v>PRHSX-45370</v>
      </c>
    </row>
    <row r="6435" spans="1:4" ht="14.65" thickBot="1" x14ac:dyDescent="0.5">
      <c r="A6435" s="17">
        <v>45371.666666666664</v>
      </c>
      <c r="B6435" s="19">
        <v>93.81</v>
      </c>
      <c r="C6435" t="s">
        <v>51</v>
      </c>
      <c r="D6435" t="str">
        <f>T_Stocks[[#This Row],[Ticker]] &amp; "-" &amp; DATE(YEAR(T_Stocks[[#This Row],[Fecha]]),MONTH(T_Stocks[[#This Row],[Fecha]]),DAY(T_Stocks[[#This Row],[Fecha]]))</f>
        <v>PRHSX-45371</v>
      </c>
    </row>
    <row r="6436" spans="1:4" ht="14.65" thickBot="1" x14ac:dyDescent="0.5">
      <c r="A6436" s="17">
        <v>45372.666666666664</v>
      </c>
      <c r="B6436" s="19">
        <v>94.07</v>
      </c>
      <c r="C6436" t="s">
        <v>51</v>
      </c>
      <c r="D6436" t="str">
        <f>T_Stocks[[#This Row],[Ticker]] &amp; "-" &amp; DATE(YEAR(T_Stocks[[#This Row],[Fecha]]),MONTH(T_Stocks[[#This Row],[Fecha]]),DAY(T_Stocks[[#This Row],[Fecha]]))</f>
        <v>PRHSX-45372</v>
      </c>
    </row>
    <row r="6437" spans="1:4" ht="14.65" thickBot="1" x14ac:dyDescent="0.5">
      <c r="A6437" s="17">
        <v>45373.666666666664</v>
      </c>
      <c r="B6437" s="19">
        <v>93.67</v>
      </c>
      <c r="C6437" t="s">
        <v>51</v>
      </c>
      <c r="D6437" t="str">
        <f>T_Stocks[[#This Row],[Ticker]] &amp; "-" &amp; DATE(YEAR(T_Stocks[[#This Row],[Fecha]]),MONTH(T_Stocks[[#This Row],[Fecha]]),DAY(T_Stocks[[#This Row],[Fecha]]))</f>
        <v>PRHSX-45373</v>
      </c>
    </row>
    <row r="6438" spans="1:4" ht="14.65" thickBot="1" x14ac:dyDescent="0.5">
      <c r="A6438" s="17">
        <v>45376.666666666664</v>
      </c>
      <c r="B6438" s="19">
        <v>93.23</v>
      </c>
      <c r="C6438" t="s">
        <v>51</v>
      </c>
      <c r="D6438" t="str">
        <f>T_Stocks[[#This Row],[Ticker]] &amp; "-" &amp; DATE(YEAR(T_Stocks[[#This Row],[Fecha]]),MONTH(T_Stocks[[#This Row],[Fecha]]),DAY(T_Stocks[[#This Row],[Fecha]]))</f>
        <v>PRHSX-45376</v>
      </c>
    </row>
    <row r="6439" spans="1:4" ht="14.65" thickBot="1" x14ac:dyDescent="0.5">
      <c r="A6439" s="17">
        <v>45377.666666666664</v>
      </c>
      <c r="B6439" s="19">
        <v>93.65</v>
      </c>
      <c r="C6439" t="s">
        <v>51</v>
      </c>
      <c r="D6439" t="str">
        <f>T_Stocks[[#This Row],[Ticker]] &amp; "-" &amp; DATE(YEAR(T_Stocks[[#This Row],[Fecha]]),MONTH(T_Stocks[[#This Row],[Fecha]]),DAY(T_Stocks[[#This Row],[Fecha]]))</f>
        <v>PRHSX-45377</v>
      </c>
    </row>
    <row r="6440" spans="1:4" ht="14.65" thickBot="1" x14ac:dyDescent="0.5">
      <c r="A6440" s="17">
        <v>45378.666666666664</v>
      </c>
      <c r="B6440" s="19">
        <v>94.85</v>
      </c>
      <c r="C6440" t="s">
        <v>51</v>
      </c>
      <c r="D6440" t="str">
        <f>T_Stocks[[#This Row],[Ticker]] &amp; "-" &amp; DATE(YEAR(T_Stocks[[#This Row],[Fecha]]),MONTH(T_Stocks[[#This Row],[Fecha]]),DAY(T_Stocks[[#This Row],[Fecha]]))</f>
        <v>PRHSX-45378</v>
      </c>
    </row>
    <row r="6441" spans="1:4" ht="14.65" thickBot="1" x14ac:dyDescent="0.5">
      <c r="A6441" s="17">
        <v>45379.666666666664</v>
      </c>
      <c r="B6441" s="19">
        <v>94.89</v>
      </c>
      <c r="C6441" t="s">
        <v>51</v>
      </c>
      <c r="D6441" t="str">
        <f>T_Stocks[[#This Row],[Ticker]] &amp; "-" &amp; DATE(YEAR(T_Stocks[[#This Row],[Fecha]]),MONTH(T_Stocks[[#This Row],[Fecha]]),DAY(T_Stocks[[#This Row],[Fecha]]))</f>
        <v>PRHSX-45379</v>
      </c>
    </row>
    <row r="6442" spans="1:4" ht="14.65" thickBot="1" x14ac:dyDescent="0.5">
      <c r="A6442" s="17">
        <v>45383.666666666664</v>
      </c>
      <c r="B6442" s="19">
        <v>94.05</v>
      </c>
      <c r="C6442" t="s">
        <v>51</v>
      </c>
      <c r="D6442" t="str">
        <f>T_Stocks[[#This Row],[Ticker]] &amp; "-" &amp; DATE(YEAR(T_Stocks[[#This Row],[Fecha]]),MONTH(T_Stocks[[#This Row],[Fecha]]),DAY(T_Stocks[[#This Row],[Fecha]]))</f>
        <v>PRHSX-45383</v>
      </c>
    </row>
    <row r="6443" spans="1:4" ht="14.65" thickBot="1" x14ac:dyDescent="0.5">
      <c r="A6443" s="17">
        <v>45384.666666666664</v>
      </c>
      <c r="B6443" s="19">
        <v>92.19</v>
      </c>
      <c r="C6443" t="s">
        <v>51</v>
      </c>
      <c r="D6443" t="str">
        <f>T_Stocks[[#This Row],[Ticker]] &amp; "-" &amp; DATE(YEAR(T_Stocks[[#This Row],[Fecha]]),MONTH(T_Stocks[[#This Row],[Fecha]]),DAY(T_Stocks[[#This Row],[Fecha]]))</f>
        <v>PRHSX-45384</v>
      </c>
    </row>
    <row r="6444" spans="1:4" ht="14.65" thickBot="1" x14ac:dyDescent="0.5">
      <c r="A6444" s="17">
        <v>45385.666666666664</v>
      </c>
      <c r="B6444" s="19">
        <v>92.45</v>
      </c>
      <c r="C6444" t="s">
        <v>51</v>
      </c>
      <c r="D6444" t="str">
        <f>T_Stocks[[#This Row],[Ticker]] &amp; "-" &amp; DATE(YEAR(T_Stocks[[#This Row],[Fecha]]),MONTH(T_Stocks[[#This Row],[Fecha]]),DAY(T_Stocks[[#This Row],[Fecha]]))</f>
        <v>PRHSX-45385</v>
      </c>
    </row>
    <row r="6445" spans="1:4" ht="14.65" thickBot="1" x14ac:dyDescent="0.5">
      <c r="A6445" s="17">
        <v>45386.666666666664</v>
      </c>
      <c r="B6445" s="19">
        <v>91.51</v>
      </c>
      <c r="C6445" t="s">
        <v>51</v>
      </c>
      <c r="D6445" t="str">
        <f>T_Stocks[[#This Row],[Ticker]] &amp; "-" &amp; DATE(YEAR(T_Stocks[[#This Row],[Fecha]]),MONTH(T_Stocks[[#This Row],[Fecha]]),DAY(T_Stocks[[#This Row],[Fecha]]))</f>
        <v>PRHSX-45386</v>
      </c>
    </row>
    <row r="6446" spans="1:4" ht="14.65" thickBot="1" x14ac:dyDescent="0.5">
      <c r="A6446" s="17">
        <v>45387.666666666664</v>
      </c>
      <c r="B6446" s="19">
        <v>92.49</v>
      </c>
      <c r="C6446" t="s">
        <v>51</v>
      </c>
      <c r="D6446" t="str">
        <f>T_Stocks[[#This Row],[Ticker]] &amp; "-" &amp; DATE(YEAR(T_Stocks[[#This Row],[Fecha]]),MONTH(T_Stocks[[#This Row],[Fecha]]),DAY(T_Stocks[[#This Row],[Fecha]]))</f>
        <v>PRHSX-45387</v>
      </c>
    </row>
    <row r="6447" spans="1:4" ht="14.65" thickBot="1" x14ac:dyDescent="0.5">
      <c r="A6447" s="17">
        <v>45390.666666666664</v>
      </c>
      <c r="B6447" s="19">
        <v>92.35</v>
      </c>
      <c r="C6447" t="s">
        <v>51</v>
      </c>
      <c r="D6447" t="str">
        <f>T_Stocks[[#This Row],[Ticker]] &amp; "-" &amp; DATE(YEAR(T_Stocks[[#This Row],[Fecha]]),MONTH(T_Stocks[[#This Row],[Fecha]]),DAY(T_Stocks[[#This Row],[Fecha]]))</f>
        <v>PRHSX-45390</v>
      </c>
    </row>
    <row r="6448" spans="1:4" ht="14.65" thickBot="1" x14ac:dyDescent="0.5">
      <c r="A6448" s="17">
        <v>45391.666666666664</v>
      </c>
      <c r="B6448" s="19">
        <v>92.73</v>
      </c>
      <c r="C6448" t="s">
        <v>51</v>
      </c>
      <c r="D6448" t="str">
        <f>T_Stocks[[#This Row],[Ticker]] &amp; "-" &amp; DATE(YEAR(T_Stocks[[#This Row],[Fecha]]),MONTH(T_Stocks[[#This Row],[Fecha]]),DAY(T_Stocks[[#This Row],[Fecha]]))</f>
        <v>PRHSX-45391</v>
      </c>
    </row>
    <row r="6449" spans="1:4" ht="14.65" thickBot="1" x14ac:dyDescent="0.5">
      <c r="A6449" s="17">
        <v>45392.666666666664</v>
      </c>
      <c r="B6449" s="19">
        <v>91.85</v>
      </c>
      <c r="C6449" t="s">
        <v>51</v>
      </c>
      <c r="D6449" t="str">
        <f>T_Stocks[[#This Row],[Ticker]] &amp; "-" &amp; DATE(YEAR(T_Stocks[[#This Row],[Fecha]]),MONTH(T_Stocks[[#This Row],[Fecha]]),DAY(T_Stocks[[#This Row],[Fecha]]))</f>
        <v>PRHSX-45392</v>
      </c>
    </row>
    <row r="6450" spans="1:4" ht="14.65" thickBot="1" x14ac:dyDescent="0.5">
      <c r="A6450" s="17">
        <v>45393.666666666664</v>
      </c>
      <c r="B6450" s="19">
        <v>91.98</v>
      </c>
      <c r="C6450" t="s">
        <v>51</v>
      </c>
      <c r="D6450" t="str">
        <f>T_Stocks[[#This Row],[Ticker]] &amp; "-" &amp; DATE(YEAR(T_Stocks[[#This Row],[Fecha]]),MONTH(T_Stocks[[#This Row],[Fecha]]),DAY(T_Stocks[[#This Row],[Fecha]]))</f>
        <v>PRHSX-45393</v>
      </c>
    </row>
    <row r="6451" spans="1:4" ht="14.65" thickBot="1" x14ac:dyDescent="0.5">
      <c r="A6451" s="17">
        <v>45394.666666666664</v>
      </c>
      <c r="B6451" s="19">
        <v>90.44</v>
      </c>
      <c r="C6451" t="s">
        <v>51</v>
      </c>
      <c r="D6451" t="str">
        <f>T_Stocks[[#This Row],[Ticker]] &amp; "-" &amp; DATE(YEAR(T_Stocks[[#This Row],[Fecha]]),MONTH(T_Stocks[[#This Row],[Fecha]]),DAY(T_Stocks[[#This Row],[Fecha]]))</f>
        <v>PRHSX-45394</v>
      </c>
    </row>
    <row r="6452" spans="1:4" ht="14.65" thickBot="1" x14ac:dyDescent="0.5">
      <c r="A6452" s="17">
        <v>45397.666666666664</v>
      </c>
      <c r="B6452" s="19">
        <v>89.57</v>
      </c>
      <c r="C6452" t="s">
        <v>51</v>
      </c>
      <c r="D6452" t="str">
        <f>T_Stocks[[#This Row],[Ticker]] &amp; "-" &amp; DATE(YEAR(T_Stocks[[#This Row],[Fecha]]),MONTH(T_Stocks[[#This Row],[Fecha]]),DAY(T_Stocks[[#This Row],[Fecha]]))</f>
        <v>PRHSX-45397</v>
      </c>
    </row>
    <row r="6453" spans="1:4" ht="14.65" thickBot="1" x14ac:dyDescent="0.5">
      <c r="A6453" s="17">
        <v>45398.666666666664</v>
      </c>
      <c r="B6453" s="19">
        <v>89.38</v>
      </c>
      <c r="C6453" t="s">
        <v>51</v>
      </c>
      <c r="D6453" t="str">
        <f>T_Stocks[[#This Row],[Ticker]] &amp; "-" &amp; DATE(YEAR(T_Stocks[[#This Row],[Fecha]]),MONTH(T_Stocks[[#This Row],[Fecha]]),DAY(T_Stocks[[#This Row],[Fecha]]))</f>
        <v>PRHSX-45398</v>
      </c>
    </row>
    <row r="6454" spans="1:4" ht="14.65" thickBot="1" x14ac:dyDescent="0.5">
      <c r="A6454" s="17">
        <v>45399.666666666664</v>
      </c>
      <c r="B6454" s="19">
        <v>89.15</v>
      </c>
      <c r="C6454" t="s">
        <v>51</v>
      </c>
      <c r="D6454" t="str">
        <f>T_Stocks[[#This Row],[Ticker]] &amp; "-" &amp; DATE(YEAR(T_Stocks[[#This Row],[Fecha]]),MONTH(T_Stocks[[#This Row],[Fecha]]),DAY(T_Stocks[[#This Row],[Fecha]]))</f>
        <v>PRHSX-45399</v>
      </c>
    </row>
    <row r="6455" spans="1:4" ht="14.65" thickBot="1" x14ac:dyDescent="0.5">
      <c r="A6455" s="17">
        <v>45400.666666666664</v>
      </c>
      <c r="B6455" s="19">
        <v>88.64</v>
      </c>
      <c r="C6455" t="s">
        <v>51</v>
      </c>
      <c r="D6455" t="str">
        <f>T_Stocks[[#This Row],[Ticker]] &amp; "-" &amp; DATE(YEAR(T_Stocks[[#This Row],[Fecha]]),MONTH(T_Stocks[[#This Row],[Fecha]]),DAY(T_Stocks[[#This Row],[Fecha]]))</f>
        <v>PRHSX-45400</v>
      </c>
    </row>
    <row r="6456" spans="1:4" ht="14.65" thickBot="1" x14ac:dyDescent="0.5">
      <c r="A6456" s="17">
        <v>45401.666666666664</v>
      </c>
      <c r="B6456" s="19">
        <v>88.29</v>
      </c>
      <c r="C6456" t="s">
        <v>51</v>
      </c>
      <c r="D6456" t="str">
        <f>T_Stocks[[#This Row],[Ticker]] &amp; "-" &amp; DATE(YEAR(T_Stocks[[#This Row],[Fecha]]),MONTH(T_Stocks[[#This Row],[Fecha]]),DAY(T_Stocks[[#This Row],[Fecha]]))</f>
        <v>PRHSX-45401</v>
      </c>
    </row>
    <row r="6457" spans="1:4" ht="14.65" thickBot="1" x14ac:dyDescent="0.5">
      <c r="A6457" s="17">
        <v>45404.666666666664</v>
      </c>
      <c r="B6457" s="19">
        <v>88.83</v>
      </c>
      <c r="C6457" t="s">
        <v>51</v>
      </c>
      <c r="D6457" t="str">
        <f>T_Stocks[[#This Row],[Ticker]] &amp; "-" &amp; DATE(YEAR(T_Stocks[[#This Row],[Fecha]]),MONTH(T_Stocks[[#This Row],[Fecha]]),DAY(T_Stocks[[#This Row],[Fecha]]))</f>
        <v>PRHSX-45404</v>
      </c>
    </row>
    <row r="6458" spans="1:4" ht="14.65" thickBot="1" x14ac:dyDescent="0.5">
      <c r="A6458" s="17">
        <v>45405.666666666664</v>
      </c>
      <c r="B6458" s="19">
        <v>90.29</v>
      </c>
      <c r="C6458" t="s">
        <v>51</v>
      </c>
      <c r="D6458" t="str">
        <f>T_Stocks[[#This Row],[Ticker]] &amp; "-" &amp; DATE(YEAR(T_Stocks[[#This Row],[Fecha]]),MONTH(T_Stocks[[#This Row],[Fecha]]),DAY(T_Stocks[[#This Row],[Fecha]]))</f>
        <v>PRHSX-45405</v>
      </c>
    </row>
    <row r="6459" spans="1:4" ht="14.65" thickBot="1" x14ac:dyDescent="0.5">
      <c r="A6459" s="17">
        <v>45406.666666666664</v>
      </c>
      <c r="B6459" s="19">
        <v>90.02</v>
      </c>
      <c r="C6459" t="s">
        <v>51</v>
      </c>
      <c r="D6459" t="str">
        <f>T_Stocks[[#This Row],[Ticker]] &amp; "-" &amp; DATE(YEAR(T_Stocks[[#This Row],[Fecha]]),MONTH(T_Stocks[[#This Row],[Fecha]]),DAY(T_Stocks[[#This Row],[Fecha]]))</f>
        <v>PRHSX-45406</v>
      </c>
    </row>
    <row r="6460" spans="1:4" ht="14.65" thickBot="1" x14ac:dyDescent="0.5">
      <c r="A6460" s="17">
        <v>45407.666666666664</v>
      </c>
      <c r="B6460" s="19">
        <v>89.5</v>
      </c>
      <c r="C6460" t="s">
        <v>51</v>
      </c>
      <c r="D6460" t="str">
        <f>T_Stocks[[#This Row],[Ticker]] &amp; "-" &amp; DATE(YEAR(T_Stocks[[#This Row],[Fecha]]),MONTH(T_Stocks[[#This Row],[Fecha]]),DAY(T_Stocks[[#This Row],[Fecha]]))</f>
        <v>PRHSX-45407</v>
      </c>
    </row>
    <row r="6461" spans="1:4" ht="14.65" thickBot="1" x14ac:dyDescent="0.5">
      <c r="A6461" s="17">
        <v>45408.666666666664</v>
      </c>
      <c r="B6461" s="19">
        <v>89.79</v>
      </c>
      <c r="C6461" t="s">
        <v>51</v>
      </c>
      <c r="D6461" t="str">
        <f>T_Stocks[[#This Row],[Ticker]] &amp; "-" &amp; DATE(YEAR(T_Stocks[[#This Row],[Fecha]]),MONTH(T_Stocks[[#This Row],[Fecha]]),DAY(T_Stocks[[#This Row],[Fecha]]))</f>
        <v>PRHSX-45408</v>
      </c>
    </row>
    <row r="6462" spans="1:4" ht="14.65" thickBot="1" x14ac:dyDescent="0.5">
      <c r="A6462" s="17">
        <v>45411.666666666664</v>
      </c>
      <c r="B6462" s="19">
        <v>90.22</v>
      </c>
      <c r="C6462" t="s">
        <v>51</v>
      </c>
      <c r="D6462" t="str">
        <f>T_Stocks[[#This Row],[Ticker]] &amp; "-" &amp; DATE(YEAR(T_Stocks[[#This Row],[Fecha]]),MONTH(T_Stocks[[#This Row],[Fecha]]),DAY(T_Stocks[[#This Row],[Fecha]]))</f>
        <v>PRHSX-45411</v>
      </c>
    </row>
    <row r="6463" spans="1:4" ht="14.65" thickBot="1" x14ac:dyDescent="0.5">
      <c r="A6463" s="17">
        <v>45412.666666666664</v>
      </c>
      <c r="B6463" s="19">
        <v>90.17</v>
      </c>
      <c r="C6463" t="s">
        <v>51</v>
      </c>
      <c r="D6463" t="str">
        <f>T_Stocks[[#This Row],[Ticker]] &amp; "-" &amp; DATE(YEAR(T_Stocks[[#This Row],[Fecha]]),MONTH(T_Stocks[[#This Row],[Fecha]]),DAY(T_Stocks[[#This Row],[Fecha]]))</f>
        <v>PRHSX-45412</v>
      </c>
    </row>
    <row r="6464" spans="1:4" ht="14.65" thickBot="1" x14ac:dyDescent="0.5">
      <c r="A6464" s="17">
        <v>45413.666666666664</v>
      </c>
      <c r="B6464" s="19">
        <v>90.95</v>
      </c>
      <c r="C6464" t="s">
        <v>51</v>
      </c>
      <c r="D6464" t="str">
        <f>T_Stocks[[#This Row],[Ticker]] &amp; "-" &amp; DATE(YEAR(T_Stocks[[#This Row],[Fecha]]),MONTH(T_Stocks[[#This Row],[Fecha]]),DAY(T_Stocks[[#This Row],[Fecha]]))</f>
        <v>PRHSX-45413</v>
      </c>
    </row>
    <row r="6465" spans="1:4" ht="14.65" thickBot="1" x14ac:dyDescent="0.5">
      <c r="A6465" s="17">
        <v>45414.666666666664</v>
      </c>
      <c r="B6465" s="19">
        <v>91.27</v>
      </c>
      <c r="C6465" t="s">
        <v>51</v>
      </c>
      <c r="D6465" t="str">
        <f>T_Stocks[[#This Row],[Ticker]] &amp; "-" &amp; DATE(YEAR(T_Stocks[[#This Row],[Fecha]]),MONTH(T_Stocks[[#This Row],[Fecha]]),DAY(T_Stocks[[#This Row],[Fecha]]))</f>
        <v>PRHSX-45414</v>
      </c>
    </row>
    <row r="6466" spans="1:4" ht="14.65" thickBot="1" x14ac:dyDescent="0.5">
      <c r="A6466" s="17">
        <v>45415.666666666664</v>
      </c>
      <c r="B6466" s="19">
        <v>91.63</v>
      </c>
      <c r="C6466" t="s">
        <v>51</v>
      </c>
      <c r="D6466" t="str">
        <f>T_Stocks[[#This Row],[Ticker]] &amp; "-" &amp; DATE(YEAR(T_Stocks[[#This Row],[Fecha]]),MONTH(T_Stocks[[#This Row],[Fecha]]),DAY(T_Stocks[[#This Row],[Fecha]]))</f>
        <v>PRHSX-45415</v>
      </c>
    </row>
    <row r="6467" spans="1:4" ht="14.65" thickBot="1" x14ac:dyDescent="0.5">
      <c r="A6467" s="17">
        <v>45418.666666666664</v>
      </c>
      <c r="B6467" s="19">
        <v>92.07</v>
      </c>
      <c r="C6467" t="s">
        <v>51</v>
      </c>
      <c r="D6467" t="str">
        <f>T_Stocks[[#This Row],[Ticker]] &amp; "-" &amp; DATE(YEAR(T_Stocks[[#This Row],[Fecha]]),MONTH(T_Stocks[[#This Row],[Fecha]]),DAY(T_Stocks[[#This Row],[Fecha]]))</f>
        <v>PRHSX-45418</v>
      </c>
    </row>
    <row r="6468" spans="1:4" ht="14.65" thickBot="1" x14ac:dyDescent="0.5">
      <c r="A6468" s="17">
        <v>45419.666666666664</v>
      </c>
      <c r="B6468" s="19">
        <v>92.8</v>
      </c>
      <c r="C6468" t="s">
        <v>51</v>
      </c>
      <c r="D6468" t="str">
        <f>T_Stocks[[#This Row],[Ticker]] &amp; "-" &amp; DATE(YEAR(T_Stocks[[#This Row],[Fecha]]),MONTH(T_Stocks[[#This Row],[Fecha]]),DAY(T_Stocks[[#This Row],[Fecha]]))</f>
        <v>PRHSX-45419</v>
      </c>
    </row>
    <row r="6469" spans="1:4" ht="14.65" thickBot="1" x14ac:dyDescent="0.5">
      <c r="A6469" s="17">
        <v>45420.666666666664</v>
      </c>
      <c r="B6469" s="19">
        <v>92.08</v>
      </c>
      <c r="C6469" t="s">
        <v>51</v>
      </c>
      <c r="D6469" t="str">
        <f>T_Stocks[[#This Row],[Ticker]] &amp; "-" &amp; DATE(YEAR(T_Stocks[[#This Row],[Fecha]]),MONTH(T_Stocks[[#This Row],[Fecha]]),DAY(T_Stocks[[#This Row],[Fecha]]))</f>
        <v>PRHSX-45420</v>
      </c>
    </row>
    <row r="6470" spans="1:4" ht="14.65" thickBot="1" x14ac:dyDescent="0.5">
      <c r="A6470" s="17">
        <v>45421.666666666664</v>
      </c>
      <c r="B6470" s="19">
        <v>92.65</v>
      </c>
      <c r="C6470" t="s">
        <v>51</v>
      </c>
      <c r="D6470" t="str">
        <f>T_Stocks[[#This Row],[Ticker]] &amp; "-" &amp; DATE(YEAR(T_Stocks[[#This Row],[Fecha]]),MONTH(T_Stocks[[#This Row],[Fecha]]),DAY(T_Stocks[[#This Row],[Fecha]]))</f>
        <v>PRHSX-45421</v>
      </c>
    </row>
    <row r="6471" spans="1:4" ht="14.65" thickBot="1" x14ac:dyDescent="0.5">
      <c r="A6471" s="17">
        <v>45422.666666666664</v>
      </c>
      <c r="B6471" s="19">
        <v>92.16</v>
      </c>
      <c r="C6471" t="s">
        <v>51</v>
      </c>
      <c r="D6471" t="str">
        <f>T_Stocks[[#This Row],[Ticker]] &amp; "-" &amp; DATE(YEAR(T_Stocks[[#This Row],[Fecha]]),MONTH(T_Stocks[[#This Row],[Fecha]]),DAY(T_Stocks[[#This Row],[Fecha]]))</f>
        <v>PRHSX-45422</v>
      </c>
    </row>
    <row r="6472" spans="1:4" ht="14.65" thickBot="1" x14ac:dyDescent="0.5">
      <c r="A6472" s="17">
        <v>45425.666666666664</v>
      </c>
      <c r="B6472" s="19">
        <v>91.87</v>
      </c>
      <c r="C6472" t="s">
        <v>51</v>
      </c>
      <c r="D6472" t="str">
        <f>T_Stocks[[#This Row],[Ticker]] &amp; "-" &amp; DATE(YEAR(T_Stocks[[#This Row],[Fecha]]),MONTH(T_Stocks[[#This Row],[Fecha]]),DAY(T_Stocks[[#This Row],[Fecha]]))</f>
        <v>PRHSX-45425</v>
      </c>
    </row>
    <row r="6473" spans="1:4" ht="14.65" thickBot="1" x14ac:dyDescent="0.5">
      <c r="A6473" s="17">
        <v>45426.666666666664</v>
      </c>
      <c r="B6473" s="19">
        <v>92.35</v>
      </c>
      <c r="C6473" t="s">
        <v>51</v>
      </c>
      <c r="D6473" t="str">
        <f>T_Stocks[[#This Row],[Ticker]] &amp; "-" &amp; DATE(YEAR(T_Stocks[[#This Row],[Fecha]]),MONTH(T_Stocks[[#This Row],[Fecha]]),DAY(T_Stocks[[#This Row],[Fecha]]))</f>
        <v>PRHSX-45426</v>
      </c>
    </row>
    <row r="6474" spans="1:4" ht="14.65" thickBot="1" x14ac:dyDescent="0.5">
      <c r="A6474" s="17">
        <v>45427.666666666664</v>
      </c>
      <c r="B6474" s="19">
        <v>93.82</v>
      </c>
      <c r="C6474" t="s">
        <v>51</v>
      </c>
      <c r="D6474" t="str">
        <f>T_Stocks[[#This Row],[Ticker]] &amp; "-" &amp; DATE(YEAR(T_Stocks[[#This Row],[Fecha]]),MONTH(T_Stocks[[#This Row],[Fecha]]),DAY(T_Stocks[[#This Row],[Fecha]]))</f>
        <v>PRHSX-45427</v>
      </c>
    </row>
    <row r="6475" spans="1:4" ht="14.65" thickBot="1" x14ac:dyDescent="0.5">
      <c r="A6475" s="17">
        <v>45428.666666666664</v>
      </c>
      <c r="B6475" s="19">
        <v>93.55</v>
      </c>
      <c r="C6475" t="s">
        <v>51</v>
      </c>
      <c r="D6475" t="str">
        <f>T_Stocks[[#This Row],[Ticker]] &amp; "-" &amp; DATE(YEAR(T_Stocks[[#This Row],[Fecha]]),MONTH(T_Stocks[[#This Row],[Fecha]]),DAY(T_Stocks[[#This Row],[Fecha]]))</f>
        <v>PRHSX-45428</v>
      </c>
    </row>
    <row r="6476" spans="1:4" ht="14.65" thickBot="1" x14ac:dyDescent="0.5">
      <c r="A6476" s="17">
        <v>45429.666666666664</v>
      </c>
      <c r="B6476" s="19">
        <v>93.4</v>
      </c>
      <c r="C6476" t="s">
        <v>51</v>
      </c>
      <c r="D6476" t="str">
        <f>T_Stocks[[#This Row],[Ticker]] &amp; "-" &amp; DATE(YEAR(T_Stocks[[#This Row],[Fecha]]),MONTH(T_Stocks[[#This Row],[Fecha]]),DAY(T_Stocks[[#This Row],[Fecha]]))</f>
        <v>PRHSX-45429</v>
      </c>
    </row>
    <row r="6477" spans="1:4" ht="14.65" thickBot="1" x14ac:dyDescent="0.5">
      <c r="A6477" s="17">
        <v>45432.666666666664</v>
      </c>
      <c r="B6477" s="19">
        <v>93.53</v>
      </c>
      <c r="C6477" t="s">
        <v>51</v>
      </c>
      <c r="D6477" t="str">
        <f>T_Stocks[[#This Row],[Ticker]] &amp; "-" &amp; DATE(YEAR(T_Stocks[[#This Row],[Fecha]]),MONTH(T_Stocks[[#This Row],[Fecha]]),DAY(T_Stocks[[#This Row],[Fecha]]))</f>
        <v>PRHSX-45432</v>
      </c>
    </row>
    <row r="6478" spans="1:4" ht="14.65" thickBot="1" x14ac:dyDescent="0.5">
      <c r="A6478" s="17">
        <v>45433.666666666664</v>
      </c>
      <c r="B6478" s="19">
        <v>93.68</v>
      </c>
      <c r="C6478" t="s">
        <v>51</v>
      </c>
      <c r="D6478" t="str">
        <f>T_Stocks[[#This Row],[Ticker]] &amp; "-" &amp; DATE(YEAR(T_Stocks[[#This Row],[Fecha]]),MONTH(T_Stocks[[#This Row],[Fecha]]),DAY(T_Stocks[[#This Row],[Fecha]]))</f>
        <v>PRHSX-45433</v>
      </c>
    </row>
    <row r="6479" spans="1:4" ht="14.65" thickBot="1" x14ac:dyDescent="0.5">
      <c r="A6479" s="17">
        <v>45434.666666666664</v>
      </c>
      <c r="B6479" s="19">
        <v>93.77</v>
      </c>
      <c r="C6479" t="s">
        <v>51</v>
      </c>
      <c r="D6479" t="str">
        <f>T_Stocks[[#This Row],[Ticker]] &amp; "-" &amp; DATE(YEAR(T_Stocks[[#This Row],[Fecha]]),MONTH(T_Stocks[[#This Row],[Fecha]]),DAY(T_Stocks[[#This Row],[Fecha]]))</f>
        <v>PRHSX-45434</v>
      </c>
    </row>
    <row r="6480" spans="1:4" ht="14.65" thickBot="1" x14ac:dyDescent="0.5">
      <c r="A6480" s="17">
        <v>45435.666666666664</v>
      </c>
      <c r="B6480" s="19">
        <v>92.6</v>
      </c>
      <c r="C6480" t="s">
        <v>51</v>
      </c>
      <c r="D6480" t="str">
        <f>T_Stocks[[#This Row],[Ticker]] &amp; "-" &amp; DATE(YEAR(T_Stocks[[#This Row],[Fecha]]),MONTH(T_Stocks[[#This Row],[Fecha]]),DAY(T_Stocks[[#This Row],[Fecha]]))</f>
        <v>PRHSX-45435</v>
      </c>
    </row>
    <row r="6481" spans="1:4" ht="14.65" thickBot="1" x14ac:dyDescent="0.5">
      <c r="A6481" s="17">
        <v>45436.666666666664</v>
      </c>
      <c r="B6481" s="19">
        <v>92.51</v>
      </c>
      <c r="C6481" t="s">
        <v>51</v>
      </c>
      <c r="D6481" t="str">
        <f>T_Stocks[[#This Row],[Ticker]] &amp; "-" &amp; DATE(YEAR(T_Stocks[[#This Row],[Fecha]]),MONTH(T_Stocks[[#This Row],[Fecha]]),DAY(T_Stocks[[#This Row],[Fecha]]))</f>
        <v>PRHSX-45436</v>
      </c>
    </row>
    <row r="6482" spans="1:4" ht="14.65" thickBot="1" x14ac:dyDescent="0.5">
      <c r="A6482" s="17">
        <v>45440.666666666664</v>
      </c>
      <c r="B6482" s="19">
        <v>91.99</v>
      </c>
      <c r="C6482" t="s">
        <v>51</v>
      </c>
      <c r="D6482" t="str">
        <f>T_Stocks[[#This Row],[Ticker]] &amp; "-" &amp; DATE(YEAR(T_Stocks[[#This Row],[Fecha]]),MONTH(T_Stocks[[#This Row],[Fecha]]),DAY(T_Stocks[[#This Row],[Fecha]]))</f>
        <v>PRHSX-45440</v>
      </c>
    </row>
    <row r="6483" spans="1:4" ht="14.65" thickBot="1" x14ac:dyDescent="0.5">
      <c r="A6483" s="17">
        <v>45441.666666666664</v>
      </c>
      <c r="B6483" s="19">
        <v>91.15</v>
      </c>
      <c r="C6483" t="s">
        <v>51</v>
      </c>
      <c r="D6483" t="str">
        <f>T_Stocks[[#This Row],[Ticker]] &amp; "-" &amp; DATE(YEAR(T_Stocks[[#This Row],[Fecha]]),MONTH(T_Stocks[[#This Row],[Fecha]]),DAY(T_Stocks[[#This Row],[Fecha]]))</f>
        <v>PRHSX-45441</v>
      </c>
    </row>
    <row r="6484" spans="1:4" ht="14.65" thickBot="1" x14ac:dyDescent="0.5">
      <c r="A6484" s="17">
        <v>45442.666666666664</v>
      </c>
      <c r="B6484" s="19">
        <v>91.34</v>
      </c>
      <c r="C6484" t="s">
        <v>51</v>
      </c>
      <c r="D6484" t="str">
        <f>T_Stocks[[#This Row],[Ticker]] &amp; "-" &amp; DATE(YEAR(T_Stocks[[#This Row],[Fecha]]),MONTH(T_Stocks[[#This Row],[Fecha]]),DAY(T_Stocks[[#This Row],[Fecha]]))</f>
        <v>PRHSX-45442</v>
      </c>
    </row>
    <row r="6485" spans="1:4" ht="14.65" thickBot="1" x14ac:dyDescent="0.5">
      <c r="A6485" s="17">
        <v>45443.666666666664</v>
      </c>
      <c r="B6485" s="19">
        <v>92.25</v>
      </c>
      <c r="C6485" t="s">
        <v>51</v>
      </c>
      <c r="D6485" t="str">
        <f>T_Stocks[[#This Row],[Ticker]] &amp; "-" &amp; DATE(YEAR(T_Stocks[[#This Row],[Fecha]]),MONTH(T_Stocks[[#This Row],[Fecha]]),DAY(T_Stocks[[#This Row],[Fecha]]))</f>
        <v>PRHSX-45443</v>
      </c>
    </row>
    <row r="6486" spans="1:4" ht="14.65" thickBot="1" x14ac:dyDescent="0.5">
      <c r="A6486" s="17">
        <v>45446.666666666664</v>
      </c>
      <c r="B6486" s="19">
        <v>93.01</v>
      </c>
      <c r="C6486" t="s">
        <v>51</v>
      </c>
      <c r="D6486" t="str">
        <f>T_Stocks[[#This Row],[Ticker]] &amp; "-" &amp; DATE(YEAR(T_Stocks[[#This Row],[Fecha]]),MONTH(T_Stocks[[#This Row],[Fecha]]),DAY(T_Stocks[[#This Row],[Fecha]]))</f>
        <v>PRHSX-45446</v>
      </c>
    </row>
    <row r="6487" spans="1:4" ht="14.65" thickBot="1" x14ac:dyDescent="0.5">
      <c r="A6487" s="17">
        <v>45447.666666666664</v>
      </c>
      <c r="B6487" s="19">
        <v>93.13</v>
      </c>
      <c r="C6487" t="s">
        <v>51</v>
      </c>
      <c r="D6487" t="str">
        <f>T_Stocks[[#This Row],[Ticker]] &amp; "-" &amp; DATE(YEAR(T_Stocks[[#This Row],[Fecha]]),MONTH(T_Stocks[[#This Row],[Fecha]]),DAY(T_Stocks[[#This Row],[Fecha]]))</f>
        <v>PRHSX-45447</v>
      </c>
    </row>
    <row r="6488" spans="1:4" ht="14.65" thickBot="1" x14ac:dyDescent="0.5">
      <c r="A6488" s="17">
        <v>45448.666666666664</v>
      </c>
      <c r="B6488" s="19">
        <v>94.15</v>
      </c>
      <c r="C6488" t="s">
        <v>51</v>
      </c>
      <c r="D6488" t="str">
        <f>T_Stocks[[#This Row],[Ticker]] &amp; "-" &amp; DATE(YEAR(T_Stocks[[#This Row],[Fecha]]),MONTH(T_Stocks[[#This Row],[Fecha]]),DAY(T_Stocks[[#This Row],[Fecha]]))</f>
        <v>PRHSX-45448</v>
      </c>
    </row>
    <row r="6489" spans="1:4" ht="14.65" thickBot="1" x14ac:dyDescent="0.5">
      <c r="A6489" s="17">
        <v>45449.666666666664</v>
      </c>
      <c r="B6489" s="19">
        <v>94.14</v>
      </c>
      <c r="C6489" t="s">
        <v>51</v>
      </c>
      <c r="D6489" t="str">
        <f>T_Stocks[[#This Row],[Ticker]] &amp; "-" &amp; DATE(YEAR(T_Stocks[[#This Row],[Fecha]]),MONTH(T_Stocks[[#This Row],[Fecha]]),DAY(T_Stocks[[#This Row],[Fecha]]))</f>
        <v>PRHSX-45449</v>
      </c>
    </row>
    <row r="6490" spans="1:4" ht="14.65" thickBot="1" x14ac:dyDescent="0.5">
      <c r="A6490" s="17">
        <v>45450.666666666664</v>
      </c>
      <c r="B6490" s="19">
        <v>93.79</v>
      </c>
      <c r="C6490" t="s">
        <v>51</v>
      </c>
      <c r="D6490" t="str">
        <f>T_Stocks[[#This Row],[Ticker]] &amp; "-" &amp; DATE(YEAR(T_Stocks[[#This Row],[Fecha]]),MONTH(T_Stocks[[#This Row],[Fecha]]),DAY(T_Stocks[[#This Row],[Fecha]]))</f>
        <v>PRHSX-45450</v>
      </c>
    </row>
    <row r="6491" spans="1:4" ht="14.65" thickBot="1" x14ac:dyDescent="0.5">
      <c r="A6491" s="17">
        <v>45453.666666666664</v>
      </c>
      <c r="B6491" s="19">
        <v>94.35</v>
      </c>
      <c r="C6491" t="s">
        <v>51</v>
      </c>
      <c r="D6491" t="str">
        <f>T_Stocks[[#This Row],[Ticker]] &amp; "-" &amp; DATE(YEAR(T_Stocks[[#This Row],[Fecha]]),MONTH(T_Stocks[[#This Row],[Fecha]]),DAY(T_Stocks[[#This Row],[Fecha]]))</f>
        <v>PRHSX-45453</v>
      </c>
    </row>
    <row r="6492" spans="1:4" ht="14.65" thickBot="1" x14ac:dyDescent="0.5">
      <c r="A6492" s="17">
        <v>45454.666666666664</v>
      </c>
      <c r="B6492" s="19">
        <v>94.34</v>
      </c>
      <c r="C6492" t="s">
        <v>51</v>
      </c>
      <c r="D6492" t="str">
        <f>T_Stocks[[#This Row],[Ticker]] &amp; "-" &amp; DATE(YEAR(T_Stocks[[#This Row],[Fecha]]),MONTH(T_Stocks[[#This Row],[Fecha]]),DAY(T_Stocks[[#This Row],[Fecha]]))</f>
        <v>PRHSX-45454</v>
      </c>
    </row>
    <row r="6493" spans="1:4" ht="14.65" thickBot="1" x14ac:dyDescent="0.5">
      <c r="A6493" s="17">
        <v>45455.666666666664</v>
      </c>
      <c r="B6493" s="19">
        <v>94.91</v>
      </c>
      <c r="C6493" t="s">
        <v>51</v>
      </c>
      <c r="D6493" t="str">
        <f>T_Stocks[[#This Row],[Ticker]] &amp; "-" &amp; DATE(YEAR(T_Stocks[[#This Row],[Fecha]]),MONTH(T_Stocks[[#This Row],[Fecha]]),DAY(T_Stocks[[#This Row],[Fecha]]))</f>
        <v>PRHSX-45455</v>
      </c>
    </row>
    <row r="6494" spans="1:4" ht="14.65" thickBot="1" x14ac:dyDescent="0.5">
      <c r="A6494" s="17">
        <v>45456.666666666664</v>
      </c>
      <c r="B6494" s="19">
        <v>94.8</v>
      </c>
      <c r="C6494" t="s">
        <v>51</v>
      </c>
      <c r="D6494" t="str">
        <f>T_Stocks[[#This Row],[Ticker]] &amp; "-" &amp; DATE(YEAR(T_Stocks[[#This Row],[Fecha]]),MONTH(T_Stocks[[#This Row],[Fecha]]),DAY(T_Stocks[[#This Row],[Fecha]]))</f>
        <v>PRHSX-45456</v>
      </c>
    </row>
    <row r="6495" spans="1:4" ht="14.65" thickBot="1" x14ac:dyDescent="0.5">
      <c r="A6495" s="17">
        <v>45457.666666666664</v>
      </c>
      <c r="B6495" s="19">
        <v>94.37</v>
      </c>
      <c r="C6495" t="s">
        <v>51</v>
      </c>
      <c r="D6495" t="str">
        <f>T_Stocks[[#This Row],[Ticker]] &amp; "-" &amp; DATE(YEAR(T_Stocks[[#This Row],[Fecha]]),MONTH(T_Stocks[[#This Row],[Fecha]]),DAY(T_Stocks[[#This Row],[Fecha]]))</f>
        <v>PRHSX-45457</v>
      </c>
    </row>
    <row r="6496" spans="1:4" ht="14.65" thickBot="1" x14ac:dyDescent="0.5">
      <c r="A6496" s="17">
        <v>45460.666666666664</v>
      </c>
      <c r="B6496" s="19">
        <v>93.82</v>
      </c>
      <c r="C6496" t="s">
        <v>51</v>
      </c>
      <c r="D6496" t="str">
        <f>T_Stocks[[#This Row],[Ticker]] &amp; "-" &amp; DATE(YEAR(T_Stocks[[#This Row],[Fecha]]),MONTH(T_Stocks[[#This Row],[Fecha]]),DAY(T_Stocks[[#This Row],[Fecha]]))</f>
        <v>PRHSX-45460</v>
      </c>
    </row>
    <row r="6497" spans="1:4" ht="14.65" thickBot="1" x14ac:dyDescent="0.5">
      <c r="A6497" s="17">
        <v>45461.666666666664</v>
      </c>
      <c r="B6497" s="19">
        <v>93.47</v>
      </c>
      <c r="C6497" t="s">
        <v>51</v>
      </c>
      <c r="D6497" t="str">
        <f>T_Stocks[[#This Row],[Ticker]] &amp; "-" &amp; DATE(YEAR(T_Stocks[[#This Row],[Fecha]]),MONTH(T_Stocks[[#This Row],[Fecha]]),DAY(T_Stocks[[#This Row],[Fecha]]))</f>
        <v>PRHSX-45461</v>
      </c>
    </row>
    <row r="6498" spans="1:4" ht="14.65" thickBot="1" x14ac:dyDescent="0.5">
      <c r="A6498" s="17">
        <v>45463.666666666664</v>
      </c>
      <c r="B6498" s="19">
        <v>93.22</v>
      </c>
      <c r="C6498" t="s">
        <v>51</v>
      </c>
      <c r="D6498" t="str">
        <f>T_Stocks[[#This Row],[Ticker]] &amp; "-" &amp; DATE(YEAR(T_Stocks[[#This Row],[Fecha]]),MONTH(T_Stocks[[#This Row],[Fecha]]),DAY(T_Stocks[[#This Row],[Fecha]]))</f>
        <v>PRHSX-45463</v>
      </c>
    </row>
    <row r="6499" spans="1:4" ht="14.65" thickBot="1" x14ac:dyDescent="0.5">
      <c r="A6499" s="17">
        <v>45464.666666666664</v>
      </c>
      <c r="B6499" s="19">
        <v>93.91</v>
      </c>
      <c r="C6499" t="s">
        <v>51</v>
      </c>
      <c r="D6499" t="str">
        <f>T_Stocks[[#This Row],[Ticker]] &amp; "-" &amp; DATE(YEAR(T_Stocks[[#This Row],[Fecha]]),MONTH(T_Stocks[[#This Row],[Fecha]]),DAY(T_Stocks[[#This Row],[Fecha]]))</f>
        <v>PRHSX-45464</v>
      </c>
    </row>
    <row r="6500" spans="1:4" ht="14.65" thickBot="1" x14ac:dyDescent="0.5">
      <c r="A6500" s="17">
        <v>45467.666666666664</v>
      </c>
      <c r="B6500" s="19">
        <v>95.07</v>
      </c>
      <c r="C6500" t="s">
        <v>51</v>
      </c>
      <c r="D6500" t="str">
        <f>T_Stocks[[#This Row],[Ticker]] &amp; "-" &amp; DATE(YEAR(T_Stocks[[#This Row],[Fecha]]),MONTH(T_Stocks[[#This Row],[Fecha]]),DAY(T_Stocks[[#This Row],[Fecha]]))</f>
        <v>PRHSX-45467</v>
      </c>
    </row>
    <row r="6501" spans="1:4" ht="14.65" thickBot="1" x14ac:dyDescent="0.5">
      <c r="A6501" s="17">
        <v>45468.666666666664</v>
      </c>
      <c r="B6501" s="19">
        <v>95.26</v>
      </c>
      <c r="C6501" t="s">
        <v>51</v>
      </c>
      <c r="D6501" t="str">
        <f>T_Stocks[[#This Row],[Ticker]] &amp; "-" &amp; DATE(YEAR(T_Stocks[[#This Row],[Fecha]]),MONTH(T_Stocks[[#This Row],[Fecha]]),DAY(T_Stocks[[#This Row],[Fecha]]))</f>
        <v>PRHSX-45468</v>
      </c>
    </row>
    <row r="6502" spans="1:4" ht="14.65" thickBot="1" x14ac:dyDescent="0.5">
      <c r="A6502" s="17">
        <v>45469.666666666664</v>
      </c>
      <c r="B6502" s="19">
        <v>94.92</v>
      </c>
      <c r="C6502" t="s">
        <v>51</v>
      </c>
      <c r="D6502" t="str">
        <f>T_Stocks[[#This Row],[Ticker]] &amp; "-" &amp; DATE(YEAR(T_Stocks[[#This Row],[Fecha]]),MONTH(T_Stocks[[#This Row],[Fecha]]),DAY(T_Stocks[[#This Row],[Fecha]]))</f>
        <v>PRHSX-45469</v>
      </c>
    </row>
    <row r="6503" spans="1:4" ht="14.65" thickBot="1" x14ac:dyDescent="0.5">
      <c r="A6503" s="17">
        <v>45470.666666666664</v>
      </c>
      <c r="B6503" s="19">
        <v>95.15</v>
      </c>
      <c r="C6503" t="s">
        <v>51</v>
      </c>
      <c r="D6503" t="str">
        <f>T_Stocks[[#This Row],[Ticker]] &amp; "-" &amp; DATE(YEAR(T_Stocks[[#This Row],[Fecha]]),MONTH(T_Stocks[[#This Row],[Fecha]]),DAY(T_Stocks[[#This Row],[Fecha]]))</f>
        <v>PRHSX-45470</v>
      </c>
    </row>
    <row r="6504" spans="1:4" ht="14.65" thickBot="1" x14ac:dyDescent="0.5">
      <c r="A6504" s="17">
        <v>45471.666666666664</v>
      </c>
      <c r="B6504" s="19">
        <v>94.88</v>
      </c>
      <c r="C6504" t="s">
        <v>51</v>
      </c>
      <c r="D6504" t="str">
        <f>T_Stocks[[#This Row],[Ticker]] &amp; "-" &amp; DATE(YEAR(T_Stocks[[#This Row],[Fecha]]),MONTH(T_Stocks[[#This Row],[Fecha]]),DAY(T_Stocks[[#This Row],[Fecha]]))</f>
        <v>PRHSX-45471</v>
      </c>
    </row>
    <row r="6505" spans="1:4" ht="14.65" thickBot="1" x14ac:dyDescent="0.5">
      <c r="A6505" s="17">
        <v>45474.666666666664</v>
      </c>
      <c r="B6505" s="19">
        <v>94.58</v>
      </c>
      <c r="C6505" t="s">
        <v>51</v>
      </c>
      <c r="D6505" t="str">
        <f>T_Stocks[[#This Row],[Ticker]] &amp; "-" &amp; DATE(YEAR(T_Stocks[[#This Row],[Fecha]]),MONTH(T_Stocks[[#This Row],[Fecha]]),DAY(T_Stocks[[#This Row],[Fecha]]))</f>
        <v>PRHSX-45474</v>
      </c>
    </row>
    <row r="6506" spans="1:4" ht="14.65" thickBot="1" x14ac:dyDescent="0.5">
      <c r="A6506" s="17">
        <v>45475.666666666664</v>
      </c>
      <c r="B6506" s="19">
        <v>94.03</v>
      </c>
      <c r="C6506" t="s">
        <v>51</v>
      </c>
      <c r="D6506" t="str">
        <f>T_Stocks[[#This Row],[Ticker]] &amp; "-" &amp; DATE(YEAR(T_Stocks[[#This Row],[Fecha]]),MONTH(T_Stocks[[#This Row],[Fecha]]),DAY(T_Stocks[[#This Row],[Fecha]]))</f>
        <v>PRHSX-45475</v>
      </c>
    </row>
    <row r="6507" spans="1:4" ht="14.65" thickBot="1" x14ac:dyDescent="0.5">
      <c r="A6507" s="17">
        <v>45476.541666666664</v>
      </c>
      <c r="B6507" s="19">
        <v>93.47</v>
      </c>
      <c r="C6507" t="s">
        <v>51</v>
      </c>
      <c r="D6507" t="str">
        <f>T_Stocks[[#This Row],[Ticker]] &amp; "-" &amp; DATE(YEAR(T_Stocks[[#This Row],[Fecha]]),MONTH(T_Stocks[[#This Row],[Fecha]]),DAY(T_Stocks[[#This Row],[Fecha]]))</f>
        <v>PRHSX-45476</v>
      </c>
    </row>
    <row r="6508" spans="1:4" ht="14.65" thickBot="1" x14ac:dyDescent="0.5">
      <c r="A6508" s="17">
        <v>45478.666666666664</v>
      </c>
      <c r="B6508" s="19">
        <v>94.27</v>
      </c>
      <c r="C6508" t="s">
        <v>51</v>
      </c>
      <c r="D6508" t="str">
        <f>T_Stocks[[#This Row],[Ticker]] &amp; "-" &amp; DATE(YEAR(T_Stocks[[#This Row],[Fecha]]),MONTH(T_Stocks[[#This Row],[Fecha]]),DAY(T_Stocks[[#This Row],[Fecha]]))</f>
        <v>PRHSX-45478</v>
      </c>
    </row>
    <row r="6509" spans="1:4" ht="14.65" thickBot="1" x14ac:dyDescent="0.5">
      <c r="A6509" s="17">
        <v>45481.666666666664</v>
      </c>
      <c r="B6509" s="19">
        <v>94.77</v>
      </c>
      <c r="C6509" t="s">
        <v>51</v>
      </c>
      <c r="D6509" t="str">
        <f>T_Stocks[[#This Row],[Ticker]] &amp; "-" &amp; DATE(YEAR(T_Stocks[[#This Row],[Fecha]]),MONTH(T_Stocks[[#This Row],[Fecha]]),DAY(T_Stocks[[#This Row],[Fecha]]))</f>
        <v>PRHSX-45481</v>
      </c>
    </row>
    <row r="6510" spans="1:4" ht="14.65" thickBot="1" x14ac:dyDescent="0.5">
      <c r="A6510" s="17">
        <v>45482.666666666664</v>
      </c>
      <c r="B6510" s="19">
        <v>95.45</v>
      </c>
      <c r="C6510" t="s">
        <v>51</v>
      </c>
      <c r="D6510" t="str">
        <f>T_Stocks[[#This Row],[Ticker]] &amp; "-" &amp; DATE(YEAR(T_Stocks[[#This Row],[Fecha]]),MONTH(T_Stocks[[#This Row],[Fecha]]),DAY(T_Stocks[[#This Row],[Fecha]]))</f>
        <v>PRHSX-45482</v>
      </c>
    </row>
    <row r="6511" spans="1:4" ht="14.65" thickBot="1" x14ac:dyDescent="0.5">
      <c r="A6511" s="17">
        <v>45483.666666666664</v>
      </c>
      <c r="B6511" s="19">
        <v>96.44</v>
      </c>
      <c r="C6511" t="s">
        <v>51</v>
      </c>
      <c r="D6511" t="str">
        <f>T_Stocks[[#This Row],[Ticker]] &amp; "-" &amp; DATE(YEAR(T_Stocks[[#This Row],[Fecha]]),MONTH(T_Stocks[[#This Row],[Fecha]]),DAY(T_Stocks[[#This Row],[Fecha]]))</f>
        <v>PRHSX-45483</v>
      </c>
    </row>
    <row r="6512" spans="1:4" ht="14.65" thickBot="1" x14ac:dyDescent="0.5">
      <c r="A6512" s="17">
        <v>45484.666666666664</v>
      </c>
      <c r="B6512" s="19">
        <v>97.52</v>
      </c>
      <c r="C6512" t="s">
        <v>51</v>
      </c>
      <c r="D6512" t="str">
        <f>T_Stocks[[#This Row],[Ticker]] &amp; "-" &amp; DATE(YEAR(T_Stocks[[#This Row],[Fecha]]),MONTH(T_Stocks[[#This Row],[Fecha]]),DAY(T_Stocks[[#This Row],[Fecha]]))</f>
        <v>PRHSX-45484</v>
      </c>
    </row>
    <row r="6513" spans="1:4" ht="14.65" thickBot="1" x14ac:dyDescent="0.5">
      <c r="A6513" s="17">
        <v>45485.666666666664</v>
      </c>
      <c r="B6513" s="19">
        <v>98.41</v>
      </c>
      <c r="C6513" t="s">
        <v>51</v>
      </c>
      <c r="D6513" t="str">
        <f>T_Stocks[[#This Row],[Ticker]] &amp; "-" &amp; DATE(YEAR(T_Stocks[[#This Row],[Fecha]]),MONTH(T_Stocks[[#This Row],[Fecha]]),DAY(T_Stocks[[#This Row],[Fecha]]))</f>
        <v>PRHSX-45485</v>
      </c>
    </row>
    <row r="6514" spans="1:4" ht="14.65" thickBot="1" x14ac:dyDescent="0.5">
      <c r="A6514" s="17">
        <v>45488.666666666664</v>
      </c>
      <c r="B6514" s="19">
        <v>98.11</v>
      </c>
      <c r="C6514" t="s">
        <v>51</v>
      </c>
      <c r="D6514" t="str">
        <f>T_Stocks[[#This Row],[Ticker]] &amp; "-" &amp; DATE(YEAR(T_Stocks[[#This Row],[Fecha]]),MONTH(T_Stocks[[#This Row],[Fecha]]),DAY(T_Stocks[[#This Row],[Fecha]]))</f>
        <v>PRHSX-45488</v>
      </c>
    </row>
    <row r="6515" spans="1:4" ht="14.65" thickBot="1" x14ac:dyDescent="0.5">
      <c r="A6515" s="17">
        <v>45489.666666666664</v>
      </c>
      <c r="B6515" s="19">
        <v>99.62</v>
      </c>
      <c r="C6515" t="s">
        <v>51</v>
      </c>
      <c r="D6515" t="str">
        <f>T_Stocks[[#This Row],[Ticker]] &amp; "-" &amp; DATE(YEAR(T_Stocks[[#This Row],[Fecha]]),MONTH(T_Stocks[[#This Row],[Fecha]]),DAY(T_Stocks[[#This Row],[Fecha]]))</f>
        <v>PRHSX-45489</v>
      </c>
    </row>
    <row r="6516" spans="1:4" ht="14.65" thickBot="1" x14ac:dyDescent="0.5">
      <c r="A6516" s="17">
        <v>45490.666666666664</v>
      </c>
      <c r="B6516" s="19">
        <v>98.34</v>
      </c>
      <c r="C6516" t="s">
        <v>51</v>
      </c>
      <c r="D6516" t="str">
        <f>T_Stocks[[#This Row],[Ticker]] &amp; "-" &amp; DATE(YEAR(T_Stocks[[#This Row],[Fecha]]),MONTH(T_Stocks[[#This Row],[Fecha]]),DAY(T_Stocks[[#This Row],[Fecha]]))</f>
        <v>PRHSX-45490</v>
      </c>
    </row>
    <row r="6517" spans="1:4" ht="14.65" thickBot="1" x14ac:dyDescent="0.5">
      <c r="A6517" s="17">
        <v>45491.666666666664</v>
      </c>
      <c r="B6517" s="19">
        <v>96.03</v>
      </c>
      <c r="C6517" t="s">
        <v>51</v>
      </c>
      <c r="D6517" t="str">
        <f>T_Stocks[[#This Row],[Ticker]] &amp; "-" &amp; DATE(YEAR(T_Stocks[[#This Row],[Fecha]]),MONTH(T_Stocks[[#This Row],[Fecha]]),DAY(T_Stocks[[#This Row],[Fecha]]))</f>
        <v>PRHSX-45491</v>
      </c>
    </row>
    <row r="6518" spans="1:4" ht="14.65" thickBot="1" x14ac:dyDescent="0.5">
      <c r="A6518" s="17">
        <v>45492.666666666664</v>
      </c>
      <c r="B6518" s="19">
        <v>96.71</v>
      </c>
      <c r="C6518" t="s">
        <v>51</v>
      </c>
      <c r="D6518" t="str">
        <f>T_Stocks[[#This Row],[Ticker]] &amp; "-" &amp; DATE(YEAR(T_Stocks[[#This Row],[Fecha]]),MONTH(T_Stocks[[#This Row],[Fecha]]),DAY(T_Stocks[[#This Row],[Fecha]]))</f>
        <v>PRHSX-45492</v>
      </c>
    </row>
    <row r="6519" spans="1:4" ht="14.65" thickBot="1" x14ac:dyDescent="0.5">
      <c r="A6519" s="17">
        <v>45495.666666666664</v>
      </c>
      <c r="B6519" s="19">
        <v>97.57</v>
      </c>
      <c r="C6519" t="s">
        <v>51</v>
      </c>
      <c r="D6519" t="str">
        <f>T_Stocks[[#This Row],[Ticker]] &amp; "-" &amp; DATE(YEAR(T_Stocks[[#This Row],[Fecha]]),MONTH(T_Stocks[[#This Row],[Fecha]]),DAY(T_Stocks[[#This Row],[Fecha]]))</f>
        <v>PRHSX-45495</v>
      </c>
    </row>
    <row r="6520" spans="1:4" ht="14.65" thickBot="1" x14ac:dyDescent="0.5">
      <c r="A6520" s="17">
        <v>45496.666666666664</v>
      </c>
      <c r="B6520" s="19">
        <v>97.9</v>
      </c>
      <c r="C6520" t="s">
        <v>51</v>
      </c>
      <c r="D6520" t="str">
        <f>T_Stocks[[#This Row],[Ticker]] &amp; "-" &amp; DATE(YEAR(T_Stocks[[#This Row],[Fecha]]),MONTH(T_Stocks[[#This Row],[Fecha]]),DAY(T_Stocks[[#This Row],[Fecha]]))</f>
        <v>PRHSX-45496</v>
      </c>
    </row>
    <row r="6521" spans="1:4" ht="14.65" thickBot="1" x14ac:dyDescent="0.5">
      <c r="A6521" s="17">
        <v>45497.666666666664</v>
      </c>
      <c r="B6521" s="19">
        <v>97.99</v>
      </c>
      <c r="C6521" t="s">
        <v>51</v>
      </c>
      <c r="D6521" t="str">
        <f>T_Stocks[[#This Row],[Ticker]] &amp; "-" &amp; DATE(YEAR(T_Stocks[[#This Row],[Fecha]]),MONTH(T_Stocks[[#This Row],[Fecha]]),DAY(T_Stocks[[#This Row],[Fecha]]))</f>
        <v>PRHSX-45497</v>
      </c>
    </row>
    <row r="6522" spans="1:4" ht="14.65" thickBot="1" x14ac:dyDescent="0.5">
      <c r="A6522" s="17">
        <v>45498.666666666664</v>
      </c>
      <c r="B6522" s="19">
        <v>97.38</v>
      </c>
      <c r="C6522" t="s">
        <v>51</v>
      </c>
      <c r="D6522" t="str">
        <f>T_Stocks[[#This Row],[Ticker]] &amp; "-" &amp; DATE(YEAR(T_Stocks[[#This Row],[Fecha]]),MONTH(T_Stocks[[#This Row],[Fecha]]),DAY(T_Stocks[[#This Row],[Fecha]]))</f>
        <v>PRHSX-45498</v>
      </c>
    </row>
    <row r="6523" spans="1:4" ht="14.65" thickBot="1" x14ac:dyDescent="0.5">
      <c r="A6523" s="17">
        <v>45499.666666666664</v>
      </c>
      <c r="B6523" s="19">
        <v>97.86</v>
      </c>
      <c r="C6523" t="s">
        <v>51</v>
      </c>
      <c r="D6523" t="str">
        <f>T_Stocks[[#This Row],[Ticker]] &amp; "-" &amp; DATE(YEAR(T_Stocks[[#This Row],[Fecha]]),MONTH(T_Stocks[[#This Row],[Fecha]]),DAY(T_Stocks[[#This Row],[Fecha]]))</f>
        <v>PRHSX-45499</v>
      </c>
    </row>
    <row r="6524" spans="1:4" ht="14.65" thickBot="1" x14ac:dyDescent="0.5">
      <c r="A6524" s="17">
        <v>45502.666666666664</v>
      </c>
      <c r="B6524" s="19">
        <v>97.77</v>
      </c>
      <c r="C6524" t="s">
        <v>51</v>
      </c>
      <c r="D6524" t="str">
        <f>T_Stocks[[#This Row],[Ticker]] &amp; "-" &amp; DATE(YEAR(T_Stocks[[#This Row],[Fecha]]),MONTH(T_Stocks[[#This Row],[Fecha]]),DAY(T_Stocks[[#This Row],[Fecha]]))</f>
        <v>PRHSX-45502</v>
      </c>
    </row>
    <row r="6525" spans="1:4" ht="14.65" thickBot="1" x14ac:dyDescent="0.5">
      <c r="A6525" s="17">
        <v>45503.666666666664</v>
      </c>
      <c r="B6525" s="19">
        <v>97.32</v>
      </c>
      <c r="C6525" t="s">
        <v>51</v>
      </c>
      <c r="D6525" t="str">
        <f>T_Stocks[[#This Row],[Ticker]] &amp; "-" &amp; DATE(YEAR(T_Stocks[[#This Row],[Fecha]]),MONTH(T_Stocks[[#This Row],[Fecha]]),DAY(T_Stocks[[#This Row],[Fecha]]))</f>
        <v>PRHSX-45503</v>
      </c>
    </row>
    <row r="6526" spans="1:4" ht="14.65" thickBot="1" x14ac:dyDescent="0.5">
      <c r="A6526" s="17">
        <v>45504.666666666664</v>
      </c>
      <c r="B6526" s="19">
        <v>97.42</v>
      </c>
      <c r="C6526" t="s">
        <v>51</v>
      </c>
      <c r="D6526" t="str">
        <f>T_Stocks[[#This Row],[Ticker]] &amp; "-" &amp; DATE(YEAR(T_Stocks[[#This Row],[Fecha]]),MONTH(T_Stocks[[#This Row],[Fecha]]),DAY(T_Stocks[[#This Row],[Fecha]]))</f>
        <v>PRHSX-45504</v>
      </c>
    </row>
    <row r="6527" spans="1:4" ht="14.65" thickBot="1" x14ac:dyDescent="0.5">
      <c r="A6527" s="17">
        <v>45505.666666666664</v>
      </c>
      <c r="B6527" s="19">
        <v>98.03</v>
      </c>
      <c r="C6527" t="s">
        <v>51</v>
      </c>
      <c r="D6527" t="str">
        <f>T_Stocks[[#This Row],[Ticker]] &amp; "-" &amp; DATE(YEAR(T_Stocks[[#This Row],[Fecha]]),MONTH(T_Stocks[[#This Row],[Fecha]]),DAY(T_Stocks[[#This Row],[Fecha]]))</f>
        <v>PRHSX-45505</v>
      </c>
    </row>
    <row r="6528" spans="1:4" ht="14.65" thickBot="1" x14ac:dyDescent="0.5">
      <c r="A6528" s="17">
        <v>45506.666666666664</v>
      </c>
      <c r="B6528" s="19">
        <v>97</v>
      </c>
      <c r="C6528" t="s">
        <v>51</v>
      </c>
      <c r="D6528" t="str">
        <f>T_Stocks[[#This Row],[Ticker]] &amp; "-" &amp; DATE(YEAR(T_Stocks[[#This Row],[Fecha]]),MONTH(T_Stocks[[#This Row],[Fecha]]),DAY(T_Stocks[[#This Row],[Fecha]]))</f>
        <v>PRHSX-45506</v>
      </c>
    </row>
    <row r="6529" spans="1:4" ht="14.65" thickBot="1" x14ac:dyDescent="0.5">
      <c r="A6529" s="17">
        <v>45509.666666666664</v>
      </c>
      <c r="B6529" s="19">
        <v>94.41</v>
      </c>
      <c r="C6529" t="s">
        <v>51</v>
      </c>
      <c r="D6529" t="str">
        <f>T_Stocks[[#This Row],[Ticker]] &amp; "-" &amp; DATE(YEAR(T_Stocks[[#This Row],[Fecha]]),MONTH(T_Stocks[[#This Row],[Fecha]]),DAY(T_Stocks[[#This Row],[Fecha]]))</f>
        <v>PRHSX-45509</v>
      </c>
    </row>
    <row r="6530" spans="1:4" ht="14.65" thickBot="1" x14ac:dyDescent="0.5">
      <c r="A6530" s="17">
        <v>45510.666666666664</v>
      </c>
      <c r="B6530" s="19">
        <v>95.2</v>
      </c>
      <c r="C6530" t="s">
        <v>51</v>
      </c>
      <c r="D6530" t="str">
        <f>T_Stocks[[#This Row],[Ticker]] &amp; "-" &amp; DATE(YEAR(T_Stocks[[#This Row],[Fecha]]),MONTH(T_Stocks[[#This Row],[Fecha]]),DAY(T_Stocks[[#This Row],[Fecha]]))</f>
        <v>PRHSX-45510</v>
      </c>
    </row>
    <row r="6531" spans="1:4" ht="14.65" thickBot="1" x14ac:dyDescent="0.5">
      <c r="A6531" s="17">
        <v>45511.666666666664</v>
      </c>
      <c r="B6531" s="19">
        <v>93.79</v>
      </c>
      <c r="C6531" t="s">
        <v>51</v>
      </c>
      <c r="D6531" t="str">
        <f>T_Stocks[[#This Row],[Ticker]] &amp; "-" &amp; DATE(YEAR(T_Stocks[[#This Row],[Fecha]]),MONTH(T_Stocks[[#This Row],[Fecha]]),DAY(T_Stocks[[#This Row],[Fecha]]))</f>
        <v>PRHSX-45511</v>
      </c>
    </row>
    <row r="6532" spans="1:4" ht="14.65" thickBot="1" x14ac:dyDescent="0.5">
      <c r="A6532" s="17">
        <v>45512.666666666664</v>
      </c>
      <c r="B6532" s="19">
        <v>96.49</v>
      </c>
      <c r="C6532" t="s">
        <v>51</v>
      </c>
      <c r="D6532" t="str">
        <f>T_Stocks[[#This Row],[Ticker]] &amp; "-" &amp; DATE(YEAR(T_Stocks[[#This Row],[Fecha]]),MONTH(T_Stocks[[#This Row],[Fecha]]),DAY(T_Stocks[[#This Row],[Fecha]]))</f>
        <v>PRHSX-45512</v>
      </c>
    </row>
    <row r="6533" spans="1:4" ht="14.65" thickBot="1" x14ac:dyDescent="0.5">
      <c r="A6533" s="17">
        <v>45513.666666666664</v>
      </c>
      <c r="B6533" s="19">
        <v>97.33</v>
      </c>
      <c r="C6533" t="s">
        <v>51</v>
      </c>
      <c r="D6533" t="str">
        <f>T_Stocks[[#This Row],[Ticker]] &amp; "-" &amp; DATE(YEAR(T_Stocks[[#This Row],[Fecha]]),MONTH(T_Stocks[[#This Row],[Fecha]]),DAY(T_Stocks[[#This Row],[Fecha]]))</f>
        <v>PRHSX-45513</v>
      </c>
    </row>
    <row r="6534" spans="1:4" ht="14.65" thickBot="1" x14ac:dyDescent="0.5">
      <c r="A6534" s="17">
        <v>45516.666666666664</v>
      </c>
      <c r="B6534" s="19">
        <v>97.18</v>
      </c>
      <c r="C6534" t="s">
        <v>51</v>
      </c>
      <c r="D6534" t="str">
        <f>T_Stocks[[#This Row],[Ticker]] &amp; "-" &amp; DATE(YEAR(T_Stocks[[#This Row],[Fecha]]),MONTH(T_Stocks[[#This Row],[Fecha]]),DAY(T_Stocks[[#This Row],[Fecha]]))</f>
        <v>PRHSX-45516</v>
      </c>
    </row>
    <row r="6535" spans="1:4" ht="14.65" thickBot="1" x14ac:dyDescent="0.5">
      <c r="A6535" s="17">
        <v>45517.666666666664</v>
      </c>
      <c r="B6535" s="19">
        <v>98.55</v>
      </c>
      <c r="C6535" t="s">
        <v>51</v>
      </c>
      <c r="D6535" t="str">
        <f>T_Stocks[[#This Row],[Ticker]] &amp; "-" &amp; DATE(YEAR(T_Stocks[[#This Row],[Fecha]]),MONTH(T_Stocks[[#This Row],[Fecha]]),DAY(T_Stocks[[#This Row],[Fecha]]))</f>
        <v>PRHSX-45517</v>
      </c>
    </row>
    <row r="6536" spans="1:4" ht="14.65" thickBot="1" x14ac:dyDescent="0.5">
      <c r="A6536" s="17">
        <v>45518.666666666664</v>
      </c>
      <c r="B6536" s="19">
        <v>98.68</v>
      </c>
      <c r="C6536" t="s">
        <v>51</v>
      </c>
      <c r="D6536" t="str">
        <f>T_Stocks[[#This Row],[Ticker]] &amp; "-" &amp; DATE(YEAR(T_Stocks[[#This Row],[Fecha]]),MONTH(T_Stocks[[#This Row],[Fecha]]),DAY(T_Stocks[[#This Row],[Fecha]]))</f>
        <v>PRHSX-45518</v>
      </c>
    </row>
    <row r="6537" spans="1:4" ht="14.65" thickBot="1" x14ac:dyDescent="0.5">
      <c r="A6537" s="17">
        <v>45519.666666666664</v>
      </c>
      <c r="B6537" s="19">
        <v>99.61</v>
      </c>
      <c r="C6537" t="s">
        <v>51</v>
      </c>
      <c r="D6537" t="str">
        <f>T_Stocks[[#This Row],[Ticker]] &amp; "-" &amp; DATE(YEAR(T_Stocks[[#This Row],[Fecha]]),MONTH(T_Stocks[[#This Row],[Fecha]]),DAY(T_Stocks[[#This Row],[Fecha]]))</f>
        <v>PRHSX-45519</v>
      </c>
    </row>
    <row r="6538" spans="1:4" ht="14.65" thickBot="1" x14ac:dyDescent="0.5">
      <c r="A6538" s="17">
        <v>45520.666666666664</v>
      </c>
      <c r="B6538" s="19">
        <v>99.68</v>
      </c>
      <c r="C6538" t="s">
        <v>51</v>
      </c>
      <c r="D6538" t="str">
        <f>T_Stocks[[#This Row],[Ticker]] &amp; "-" &amp; DATE(YEAR(T_Stocks[[#This Row],[Fecha]]),MONTH(T_Stocks[[#This Row],[Fecha]]),DAY(T_Stocks[[#This Row],[Fecha]]))</f>
        <v>PRHSX-45520</v>
      </c>
    </row>
    <row r="6539" spans="1:4" ht="14.65" thickBot="1" x14ac:dyDescent="0.5">
      <c r="A6539" s="17">
        <v>45523.666666666664</v>
      </c>
      <c r="B6539" s="19">
        <v>100.64</v>
      </c>
      <c r="C6539" t="s">
        <v>51</v>
      </c>
      <c r="D6539" t="str">
        <f>T_Stocks[[#This Row],[Ticker]] &amp; "-" &amp; DATE(YEAR(T_Stocks[[#This Row],[Fecha]]),MONTH(T_Stocks[[#This Row],[Fecha]]),DAY(T_Stocks[[#This Row],[Fecha]]))</f>
        <v>PRHSX-45523</v>
      </c>
    </row>
    <row r="6540" spans="1:4" ht="14.65" thickBot="1" x14ac:dyDescent="0.5">
      <c r="A6540" s="17">
        <v>45524.666666666664</v>
      </c>
      <c r="B6540" s="19">
        <v>101.12</v>
      </c>
      <c r="C6540" t="s">
        <v>51</v>
      </c>
      <c r="D6540" t="str">
        <f>T_Stocks[[#This Row],[Ticker]] &amp; "-" &amp; DATE(YEAR(T_Stocks[[#This Row],[Fecha]]),MONTH(T_Stocks[[#This Row],[Fecha]]),DAY(T_Stocks[[#This Row],[Fecha]]))</f>
        <v>PRHSX-45524</v>
      </c>
    </row>
    <row r="6541" spans="1:4" ht="14.65" thickBot="1" x14ac:dyDescent="0.5">
      <c r="A6541" s="17">
        <v>45525.666666666664</v>
      </c>
      <c r="B6541" s="19">
        <v>101.69</v>
      </c>
      <c r="C6541" t="s">
        <v>51</v>
      </c>
      <c r="D6541" t="str">
        <f>T_Stocks[[#This Row],[Ticker]] &amp; "-" &amp; DATE(YEAR(T_Stocks[[#This Row],[Fecha]]),MONTH(T_Stocks[[#This Row],[Fecha]]),DAY(T_Stocks[[#This Row],[Fecha]]))</f>
        <v>PRHSX-45525</v>
      </c>
    </row>
    <row r="6542" spans="1:4" ht="14.65" thickBot="1" x14ac:dyDescent="0.5">
      <c r="A6542" s="17">
        <v>45526.666666666664</v>
      </c>
      <c r="B6542" s="19">
        <v>101.28</v>
      </c>
      <c r="C6542" t="s">
        <v>51</v>
      </c>
      <c r="D6542" t="str">
        <f>T_Stocks[[#This Row],[Ticker]] &amp; "-" &amp; DATE(YEAR(T_Stocks[[#This Row],[Fecha]]),MONTH(T_Stocks[[#This Row],[Fecha]]),DAY(T_Stocks[[#This Row],[Fecha]]))</f>
        <v>PRHSX-45526</v>
      </c>
    </row>
    <row r="6543" spans="1:4" ht="14.65" thickBot="1" x14ac:dyDescent="0.5">
      <c r="A6543" s="17">
        <v>45527.666666666664</v>
      </c>
      <c r="B6543" s="19">
        <v>101.89</v>
      </c>
      <c r="C6543" t="s">
        <v>51</v>
      </c>
      <c r="D6543" t="str">
        <f>T_Stocks[[#This Row],[Ticker]] &amp; "-" &amp; DATE(YEAR(T_Stocks[[#This Row],[Fecha]]),MONTH(T_Stocks[[#This Row],[Fecha]]),DAY(T_Stocks[[#This Row],[Fecha]]))</f>
        <v>PRHSX-45527</v>
      </c>
    </row>
    <row r="6544" spans="1:4" ht="14.65" thickBot="1" x14ac:dyDescent="0.5">
      <c r="A6544" s="17">
        <v>45530.666666666664</v>
      </c>
      <c r="B6544" s="19">
        <v>101.67</v>
      </c>
      <c r="C6544" t="s">
        <v>51</v>
      </c>
      <c r="D6544" t="str">
        <f>T_Stocks[[#This Row],[Ticker]] &amp; "-" &amp; DATE(YEAR(T_Stocks[[#This Row],[Fecha]]),MONTH(T_Stocks[[#This Row],[Fecha]]),DAY(T_Stocks[[#This Row],[Fecha]]))</f>
        <v>PRHSX-45530</v>
      </c>
    </row>
    <row r="6545" spans="1:4" ht="14.65" thickBot="1" x14ac:dyDescent="0.5">
      <c r="A6545" s="17">
        <v>45531.666666666664</v>
      </c>
      <c r="B6545" s="19">
        <v>102.06</v>
      </c>
      <c r="C6545" t="s">
        <v>51</v>
      </c>
      <c r="D6545" t="str">
        <f>T_Stocks[[#This Row],[Ticker]] &amp; "-" &amp; DATE(YEAR(T_Stocks[[#This Row],[Fecha]]),MONTH(T_Stocks[[#This Row],[Fecha]]),DAY(T_Stocks[[#This Row],[Fecha]]))</f>
        <v>PRHSX-45531</v>
      </c>
    </row>
    <row r="6546" spans="1:4" ht="14.65" thickBot="1" x14ac:dyDescent="0.5">
      <c r="A6546" s="17">
        <v>45532.666666666664</v>
      </c>
      <c r="B6546" s="19">
        <v>101.7</v>
      </c>
      <c r="C6546" t="s">
        <v>51</v>
      </c>
      <c r="D6546" t="str">
        <f>T_Stocks[[#This Row],[Ticker]] &amp; "-" &amp; DATE(YEAR(T_Stocks[[#This Row],[Fecha]]),MONTH(T_Stocks[[#This Row],[Fecha]]),DAY(T_Stocks[[#This Row],[Fecha]]))</f>
        <v>PRHSX-45532</v>
      </c>
    </row>
    <row r="6547" spans="1:4" ht="14.65" thickBot="1" x14ac:dyDescent="0.5">
      <c r="A6547" s="17">
        <v>45533.666666666664</v>
      </c>
      <c r="B6547" s="19">
        <v>101.99</v>
      </c>
      <c r="C6547" t="s">
        <v>51</v>
      </c>
      <c r="D6547" t="str">
        <f>T_Stocks[[#This Row],[Ticker]] &amp; "-" &amp; DATE(YEAR(T_Stocks[[#This Row],[Fecha]]),MONTH(T_Stocks[[#This Row],[Fecha]]),DAY(T_Stocks[[#This Row],[Fecha]]))</f>
        <v>PRHSX-45533</v>
      </c>
    </row>
    <row r="6548" spans="1:4" ht="14.65" thickBot="1" x14ac:dyDescent="0.5">
      <c r="A6548" s="17">
        <v>45534.666666666664</v>
      </c>
      <c r="B6548" s="19">
        <v>102.48</v>
      </c>
      <c r="C6548" t="s">
        <v>51</v>
      </c>
      <c r="D6548" t="str">
        <f>T_Stocks[[#This Row],[Ticker]] &amp; "-" &amp; DATE(YEAR(T_Stocks[[#This Row],[Fecha]]),MONTH(T_Stocks[[#This Row],[Fecha]]),DAY(T_Stocks[[#This Row],[Fecha]]))</f>
        <v>PRHSX-45534</v>
      </c>
    </row>
    <row r="6549" spans="1:4" ht="14.65" thickBot="1" x14ac:dyDescent="0.5">
      <c r="A6549" s="17">
        <v>45538.666666666664</v>
      </c>
      <c r="B6549" s="19">
        <v>101.2</v>
      </c>
      <c r="C6549" t="s">
        <v>51</v>
      </c>
      <c r="D6549" t="str">
        <f>T_Stocks[[#This Row],[Ticker]] &amp; "-" &amp; DATE(YEAR(T_Stocks[[#This Row],[Fecha]]),MONTH(T_Stocks[[#This Row],[Fecha]]),DAY(T_Stocks[[#This Row],[Fecha]]))</f>
        <v>PRHSX-45538</v>
      </c>
    </row>
    <row r="6550" spans="1:4" ht="14.65" thickBot="1" x14ac:dyDescent="0.5">
      <c r="A6550" s="17">
        <v>45539.666666666664</v>
      </c>
      <c r="B6550" s="19">
        <v>101.12</v>
      </c>
      <c r="C6550" t="s">
        <v>51</v>
      </c>
      <c r="D6550" t="str">
        <f>T_Stocks[[#This Row],[Ticker]] &amp; "-" &amp; DATE(YEAR(T_Stocks[[#This Row],[Fecha]]),MONTH(T_Stocks[[#This Row],[Fecha]]),DAY(T_Stocks[[#This Row],[Fecha]]))</f>
        <v>PRHSX-45539</v>
      </c>
    </row>
    <row r="6551" spans="1:4" ht="14.65" thickBot="1" x14ac:dyDescent="0.5">
      <c r="A6551" s="17">
        <v>45540.666666666664</v>
      </c>
      <c r="B6551" s="19">
        <v>100.16</v>
      </c>
      <c r="C6551" t="s">
        <v>51</v>
      </c>
      <c r="D6551" t="str">
        <f>T_Stocks[[#This Row],[Ticker]] &amp; "-" &amp; DATE(YEAR(T_Stocks[[#This Row],[Fecha]]),MONTH(T_Stocks[[#This Row],[Fecha]]),DAY(T_Stocks[[#This Row],[Fecha]]))</f>
        <v>PRHSX-45540</v>
      </c>
    </row>
    <row r="6552" spans="1:4" ht="14.65" thickBot="1" x14ac:dyDescent="0.5">
      <c r="A6552" s="17">
        <v>45541.666666666664</v>
      </c>
      <c r="B6552" s="19">
        <v>99.25</v>
      </c>
      <c r="C6552" t="s">
        <v>51</v>
      </c>
      <c r="D6552" t="str">
        <f>T_Stocks[[#This Row],[Ticker]] &amp; "-" &amp; DATE(YEAR(T_Stocks[[#This Row],[Fecha]]),MONTH(T_Stocks[[#This Row],[Fecha]]),DAY(T_Stocks[[#This Row],[Fecha]]))</f>
        <v>PRHSX-45541</v>
      </c>
    </row>
    <row r="6553" spans="1:4" ht="14.65" thickBot="1" x14ac:dyDescent="0.5">
      <c r="A6553" s="17">
        <v>45544.666666666664</v>
      </c>
      <c r="B6553" s="19">
        <v>100.14</v>
      </c>
      <c r="C6553" t="s">
        <v>51</v>
      </c>
      <c r="D6553" t="str">
        <f>T_Stocks[[#This Row],[Ticker]] &amp; "-" &amp; DATE(YEAR(T_Stocks[[#This Row],[Fecha]]),MONTH(T_Stocks[[#This Row],[Fecha]]),DAY(T_Stocks[[#This Row],[Fecha]]))</f>
        <v>PRHSX-45544</v>
      </c>
    </row>
    <row r="6554" spans="1:4" ht="14.65" thickBot="1" x14ac:dyDescent="0.5">
      <c r="A6554" s="17">
        <v>45545.666666666664</v>
      </c>
      <c r="B6554" s="19">
        <v>100.26</v>
      </c>
      <c r="C6554" t="s">
        <v>51</v>
      </c>
      <c r="D6554" t="str">
        <f>T_Stocks[[#This Row],[Ticker]] &amp; "-" &amp; DATE(YEAR(T_Stocks[[#This Row],[Fecha]]),MONTH(T_Stocks[[#This Row],[Fecha]]),DAY(T_Stocks[[#This Row],[Fecha]]))</f>
        <v>PRHSX-45545</v>
      </c>
    </row>
    <row r="6555" spans="1:4" ht="14.65" thickBot="1" x14ac:dyDescent="0.5">
      <c r="A6555" s="17">
        <v>45546.666666666664</v>
      </c>
      <c r="B6555" s="19">
        <v>100.72</v>
      </c>
      <c r="C6555" t="s">
        <v>51</v>
      </c>
      <c r="D6555" t="str">
        <f>T_Stocks[[#This Row],[Ticker]] &amp; "-" &amp; DATE(YEAR(T_Stocks[[#This Row],[Fecha]]),MONTH(T_Stocks[[#This Row],[Fecha]]),DAY(T_Stocks[[#This Row],[Fecha]]))</f>
        <v>PRHSX-45546</v>
      </c>
    </row>
    <row r="6556" spans="1:4" ht="14.65" thickBot="1" x14ac:dyDescent="0.5">
      <c r="A6556" s="17">
        <v>45547.666666666664</v>
      </c>
      <c r="B6556" s="19">
        <v>101.18</v>
      </c>
      <c r="C6556" t="s">
        <v>51</v>
      </c>
      <c r="D6556" t="str">
        <f>T_Stocks[[#This Row],[Ticker]] &amp; "-" &amp; DATE(YEAR(T_Stocks[[#This Row],[Fecha]]),MONTH(T_Stocks[[#This Row],[Fecha]]),DAY(T_Stocks[[#This Row],[Fecha]]))</f>
        <v>PRHSX-45547</v>
      </c>
    </row>
    <row r="6557" spans="1:4" ht="14.65" thickBot="1" x14ac:dyDescent="0.5">
      <c r="A6557" s="17">
        <v>45548.666666666664</v>
      </c>
      <c r="B6557" s="19">
        <v>102.04</v>
      </c>
      <c r="C6557" t="s">
        <v>51</v>
      </c>
      <c r="D6557" t="str">
        <f>T_Stocks[[#This Row],[Ticker]] &amp; "-" &amp; DATE(YEAR(T_Stocks[[#This Row],[Fecha]]),MONTH(T_Stocks[[#This Row],[Fecha]]),DAY(T_Stocks[[#This Row],[Fecha]]))</f>
        <v>PRHSX-45548</v>
      </c>
    </row>
    <row r="6558" spans="1:4" ht="14.65" thickBot="1" x14ac:dyDescent="0.5">
      <c r="A6558" s="17">
        <v>45551.666666666664</v>
      </c>
      <c r="B6558" s="19">
        <v>102.29</v>
      </c>
      <c r="C6558" t="s">
        <v>51</v>
      </c>
      <c r="D6558" t="str">
        <f>T_Stocks[[#This Row],[Ticker]] &amp; "-" &amp; DATE(YEAR(T_Stocks[[#This Row],[Fecha]]),MONTH(T_Stocks[[#This Row],[Fecha]]),DAY(T_Stocks[[#This Row],[Fecha]]))</f>
        <v>PRHSX-45551</v>
      </c>
    </row>
    <row r="6559" spans="1:4" ht="14.65" thickBot="1" x14ac:dyDescent="0.5">
      <c r="A6559" s="17">
        <v>45552.666666666664</v>
      </c>
      <c r="B6559" s="19">
        <v>101.07</v>
      </c>
      <c r="C6559" t="s">
        <v>51</v>
      </c>
      <c r="D6559" t="str">
        <f>T_Stocks[[#This Row],[Ticker]] &amp; "-" &amp; DATE(YEAR(T_Stocks[[#This Row],[Fecha]]),MONTH(T_Stocks[[#This Row],[Fecha]]),DAY(T_Stocks[[#This Row],[Fecha]]))</f>
        <v>PRHSX-45552</v>
      </c>
    </row>
    <row r="6560" spans="1:4" ht="14.65" thickBot="1" x14ac:dyDescent="0.5">
      <c r="A6560" s="17">
        <v>45553.666666666664</v>
      </c>
      <c r="B6560" s="19">
        <v>101.16</v>
      </c>
      <c r="C6560" t="s">
        <v>51</v>
      </c>
      <c r="D6560" t="str">
        <f>T_Stocks[[#This Row],[Ticker]] &amp; "-" &amp; DATE(YEAR(T_Stocks[[#This Row],[Fecha]]),MONTH(T_Stocks[[#This Row],[Fecha]]),DAY(T_Stocks[[#This Row],[Fecha]]))</f>
        <v>PRHSX-45553</v>
      </c>
    </row>
    <row r="6561" spans="1:4" ht="14.65" thickBot="1" x14ac:dyDescent="0.5">
      <c r="A6561" s="17">
        <v>45554.666666666664</v>
      </c>
      <c r="B6561" s="19">
        <v>102.19</v>
      </c>
      <c r="C6561" t="s">
        <v>51</v>
      </c>
      <c r="D6561" t="str">
        <f>T_Stocks[[#This Row],[Ticker]] &amp; "-" &amp; DATE(YEAR(T_Stocks[[#This Row],[Fecha]]),MONTH(T_Stocks[[#This Row],[Fecha]]),DAY(T_Stocks[[#This Row],[Fecha]]))</f>
        <v>PRHSX-45554</v>
      </c>
    </row>
    <row r="6562" spans="1:4" ht="14.65" thickBot="1" x14ac:dyDescent="0.5">
      <c r="A6562" s="17">
        <v>45555.666666666664</v>
      </c>
      <c r="B6562" s="19">
        <v>101.76</v>
      </c>
      <c r="C6562" t="s">
        <v>51</v>
      </c>
      <c r="D6562" t="str">
        <f>T_Stocks[[#This Row],[Ticker]] &amp; "-" &amp; DATE(YEAR(T_Stocks[[#This Row],[Fecha]]),MONTH(T_Stocks[[#This Row],[Fecha]]),DAY(T_Stocks[[#This Row],[Fecha]]))</f>
        <v>PRHSX-45555</v>
      </c>
    </row>
    <row r="6563" spans="1:4" ht="14.65" thickBot="1" x14ac:dyDescent="0.5">
      <c r="A6563" s="17">
        <v>45558.666666666664</v>
      </c>
      <c r="B6563" s="19">
        <v>100.72</v>
      </c>
      <c r="C6563" t="s">
        <v>51</v>
      </c>
      <c r="D6563" t="str">
        <f>T_Stocks[[#This Row],[Ticker]] &amp; "-" &amp; DATE(YEAR(T_Stocks[[#This Row],[Fecha]]),MONTH(T_Stocks[[#This Row],[Fecha]]),DAY(T_Stocks[[#This Row],[Fecha]]))</f>
        <v>PRHSX-45558</v>
      </c>
    </row>
    <row r="6564" spans="1:4" ht="14.65" thickBot="1" x14ac:dyDescent="0.5">
      <c r="A6564" s="17">
        <v>45559.666666666664</v>
      </c>
      <c r="B6564" s="19">
        <v>100.49</v>
      </c>
      <c r="C6564" t="s">
        <v>51</v>
      </c>
      <c r="D6564" t="str">
        <f>T_Stocks[[#This Row],[Ticker]] &amp; "-" &amp; DATE(YEAR(T_Stocks[[#This Row],[Fecha]]),MONTH(T_Stocks[[#This Row],[Fecha]]),DAY(T_Stocks[[#This Row],[Fecha]]))</f>
        <v>PRHSX-45559</v>
      </c>
    </row>
    <row r="6565" spans="1:4" ht="14.65" thickBot="1" x14ac:dyDescent="0.5">
      <c r="A6565" s="17">
        <v>45560.666666666664</v>
      </c>
      <c r="B6565" s="19">
        <v>99.86</v>
      </c>
      <c r="C6565" t="s">
        <v>51</v>
      </c>
      <c r="D6565" t="str">
        <f>T_Stocks[[#This Row],[Ticker]] &amp; "-" &amp; DATE(YEAR(T_Stocks[[#This Row],[Fecha]]),MONTH(T_Stocks[[#This Row],[Fecha]]),DAY(T_Stocks[[#This Row],[Fecha]]))</f>
        <v>PRHSX-45560</v>
      </c>
    </row>
    <row r="6566" spans="1:4" ht="14.65" thickBot="1" x14ac:dyDescent="0.5">
      <c r="A6566" s="17">
        <v>45561.666666666664</v>
      </c>
      <c r="B6566" s="19">
        <v>100.02</v>
      </c>
      <c r="C6566" t="s">
        <v>51</v>
      </c>
      <c r="D6566" t="str">
        <f>T_Stocks[[#This Row],[Ticker]] &amp; "-" &amp; DATE(YEAR(T_Stocks[[#This Row],[Fecha]]),MONTH(T_Stocks[[#This Row],[Fecha]]),DAY(T_Stocks[[#This Row],[Fecha]]))</f>
        <v>PRHSX-45561</v>
      </c>
    </row>
    <row r="6567" spans="1:4" ht="14.65" thickBot="1" x14ac:dyDescent="0.5">
      <c r="A6567" s="17">
        <v>45562.666666666664</v>
      </c>
      <c r="B6567" s="19">
        <v>99.78</v>
      </c>
      <c r="C6567" t="s">
        <v>51</v>
      </c>
      <c r="D6567" t="str">
        <f>T_Stocks[[#This Row],[Ticker]] &amp; "-" &amp; DATE(YEAR(T_Stocks[[#This Row],[Fecha]]),MONTH(T_Stocks[[#This Row],[Fecha]]),DAY(T_Stocks[[#This Row],[Fecha]]))</f>
        <v>PRHSX-45562</v>
      </c>
    </row>
    <row r="6568" spans="1:4" ht="14.65" thickBot="1" x14ac:dyDescent="0.5">
      <c r="A6568" s="17">
        <v>45565.666666666664</v>
      </c>
      <c r="B6568" s="19">
        <v>100.48</v>
      </c>
      <c r="C6568" t="s">
        <v>51</v>
      </c>
      <c r="D6568" t="str">
        <f>T_Stocks[[#This Row],[Ticker]] &amp; "-" &amp; DATE(YEAR(T_Stocks[[#This Row],[Fecha]]),MONTH(T_Stocks[[#This Row],[Fecha]]),DAY(T_Stocks[[#This Row],[Fecha]]))</f>
        <v>PRHSX-45565</v>
      </c>
    </row>
    <row r="6569" spans="1:4" ht="14.65" thickBot="1" x14ac:dyDescent="0.5">
      <c r="A6569" s="17">
        <v>45566.666666666664</v>
      </c>
      <c r="B6569" s="19">
        <v>99.89</v>
      </c>
      <c r="C6569" t="s">
        <v>51</v>
      </c>
      <c r="D6569" t="str">
        <f>T_Stocks[[#This Row],[Ticker]] &amp; "-" &amp; DATE(YEAR(T_Stocks[[#This Row],[Fecha]]),MONTH(T_Stocks[[#This Row],[Fecha]]),DAY(T_Stocks[[#This Row],[Fecha]]))</f>
        <v>PRHSX-45566</v>
      </c>
    </row>
    <row r="6570" spans="1:4" ht="14.65" thickBot="1" x14ac:dyDescent="0.5">
      <c r="A6570" s="17">
        <v>45567.666666666664</v>
      </c>
      <c r="B6570" s="19">
        <v>99.62</v>
      </c>
      <c r="C6570" t="s">
        <v>51</v>
      </c>
      <c r="D6570" t="str">
        <f>T_Stocks[[#This Row],[Ticker]] &amp; "-" &amp; DATE(YEAR(T_Stocks[[#This Row],[Fecha]]),MONTH(T_Stocks[[#This Row],[Fecha]]),DAY(T_Stocks[[#This Row],[Fecha]]))</f>
        <v>PRHSX-45567</v>
      </c>
    </row>
    <row r="6571" spans="1:4" ht="14.65" thickBot="1" x14ac:dyDescent="0.5">
      <c r="A6571" s="17">
        <v>45568.666666666664</v>
      </c>
      <c r="B6571" s="19">
        <v>98.44</v>
      </c>
      <c r="C6571" t="s">
        <v>51</v>
      </c>
      <c r="D6571" t="str">
        <f>T_Stocks[[#This Row],[Ticker]] &amp; "-" &amp; DATE(YEAR(T_Stocks[[#This Row],[Fecha]]),MONTH(T_Stocks[[#This Row],[Fecha]]),DAY(T_Stocks[[#This Row],[Fecha]]))</f>
        <v>PRHSX-45568</v>
      </c>
    </row>
    <row r="6572" spans="1:4" ht="14.65" thickBot="1" x14ac:dyDescent="0.5">
      <c r="A6572" s="17">
        <v>45569.666666666664</v>
      </c>
      <c r="B6572" s="19">
        <v>98.82</v>
      </c>
      <c r="C6572" t="s">
        <v>51</v>
      </c>
      <c r="D6572" t="str">
        <f>T_Stocks[[#This Row],[Ticker]] &amp; "-" &amp; DATE(YEAR(T_Stocks[[#This Row],[Fecha]]),MONTH(T_Stocks[[#This Row],[Fecha]]),DAY(T_Stocks[[#This Row],[Fecha]]))</f>
        <v>PRHSX-45569</v>
      </c>
    </row>
    <row r="6573" spans="1:4" ht="14.65" thickBot="1" x14ac:dyDescent="0.5">
      <c r="A6573" s="17">
        <v>45572.666666666664</v>
      </c>
      <c r="B6573" s="19">
        <v>98.23</v>
      </c>
      <c r="C6573" t="s">
        <v>51</v>
      </c>
      <c r="D6573" t="str">
        <f>T_Stocks[[#This Row],[Ticker]] &amp; "-" &amp; DATE(YEAR(T_Stocks[[#This Row],[Fecha]]),MONTH(T_Stocks[[#This Row],[Fecha]]),DAY(T_Stocks[[#This Row],[Fecha]]))</f>
        <v>PRHSX-45572</v>
      </c>
    </row>
    <row r="6574" spans="1:4" ht="14.65" thickBot="1" x14ac:dyDescent="0.5">
      <c r="A6574" s="17">
        <v>45573.666666666664</v>
      </c>
      <c r="B6574" s="19">
        <v>98.73</v>
      </c>
      <c r="C6574" t="s">
        <v>51</v>
      </c>
      <c r="D6574" t="str">
        <f>T_Stocks[[#This Row],[Ticker]] &amp; "-" &amp; DATE(YEAR(T_Stocks[[#This Row],[Fecha]]),MONTH(T_Stocks[[#This Row],[Fecha]]),DAY(T_Stocks[[#This Row],[Fecha]]))</f>
        <v>PRHSX-45573</v>
      </c>
    </row>
    <row r="6575" spans="1:4" ht="14.65" thickBot="1" x14ac:dyDescent="0.5">
      <c r="A6575" s="17">
        <v>45574.666666666664</v>
      </c>
      <c r="B6575" s="19">
        <v>99.16</v>
      </c>
      <c r="C6575" t="s">
        <v>51</v>
      </c>
      <c r="D6575" t="str">
        <f>T_Stocks[[#This Row],[Ticker]] &amp; "-" &amp; DATE(YEAR(T_Stocks[[#This Row],[Fecha]]),MONTH(T_Stocks[[#This Row],[Fecha]]),DAY(T_Stocks[[#This Row],[Fecha]]))</f>
        <v>PRHSX-45574</v>
      </c>
    </row>
    <row r="6576" spans="1:4" ht="14.65" thickBot="1" x14ac:dyDescent="0.5">
      <c r="A6576" s="17">
        <v>45575.666666666664</v>
      </c>
      <c r="B6576" s="19">
        <v>98.82</v>
      </c>
      <c r="C6576" t="s">
        <v>51</v>
      </c>
      <c r="D6576" t="str">
        <f>T_Stocks[[#This Row],[Ticker]] &amp; "-" &amp; DATE(YEAR(T_Stocks[[#This Row],[Fecha]]),MONTH(T_Stocks[[#This Row],[Fecha]]),DAY(T_Stocks[[#This Row],[Fecha]]))</f>
        <v>PRHSX-45575</v>
      </c>
    </row>
    <row r="6577" spans="1:4" ht="14.65" thickBot="1" x14ac:dyDescent="0.5">
      <c r="A6577" s="17">
        <v>45576.666666666664</v>
      </c>
      <c r="B6577" s="19">
        <v>100.4</v>
      </c>
      <c r="C6577" t="s">
        <v>51</v>
      </c>
      <c r="D6577" t="str">
        <f>T_Stocks[[#This Row],[Ticker]] &amp; "-" &amp; DATE(YEAR(T_Stocks[[#This Row],[Fecha]]),MONTH(T_Stocks[[#This Row],[Fecha]]),DAY(T_Stocks[[#This Row],[Fecha]]))</f>
        <v>PRHSX-45576</v>
      </c>
    </row>
    <row r="6578" spans="1:4" ht="14.65" thickBot="1" x14ac:dyDescent="0.5">
      <c r="A6578" s="17">
        <v>45579.666666666664</v>
      </c>
      <c r="B6578" s="19">
        <v>101.06</v>
      </c>
      <c r="C6578" t="s">
        <v>51</v>
      </c>
      <c r="D6578" t="str">
        <f>T_Stocks[[#This Row],[Ticker]] &amp; "-" &amp; DATE(YEAR(T_Stocks[[#This Row],[Fecha]]),MONTH(T_Stocks[[#This Row],[Fecha]]),DAY(T_Stocks[[#This Row],[Fecha]]))</f>
        <v>PRHSX-45579</v>
      </c>
    </row>
    <row r="6579" spans="1:4" ht="14.65" thickBot="1" x14ac:dyDescent="0.5">
      <c r="A6579" s="17">
        <v>45580.666666666664</v>
      </c>
      <c r="B6579" s="19">
        <v>99.95</v>
      </c>
      <c r="C6579" t="s">
        <v>51</v>
      </c>
      <c r="D6579" t="str">
        <f>T_Stocks[[#This Row],[Ticker]] &amp; "-" &amp; DATE(YEAR(T_Stocks[[#This Row],[Fecha]]),MONTH(T_Stocks[[#This Row],[Fecha]]),DAY(T_Stocks[[#This Row],[Fecha]]))</f>
        <v>PRHSX-45580</v>
      </c>
    </row>
    <row r="6580" spans="1:4" ht="14.65" thickBot="1" x14ac:dyDescent="0.5">
      <c r="A6580" s="17">
        <v>45581.666666666664</v>
      </c>
      <c r="B6580" s="19">
        <v>100.65</v>
      </c>
      <c r="C6580" t="s">
        <v>51</v>
      </c>
      <c r="D6580" t="str">
        <f>T_Stocks[[#This Row],[Ticker]] &amp; "-" &amp; DATE(YEAR(T_Stocks[[#This Row],[Fecha]]),MONTH(T_Stocks[[#This Row],[Fecha]]),DAY(T_Stocks[[#This Row],[Fecha]]))</f>
        <v>PRHSX-45581</v>
      </c>
    </row>
    <row r="6581" spans="1:4" ht="14.65" thickBot="1" x14ac:dyDescent="0.5">
      <c r="A6581" s="17">
        <v>45582.666666666664</v>
      </c>
      <c r="B6581" s="19">
        <v>99.76</v>
      </c>
      <c r="C6581" t="s">
        <v>51</v>
      </c>
      <c r="D6581" t="str">
        <f>T_Stocks[[#This Row],[Ticker]] &amp; "-" &amp; DATE(YEAR(T_Stocks[[#This Row],[Fecha]]),MONTH(T_Stocks[[#This Row],[Fecha]]),DAY(T_Stocks[[#This Row],[Fecha]]))</f>
        <v>PRHSX-45582</v>
      </c>
    </row>
    <row r="6582" spans="1:4" ht="14.65" thickBot="1" x14ac:dyDescent="0.5">
      <c r="A6582" s="17">
        <v>45583.666666666664</v>
      </c>
      <c r="B6582" s="19">
        <v>100.69</v>
      </c>
      <c r="C6582" t="s">
        <v>51</v>
      </c>
      <c r="D6582" t="str">
        <f>T_Stocks[[#This Row],[Ticker]] &amp; "-" &amp; DATE(YEAR(T_Stocks[[#This Row],[Fecha]]),MONTH(T_Stocks[[#This Row],[Fecha]]),DAY(T_Stocks[[#This Row],[Fecha]]))</f>
        <v>PRHSX-45583</v>
      </c>
    </row>
    <row r="6583" spans="1:4" ht="14.65" thickBot="1" x14ac:dyDescent="0.5">
      <c r="A6583" s="17">
        <v>45586.666666666664</v>
      </c>
      <c r="B6583" s="19">
        <v>99.43</v>
      </c>
      <c r="C6583" t="s">
        <v>51</v>
      </c>
      <c r="D6583" t="str">
        <f>T_Stocks[[#This Row],[Ticker]] &amp; "-" &amp; DATE(YEAR(T_Stocks[[#This Row],[Fecha]]),MONTH(T_Stocks[[#This Row],[Fecha]]),DAY(T_Stocks[[#This Row],[Fecha]]))</f>
        <v>PRHSX-45586</v>
      </c>
    </row>
    <row r="6584" spans="1:4" ht="14.65" thickBot="1" x14ac:dyDescent="0.5">
      <c r="A6584" s="17">
        <v>45587.666666666664</v>
      </c>
      <c r="B6584" s="19">
        <v>99.18</v>
      </c>
      <c r="C6584" t="s">
        <v>51</v>
      </c>
      <c r="D6584" t="str">
        <f>T_Stocks[[#This Row],[Ticker]] &amp; "-" &amp; DATE(YEAR(T_Stocks[[#This Row],[Fecha]]),MONTH(T_Stocks[[#This Row],[Fecha]]),DAY(T_Stocks[[#This Row],[Fecha]]))</f>
        <v>PRHSX-45587</v>
      </c>
    </row>
    <row r="6585" spans="1:4" ht="14.65" thickBot="1" x14ac:dyDescent="0.5">
      <c r="A6585" s="17">
        <v>45588.666666666664</v>
      </c>
      <c r="B6585" s="19">
        <v>98.08</v>
      </c>
      <c r="C6585" t="s">
        <v>51</v>
      </c>
      <c r="D6585" t="str">
        <f>T_Stocks[[#This Row],[Ticker]] &amp; "-" &amp; DATE(YEAR(T_Stocks[[#This Row],[Fecha]]),MONTH(T_Stocks[[#This Row],[Fecha]]),DAY(T_Stocks[[#This Row],[Fecha]]))</f>
        <v>PRHSX-45588</v>
      </c>
    </row>
    <row r="6586" spans="1:4" ht="14.65" thickBot="1" x14ac:dyDescent="0.5">
      <c r="A6586" s="17">
        <v>45589.666666666664</v>
      </c>
      <c r="B6586" s="19">
        <v>97.37</v>
      </c>
      <c r="C6586" t="s">
        <v>51</v>
      </c>
      <c r="D6586" t="str">
        <f>T_Stocks[[#This Row],[Ticker]] &amp; "-" &amp; DATE(YEAR(T_Stocks[[#This Row],[Fecha]]),MONTH(T_Stocks[[#This Row],[Fecha]]),DAY(T_Stocks[[#This Row],[Fecha]]))</f>
        <v>PRHSX-45589</v>
      </c>
    </row>
    <row r="6587" spans="1:4" ht="14.65" thickBot="1" x14ac:dyDescent="0.5">
      <c r="A6587" s="17">
        <v>45590.666666666664</v>
      </c>
      <c r="B6587" s="19">
        <v>97.03</v>
      </c>
      <c r="C6587" t="s">
        <v>51</v>
      </c>
      <c r="D6587" t="str">
        <f>T_Stocks[[#This Row],[Ticker]] &amp; "-" &amp; DATE(YEAR(T_Stocks[[#This Row],[Fecha]]),MONTH(T_Stocks[[#This Row],[Fecha]]),DAY(T_Stocks[[#This Row],[Fecha]]))</f>
        <v>PRHSX-45590</v>
      </c>
    </row>
    <row r="6588" spans="1:4" ht="14.65" thickBot="1" x14ac:dyDescent="0.5">
      <c r="A6588" s="17">
        <v>45593.666666666664</v>
      </c>
      <c r="B6588" s="19">
        <v>97.51</v>
      </c>
      <c r="C6588" t="s">
        <v>51</v>
      </c>
      <c r="D6588" t="str">
        <f>T_Stocks[[#This Row],[Ticker]] &amp; "-" &amp; DATE(YEAR(T_Stocks[[#This Row],[Fecha]]),MONTH(T_Stocks[[#This Row],[Fecha]]),DAY(T_Stocks[[#This Row],[Fecha]]))</f>
        <v>PRHSX-45593</v>
      </c>
    </row>
    <row r="6589" spans="1:4" ht="14.65" thickBot="1" x14ac:dyDescent="0.5">
      <c r="A6589" s="17">
        <v>45594.666666666664</v>
      </c>
      <c r="B6589" s="19">
        <v>97.47</v>
      </c>
      <c r="C6589" t="s">
        <v>51</v>
      </c>
      <c r="D6589" t="str">
        <f>T_Stocks[[#This Row],[Ticker]] &amp; "-" &amp; DATE(YEAR(T_Stocks[[#This Row],[Fecha]]),MONTH(T_Stocks[[#This Row],[Fecha]]),DAY(T_Stocks[[#This Row],[Fecha]]))</f>
        <v>PRHSX-45594</v>
      </c>
    </row>
    <row r="6590" spans="1:4" ht="14.65" thickBot="1" x14ac:dyDescent="0.5">
      <c r="A6590" s="17">
        <v>45595.666666666664</v>
      </c>
      <c r="B6590" s="19">
        <v>96.49</v>
      </c>
      <c r="C6590" t="s">
        <v>51</v>
      </c>
      <c r="D6590" t="str">
        <f>T_Stocks[[#This Row],[Ticker]] &amp; "-" &amp; DATE(YEAR(T_Stocks[[#This Row],[Fecha]]),MONTH(T_Stocks[[#This Row],[Fecha]]),DAY(T_Stocks[[#This Row],[Fecha]]))</f>
        <v>PRHSX-45595</v>
      </c>
    </row>
    <row r="6591" spans="1:4" ht="14.65" thickBot="1" x14ac:dyDescent="0.5">
      <c r="A6591" s="17">
        <v>45596.666666666664</v>
      </c>
      <c r="B6591" s="19">
        <v>95.46</v>
      </c>
      <c r="C6591" t="s">
        <v>51</v>
      </c>
      <c r="D6591" t="str">
        <f>T_Stocks[[#This Row],[Ticker]] &amp; "-" &amp; DATE(YEAR(T_Stocks[[#This Row],[Fecha]]),MONTH(T_Stocks[[#This Row],[Fecha]]),DAY(T_Stocks[[#This Row],[Fecha]]))</f>
        <v>PRHSX-45596</v>
      </c>
    </row>
    <row r="6592" spans="1:4" ht="14.65" thickBot="1" x14ac:dyDescent="0.5">
      <c r="A6592" s="17">
        <v>45597.666666666664</v>
      </c>
      <c r="B6592" s="19">
        <v>96.41</v>
      </c>
      <c r="C6592" t="s">
        <v>51</v>
      </c>
      <c r="D6592" t="str">
        <f>T_Stocks[[#This Row],[Ticker]] &amp; "-" &amp; DATE(YEAR(T_Stocks[[#This Row],[Fecha]]),MONTH(T_Stocks[[#This Row],[Fecha]]),DAY(T_Stocks[[#This Row],[Fecha]]))</f>
        <v>PRHSX-45597</v>
      </c>
    </row>
    <row r="6593" spans="1:4" ht="14.65" thickBot="1" x14ac:dyDescent="0.5">
      <c r="A6593" s="17">
        <v>45600.666666666664</v>
      </c>
      <c r="B6593" s="19">
        <v>96.34</v>
      </c>
      <c r="C6593" t="s">
        <v>51</v>
      </c>
      <c r="D6593" t="str">
        <f>T_Stocks[[#This Row],[Ticker]] &amp; "-" &amp; DATE(YEAR(T_Stocks[[#This Row],[Fecha]]),MONTH(T_Stocks[[#This Row],[Fecha]]),DAY(T_Stocks[[#This Row],[Fecha]]))</f>
        <v>PRHSX-45600</v>
      </c>
    </row>
    <row r="6594" spans="1:4" ht="14.65" thickBot="1" x14ac:dyDescent="0.5">
      <c r="A6594" s="17">
        <v>45601.666666666664</v>
      </c>
      <c r="B6594" s="19">
        <v>97.15</v>
      </c>
      <c r="C6594" t="s">
        <v>51</v>
      </c>
      <c r="D6594" t="str">
        <f>T_Stocks[[#This Row],[Ticker]] &amp; "-" &amp; DATE(YEAR(T_Stocks[[#This Row],[Fecha]]),MONTH(T_Stocks[[#This Row],[Fecha]]),DAY(T_Stocks[[#This Row],[Fecha]]))</f>
        <v>PRHSX-45601</v>
      </c>
    </row>
    <row r="6595" spans="1:4" ht="14.65" thickBot="1" x14ac:dyDescent="0.5">
      <c r="A6595" s="17">
        <v>45602.666666666664</v>
      </c>
      <c r="B6595" s="19">
        <v>97.5</v>
      </c>
      <c r="C6595" t="s">
        <v>51</v>
      </c>
      <c r="D6595" t="str">
        <f>T_Stocks[[#This Row],[Ticker]] &amp; "-" &amp; DATE(YEAR(T_Stocks[[#This Row],[Fecha]]),MONTH(T_Stocks[[#This Row],[Fecha]]),DAY(T_Stocks[[#This Row],[Fecha]]))</f>
        <v>PRHSX-45602</v>
      </c>
    </row>
    <row r="6596" spans="1:4" ht="14.65" thickBot="1" x14ac:dyDescent="0.5">
      <c r="A6596" s="17">
        <v>45603.666666666664</v>
      </c>
      <c r="B6596" s="19">
        <v>98.15</v>
      </c>
      <c r="C6596" t="s">
        <v>51</v>
      </c>
      <c r="D6596" t="str">
        <f>T_Stocks[[#This Row],[Ticker]] &amp; "-" &amp; DATE(YEAR(T_Stocks[[#This Row],[Fecha]]),MONTH(T_Stocks[[#This Row],[Fecha]]),DAY(T_Stocks[[#This Row],[Fecha]]))</f>
        <v>PRHSX-45603</v>
      </c>
    </row>
    <row r="6597" spans="1:4" ht="14.65" thickBot="1" x14ac:dyDescent="0.5">
      <c r="A6597" s="17">
        <v>45604.666666666664</v>
      </c>
      <c r="B6597" s="19">
        <v>99.55</v>
      </c>
      <c r="C6597" t="s">
        <v>51</v>
      </c>
      <c r="D6597" t="str">
        <f>T_Stocks[[#This Row],[Ticker]] &amp; "-" &amp; DATE(YEAR(T_Stocks[[#This Row],[Fecha]]),MONTH(T_Stocks[[#This Row],[Fecha]]),DAY(T_Stocks[[#This Row],[Fecha]]))</f>
        <v>PRHSX-45604</v>
      </c>
    </row>
    <row r="6598" spans="1:4" ht="14.65" thickBot="1" x14ac:dyDescent="0.5">
      <c r="A6598" s="17">
        <v>45607.666666666664</v>
      </c>
      <c r="B6598" s="19">
        <v>99.75</v>
      </c>
      <c r="C6598" t="s">
        <v>51</v>
      </c>
      <c r="D6598" t="str">
        <f>T_Stocks[[#This Row],[Ticker]] &amp; "-" &amp; DATE(YEAR(T_Stocks[[#This Row],[Fecha]]),MONTH(T_Stocks[[#This Row],[Fecha]]),DAY(T_Stocks[[#This Row],[Fecha]]))</f>
        <v>PRHSX-45607</v>
      </c>
    </row>
    <row r="6599" spans="1:4" ht="14.65" thickBot="1" x14ac:dyDescent="0.5">
      <c r="A6599" s="17">
        <v>45608.666666666664</v>
      </c>
      <c r="B6599" s="19">
        <v>97.96</v>
      </c>
      <c r="C6599" t="s">
        <v>51</v>
      </c>
      <c r="D6599" t="str">
        <f>T_Stocks[[#This Row],[Ticker]] &amp; "-" &amp; DATE(YEAR(T_Stocks[[#This Row],[Fecha]]),MONTH(T_Stocks[[#This Row],[Fecha]]),DAY(T_Stocks[[#This Row],[Fecha]]))</f>
        <v>PRHSX-45608</v>
      </c>
    </row>
    <row r="6600" spans="1:4" ht="14.65" thickBot="1" x14ac:dyDescent="0.5">
      <c r="A6600" s="17">
        <v>45609.666666666664</v>
      </c>
      <c r="B6600" s="19">
        <v>97.56</v>
      </c>
      <c r="C6600" t="s">
        <v>51</v>
      </c>
      <c r="D6600" t="str">
        <f>T_Stocks[[#This Row],[Ticker]] &amp; "-" &amp; DATE(YEAR(T_Stocks[[#This Row],[Fecha]]),MONTH(T_Stocks[[#This Row],[Fecha]]),DAY(T_Stocks[[#This Row],[Fecha]]))</f>
        <v>PRHSX-45609</v>
      </c>
    </row>
    <row r="6601" spans="1:4" ht="14.65" thickBot="1" x14ac:dyDescent="0.5">
      <c r="A6601" s="17">
        <v>45610.666666666664</v>
      </c>
      <c r="B6601" s="19">
        <v>95.65</v>
      </c>
      <c r="C6601" t="s">
        <v>51</v>
      </c>
      <c r="D6601" t="str">
        <f>T_Stocks[[#This Row],[Ticker]] &amp; "-" &amp; DATE(YEAR(T_Stocks[[#This Row],[Fecha]]),MONTH(T_Stocks[[#This Row],[Fecha]]),DAY(T_Stocks[[#This Row],[Fecha]]))</f>
        <v>PRHSX-45610</v>
      </c>
    </row>
    <row r="6602" spans="1:4" ht="14.65" thickBot="1" x14ac:dyDescent="0.5">
      <c r="A6602" s="17">
        <v>45611.666666666664</v>
      </c>
      <c r="B6602" s="19">
        <v>92.58</v>
      </c>
      <c r="C6602" t="s">
        <v>51</v>
      </c>
      <c r="D6602" t="str">
        <f>T_Stocks[[#This Row],[Ticker]] &amp; "-" &amp; DATE(YEAR(T_Stocks[[#This Row],[Fecha]]),MONTH(T_Stocks[[#This Row],[Fecha]]),DAY(T_Stocks[[#This Row],[Fecha]]))</f>
        <v>PRHSX-45611</v>
      </c>
    </row>
    <row r="6603" spans="1:4" ht="14.65" thickBot="1" x14ac:dyDescent="0.5">
      <c r="A6603" s="17">
        <v>45614.666666666664</v>
      </c>
      <c r="B6603" s="19">
        <v>92.14</v>
      </c>
      <c r="C6603" t="s">
        <v>51</v>
      </c>
      <c r="D6603" t="str">
        <f>T_Stocks[[#This Row],[Ticker]] &amp; "-" &amp; DATE(YEAR(T_Stocks[[#This Row],[Fecha]]),MONTH(T_Stocks[[#This Row],[Fecha]]),DAY(T_Stocks[[#This Row],[Fecha]]))</f>
        <v>PRHSX-45614</v>
      </c>
    </row>
    <row r="6604" spans="1:4" ht="14.65" thickBot="1" x14ac:dyDescent="0.5">
      <c r="A6604" s="17">
        <v>45615.666666666664</v>
      </c>
      <c r="B6604" s="19">
        <v>92.52</v>
      </c>
      <c r="C6604" t="s">
        <v>51</v>
      </c>
      <c r="D6604" t="str">
        <f>T_Stocks[[#This Row],[Ticker]] &amp; "-" &amp; DATE(YEAR(T_Stocks[[#This Row],[Fecha]]),MONTH(T_Stocks[[#This Row],[Fecha]]),DAY(T_Stocks[[#This Row],[Fecha]]))</f>
        <v>PRHSX-45615</v>
      </c>
    </row>
    <row r="6605" spans="1:4" ht="14.65" thickBot="1" x14ac:dyDescent="0.5">
      <c r="A6605" s="17">
        <v>45616.666666666664</v>
      </c>
      <c r="B6605" s="19">
        <v>93.76</v>
      </c>
      <c r="C6605" t="s">
        <v>51</v>
      </c>
      <c r="D6605" t="str">
        <f>T_Stocks[[#This Row],[Ticker]] &amp; "-" &amp; DATE(YEAR(T_Stocks[[#This Row],[Fecha]]),MONTH(T_Stocks[[#This Row],[Fecha]]),DAY(T_Stocks[[#This Row],[Fecha]]))</f>
        <v>PRHSX-45616</v>
      </c>
    </row>
    <row r="6606" spans="1:4" ht="14.65" thickBot="1" x14ac:dyDescent="0.5">
      <c r="A6606" s="17">
        <v>45617.666666666664</v>
      </c>
      <c r="B6606" s="19">
        <v>94.05</v>
      </c>
      <c r="C6606" t="s">
        <v>51</v>
      </c>
      <c r="D6606" t="str">
        <f>T_Stocks[[#This Row],[Ticker]] &amp; "-" &amp; DATE(YEAR(T_Stocks[[#This Row],[Fecha]]),MONTH(T_Stocks[[#This Row],[Fecha]]),DAY(T_Stocks[[#This Row],[Fecha]]))</f>
        <v>PRHSX-45617</v>
      </c>
    </row>
    <row r="6607" spans="1:4" ht="14.65" thickBot="1" x14ac:dyDescent="0.5">
      <c r="A6607" s="17">
        <v>45618.666666666664</v>
      </c>
      <c r="B6607" s="19">
        <v>94.43</v>
      </c>
      <c r="C6607" t="s">
        <v>51</v>
      </c>
      <c r="D6607" t="str">
        <f>T_Stocks[[#This Row],[Ticker]] &amp; "-" &amp; DATE(YEAR(T_Stocks[[#This Row],[Fecha]]),MONTH(T_Stocks[[#This Row],[Fecha]]),DAY(T_Stocks[[#This Row],[Fecha]]))</f>
        <v>PRHSX-45618</v>
      </c>
    </row>
    <row r="6608" spans="1:4" ht="14.65" thickBot="1" x14ac:dyDescent="0.5">
      <c r="A6608" s="17">
        <v>45621.666666666664</v>
      </c>
      <c r="B6608" s="19">
        <v>95.43</v>
      </c>
      <c r="C6608" t="s">
        <v>51</v>
      </c>
      <c r="D6608" t="str">
        <f>T_Stocks[[#This Row],[Ticker]] &amp; "-" &amp; DATE(YEAR(T_Stocks[[#This Row],[Fecha]]),MONTH(T_Stocks[[#This Row],[Fecha]]),DAY(T_Stocks[[#This Row],[Fecha]]))</f>
        <v>PRHSX-45621</v>
      </c>
    </row>
    <row r="6609" spans="1:4" ht="14.65" thickBot="1" x14ac:dyDescent="0.5">
      <c r="A6609" s="17">
        <v>45622.666666666664</v>
      </c>
      <c r="B6609" s="19">
        <v>96.03</v>
      </c>
      <c r="C6609" t="s">
        <v>51</v>
      </c>
      <c r="D6609" t="str">
        <f>T_Stocks[[#This Row],[Ticker]] &amp; "-" &amp; DATE(YEAR(T_Stocks[[#This Row],[Fecha]]),MONTH(T_Stocks[[#This Row],[Fecha]]),DAY(T_Stocks[[#This Row],[Fecha]]))</f>
        <v>PRHSX-45622</v>
      </c>
    </row>
    <row r="6610" spans="1:4" ht="14.65" thickBot="1" x14ac:dyDescent="0.5">
      <c r="A6610" s="17">
        <v>45623.666666666664</v>
      </c>
      <c r="B6610" s="19">
        <v>96.57</v>
      </c>
      <c r="C6610" t="s">
        <v>51</v>
      </c>
      <c r="D6610" t="str">
        <f>T_Stocks[[#This Row],[Ticker]] &amp; "-" &amp; DATE(YEAR(T_Stocks[[#This Row],[Fecha]]),MONTH(T_Stocks[[#This Row],[Fecha]]),DAY(T_Stocks[[#This Row],[Fecha]]))</f>
        <v>PRHSX-45623</v>
      </c>
    </row>
    <row r="6611" spans="1:4" ht="14.65" thickBot="1" x14ac:dyDescent="0.5">
      <c r="A6611" s="17">
        <v>45625.541666666664</v>
      </c>
      <c r="B6611" s="19">
        <v>96.88</v>
      </c>
      <c r="C6611" t="s">
        <v>51</v>
      </c>
      <c r="D6611" t="str">
        <f>T_Stocks[[#This Row],[Ticker]] &amp; "-" &amp; DATE(YEAR(T_Stocks[[#This Row],[Fecha]]),MONTH(T_Stocks[[#This Row],[Fecha]]),DAY(T_Stocks[[#This Row],[Fecha]]))</f>
        <v>PRHSX-45625</v>
      </c>
    </row>
    <row r="6612" spans="1:4" ht="14.65" thickBot="1" x14ac:dyDescent="0.5">
      <c r="A6612" s="17">
        <v>45628.666666666664</v>
      </c>
      <c r="B6612" s="19">
        <v>96.76</v>
      </c>
      <c r="C6612" t="s">
        <v>51</v>
      </c>
      <c r="D6612" t="str">
        <f>T_Stocks[[#This Row],[Ticker]] &amp; "-" &amp; DATE(YEAR(T_Stocks[[#This Row],[Fecha]]),MONTH(T_Stocks[[#This Row],[Fecha]]),DAY(T_Stocks[[#This Row],[Fecha]]))</f>
        <v>PRHSX-45628</v>
      </c>
    </row>
    <row r="6613" spans="1:4" ht="14.65" thickBot="1" x14ac:dyDescent="0.5">
      <c r="A6613" s="17">
        <v>45629.666666666664</v>
      </c>
      <c r="B6613" s="19">
        <v>96.28</v>
      </c>
      <c r="C6613" t="s">
        <v>51</v>
      </c>
      <c r="D6613" t="str">
        <f>T_Stocks[[#This Row],[Ticker]] &amp; "-" &amp; DATE(YEAR(T_Stocks[[#This Row],[Fecha]]),MONTH(T_Stocks[[#This Row],[Fecha]]),DAY(T_Stocks[[#This Row],[Fecha]]))</f>
        <v>PRHSX-45629</v>
      </c>
    </row>
    <row r="6614" spans="1:4" ht="14.65" thickBot="1" x14ac:dyDescent="0.5">
      <c r="A6614" s="17">
        <v>45630.666666666664</v>
      </c>
      <c r="B6614" s="19">
        <v>96.84</v>
      </c>
      <c r="C6614" t="s">
        <v>51</v>
      </c>
      <c r="D6614" t="str">
        <f>T_Stocks[[#This Row],[Ticker]] &amp; "-" &amp; DATE(YEAR(T_Stocks[[#This Row],[Fecha]]),MONTH(T_Stocks[[#This Row],[Fecha]]),DAY(T_Stocks[[#This Row],[Fecha]]))</f>
        <v>PRHSX-45630</v>
      </c>
    </row>
    <row r="6615" spans="1:4" ht="14.65" thickBot="1" x14ac:dyDescent="0.5">
      <c r="A6615" s="17">
        <v>45631.666666666664</v>
      </c>
      <c r="B6615" s="19">
        <v>95.44</v>
      </c>
      <c r="C6615" t="s">
        <v>51</v>
      </c>
      <c r="D6615" t="str">
        <f>T_Stocks[[#This Row],[Ticker]] &amp; "-" &amp; DATE(YEAR(T_Stocks[[#This Row],[Fecha]]),MONTH(T_Stocks[[#This Row],[Fecha]]),DAY(T_Stocks[[#This Row],[Fecha]]))</f>
        <v>PRHSX-45631</v>
      </c>
    </row>
    <row r="6616" spans="1:4" ht="14.65" thickBot="1" x14ac:dyDescent="0.5">
      <c r="A6616" s="17">
        <v>45632.666666666664</v>
      </c>
      <c r="B6616" s="19">
        <v>95.65</v>
      </c>
      <c r="C6616" t="s">
        <v>51</v>
      </c>
      <c r="D6616" t="str">
        <f>T_Stocks[[#This Row],[Ticker]] &amp; "-" &amp; DATE(YEAR(T_Stocks[[#This Row],[Fecha]]),MONTH(T_Stocks[[#This Row],[Fecha]]),DAY(T_Stocks[[#This Row],[Fecha]]))</f>
        <v>PRHSX-45632</v>
      </c>
    </row>
    <row r="6617" spans="1:4" ht="14.65" thickBot="1" x14ac:dyDescent="0.5">
      <c r="A6617" s="17">
        <v>45635.666666666664</v>
      </c>
      <c r="B6617" s="19">
        <v>95.32</v>
      </c>
      <c r="C6617" t="s">
        <v>51</v>
      </c>
      <c r="D6617" t="str">
        <f>T_Stocks[[#This Row],[Ticker]] &amp; "-" &amp; DATE(YEAR(T_Stocks[[#This Row],[Fecha]]),MONTH(T_Stocks[[#This Row],[Fecha]]),DAY(T_Stocks[[#This Row],[Fecha]]))</f>
        <v>PRHSX-45635</v>
      </c>
    </row>
    <row r="6618" spans="1:4" ht="14.65" thickBot="1" x14ac:dyDescent="0.5">
      <c r="A6618" s="17">
        <v>45636.666666666664</v>
      </c>
      <c r="B6618" s="19">
        <v>94.68</v>
      </c>
      <c r="C6618" t="s">
        <v>51</v>
      </c>
      <c r="D6618" t="str">
        <f>T_Stocks[[#This Row],[Ticker]] &amp; "-" &amp; DATE(YEAR(T_Stocks[[#This Row],[Fecha]]),MONTH(T_Stocks[[#This Row],[Fecha]]),DAY(T_Stocks[[#This Row],[Fecha]]))</f>
        <v>PRHSX-45636</v>
      </c>
    </row>
    <row r="6619" spans="1:4" ht="14.65" thickBot="1" x14ac:dyDescent="0.5">
      <c r="A6619" s="17">
        <v>45637.666666666664</v>
      </c>
      <c r="B6619" s="19">
        <v>94.02</v>
      </c>
      <c r="C6619" t="s">
        <v>51</v>
      </c>
      <c r="D6619" t="str">
        <f>T_Stocks[[#This Row],[Ticker]] &amp; "-" &amp; DATE(YEAR(T_Stocks[[#This Row],[Fecha]]),MONTH(T_Stocks[[#This Row],[Fecha]]),DAY(T_Stocks[[#This Row],[Fecha]]))</f>
        <v>PRHSX-45637</v>
      </c>
    </row>
    <row r="6620" spans="1:4" ht="14.65" thickBot="1" x14ac:dyDescent="0.5">
      <c r="A6620" s="17">
        <v>45638.666666666664</v>
      </c>
      <c r="B6620" s="19">
        <v>92.25</v>
      </c>
      <c r="C6620" t="s">
        <v>51</v>
      </c>
      <c r="D6620" t="str">
        <f>T_Stocks[[#This Row],[Ticker]] &amp; "-" &amp; DATE(YEAR(T_Stocks[[#This Row],[Fecha]]),MONTH(T_Stocks[[#This Row],[Fecha]]),DAY(T_Stocks[[#This Row],[Fecha]]))</f>
        <v>PRHSX-45638</v>
      </c>
    </row>
    <row r="6621" spans="1:4" ht="14.65" thickBot="1" x14ac:dyDescent="0.5">
      <c r="A6621" s="17">
        <v>45639.666666666664</v>
      </c>
      <c r="B6621" s="19">
        <v>92.03</v>
      </c>
      <c r="C6621" t="s">
        <v>51</v>
      </c>
      <c r="D6621" t="str">
        <f>T_Stocks[[#This Row],[Ticker]] &amp; "-" &amp; DATE(YEAR(T_Stocks[[#This Row],[Fecha]]),MONTH(T_Stocks[[#This Row],[Fecha]]),DAY(T_Stocks[[#This Row],[Fecha]]))</f>
        <v>PRHSX-45639</v>
      </c>
    </row>
    <row r="6622" spans="1:4" ht="14.65" thickBot="1" x14ac:dyDescent="0.5">
      <c r="A6622" s="17">
        <v>45642.666666666664</v>
      </c>
      <c r="B6622" s="19">
        <v>81.77</v>
      </c>
      <c r="C6622" t="s">
        <v>51</v>
      </c>
      <c r="D6622" t="str">
        <f>T_Stocks[[#This Row],[Ticker]] &amp; "-" &amp; DATE(YEAR(T_Stocks[[#This Row],[Fecha]]),MONTH(T_Stocks[[#This Row],[Fecha]]),DAY(T_Stocks[[#This Row],[Fecha]]))</f>
        <v>PRHSX-45642</v>
      </c>
    </row>
    <row r="6623" spans="1:4" ht="14.65" thickBot="1" x14ac:dyDescent="0.5">
      <c r="A6623" s="17">
        <v>45643.666666666664</v>
      </c>
      <c r="B6623" s="19">
        <v>81.760000000000005</v>
      </c>
      <c r="C6623" t="s">
        <v>51</v>
      </c>
      <c r="D6623" t="str">
        <f>T_Stocks[[#This Row],[Ticker]] &amp; "-" &amp; DATE(YEAR(T_Stocks[[#This Row],[Fecha]]),MONTH(T_Stocks[[#This Row],[Fecha]]),DAY(T_Stocks[[#This Row],[Fecha]]))</f>
        <v>PRHSX-45643</v>
      </c>
    </row>
    <row r="6624" spans="1:4" ht="14.65" thickBot="1" x14ac:dyDescent="0.5">
      <c r="A6624" s="17">
        <v>45644.666666666664</v>
      </c>
      <c r="B6624" s="19">
        <v>79.58</v>
      </c>
      <c r="C6624" t="s">
        <v>51</v>
      </c>
      <c r="D6624" t="str">
        <f>T_Stocks[[#This Row],[Ticker]] &amp; "-" &amp; DATE(YEAR(T_Stocks[[#This Row],[Fecha]]),MONTH(T_Stocks[[#This Row],[Fecha]]),DAY(T_Stocks[[#This Row],[Fecha]]))</f>
        <v>PRHSX-45644</v>
      </c>
    </row>
    <row r="6625" spans="1:4" ht="14.65" thickBot="1" x14ac:dyDescent="0.5">
      <c r="A6625" s="17">
        <v>45645.666666666664</v>
      </c>
      <c r="B6625" s="19">
        <v>79.19</v>
      </c>
      <c r="C6625" t="s">
        <v>51</v>
      </c>
      <c r="D6625" t="str">
        <f>T_Stocks[[#This Row],[Ticker]] &amp; "-" &amp; DATE(YEAR(T_Stocks[[#This Row],[Fecha]]),MONTH(T_Stocks[[#This Row],[Fecha]]),DAY(T_Stocks[[#This Row],[Fecha]]))</f>
        <v>PRHSX-45645</v>
      </c>
    </row>
    <row r="6626" spans="1:4" ht="14.65" thickBot="1" x14ac:dyDescent="0.5">
      <c r="A6626" s="17">
        <v>45646.666666666664</v>
      </c>
      <c r="B6626" s="19">
        <v>79.930000000000007</v>
      </c>
      <c r="C6626" t="s">
        <v>51</v>
      </c>
      <c r="D6626" t="str">
        <f>T_Stocks[[#This Row],[Ticker]] &amp; "-" &amp; DATE(YEAR(T_Stocks[[#This Row],[Fecha]]),MONTH(T_Stocks[[#This Row],[Fecha]]),DAY(T_Stocks[[#This Row],[Fecha]]))</f>
        <v>PRHSX-45646</v>
      </c>
    </row>
    <row r="6627" spans="1:4" ht="14.65" thickBot="1" x14ac:dyDescent="0.5">
      <c r="A6627" s="17">
        <v>45649.666666666664</v>
      </c>
      <c r="B6627" s="19">
        <v>80.650000000000006</v>
      </c>
      <c r="C6627" t="s">
        <v>51</v>
      </c>
      <c r="D6627" t="str">
        <f>T_Stocks[[#This Row],[Ticker]] &amp; "-" &amp; DATE(YEAR(T_Stocks[[#This Row],[Fecha]]),MONTH(T_Stocks[[#This Row],[Fecha]]),DAY(T_Stocks[[#This Row],[Fecha]]))</f>
        <v>PRHSX-45649</v>
      </c>
    </row>
    <row r="6628" spans="1:4" ht="14.65" thickBot="1" x14ac:dyDescent="0.5">
      <c r="A6628" s="17">
        <v>45650.541666666664</v>
      </c>
      <c r="B6628" s="19">
        <v>80.91</v>
      </c>
      <c r="C6628" t="s">
        <v>51</v>
      </c>
      <c r="D6628" t="str">
        <f>T_Stocks[[#This Row],[Ticker]] &amp; "-" &amp; DATE(YEAR(T_Stocks[[#This Row],[Fecha]]),MONTH(T_Stocks[[#This Row],[Fecha]]),DAY(T_Stocks[[#This Row],[Fecha]]))</f>
        <v>PRHSX-45650</v>
      </c>
    </row>
    <row r="6629" spans="1:4" ht="14.65" thickBot="1" x14ac:dyDescent="0.5">
      <c r="A6629" s="17">
        <v>45652.666666666664</v>
      </c>
      <c r="B6629" s="19">
        <v>81.22</v>
      </c>
      <c r="C6629" t="s">
        <v>51</v>
      </c>
      <c r="D6629" t="str">
        <f>T_Stocks[[#This Row],[Ticker]] &amp; "-" &amp; DATE(YEAR(T_Stocks[[#This Row],[Fecha]]),MONTH(T_Stocks[[#This Row],[Fecha]]),DAY(T_Stocks[[#This Row],[Fecha]]))</f>
        <v>PRHSX-45652</v>
      </c>
    </row>
    <row r="6630" spans="1:4" ht="14.65" thickBot="1" x14ac:dyDescent="0.5">
      <c r="A6630" s="17">
        <v>45653.666666666664</v>
      </c>
      <c r="B6630" s="19">
        <v>80.48</v>
      </c>
      <c r="C6630" t="s">
        <v>51</v>
      </c>
      <c r="D6630" t="str">
        <f>T_Stocks[[#This Row],[Ticker]] &amp; "-" &amp; DATE(YEAR(T_Stocks[[#This Row],[Fecha]]),MONTH(T_Stocks[[#This Row],[Fecha]]),DAY(T_Stocks[[#This Row],[Fecha]]))</f>
        <v>PRHSX-45653</v>
      </c>
    </row>
    <row r="6631" spans="1:4" ht="14.65" thickBot="1" x14ac:dyDescent="0.5">
      <c r="A6631" s="17">
        <v>45656.666666666664</v>
      </c>
      <c r="B6631" s="19">
        <v>79.53</v>
      </c>
      <c r="C6631" t="s">
        <v>51</v>
      </c>
      <c r="D6631" t="str">
        <f>T_Stocks[[#This Row],[Ticker]] &amp; "-" &amp; DATE(YEAR(T_Stocks[[#This Row],[Fecha]]),MONTH(T_Stocks[[#This Row],[Fecha]]),DAY(T_Stocks[[#This Row],[Fecha]]))</f>
        <v>PRHSX-45656</v>
      </c>
    </row>
    <row r="6632" spans="1:4" ht="14.65" thickBot="1" x14ac:dyDescent="0.5">
      <c r="A6632" s="17">
        <v>45657.666666666664</v>
      </c>
      <c r="B6632" s="19">
        <v>79.53</v>
      </c>
      <c r="C6632" t="s">
        <v>51</v>
      </c>
      <c r="D6632" t="str">
        <f>T_Stocks[[#This Row],[Ticker]] &amp; "-" &amp; DATE(YEAR(T_Stocks[[#This Row],[Fecha]]),MONTH(T_Stocks[[#This Row],[Fecha]]),DAY(T_Stocks[[#This Row],[Fecha]]))</f>
        <v>PRHSX-45657</v>
      </c>
    </row>
    <row r="6633" spans="1:4" ht="14.65" thickBot="1" x14ac:dyDescent="0.5">
      <c r="A6633" s="17" vm="1">
        <v>45659</v>
      </c>
      <c r="B6633" s="18" vm="2">
        <v>79.819999999999993</v>
      </c>
      <c r="C6633" t="s">
        <v>51</v>
      </c>
      <c r="D6633" t="str">
        <f>T_Stocks[[#This Row],[Ticker]] &amp; "-" &amp; DATE(YEAR(T_Stocks[[#This Row],[Fecha]]),MONTH(T_Stocks[[#This Row],[Fecha]]),DAY(T_Stocks[[#This Row],[Fecha]]))</f>
        <v>PRHSX-45659</v>
      </c>
    </row>
    <row r="6634" spans="1:4" ht="14.65" thickBot="1" x14ac:dyDescent="0.5">
      <c r="A6634" s="17" vm="3">
        <v>45660</v>
      </c>
      <c r="B6634" s="18" vm="4">
        <v>80.64</v>
      </c>
      <c r="C6634" t="s">
        <v>51</v>
      </c>
      <c r="D6634" t="str">
        <f>T_Stocks[[#This Row],[Ticker]] &amp; "-" &amp; DATE(YEAR(T_Stocks[[#This Row],[Fecha]]),MONTH(T_Stocks[[#This Row],[Fecha]]),DAY(T_Stocks[[#This Row],[Fecha]]))</f>
        <v>PRHSX-45660</v>
      </c>
    </row>
    <row r="6635" spans="1:4" ht="14.65" thickBot="1" x14ac:dyDescent="0.5">
      <c r="A6635" s="17" vm="5">
        <v>45663</v>
      </c>
      <c r="B6635" s="18" vm="6">
        <v>80.56</v>
      </c>
      <c r="C6635" t="s">
        <v>51</v>
      </c>
      <c r="D6635" t="str">
        <f>T_Stocks[[#This Row],[Ticker]] &amp; "-" &amp; DATE(YEAR(T_Stocks[[#This Row],[Fecha]]),MONTH(T_Stocks[[#This Row],[Fecha]]),DAY(T_Stocks[[#This Row],[Fecha]]))</f>
        <v>PRHSX-45663</v>
      </c>
    </row>
    <row r="6636" spans="1:4" ht="14.65" thickBot="1" x14ac:dyDescent="0.5">
      <c r="A6636" s="17" vm="7">
        <v>45664</v>
      </c>
      <c r="B6636" s="18" vm="8">
        <v>80.98</v>
      </c>
      <c r="C6636" t="s">
        <v>51</v>
      </c>
      <c r="D6636" t="str">
        <f>T_Stocks[[#This Row],[Ticker]] &amp; "-" &amp; DATE(YEAR(T_Stocks[[#This Row],[Fecha]]),MONTH(T_Stocks[[#This Row],[Fecha]]),DAY(T_Stocks[[#This Row],[Fecha]]))</f>
        <v>PRHSX-45664</v>
      </c>
    </row>
    <row r="6637" spans="1:4" ht="14.65" thickBot="1" x14ac:dyDescent="0.5">
      <c r="A6637" s="17" vm="9">
        <v>45665</v>
      </c>
      <c r="B6637" s="18" vm="10">
        <v>81.3</v>
      </c>
      <c r="C6637" t="s">
        <v>51</v>
      </c>
      <c r="D6637" t="str">
        <f>T_Stocks[[#This Row],[Ticker]] &amp; "-" &amp; DATE(YEAR(T_Stocks[[#This Row],[Fecha]]),MONTH(T_Stocks[[#This Row],[Fecha]]),DAY(T_Stocks[[#This Row],[Fecha]]))</f>
        <v>PRHSX-45665</v>
      </c>
    </row>
    <row r="6638" spans="1:4" ht="14.65" thickBot="1" x14ac:dyDescent="0.5">
      <c r="A6638" s="17" vm="11">
        <v>45667</v>
      </c>
      <c r="B6638" s="18" vm="12">
        <v>80.37</v>
      </c>
      <c r="C6638" t="s">
        <v>51</v>
      </c>
      <c r="D6638" t="str">
        <f>T_Stocks[[#This Row],[Ticker]] &amp; "-" &amp; DATE(YEAR(T_Stocks[[#This Row],[Fecha]]),MONTH(T_Stocks[[#This Row],[Fecha]]),DAY(T_Stocks[[#This Row],[Fecha]]))</f>
        <v>PRHSX-45667</v>
      </c>
    </row>
    <row r="6639" spans="1:4" ht="14.65" thickBot="1" x14ac:dyDescent="0.5">
      <c r="A6639" s="17" vm="13">
        <v>45670</v>
      </c>
      <c r="B6639" s="18" vm="14">
        <v>81.180000000000007</v>
      </c>
      <c r="C6639" t="s">
        <v>51</v>
      </c>
      <c r="D6639" t="str">
        <f>T_Stocks[[#This Row],[Ticker]] &amp; "-" &amp; DATE(YEAR(T_Stocks[[#This Row],[Fecha]]),MONTH(T_Stocks[[#This Row],[Fecha]]),DAY(T_Stocks[[#This Row],[Fecha]]))</f>
        <v>PRHSX-45670</v>
      </c>
    </row>
    <row r="6640" spans="1:4" ht="14.65" thickBot="1" x14ac:dyDescent="0.5">
      <c r="A6640" s="17" vm="15">
        <v>45671</v>
      </c>
      <c r="B6640" s="18" vm="16">
        <v>79.959999999999994</v>
      </c>
      <c r="C6640" t="s">
        <v>51</v>
      </c>
      <c r="D6640" t="str">
        <f>T_Stocks[[#This Row],[Ticker]] &amp; "-" &amp; DATE(YEAR(T_Stocks[[#This Row],[Fecha]]),MONTH(T_Stocks[[#This Row],[Fecha]]),DAY(T_Stocks[[#This Row],[Fecha]]))</f>
        <v>PRHSX-45671</v>
      </c>
    </row>
    <row r="6641" spans="1:4" ht="14.65" thickBot="1" x14ac:dyDescent="0.5">
      <c r="A6641" s="17" vm="17">
        <v>45672</v>
      </c>
      <c r="B6641" s="18" vm="18">
        <v>81.099999999999994</v>
      </c>
      <c r="C6641" t="s">
        <v>51</v>
      </c>
      <c r="D6641" t="str">
        <f>T_Stocks[[#This Row],[Ticker]] &amp; "-" &amp; DATE(YEAR(T_Stocks[[#This Row],[Fecha]]),MONTH(T_Stocks[[#This Row],[Fecha]]),DAY(T_Stocks[[#This Row],[Fecha]]))</f>
        <v>PRHSX-45672</v>
      </c>
    </row>
    <row r="6642" spans="1:4" ht="14.65" thickBot="1" x14ac:dyDescent="0.5">
      <c r="A6642" s="17" vm="19">
        <v>45673</v>
      </c>
      <c r="B6642" s="18" vm="20">
        <v>81.06</v>
      </c>
      <c r="C6642" t="s">
        <v>51</v>
      </c>
      <c r="D6642" t="str">
        <f>T_Stocks[[#This Row],[Ticker]] &amp; "-" &amp; DATE(YEAR(T_Stocks[[#This Row],[Fecha]]),MONTH(T_Stocks[[#This Row],[Fecha]]),DAY(T_Stocks[[#This Row],[Fecha]]))</f>
        <v>PRHSX-45673</v>
      </c>
    </row>
    <row r="6643" spans="1:4" ht="14.65" thickBot="1" x14ac:dyDescent="0.5">
      <c r="A6643" s="17" vm="21">
        <v>45674</v>
      </c>
      <c r="B6643" s="18" vm="22">
        <v>80.709999999999994</v>
      </c>
      <c r="C6643" t="s">
        <v>51</v>
      </c>
      <c r="D6643" t="str">
        <f>T_Stocks[[#This Row],[Ticker]] &amp; "-" &amp; DATE(YEAR(T_Stocks[[#This Row],[Fecha]]),MONTH(T_Stocks[[#This Row],[Fecha]]),DAY(T_Stocks[[#This Row],[Fecha]]))</f>
        <v>PRHSX-45674</v>
      </c>
    </row>
    <row r="6644" spans="1:4" ht="14.65" thickBot="1" x14ac:dyDescent="0.5">
      <c r="A6644" s="17" vm="23">
        <v>45678</v>
      </c>
      <c r="B6644" s="18" vm="24">
        <v>82.73</v>
      </c>
      <c r="C6644" t="s">
        <v>51</v>
      </c>
      <c r="D6644" t="str">
        <f>T_Stocks[[#This Row],[Ticker]] &amp; "-" &amp; DATE(YEAR(T_Stocks[[#This Row],[Fecha]]),MONTH(T_Stocks[[#This Row],[Fecha]]),DAY(T_Stocks[[#This Row],[Fecha]]))</f>
        <v>PRHSX-45678</v>
      </c>
    </row>
    <row r="6645" spans="1:4" ht="14.65" thickBot="1" x14ac:dyDescent="0.5">
      <c r="A6645" s="17" vm="25">
        <v>45679</v>
      </c>
      <c r="B6645" s="18" vm="26">
        <v>83.04</v>
      </c>
      <c r="C6645" t="s">
        <v>51</v>
      </c>
      <c r="D6645" t="str">
        <f>T_Stocks[[#This Row],[Ticker]] &amp; "-" &amp; DATE(YEAR(T_Stocks[[#This Row],[Fecha]]),MONTH(T_Stocks[[#This Row],[Fecha]]),DAY(T_Stocks[[#This Row],[Fecha]]))</f>
        <v>PRHSX-45679</v>
      </c>
    </row>
    <row r="6646" spans="1:4" ht="14.65" thickBot="1" x14ac:dyDescent="0.5">
      <c r="A6646" s="17" vm="27">
        <v>45680</v>
      </c>
      <c r="B6646" s="18" vm="28">
        <v>83.95</v>
      </c>
      <c r="C6646" t="s">
        <v>51</v>
      </c>
      <c r="D6646" t="str">
        <f>T_Stocks[[#This Row],[Ticker]] &amp; "-" &amp; DATE(YEAR(T_Stocks[[#This Row],[Fecha]]),MONTH(T_Stocks[[#This Row],[Fecha]]),DAY(T_Stocks[[#This Row],[Fecha]]))</f>
        <v>PRHSX-45680</v>
      </c>
    </row>
    <row r="6647" spans="1:4" ht="14.65" thickBot="1" x14ac:dyDescent="0.5">
      <c r="A6647" s="17" vm="29">
        <v>45681</v>
      </c>
      <c r="B6647" s="18" vm="30">
        <v>83.77</v>
      </c>
      <c r="C6647" t="s">
        <v>51</v>
      </c>
      <c r="D6647" t="str">
        <f>T_Stocks[[#This Row],[Ticker]] &amp; "-" &amp; DATE(YEAR(T_Stocks[[#This Row],[Fecha]]),MONTH(T_Stocks[[#This Row],[Fecha]]),DAY(T_Stocks[[#This Row],[Fecha]]))</f>
        <v>PRHSX-45681</v>
      </c>
    </row>
    <row r="6648" spans="1:4" ht="14.65" thickBot="1" x14ac:dyDescent="0.5">
      <c r="A6648" s="17" vm="31">
        <v>45684</v>
      </c>
      <c r="B6648" s="18" vm="32">
        <v>84.64</v>
      </c>
      <c r="C6648" t="s">
        <v>51</v>
      </c>
      <c r="D6648" t="str">
        <f>T_Stocks[[#This Row],[Ticker]] &amp; "-" &amp; DATE(YEAR(T_Stocks[[#This Row],[Fecha]]),MONTH(T_Stocks[[#This Row],[Fecha]]),DAY(T_Stocks[[#This Row],[Fecha]]))</f>
        <v>PRHSX-45684</v>
      </c>
    </row>
    <row r="6649" spans="1:4" ht="14.65" thickBot="1" x14ac:dyDescent="0.5">
      <c r="A6649" s="17" vm="33">
        <v>45685</v>
      </c>
      <c r="B6649" s="18" vm="34">
        <v>84.54</v>
      </c>
      <c r="C6649" t="s">
        <v>51</v>
      </c>
      <c r="D6649" t="str">
        <f>T_Stocks[[#This Row],[Ticker]] &amp; "-" &amp; DATE(YEAR(T_Stocks[[#This Row],[Fecha]]),MONTH(T_Stocks[[#This Row],[Fecha]]),DAY(T_Stocks[[#This Row],[Fecha]]))</f>
        <v>PRHSX-45685</v>
      </c>
    </row>
    <row r="6650" spans="1:4" ht="14.65" thickBot="1" x14ac:dyDescent="0.5">
      <c r="A6650" s="17" vm="35">
        <v>45686</v>
      </c>
      <c r="B6650" s="18" vm="36">
        <v>83.87</v>
      </c>
      <c r="C6650" t="s">
        <v>51</v>
      </c>
      <c r="D6650" t="str">
        <f>T_Stocks[[#This Row],[Ticker]] &amp; "-" &amp; DATE(YEAR(T_Stocks[[#This Row],[Fecha]]),MONTH(T_Stocks[[#This Row],[Fecha]]),DAY(T_Stocks[[#This Row],[Fecha]]))</f>
        <v>PRHSX-45686</v>
      </c>
    </row>
    <row r="6651" spans="1:4" ht="14.65" thickBot="1" x14ac:dyDescent="0.5">
      <c r="A6651" s="17" vm="37">
        <v>45687</v>
      </c>
      <c r="B6651" s="18" vm="38">
        <v>84.91</v>
      </c>
      <c r="C6651" t="s">
        <v>51</v>
      </c>
      <c r="D6651" t="str">
        <f>T_Stocks[[#This Row],[Ticker]] &amp; "-" &amp; DATE(YEAR(T_Stocks[[#This Row],[Fecha]]),MONTH(T_Stocks[[#This Row],[Fecha]]),DAY(T_Stocks[[#This Row],[Fecha]]))</f>
        <v>PRHSX-45687</v>
      </c>
    </row>
    <row r="6652" spans="1:4" ht="14.65" thickBot="1" x14ac:dyDescent="0.5">
      <c r="A6652" s="17" vm="39">
        <v>45688</v>
      </c>
      <c r="B6652" s="18" vm="40">
        <v>84.46</v>
      </c>
      <c r="C6652" t="s">
        <v>51</v>
      </c>
      <c r="D6652" t="str">
        <f>T_Stocks[[#This Row],[Ticker]] &amp; "-" &amp; DATE(YEAR(T_Stocks[[#This Row],[Fecha]]),MONTH(T_Stocks[[#This Row],[Fecha]]),DAY(T_Stocks[[#This Row],[Fecha]]))</f>
        <v>PRHSX-45688</v>
      </c>
    </row>
    <row r="6653" spans="1:4" ht="14.65" thickBot="1" x14ac:dyDescent="0.5">
      <c r="A6653" s="17" vm="41">
        <v>45691</v>
      </c>
      <c r="B6653" s="18" vm="42">
        <v>84.23</v>
      </c>
      <c r="C6653" t="s">
        <v>51</v>
      </c>
      <c r="D6653" t="str">
        <f>T_Stocks[[#This Row],[Ticker]] &amp; "-" &amp; DATE(YEAR(T_Stocks[[#This Row],[Fecha]]),MONTH(T_Stocks[[#This Row],[Fecha]]),DAY(T_Stocks[[#This Row],[Fecha]]))</f>
        <v>PRHSX-45691</v>
      </c>
    </row>
    <row r="6654" spans="1:4" ht="14.65" thickBot="1" x14ac:dyDescent="0.5">
      <c r="A6654" s="17" vm="43">
        <v>45692</v>
      </c>
      <c r="B6654" s="18" vm="44">
        <v>84.33</v>
      </c>
      <c r="C6654" t="s">
        <v>51</v>
      </c>
      <c r="D6654" t="str">
        <f>T_Stocks[[#This Row],[Ticker]] &amp; "-" &amp; DATE(YEAR(T_Stocks[[#This Row],[Fecha]]),MONTH(T_Stocks[[#This Row],[Fecha]]),DAY(T_Stocks[[#This Row],[Fecha]]))</f>
        <v>PRHSX-45692</v>
      </c>
    </row>
    <row r="6655" spans="1:4" ht="14.65" thickBot="1" x14ac:dyDescent="0.5">
      <c r="A6655" s="17" vm="45">
        <v>45693</v>
      </c>
      <c r="B6655" s="18" vm="46">
        <v>85.47</v>
      </c>
      <c r="C6655" t="s">
        <v>51</v>
      </c>
      <c r="D6655" t="str">
        <f>T_Stocks[[#This Row],[Ticker]] &amp; "-" &amp; DATE(YEAR(T_Stocks[[#This Row],[Fecha]]),MONTH(T_Stocks[[#This Row],[Fecha]]),DAY(T_Stocks[[#This Row],[Fecha]]))</f>
        <v>PRHSX-45693</v>
      </c>
    </row>
    <row r="6656" spans="1:4" ht="14.65" thickBot="1" x14ac:dyDescent="0.5">
      <c r="A6656" s="17" vm="47">
        <v>45694</v>
      </c>
      <c r="B6656" s="18" vm="48">
        <v>84.78</v>
      </c>
      <c r="C6656" t="s">
        <v>51</v>
      </c>
      <c r="D6656" t="str">
        <f>T_Stocks[[#This Row],[Ticker]] &amp; "-" &amp; DATE(YEAR(T_Stocks[[#This Row],[Fecha]]),MONTH(T_Stocks[[#This Row],[Fecha]]),DAY(T_Stocks[[#This Row],[Fecha]]))</f>
        <v>PRHSX-45694</v>
      </c>
    </row>
    <row r="6657" spans="1:4" ht="14.65" thickBot="1" x14ac:dyDescent="0.5">
      <c r="A6657" s="17" vm="49">
        <v>45695</v>
      </c>
      <c r="B6657" s="18" vm="50">
        <v>83.98</v>
      </c>
      <c r="C6657" t="s">
        <v>51</v>
      </c>
      <c r="D6657" t="str">
        <f>T_Stocks[[#This Row],[Ticker]] &amp; "-" &amp; DATE(YEAR(T_Stocks[[#This Row],[Fecha]]),MONTH(T_Stocks[[#This Row],[Fecha]]),DAY(T_Stocks[[#This Row],[Fecha]]))</f>
        <v>PRHSX-45695</v>
      </c>
    </row>
    <row r="6658" spans="1:4" ht="14.65" thickBot="1" x14ac:dyDescent="0.5">
      <c r="A6658" s="17" vm="51">
        <v>45698</v>
      </c>
      <c r="B6658" s="18" vm="52">
        <v>83.58</v>
      </c>
      <c r="C6658" t="s">
        <v>51</v>
      </c>
      <c r="D6658" t="str">
        <f>T_Stocks[[#This Row],[Ticker]] &amp; "-" &amp; DATE(YEAR(T_Stocks[[#This Row],[Fecha]]),MONTH(T_Stocks[[#This Row],[Fecha]]),DAY(T_Stocks[[#This Row],[Fecha]]))</f>
        <v>PRHSX-45698</v>
      </c>
    </row>
    <row r="6659" spans="1:4" ht="14.65" thickBot="1" x14ac:dyDescent="0.5">
      <c r="A6659" s="17" vm="53">
        <v>45699</v>
      </c>
      <c r="B6659" s="18" vm="54">
        <v>82.84</v>
      </c>
      <c r="C6659" t="s">
        <v>51</v>
      </c>
      <c r="D6659" t="str">
        <f>T_Stocks[[#This Row],[Ticker]] &amp; "-" &amp; DATE(YEAR(T_Stocks[[#This Row],[Fecha]]),MONTH(T_Stocks[[#This Row],[Fecha]]),DAY(T_Stocks[[#This Row],[Fecha]]))</f>
        <v>PRHSX-45699</v>
      </c>
    </row>
    <row r="6660" spans="1:4" ht="14.65" thickBot="1" x14ac:dyDescent="0.5">
      <c r="A6660" s="17" vm="55">
        <v>45700</v>
      </c>
      <c r="B6660" s="18" vm="56">
        <v>82.92</v>
      </c>
      <c r="C6660" t="s">
        <v>51</v>
      </c>
      <c r="D6660" t="str">
        <f>T_Stocks[[#This Row],[Ticker]] &amp; "-" &amp; DATE(YEAR(T_Stocks[[#This Row],[Fecha]]),MONTH(T_Stocks[[#This Row],[Fecha]]),DAY(T_Stocks[[#This Row],[Fecha]]))</f>
        <v>PRHSX-45700</v>
      </c>
    </row>
    <row r="6661" spans="1:4" ht="14.65" thickBot="1" x14ac:dyDescent="0.5">
      <c r="A6661" s="17" vm="57">
        <v>45701</v>
      </c>
      <c r="B6661" s="18" vm="58">
        <v>83.34</v>
      </c>
      <c r="C6661" t="s">
        <v>51</v>
      </c>
      <c r="D6661" t="str">
        <f>T_Stocks[[#This Row],[Ticker]] &amp; "-" &amp; DATE(YEAR(T_Stocks[[#This Row],[Fecha]]),MONTH(T_Stocks[[#This Row],[Fecha]]),DAY(T_Stocks[[#This Row],[Fecha]]))</f>
        <v>PRHSX-45701</v>
      </c>
    </row>
    <row r="6662" spans="1:4" ht="14.65" thickBot="1" x14ac:dyDescent="0.5">
      <c r="A6662" s="17" vm="59">
        <v>45702</v>
      </c>
      <c r="B6662" s="18" vm="60">
        <v>82.75</v>
      </c>
      <c r="C6662" t="s">
        <v>51</v>
      </c>
      <c r="D6662" t="str">
        <f>T_Stocks[[#This Row],[Ticker]] &amp; "-" &amp; DATE(YEAR(T_Stocks[[#This Row],[Fecha]]),MONTH(T_Stocks[[#This Row],[Fecha]]),DAY(T_Stocks[[#This Row],[Fecha]]))</f>
        <v>PRHSX-45702</v>
      </c>
    </row>
    <row r="6663" spans="1:4" ht="14.65" thickBot="1" x14ac:dyDescent="0.5">
      <c r="A6663" s="17" vm="61">
        <v>45706</v>
      </c>
      <c r="B6663" s="18" vm="62">
        <v>82.71</v>
      </c>
      <c r="C6663" t="s">
        <v>51</v>
      </c>
      <c r="D6663" t="str">
        <f>T_Stocks[[#This Row],[Ticker]] &amp; "-" &amp; DATE(YEAR(T_Stocks[[#This Row],[Fecha]]),MONTH(T_Stocks[[#This Row],[Fecha]]),DAY(T_Stocks[[#This Row],[Fecha]]))</f>
        <v>PRHSX-45706</v>
      </c>
    </row>
    <row r="6664" spans="1:4" ht="14.65" thickBot="1" x14ac:dyDescent="0.5">
      <c r="A6664" s="17" vm="63">
        <v>45707</v>
      </c>
      <c r="B6664" s="18" vm="64">
        <v>83.57</v>
      </c>
      <c r="C6664" t="s">
        <v>51</v>
      </c>
      <c r="D6664" t="str">
        <f>T_Stocks[[#This Row],[Ticker]] &amp; "-" &amp; DATE(YEAR(T_Stocks[[#This Row],[Fecha]]),MONTH(T_Stocks[[#This Row],[Fecha]]),DAY(T_Stocks[[#This Row],[Fecha]]))</f>
        <v>PRHSX-45707</v>
      </c>
    </row>
    <row r="6665" spans="1:4" ht="14.65" thickBot="1" x14ac:dyDescent="0.5">
      <c r="A6665" s="17" vm="65">
        <v>45708</v>
      </c>
      <c r="B6665" s="18" vm="28">
        <v>83.95</v>
      </c>
      <c r="C6665" t="s">
        <v>51</v>
      </c>
      <c r="D6665" t="str">
        <f>T_Stocks[[#This Row],[Ticker]] &amp; "-" &amp; DATE(YEAR(T_Stocks[[#This Row],[Fecha]]),MONTH(T_Stocks[[#This Row],[Fecha]]),DAY(T_Stocks[[#This Row],[Fecha]]))</f>
        <v>PRHSX-45708</v>
      </c>
    </row>
    <row r="6666" spans="1:4" ht="14.65" thickBot="1" x14ac:dyDescent="0.5">
      <c r="A6666" s="17" vm="66">
        <v>45709</v>
      </c>
      <c r="B6666" s="18" vm="26">
        <v>83.04</v>
      </c>
      <c r="C6666" t="s">
        <v>51</v>
      </c>
      <c r="D6666" t="str">
        <f>T_Stocks[[#This Row],[Ticker]] &amp; "-" &amp; DATE(YEAR(T_Stocks[[#This Row],[Fecha]]),MONTH(T_Stocks[[#This Row],[Fecha]]),DAY(T_Stocks[[#This Row],[Fecha]]))</f>
        <v>PRHSX-45709</v>
      </c>
    </row>
    <row r="6667" spans="1:4" ht="14.65" thickBot="1" x14ac:dyDescent="0.5">
      <c r="A6667" s="17" vm="67">
        <v>45712</v>
      </c>
      <c r="B6667" s="18" vm="24">
        <v>82.73</v>
      </c>
      <c r="C6667" t="s">
        <v>51</v>
      </c>
      <c r="D6667" t="str">
        <f>T_Stocks[[#This Row],[Ticker]] &amp; "-" &amp; DATE(YEAR(T_Stocks[[#This Row],[Fecha]]),MONTH(T_Stocks[[#This Row],[Fecha]]),DAY(T_Stocks[[#This Row],[Fecha]]))</f>
        <v>PRHSX-45712</v>
      </c>
    </row>
    <row r="6668" spans="1:4" ht="14.65" thickBot="1" x14ac:dyDescent="0.5">
      <c r="A6668" s="17" vm="68">
        <v>45713</v>
      </c>
      <c r="B6668" s="18" vm="69">
        <v>82.64</v>
      </c>
      <c r="C6668" t="s">
        <v>51</v>
      </c>
      <c r="D6668" t="str">
        <f>T_Stocks[[#This Row],[Ticker]] &amp; "-" &amp; DATE(YEAR(T_Stocks[[#This Row],[Fecha]]),MONTH(T_Stocks[[#This Row],[Fecha]]),DAY(T_Stocks[[#This Row],[Fecha]]))</f>
        <v>PRHSX-45713</v>
      </c>
    </row>
    <row r="6669" spans="1:4" ht="14.65" thickBot="1" x14ac:dyDescent="0.5">
      <c r="A6669" s="17" vm="70">
        <v>45714</v>
      </c>
      <c r="B6669" s="18" vm="71">
        <v>82.6</v>
      </c>
      <c r="C6669" t="s">
        <v>51</v>
      </c>
      <c r="D6669" t="str">
        <f>T_Stocks[[#This Row],[Ticker]] &amp; "-" &amp; DATE(YEAR(T_Stocks[[#This Row],[Fecha]]),MONTH(T_Stocks[[#This Row],[Fecha]]),DAY(T_Stocks[[#This Row],[Fecha]]))</f>
        <v>PRHSX-45714</v>
      </c>
    </row>
    <row r="6670" spans="1:4" ht="14.65" thickBot="1" x14ac:dyDescent="0.5">
      <c r="A6670" s="17" vm="72">
        <v>45715</v>
      </c>
      <c r="B6670" s="18" vm="73">
        <v>81.86</v>
      </c>
      <c r="C6670" t="s">
        <v>51</v>
      </c>
      <c r="D6670" t="str">
        <f>T_Stocks[[#This Row],[Ticker]] &amp; "-" &amp; DATE(YEAR(T_Stocks[[#This Row],[Fecha]]),MONTH(T_Stocks[[#This Row],[Fecha]]),DAY(T_Stocks[[#This Row],[Fecha]]))</f>
        <v>PRHSX-45715</v>
      </c>
    </row>
    <row r="6671" spans="1:4" ht="14.65" thickBot="1" x14ac:dyDescent="0.5">
      <c r="A6671" s="17" vm="74">
        <v>45716</v>
      </c>
      <c r="B6671" s="18" vm="75">
        <v>82.91</v>
      </c>
      <c r="C6671" t="s">
        <v>51</v>
      </c>
      <c r="D6671" t="str">
        <f>T_Stocks[[#This Row],[Ticker]] &amp; "-" &amp; DATE(YEAR(T_Stocks[[#This Row],[Fecha]]),MONTH(T_Stocks[[#This Row],[Fecha]]),DAY(T_Stocks[[#This Row],[Fecha]]))</f>
        <v>PRHSX-45716</v>
      </c>
    </row>
    <row r="6672" spans="1:4" ht="14.65" thickBot="1" x14ac:dyDescent="0.5">
      <c r="A6672" s="17" vm="76">
        <v>45719</v>
      </c>
      <c r="B6672" s="18" vm="77">
        <v>81.93</v>
      </c>
      <c r="C6672" t="s">
        <v>51</v>
      </c>
      <c r="D6672" t="str">
        <f>T_Stocks[[#This Row],[Ticker]] &amp; "-" &amp; DATE(YEAR(T_Stocks[[#This Row],[Fecha]]),MONTH(T_Stocks[[#This Row],[Fecha]]),DAY(T_Stocks[[#This Row],[Fecha]]))</f>
        <v>PRHSX-45719</v>
      </c>
    </row>
    <row r="6673" spans="1:4" ht="14.65" thickBot="1" x14ac:dyDescent="0.5">
      <c r="A6673" s="17" vm="78">
        <v>45720</v>
      </c>
      <c r="B6673" s="18" vm="79">
        <v>81.760000000000005</v>
      </c>
      <c r="C6673" t="s">
        <v>51</v>
      </c>
      <c r="D6673" t="str">
        <f>T_Stocks[[#This Row],[Ticker]] &amp; "-" &amp; DATE(YEAR(T_Stocks[[#This Row],[Fecha]]),MONTH(T_Stocks[[#This Row],[Fecha]]),DAY(T_Stocks[[#This Row],[Fecha]]))</f>
        <v>PRHSX-45720</v>
      </c>
    </row>
    <row r="6674" spans="1:4" ht="14.65" thickBot="1" x14ac:dyDescent="0.5">
      <c r="A6674" s="17" vm="80">
        <v>45721</v>
      </c>
      <c r="B6674" s="18" vm="81">
        <v>82.95</v>
      </c>
      <c r="C6674" t="s">
        <v>51</v>
      </c>
      <c r="D6674" t="str">
        <f>T_Stocks[[#This Row],[Ticker]] &amp; "-" &amp; DATE(YEAR(T_Stocks[[#This Row],[Fecha]]),MONTH(T_Stocks[[#This Row],[Fecha]]),DAY(T_Stocks[[#This Row],[Fecha]]))</f>
        <v>PRHSX-45721</v>
      </c>
    </row>
    <row r="6675" spans="1:4" ht="14.65" thickBot="1" x14ac:dyDescent="0.5">
      <c r="A6675" s="17" vm="82">
        <v>45722</v>
      </c>
      <c r="B6675" s="18" vm="83">
        <v>82.1</v>
      </c>
      <c r="C6675" t="s">
        <v>51</v>
      </c>
      <c r="D6675" t="str">
        <f>T_Stocks[[#This Row],[Ticker]] &amp; "-" &amp; DATE(YEAR(T_Stocks[[#This Row],[Fecha]]),MONTH(T_Stocks[[#This Row],[Fecha]]),DAY(T_Stocks[[#This Row],[Fecha]]))</f>
        <v>PRHSX-45722</v>
      </c>
    </row>
    <row r="6676" spans="1:4" ht="14.65" thickBot="1" x14ac:dyDescent="0.5">
      <c r="A6676" s="17" vm="84">
        <v>45723</v>
      </c>
      <c r="B6676" s="18" vm="85">
        <v>81.31</v>
      </c>
      <c r="C6676" t="s">
        <v>51</v>
      </c>
      <c r="D6676" t="str">
        <f>T_Stocks[[#This Row],[Ticker]] &amp; "-" &amp; DATE(YEAR(T_Stocks[[#This Row],[Fecha]]),MONTH(T_Stocks[[#This Row],[Fecha]]),DAY(T_Stocks[[#This Row],[Fecha]]))</f>
        <v>PRHSX-45723</v>
      </c>
    </row>
    <row r="6677" spans="1:4" ht="14.65" thickBot="1" x14ac:dyDescent="0.5">
      <c r="A6677" s="17" vm="86">
        <v>45726</v>
      </c>
      <c r="B6677" s="18" vm="87">
        <v>79.52</v>
      </c>
      <c r="C6677" t="s">
        <v>51</v>
      </c>
      <c r="D6677" t="str">
        <f>T_Stocks[[#This Row],[Ticker]] &amp; "-" &amp; DATE(YEAR(T_Stocks[[#This Row],[Fecha]]),MONTH(T_Stocks[[#This Row],[Fecha]]),DAY(T_Stocks[[#This Row],[Fecha]]))</f>
        <v>PRHSX-45726</v>
      </c>
    </row>
    <row r="6678" spans="1:4" ht="14.65" thickBot="1" x14ac:dyDescent="0.5">
      <c r="A6678" s="17" vm="88">
        <v>45727</v>
      </c>
      <c r="B6678" s="18" vm="89">
        <v>79.569999999999993</v>
      </c>
      <c r="C6678" t="s">
        <v>51</v>
      </c>
      <c r="D6678" t="str">
        <f>T_Stocks[[#This Row],[Ticker]] &amp; "-" &amp; DATE(YEAR(T_Stocks[[#This Row],[Fecha]]),MONTH(T_Stocks[[#This Row],[Fecha]]),DAY(T_Stocks[[#This Row],[Fecha]]))</f>
        <v>PRHSX-45727</v>
      </c>
    </row>
    <row r="6679" spans="1:4" ht="14.65" thickBot="1" x14ac:dyDescent="0.5">
      <c r="A6679" s="17" vm="90">
        <v>45728</v>
      </c>
      <c r="B6679" s="18" vm="91">
        <v>79.88</v>
      </c>
      <c r="C6679" t="s">
        <v>51</v>
      </c>
      <c r="D6679" t="str">
        <f>T_Stocks[[#This Row],[Ticker]] &amp; "-" &amp; DATE(YEAR(T_Stocks[[#This Row],[Fecha]]),MONTH(T_Stocks[[#This Row],[Fecha]]),DAY(T_Stocks[[#This Row],[Fecha]]))</f>
        <v>PRHSX-45728</v>
      </c>
    </row>
    <row r="6680" spans="1:4" ht="14.65" thickBot="1" x14ac:dyDescent="0.5">
      <c r="A6680" s="17" vm="92">
        <v>45729</v>
      </c>
      <c r="B6680" s="18" vm="93">
        <v>79.069999999999993</v>
      </c>
      <c r="C6680" t="s">
        <v>51</v>
      </c>
      <c r="D6680" t="str">
        <f>T_Stocks[[#This Row],[Ticker]] &amp; "-" &amp; DATE(YEAR(T_Stocks[[#This Row],[Fecha]]),MONTH(T_Stocks[[#This Row],[Fecha]]),DAY(T_Stocks[[#This Row],[Fecha]]))</f>
        <v>PRHSX-45729</v>
      </c>
    </row>
    <row r="6681" spans="1:4" ht="14.65" thickBot="1" x14ac:dyDescent="0.5">
      <c r="A6681" s="17" vm="94">
        <v>45730</v>
      </c>
      <c r="B6681" s="18" vm="95">
        <v>80.099999999999994</v>
      </c>
      <c r="C6681" t="s">
        <v>51</v>
      </c>
      <c r="D6681" t="str">
        <f>T_Stocks[[#This Row],[Ticker]] &amp; "-" &amp; DATE(YEAR(T_Stocks[[#This Row],[Fecha]]),MONTH(T_Stocks[[#This Row],[Fecha]]),DAY(T_Stocks[[#This Row],[Fecha]]))</f>
        <v>PRHSX-45730</v>
      </c>
    </row>
    <row r="6682" spans="1:4" ht="14.65" thickBot="1" x14ac:dyDescent="0.5">
      <c r="A6682" s="17" vm="96">
        <v>45733</v>
      </c>
      <c r="B6682" s="18" vm="97">
        <v>81.27</v>
      </c>
      <c r="C6682" t="s">
        <v>51</v>
      </c>
      <c r="D6682" t="str">
        <f>T_Stocks[[#This Row],[Ticker]] &amp; "-" &amp; DATE(YEAR(T_Stocks[[#This Row],[Fecha]]),MONTH(T_Stocks[[#This Row],[Fecha]]),DAY(T_Stocks[[#This Row],[Fecha]]))</f>
        <v>PRHSX-45733</v>
      </c>
    </row>
    <row r="6683" spans="1:4" ht="14.65" thickBot="1" x14ac:dyDescent="0.5">
      <c r="A6683" s="17" vm="98">
        <v>45734</v>
      </c>
      <c r="B6683" s="18" vm="99">
        <v>80.760000000000005</v>
      </c>
      <c r="C6683" t="s">
        <v>51</v>
      </c>
      <c r="D6683" t="str">
        <f>T_Stocks[[#This Row],[Ticker]] &amp; "-" &amp; DATE(YEAR(T_Stocks[[#This Row],[Fecha]]),MONTH(T_Stocks[[#This Row],[Fecha]]),DAY(T_Stocks[[#This Row],[Fecha]]))</f>
        <v>PRHSX-45734</v>
      </c>
    </row>
    <row r="6684" spans="1:4" ht="14.65" thickBot="1" x14ac:dyDescent="0.5">
      <c r="A6684" s="17" vm="100">
        <v>45735</v>
      </c>
      <c r="B6684" s="18" vm="101">
        <v>81.290000000000006</v>
      </c>
      <c r="C6684" t="s">
        <v>51</v>
      </c>
      <c r="D6684" t="str">
        <f>T_Stocks[[#This Row],[Ticker]] &amp; "-" &amp; DATE(YEAR(T_Stocks[[#This Row],[Fecha]]),MONTH(T_Stocks[[#This Row],[Fecha]]),DAY(T_Stocks[[#This Row],[Fecha]]))</f>
        <v>PRHSX-45735</v>
      </c>
    </row>
    <row r="6685" spans="1:4" ht="14.65" thickBot="1" x14ac:dyDescent="0.5">
      <c r="A6685" s="17" vm="102">
        <v>45736</v>
      </c>
      <c r="B6685" s="18" vm="103">
        <v>81.11</v>
      </c>
      <c r="C6685" t="s">
        <v>51</v>
      </c>
      <c r="D6685" t="str">
        <f>T_Stocks[[#This Row],[Ticker]] &amp; "-" &amp; DATE(YEAR(T_Stocks[[#This Row],[Fecha]]),MONTH(T_Stocks[[#This Row],[Fecha]]),DAY(T_Stocks[[#This Row],[Fecha]]))</f>
        <v>PRHSX-45736</v>
      </c>
    </row>
    <row r="6686" spans="1:4" ht="14.65" thickBot="1" x14ac:dyDescent="0.5">
      <c r="A6686" s="17" vm="104">
        <v>45737</v>
      </c>
      <c r="B6686" s="18" vm="105">
        <v>81.010000000000005</v>
      </c>
      <c r="C6686" t="s">
        <v>51</v>
      </c>
      <c r="D6686" t="str">
        <f>T_Stocks[[#This Row],[Ticker]] &amp; "-" &amp; DATE(YEAR(T_Stocks[[#This Row],[Fecha]]),MONTH(T_Stocks[[#This Row],[Fecha]]),DAY(T_Stocks[[#This Row],[Fecha]]))</f>
        <v>PRHSX-45737</v>
      </c>
    </row>
    <row r="6687" spans="1:4" ht="14.65" thickBot="1" x14ac:dyDescent="0.5">
      <c r="A6687" s="17" vm="106">
        <v>45740</v>
      </c>
      <c r="B6687" s="18" vm="107">
        <v>82.05</v>
      </c>
      <c r="C6687" t="s">
        <v>51</v>
      </c>
      <c r="D6687" t="str">
        <f>T_Stocks[[#This Row],[Ticker]] &amp; "-" &amp; DATE(YEAR(T_Stocks[[#This Row],[Fecha]]),MONTH(T_Stocks[[#This Row],[Fecha]]),DAY(T_Stocks[[#This Row],[Fecha]]))</f>
        <v>PRHSX-45740</v>
      </c>
    </row>
    <row r="6688" spans="1:4" ht="14.65" thickBot="1" x14ac:dyDescent="0.5">
      <c r="A6688" s="17" vm="108">
        <v>45741</v>
      </c>
      <c r="B6688" s="18" vm="109">
        <v>81.22</v>
      </c>
      <c r="C6688" t="s">
        <v>51</v>
      </c>
      <c r="D6688" t="str">
        <f>T_Stocks[[#This Row],[Ticker]] &amp; "-" &amp; DATE(YEAR(T_Stocks[[#This Row],[Fecha]]),MONTH(T_Stocks[[#This Row],[Fecha]]),DAY(T_Stocks[[#This Row],[Fecha]]))</f>
        <v>PRHSX-45741</v>
      </c>
    </row>
    <row r="6689" spans="1:4" ht="14.65" thickBot="1" x14ac:dyDescent="0.5">
      <c r="A6689" s="17" vm="110">
        <v>45742</v>
      </c>
      <c r="B6689" s="18" vm="111">
        <v>80.19</v>
      </c>
      <c r="C6689" t="s">
        <v>51</v>
      </c>
      <c r="D6689" t="str">
        <f>T_Stocks[[#This Row],[Ticker]] &amp; "-" &amp; DATE(YEAR(T_Stocks[[#This Row],[Fecha]]),MONTH(T_Stocks[[#This Row],[Fecha]]),DAY(T_Stocks[[#This Row],[Fecha]]))</f>
        <v>PRHSX-45742</v>
      </c>
    </row>
    <row r="6690" spans="1:4" ht="14.65" thickBot="1" x14ac:dyDescent="0.5">
      <c r="A6690" s="17" vm="112">
        <v>45743</v>
      </c>
      <c r="B6690" s="18" vm="113">
        <v>80.39</v>
      </c>
      <c r="C6690" t="s">
        <v>51</v>
      </c>
      <c r="D6690" t="str">
        <f>T_Stocks[[#This Row],[Ticker]] &amp; "-" &amp; DATE(YEAR(T_Stocks[[#This Row],[Fecha]]),MONTH(T_Stocks[[#This Row],[Fecha]]),DAY(T_Stocks[[#This Row],[Fecha]]))</f>
        <v>PRHSX-45743</v>
      </c>
    </row>
    <row r="6691" spans="1:4" ht="14.65" thickBot="1" x14ac:dyDescent="0.5">
      <c r="A6691" s="17" vm="114">
        <v>45744</v>
      </c>
      <c r="B6691" s="18" vm="115">
        <v>79.84</v>
      </c>
      <c r="C6691" t="s">
        <v>51</v>
      </c>
      <c r="D6691" t="str">
        <f>T_Stocks[[#This Row],[Ticker]] &amp; "-" &amp; DATE(YEAR(T_Stocks[[#This Row],[Fecha]]),MONTH(T_Stocks[[#This Row],[Fecha]]),DAY(T_Stocks[[#This Row],[Fecha]]))</f>
        <v>PRHSX-45744</v>
      </c>
    </row>
    <row r="6692" spans="1:4" ht="14.65" thickBot="1" x14ac:dyDescent="0.5">
      <c r="A6692" s="17" vm="116">
        <v>45747</v>
      </c>
      <c r="B6692" s="18" vm="117">
        <v>79.5</v>
      </c>
      <c r="C6692" t="s">
        <v>51</v>
      </c>
      <c r="D6692" t="str">
        <f>T_Stocks[[#This Row],[Ticker]] &amp; "-" &amp; DATE(YEAR(T_Stocks[[#This Row],[Fecha]]),MONTH(T_Stocks[[#This Row],[Fecha]]),DAY(T_Stocks[[#This Row],[Fecha]]))</f>
        <v>PRHSX-45747</v>
      </c>
    </row>
    <row r="6693" spans="1:4" ht="14.65" thickBot="1" x14ac:dyDescent="0.5">
      <c r="A6693" s="17" vm="118">
        <v>45748</v>
      </c>
      <c r="B6693" s="18" vm="119">
        <v>77.98</v>
      </c>
      <c r="C6693" t="s">
        <v>51</v>
      </c>
      <c r="D6693" t="str">
        <f>T_Stocks[[#This Row],[Ticker]] &amp; "-" &amp; DATE(YEAR(T_Stocks[[#This Row],[Fecha]]),MONTH(T_Stocks[[#This Row],[Fecha]]),DAY(T_Stocks[[#This Row],[Fecha]]))</f>
        <v>PRHSX-45748</v>
      </c>
    </row>
    <row r="6694" spans="1:4" ht="14.65" thickBot="1" x14ac:dyDescent="0.5">
      <c r="A6694" s="17" vm="120">
        <v>45749</v>
      </c>
      <c r="B6694" s="18" vm="121">
        <v>79.11</v>
      </c>
      <c r="C6694" t="s">
        <v>51</v>
      </c>
      <c r="D6694" t="str">
        <f>T_Stocks[[#This Row],[Ticker]] &amp; "-" &amp; DATE(YEAR(T_Stocks[[#This Row],[Fecha]]),MONTH(T_Stocks[[#This Row],[Fecha]]),DAY(T_Stocks[[#This Row],[Fecha]]))</f>
        <v>PRHSX-45749</v>
      </c>
    </row>
    <row r="6695" spans="1:4" ht="14.65" thickBot="1" x14ac:dyDescent="0.5">
      <c r="A6695" s="17" vm="122">
        <v>45750</v>
      </c>
      <c r="B6695" s="18" vm="123">
        <v>77.95</v>
      </c>
      <c r="C6695" t="s">
        <v>51</v>
      </c>
      <c r="D6695" t="str">
        <f>T_Stocks[[#This Row],[Ticker]] &amp; "-" &amp; DATE(YEAR(T_Stocks[[#This Row],[Fecha]]),MONTH(T_Stocks[[#This Row],[Fecha]]),DAY(T_Stocks[[#This Row],[Fecha]]))</f>
        <v>PRHSX-45750</v>
      </c>
    </row>
    <row r="6696" spans="1:4" ht="14.65" thickBot="1" x14ac:dyDescent="0.5">
      <c r="A6696" s="17" vm="124">
        <v>45751</v>
      </c>
      <c r="B6696" s="18" vm="125">
        <v>73.55</v>
      </c>
      <c r="C6696" t="s">
        <v>51</v>
      </c>
      <c r="D6696" t="str">
        <f>T_Stocks[[#This Row],[Ticker]] &amp; "-" &amp; DATE(YEAR(T_Stocks[[#This Row],[Fecha]]),MONTH(T_Stocks[[#This Row],[Fecha]]),DAY(T_Stocks[[#This Row],[Fecha]]))</f>
        <v>PRHSX-45751</v>
      </c>
    </row>
    <row r="6697" spans="1:4" ht="14.65" thickBot="1" x14ac:dyDescent="0.5">
      <c r="A6697" s="17" vm="126">
        <v>45754</v>
      </c>
      <c r="B6697" s="18" vm="127">
        <v>72.930000000000007</v>
      </c>
      <c r="C6697" t="s">
        <v>51</v>
      </c>
      <c r="D6697" t="str">
        <f>T_Stocks[[#This Row],[Ticker]] &amp; "-" &amp; DATE(YEAR(T_Stocks[[#This Row],[Fecha]]),MONTH(T_Stocks[[#This Row],[Fecha]]),DAY(T_Stocks[[#This Row],[Fecha]]))</f>
        <v>PRHSX-45754</v>
      </c>
    </row>
    <row r="6698" spans="1:4" ht="14.65" thickBot="1" x14ac:dyDescent="0.5">
      <c r="A6698" s="17" vm="128">
        <v>45755</v>
      </c>
      <c r="B6698" s="18" vm="129">
        <v>71.94</v>
      </c>
      <c r="C6698" t="s">
        <v>51</v>
      </c>
      <c r="D6698" t="str">
        <f>T_Stocks[[#This Row],[Ticker]] &amp; "-" &amp; DATE(YEAR(T_Stocks[[#This Row],[Fecha]]),MONTH(T_Stocks[[#This Row],[Fecha]]),DAY(T_Stocks[[#This Row],[Fecha]]))</f>
        <v>PRHSX-45755</v>
      </c>
    </row>
    <row r="6699" spans="1:4" ht="14.65" thickBot="1" x14ac:dyDescent="0.5">
      <c r="A6699" s="17" vm="130">
        <v>45756</v>
      </c>
      <c r="B6699" s="18" vm="131">
        <v>75.819999999999993</v>
      </c>
      <c r="C6699" t="s">
        <v>51</v>
      </c>
      <c r="D6699" t="str">
        <f>T_Stocks[[#This Row],[Ticker]] &amp; "-" &amp; DATE(YEAR(T_Stocks[[#This Row],[Fecha]]),MONTH(T_Stocks[[#This Row],[Fecha]]),DAY(T_Stocks[[#This Row],[Fecha]]))</f>
        <v>PRHSX-45756</v>
      </c>
    </row>
    <row r="6700" spans="1:4" ht="14.65" thickBot="1" x14ac:dyDescent="0.5">
      <c r="A6700" s="17" vm="132">
        <v>45757</v>
      </c>
      <c r="B6700" s="18" vm="133">
        <v>73.67</v>
      </c>
      <c r="C6700" t="s">
        <v>51</v>
      </c>
      <c r="D6700" t="str">
        <f>T_Stocks[[#This Row],[Ticker]] &amp; "-" &amp; DATE(YEAR(T_Stocks[[#This Row],[Fecha]]),MONTH(T_Stocks[[#This Row],[Fecha]]),DAY(T_Stocks[[#This Row],[Fecha]]))</f>
        <v>PRHSX-45757</v>
      </c>
    </row>
    <row r="6701" spans="1:4" ht="14.65" thickBot="1" x14ac:dyDescent="0.5">
      <c r="A6701" s="17" vm="134">
        <v>45758</v>
      </c>
      <c r="B6701" s="18" vm="135">
        <v>75.45</v>
      </c>
      <c r="C6701" t="s">
        <v>51</v>
      </c>
      <c r="D6701" t="str">
        <f>T_Stocks[[#This Row],[Ticker]] &amp; "-" &amp; DATE(YEAR(T_Stocks[[#This Row],[Fecha]]),MONTH(T_Stocks[[#This Row],[Fecha]]),DAY(T_Stocks[[#This Row],[Fecha]]))</f>
        <v>PRHSX-45758</v>
      </c>
    </row>
    <row r="6702" spans="1:4" ht="14.65" thickBot="1" x14ac:dyDescent="0.5">
      <c r="A6702" s="17" vm="136">
        <v>45761</v>
      </c>
      <c r="B6702" s="18" vm="137">
        <v>76.63</v>
      </c>
      <c r="C6702" t="s">
        <v>51</v>
      </c>
      <c r="D6702" t="str">
        <f>T_Stocks[[#This Row],[Ticker]] &amp; "-" &amp; DATE(YEAR(T_Stocks[[#This Row],[Fecha]]),MONTH(T_Stocks[[#This Row],[Fecha]]),DAY(T_Stocks[[#This Row],[Fecha]]))</f>
        <v>PRHSX-45761</v>
      </c>
    </row>
    <row r="6703" spans="1:4" ht="14.65" thickBot="1" x14ac:dyDescent="0.5">
      <c r="A6703" s="17" vm="138">
        <v>45762</v>
      </c>
      <c r="B6703" s="18" vm="139">
        <v>76.25</v>
      </c>
      <c r="C6703" t="s">
        <v>51</v>
      </c>
      <c r="D6703" t="str">
        <f>T_Stocks[[#This Row],[Ticker]] &amp; "-" &amp; DATE(YEAR(T_Stocks[[#This Row],[Fecha]]),MONTH(T_Stocks[[#This Row],[Fecha]]),DAY(T_Stocks[[#This Row],[Fecha]]))</f>
        <v>PRHSX-45762</v>
      </c>
    </row>
    <row r="6704" spans="1:4" ht="14.65" thickBot="1" x14ac:dyDescent="0.5">
      <c r="A6704" s="17" vm="140">
        <v>45763</v>
      </c>
      <c r="B6704" s="18" vm="141">
        <v>75.489999999999995</v>
      </c>
      <c r="C6704" t="s">
        <v>51</v>
      </c>
      <c r="D6704" t="str">
        <f>T_Stocks[[#This Row],[Ticker]] &amp; "-" &amp; DATE(YEAR(T_Stocks[[#This Row],[Fecha]]),MONTH(T_Stocks[[#This Row],[Fecha]]),DAY(T_Stocks[[#This Row],[Fecha]]))</f>
        <v>PRHSX-45763</v>
      </c>
    </row>
    <row r="6705" spans="1:4" ht="14.65" thickBot="1" x14ac:dyDescent="0.5">
      <c r="A6705" s="17" vm="142">
        <v>45764</v>
      </c>
      <c r="B6705" s="18" vm="141">
        <v>75.489999999999995</v>
      </c>
      <c r="C6705" t="s">
        <v>51</v>
      </c>
      <c r="D6705" t="str">
        <f>T_Stocks[[#This Row],[Ticker]] &amp; "-" &amp; DATE(YEAR(T_Stocks[[#This Row],[Fecha]]),MONTH(T_Stocks[[#This Row],[Fecha]]),DAY(T_Stocks[[#This Row],[Fecha]]))</f>
        <v>PRHSX-45764</v>
      </c>
    </row>
    <row r="6706" spans="1:4" ht="14.65" thickBot="1" x14ac:dyDescent="0.5">
      <c r="A6706" s="17" vm="143">
        <v>45768</v>
      </c>
      <c r="B6706" s="18" vm="144">
        <v>74.14</v>
      </c>
      <c r="C6706" t="s">
        <v>51</v>
      </c>
      <c r="D6706" t="str">
        <f>T_Stocks[[#This Row],[Ticker]] &amp; "-" &amp; DATE(YEAR(T_Stocks[[#This Row],[Fecha]]),MONTH(T_Stocks[[#This Row],[Fecha]]),DAY(T_Stocks[[#This Row],[Fecha]]))</f>
        <v>PRHSX-45768</v>
      </c>
    </row>
    <row r="6707" spans="1:4" ht="14.65" thickBot="1" x14ac:dyDescent="0.5">
      <c r="A6707" s="17" vm="145">
        <v>45769</v>
      </c>
      <c r="B6707" s="18" vm="146">
        <v>75.760000000000005</v>
      </c>
      <c r="C6707" t="s">
        <v>51</v>
      </c>
      <c r="D6707" t="str">
        <f>T_Stocks[[#This Row],[Ticker]] &amp; "-" &amp; DATE(YEAR(T_Stocks[[#This Row],[Fecha]]),MONTH(T_Stocks[[#This Row],[Fecha]]),DAY(T_Stocks[[#This Row],[Fecha]]))</f>
        <v>PRHSX-45769</v>
      </c>
    </row>
    <row r="6708" spans="1:4" ht="14.65" thickBot="1" x14ac:dyDescent="0.5">
      <c r="A6708" s="17" vm="147">
        <v>45770</v>
      </c>
      <c r="B6708" s="18" vm="148">
        <v>76.680000000000007</v>
      </c>
      <c r="C6708" t="s">
        <v>51</v>
      </c>
      <c r="D6708" t="str">
        <f>T_Stocks[[#This Row],[Ticker]] &amp; "-" &amp; DATE(YEAR(T_Stocks[[#This Row],[Fecha]]),MONTH(T_Stocks[[#This Row],[Fecha]]),DAY(T_Stocks[[#This Row],[Fecha]]))</f>
        <v>PRHSX-45770</v>
      </c>
    </row>
    <row r="6709" spans="1:4" ht="14.65" thickBot="1" x14ac:dyDescent="0.5">
      <c r="A6709" s="17" vm="149">
        <v>45771</v>
      </c>
      <c r="B6709" s="18" vm="150">
        <v>77.81</v>
      </c>
      <c r="C6709" t="s">
        <v>51</v>
      </c>
      <c r="D6709" t="str">
        <f>T_Stocks[[#This Row],[Ticker]] &amp; "-" &amp; DATE(YEAR(T_Stocks[[#This Row],[Fecha]]),MONTH(T_Stocks[[#This Row],[Fecha]]),DAY(T_Stocks[[#This Row],[Fecha]]))</f>
        <v>PRHSX-45771</v>
      </c>
    </row>
    <row r="6710" spans="1:4" ht="14.65" thickBot="1" x14ac:dyDescent="0.5">
      <c r="A6710" s="17" vm="151">
        <v>45772</v>
      </c>
      <c r="B6710" s="18" vm="152">
        <v>77.790000000000006</v>
      </c>
      <c r="C6710" t="s">
        <v>51</v>
      </c>
      <c r="D6710" t="str">
        <f>T_Stocks[[#This Row],[Ticker]] &amp; "-" &amp; DATE(YEAR(T_Stocks[[#This Row],[Fecha]]),MONTH(T_Stocks[[#This Row],[Fecha]]),DAY(T_Stocks[[#This Row],[Fecha]]))</f>
        <v>PRHSX-45772</v>
      </c>
    </row>
    <row r="6711" spans="1:4" ht="14.65" thickBot="1" x14ac:dyDescent="0.5">
      <c r="A6711" s="17" vm="153">
        <v>45775</v>
      </c>
      <c r="B6711" s="18" vm="154">
        <v>78.12</v>
      </c>
      <c r="C6711" t="s">
        <v>51</v>
      </c>
      <c r="D6711" t="str">
        <f>T_Stocks[[#This Row],[Ticker]] &amp; "-" &amp; DATE(YEAR(T_Stocks[[#This Row],[Fecha]]),MONTH(T_Stocks[[#This Row],[Fecha]]),DAY(T_Stocks[[#This Row],[Fecha]]))</f>
        <v>PRHSX-45775</v>
      </c>
    </row>
    <row r="6712" spans="1:4" ht="14.65" thickBot="1" x14ac:dyDescent="0.5">
      <c r="A6712" s="17" vm="155">
        <v>45776</v>
      </c>
      <c r="B6712" s="18" vm="156">
        <v>78.59</v>
      </c>
      <c r="C6712" t="s">
        <v>51</v>
      </c>
      <c r="D6712" t="str">
        <f>T_Stocks[[#This Row],[Ticker]] &amp; "-" &amp; DATE(YEAR(T_Stocks[[#This Row],[Fecha]]),MONTH(T_Stocks[[#This Row],[Fecha]]),DAY(T_Stocks[[#This Row],[Fecha]]))</f>
        <v>PRHSX-45776</v>
      </c>
    </row>
    <row r="6713" spans="1:4" ht="14.65" thickBot="1" x14ac:dyDescent="0.5">
      <c r="A6713" s="17" vm="157">
        <v>45777</v>
      </c>
      <c r="B6713" s="18" vm="158">
        <v>79.430000000000007</v>
      </c>
      <c r="C6713" t="s">
        <v>51</v>
      </c>
      <c r="D6713" t="str">
        <f>T_Stocks[[#This Row],[Ticker]] &amp; "-" &amp; DATE(YEAR(T_Stocks[[#This Row],[Fecha]]),MONTH(T_Stocks[[#This Row],[Fecha]]),DAY(T_Stocks[[#This Row],[Fecha]]))</f>
        <v>PRHSX-45777</v>
      </c>
    </row>
    <row r="6714" spans="1:4" ht="14.65" thickBot="1" x14ac:dyDescent="0.5">
      <c r="A6714" s="17" vm="159">
        <v>45778</v>
      </c>
      <c r="B6714" s="18" vm="160">
        <v>77.42</v>
      </c>
      <c r="C6714" t="s">
        <v>51</v>
      </c>
      <c r="D6714" t="str">
        <f>T_Stocks[[#This Row],[Ticker]] &amp; "-" &amp; DATE(YEAR(T_Stocks[[#This Row],[Fecha]]),MONTH(T_Stocks[[#This Row],[Fecha]]),DAY(T_Stocks[[#This Row],[Fecha]]))</f>
        <v>PRHSX-45778</v>
      </c>
    </row>
    <row r="6715" spans="1:4" ht="14.65" thickBot="1" x14ac:dyDescent="0.5">
      <c r="A6715" s="17" vm="161">
        <v>45779</v>
      </c>
      <c r="B6715" s="18" vm="156">
        <v>78.59</v>
      </c>
      <c r="C6715" t="s">
        <v>51</v>
      </c>
      <c r="D6715" t="str">
        <f>T_Stocks[[#This Row],[Ticker]] &amp; "-" &amp; DATE(YEAR(T_Stocks[[#This Row],[Fecha]]),MONTH(T_Stocks[[#This Row],[Fecha]]),DAY(T_Stocks[[#This Row],[Fecha]]))</f>
        <v>PRHSX-45779</v>
      </c>
    </row>
    <row r="6716" spans="1:4" ht="14.65" thickBot="1" x14ac:dyDescent="0.5">
      <c r="A6716" s="17" vm="162">
        <v>45782</v>
      </c>
      <c r="B6716" s="18" vm="163">
        <v>78.52</v>
      </c>
      <c r="C6716" t="s">
        <v>51</v>
      </c>
      <c r="D6716" t="str">
        <f>T_Stocks[[#This Row],[Ticker]] &amp; "-" &amp; DATE(YEAR(T_Stocks[[#This Row],[Fecha]]),MONTH(T_Stocks[[#This Row],[Fecha]]),DAY(T_Stocks[[#This Row],[Fecha]]))</f>
        <v>PRHSX-45782</v>
      </c>
    </row>
    <row r="6717" spans="1:4" ht="14.65" thickBot="1" x14ac:dyDescent="0.5">
      <c r="A6717" s="17" vm="164">
        <v>45783</v>
      </c>
      <c r="B6717" s="18" vm="165">
        <v>75.56</v>
      </c>
      <c r="C6717" t="s">
        <v>51</v>
      </c>
      <c r="D6717" t="str">
        <f>T_Stocks[[#This Row],[Ticker]] &amp; "-" &amp; DATE(YEAR(T_Stocks[[#This Row],[Fecha]]),MONTH(T_Stocks[[#This Row],[Fecha]]),DAY(T_Stocks[[#This Row],[Fecha]]))</f>
        <v>PRHSX-45783</v>
      </c>
    </row>
    <row r="6718" spans="1:4" ht="14.65" thickBot="1" x14ac:dyDescent="0.5">
      <c r="A6718" s="17" vm="166">
        <v>45784</v>
      </c>
      <c r="B6718" s="18" vm="167">
        <v>75.8</v>
      </c>
      <c r="C6718" t="s">
        <v>51</v>
      </c>
      <c r="D6718" t="str">
        <f>T_Stocks[[#This Row],[Ticker]] &amp; "-" &amp; DATE(YEAR(T_Stocks[[#This Row],[Fecha]]),MONTH(T_Stocks[[#This Row],[Fecha]]),DAY(T_Stocks[[#This Row],[Fecha]]))</f>
        <v>PRHSX-45784</v>
      </c>
    </row>
    <row r="6719" spans="1:4" ht="14.65" thickBot="1" x14ac:dyDescent="0.5">
      <c r="A6719" s="17" vm="168">
        <v>45785</v>
      </c>
      <c r="B6719" s="18" vm="169">
        <v>75.040000000000006</v>
      </c>
      <c r="C6719" t="s">
        <v>51</v>
      </c>
      <c r="D6719" t="str">
        <f>T_Stocks[[#This Row],[Ticker]] &amp; "-" &amp; DATE(YEAR(T_Stocks[[#This Row],[Fecha]]),MONTH(T_Stocks[[#This Row],[Fecha]]),DAY(T_Stocks[[#This Row],[Fecha]]))</f>
        <v>PRHSX-45785</v>
      </c>
    </row>
    <row r="6720" spans="1:4" ht="14.65" thickBot="1" x14ac:dyDescent="0.5">
      <c r="A6720" s="17" vm="170">
        <v>45786</v>
      </c>
      <c r="B6720" s="18" vm="171">
        <v>73.97</v>
      </c>
      <c r="C6720" t="s">
        <v>51</v>
      </c>
      <c r="D6720" t="str">
        <f>T_Stocks[[#This Row],[Ticker]] &amp; "-" &amp; DATE(YEAR(T_Stocks[[#This Row],[Fecha]]),MONTH(T_Stocks[[#This Row],[Fecha]]),DAY(T_Stocks[[#This Row],[Fecha]]))</f>
        <v>PRHSX-45786</v>
      </c>
    </row>
    <row r="6721" spans="1:4" ht="14.65" thickBot="1" x14ac:dyDescent="0.5">
      <c r="A6721" s="17" vm="172">
        <v>45789</v>
      </c>
      <c r="B6721" s="18" vm="173">
        <v>75.95</v>
      </c>
      <c r="C6721" t="s">
        <v>51</v>
      </c>
      <c r="D6721" t="str">
        <f>T_Stocks[[#This Row],[Ticker]] &amp; "-" &amp; DATE(YEAR(T_Stocks[[#This Row],[Fecha]]),MONTH(T_Stocks[[#This Row],[Fecha]]),DAY(T_Stocks[[#This Row],[Fecha]]))</f>
        <v>PRHSX-45789</v>
      </c>
    </row>
    <row r="6722" spans="1:4" ht="14.65" thickBot="1" x14ac:dyDescent="0.5">
      <c r="A6722" s="17" vm="174">
        <v>45790</v>
      </c>
      <c r="B6722" s="18" vm="175">
        <v>73.959999999999994</v>
      </c>
      <c r="C6722" t="s">
        <v>51</v>
      </c>
      <c r="D6722" t="str">
        <f>T_Stocks[[#This Row],[Ticker]] &amp; "-" &amp; DATE(YEAR(T_Stocks[[#This Row],[Fecha]]),MONTH(T_Stocks[[#This Row],[Fecha]]),DAY(T_Stocks[[#This Row],[Fecha]]))</f>
        <v>PRHSX-45790</v>
      </c>
    </row>
    <row r="6723" spans="1:4" ht="14.65" thickBot="1" x14ac:dyDescent="0.5">
      <c r="A6723" s="17" vm="176">
        <v>45791</v>
      </c>
      <c r="B6723" s="18" vm="177">
        <v>72.7</v>
      </c>
      <c r="C6723" t="s">
        <v>51</v>
      </c>
      <c r="D6723" t="str">
        <f>T_Stocks[[#This Row],[Ticker]] &amp; "-" &amp; DATE(YEAR(T_Stocks[[#This Row],[Fecha]]),MONTH(T_Stocks[[#This Row],[Fecha]]),DAY(T_Stocks[[#This Row],[Fecha]]))</f>
        <v>PRHSX-45791</v>
      </c>
    </row>
    <row r="6724" spans="1:4" ht="14.65" thickBot="1" x14ac:dyDescent="0.5">
      <c r="A6724" s="17" vm="178">
        <v>45792</v>
      </c>
      <c r="B6724" s="18" vm="179">
        <v>73.45</v>
      </c>
      <c r="C6724" t="s">
        <v>51</v>
      </c>
      <c r="D6724" t="str">
        <f>T_Stocks[[#This Row],[Ticker]] &amp; "-" &amp; DATE(YEAR(T_Stocks[[#This Row],[Fecha]]),MONTH(T_Stocks[[#This Row],[Fecha]]),DAY(T_Stocks[[#This Row],[Fecha]]))</f>
        <v>PRHSX-45792</v>
      </c>
    </row>
    <row r="6725" spans="1:4" ht="14.65" thickBot="1" x14ac:dyDescent="0.5">
      <c r="A6725" s="17" vm="180">
        <v>45793</v>
      </c>
      <c r="B6725" s="18" vm="181">
        <v>74.790000000000006</v>
      </c>
      <c r="C6725" t="s">
        <v>51</v>
      </c>
      <c r="D6725" t="str">
        <f>T_Stocks[[#This Row],[Ticker]] &amp; "-" &amp; DATE(YEAR(T_Stocks[[#This Row],[Fecha]]),MONTH(T_Stocks[[#This Row],[Fecha]]),DAY(T_Stocks[[#This Row],[Fecha]]))</f>
        <v>PRHSX-45793</v>
      </c>
    </row>
    <row r="6726" spans="1:4" ht="14.65" thickBot="1" x14ac:dyDescent="0.5">
      <c r="A6726" s="17" vm="182">
        <v>45796</v>
      </c>
      <c r="B6726" s="18" vm="183">
        <v>75.44</v>
      </c>
      <c r="C6726" t="s">
        <v>51</v>
      </c>
      <c r="D6726" t="str">
        <f>T_Stocks[[#This Row],[Ticker]] &amp; "-" &amp; DATE(YEAR(T_Stocks[[#This Row],[Fecha]]),MONTH(T_Stocks[[#This Row],[Fecha]]),DAY(T_Stocks[[#This Row],[Fecha]]))</f>
        <v>PRHSX-45796</v>
      </c>
    </row>
    <row r="6727" spans="1:4" ht="14.65" thickBot="1" x14ac:dyDescent="0.5">
      <c r="A6727" s="17" vm="184">
        <v>45797</v>
      </c>
      <c r="B6727" s="18" vm="185">
        <v>75.94</v>
      </c>
      <c r="C6727" t="s">
        <v>51</v>
      </c>
      <c r="D6727" t="str">
        <f>T_Stocks[[#This Row],[Ticker]] &amp; "-" &amp; DATE(YEAR(T_Stocks[[#This Row],[Fecha]]),MONTH(T_Stocks[[#This Row],[Fecha]]),DAY(T_Stocks[[#This Row],[Fecha]]))</f>
        <v>PRHSX-45797</v>
      </c>
    </row>
    <row r="6728" spans="1:4" ht="14.65" thickBot="1" x14ac:dyDescent="0.5">
      <c r="A6728" s="17" vm="186">
        <v>45798</v>
      </c>
      <c r="B6728" s="18" vm="144">
        <v>74.14</v>
      </c>
      <c r="C6728" t="s">
        <v>51</v>
      </c>
      <c r="D6728" t="str">
        <f>T_Stocks[[#This Row],[Ticker]] &amp; "-" &amp; DATE(YEAR(T_Stocks[[#This Row],[Fecha]]),MONTH(T_Stocks[[#This Row],[Fecha]]),DAY(T_Stocks[[#This Row],[Fecha]]))</f>
        <v>PRHSX-45798</v>
      </c>
    </row>
    <row r="6729" spans="1:4" ht="14.65" thickBot="1" x14ac:dyDescent="0.5">
      <c r="A6729" s="17" vm="187">
        <v>45799</v>
      </c>
      <c r="B6729" s="18" vm="133">
        <v>73.67</v>
      </c>
      <c r="C6729" t="s">
        <v>51</v>
      </c>
      <c r="D6729" t="str">
        <f>T_Stocks[[#This Row],[Ticker]] &amp; "-" &amp; DATE(YEAR(T_Stocks[[#This Row],[Fecha]]),MONTH(T_Stocks[[#This Row],[Fecha]]),DAY(T_Stocks[[#This Row],[Fecha]]))</f>
        <v>PRHSX-45799</v>
      </c>
    </row>
    <row r="6730" spans="1:4" ht="14.65" thickBot="1" x14ac:dyDescent="0.5">
      <c r="A6730" s="17" vm="188">
        <v>45800</v>
      </c>
      <c r="B6730" s="18" vm="189">
        <v>73.53</v>
      </c>
      <c r="C6730" t="s">
        <v>51</v>
      </c>
      <c r="D6730" t="str">
        <f>T_Stocks[[#This Row],[Ticker]] &amp; "-" &amp; DATE(YEAR(T_Stocks[[#This Row],[Fecha]]),MONTH(T_Stocks[[#This Row],[Fecha]]),DAY(T_Stocks[[#This Row],[Fecha]]))</f>
        <v>PRHSX-45800</v>
      </c>
    </row>
    <row r="6731" spans="1:4" ht="14.65" thickBot="1" x14ac:dyDescent="0.5">
      <c r="A6731" s="17" vm="190">
        <v>45804</v>
      </c>
      <c r="B6731" s="18" vm="191">
        <v>74.12</v>
      </c>
      <c r="C6731" t="s">
        <v>51</v>
      </c>
      <c r="D6731" t="str">
        <f>T_Stocks[[#This Row],[Ticker]] &amp; "-" &amp; DATE(YEAR(T_Stocks[[#This Row],[Fecha]]),MONTH(T_Stocks[[#This Row],[Fecha]]),DAY(T_Stocks[[#This Row],[Fecha]]))</f>
        <v>PRHSX-45804</v>
      </c>
    </row>
    <row r="6732" spans="1:4" ht="14.65" thickBot="1" x14ac:dyDescent="0.5">
      <c r="A6732" s="17" vm="192">
        <v>45805</v>
      </c>
      <c r="B6732" s="18" vm="193">
        <v>73.69</v>
      </c>
      <c r="C6732" t="s">
        <v>51</v>
      </c>
      <c r="D6732" t="str">
        <f>T_Stocks[[#This Row],[Ticker]] &amp; "-" &amp; DATE(YEAR(T_Stocks[[#This Row],[Fecha]]),MONTH(T_Stocks[[#This Row],[Fecha]]),DAY(T_Stocks[[#This Row],[Fecha]]))</f>
        <v>PRHSX-45805</v>
      </c>
    </row>
    <row r="6733" spans="1:4" ht="14.65" thickBot="1" x14ac:dyDescent="0.5">
      <c r="A6733" s="17" vm="194">
        <v>45806</v>
      </c>
      <c r="B6733" s="18" vm="195">
        <v>74.55</v>
      </c>
      <c r="C6733" t="s">
        <v>51</v>
      </c>
      <c r="D6733" t="str">
        <f>T_Stocks[[#This Row],[Ticker]] &amp; "-" &amp; DATE(YEAR(T_Stocks[[#This Row],[Fecha]]),MONTH(T_Stocks[[#This Row],[Fecha]]),DAY(T_Stocks[[#This Row],[Fecha]]))</f>
        <v>PRHSX-45806</v>
      </c>
    </row>
    <row r="6734" spans="1:4" ht="14.65" thickBot="1" x14ac:dyDescent="0.5">
      <c r="A6734" s="17" vm="196">
        <v>45807</v>
      </c>
      <c r="B6734" s="18" vm="197">
        <v>74.27</v>
      </c>
      <c r="C6734" t="s">
        <v>51</v>
      </c>
      <c r="D6734" t="str">
        <f>T_Stocks[[#This Row],[Ticker]] &amp; "-" &amp; DATE(YEAR(T_Stocks[[#This Row],[Fecha]]),MONTH(T_Stocks[[#This Row],[Fecha]]),DAY(T_Stocks[[#This Row],[Fecha]]))</f>
        <v>PRHSX-45807</v>
      </c>
    </row>
    <row r="6735" spans="1:4" ht="14.65" thickBot="1" x14ac:dyDescent="0.5">
      <c r="A6735" s="17" vm="198">
        <v>45810</v>
      </c>
      <c r="B6735" s="18" vm="199">
        <v>75.23</v>
      </c>
      <c r="C6735" t="s">
        <v>51</v>
      </c>
      <c r="D6735" t="str">
        <f>T_Stocks[[#This Row],[Ticker]] &amp; "-" &amp; DATE(YEAR(T_Stocks[[#This Row],[Fecha]]),MONTH(T_Stocks[[#This Row],[Fecha]]),DAY(T_Stocks[[#This Row],[Fecha]]))</f>
        <v>PRHSX-45810</v>
      </c>
    </row>
    <row r="6736" spans="1:4" ht="14.65" thickBot="1" x14ac:dyDescent="0.5">
      <c r="A6736" s="17" vm="200">
        <v>45811</v>
      </c>
      <c r="B6736" s="18" vm="165">
        <v>75.56</v>
      </c>
      <c r="C6736" t="s">
        <v>51</v>
      </c>
      <c r="D6736" t="str">
        <f>T_Stocks[[#This Row],[Ticker]] &amp; "-" &amp; DATE(YEAR(T_Stocks[[#This Row],[Fecha]]),MONTH(T_Stocks[[#This Row],[Fecha]]),DAY(T_Stocks[[#This Row],[Fecha]]))</f>
        <v>PRHSX-45811</v>
      </c>
    </row>
    <row r="6737" spans="1:4" ht="14.65" thickBot="1" x14ac:dyDescent="0.5">
      <c r="A6737" s="17" vm="201">
        <v>45812</v>
      </c>
      <c r="B6737" s="18" vm="202">
        <v>75.89</v>
      </c>
      <c r="C6737" t="s">
        <v>51</v>
      </c>
      <c r="D6737" t="str">
        <f>T_Stocks[[#This Row],[Ticker]] &amp; "-" &amp; DATE(YEAR(T_Stocks[[#This Row],[Fecha]]),MONTH(T_Stocks[[#This Row],[Fecha]]),DAY(T_Stocks[[#This Row],[Fecha]]))</f>
        <v>PRHSX-45812</v>
      </c>
    </row>
    <row r="6738" spans="1:4" ht="14.65" thickBot="1" x14ac:dyDescent="0.5">
      <c r="A6738" s="17" vm="203">
        <v>45813</v>
      </c>
      <c r="B6738" s="18" vm="204">
        <v>76</v>
      </c>
      <c r="C6738" t="s">
        <v>51</v>
      </c>
      <c r="D6738" t="str">
        <f>T_Stocks[[#This Row],[Ticker]] &amp; "-" &amp; DATE(YEAR(T_Stocks[[#This Row],[Fecha]]),MONTH(T_Stocks[[#This Row],[Fecha]]),DAY(T_Stocks[[#This Row],[Fecha]]))</f>
        <v>PRHSX-45813</v>
      </c>
    </row>
    <row r="6739" spans="1:4" ht="14.65" thickBot="1" x14ac:dyDescent="0.5">
      <c r="A6739" s="17" vm="205">
        <v>45814</v>
      </c>
      <c r="B6739" s="18" vm="206">
        <v>76.540000000000006</v>
      </c>
      <c r="C6739" t="s">
        <v>51</v>
      </c>
      <c r="D6739" t="str">
        <f>T_Stocks[[#This Row],[Ticker]] &amp; "-" &amp; DATE(YEAR(T_Stocks[[#This Row],[Fecha]]),MONTH(T_Stocks[[#This Row],[Fecha]]),DAY(T_Stocks[[#This Row],[Fecha]]))</f>
        <v>PRHSX-45814</v>
      </c>
    </row>
    <row r="6740" spans="1:4" ht="14.65" thickBot="1" x14ac:dyDescent="0.5">
      <c r="A6740" s="17" vm="207">
        <v>45817</v>
      </c>
      <c r="B6740" s="18" vm="139">
        <v>76.25</v>
      </c>
      <c r="C6740" t="s">
        <v>51</v>
      </c>
      <c r="D6740" t="str">
        <f>T_Stocks[[#This Row],[Ticker]] &amp; "-" &amp; DATE(YEAR(T_Stocks[[#This Row],[Fecha]]),MONTH(T_Stocks[[#This Row],[Fecha]]),DAY(T_Stocks[[#This Row],[Fecha]]))</f>
        <v>PRHSX-45817</v>
      </c>
    </row>
    <row r="6741" spans="1:4" ht="14.65" thickBot="1" x14ac:dyDescent="0.5">
      <c r="A6741" s="17" vm="208">
        <v>45818</v>
      </c>
      <c r="B6741" s="18" vm="209">
        <v>77.22</v>
      </c>
      <c r="C6741" t="s">
        <v>51</v>
      </c>
      <c r="D6741" t="str">
        <f>T_Stocks[[#This Row],[Ticker]] &amp; "-" &amp; DATE(YEAR(T_Stocks[[#This Row],[Fecha]]),MONTH(T_Stocks[[#This Row],[Fecha]]),DAY(T_Stocks[[#This Row],[Fecha]]))</f>
        <v>PRHSX-45818</v>
      </c>
    </row>
    <row r="6742" spans="1:4" ht="14.65" thickBot="1" x14ac:dyDescent="0.5">
      <c r="A6742" s="17" vm="210">
        <v>45819</v>
      </c>
      <c r="B6742" s="18" vm="211">
        <v>77.040000000000006</v>
      </c>
      <c r="C6742" t="s">
        <v>51</v>
      </c>
      <c r="D6742" t="str">
        <f>T_Stocks[[#This Row],[Ticker]] &amp; "-" &amp; DATE(YEAR(T_Stocks[[#This Row],[Fecha]]),MONTH(T_Stocks[[#This Row],[Fecha]]),DAY(T_Stocks[[#This Row],[Fecha]]))</f>
        <v>PRHSX-45819</v>
      </c>
    </row>
    <row r="6743" spans="1:4" ht="14.65" thickBot="1" x14ac:dyDescent="0.5">
      <c r="A6743" s="17" vm="212">
        <v>45820</v>
      </c>
      <c r="B6743" s="18" vm="213">
        <v>77.5</v>
      </c>
      <c r="C6743" t="s">
        <v>51</v>
      </c>
      <c r="D6743" t="str">
        <f>T_Stocks[[#This Row],[Ticker]] &amp; "-" &amp; DATE(YEAR(T_Stocks[[#This Row],[Fecha]]),MONTH(T_Stocks[[#This Row],[Fecha]]),DAY(T_Stocks[[#This Row],[Fecha]]))</f>
        <v>PRHSX-45820</v>
      </c>
    </row>
    <row r="6744" spans="1:4" ht="14.65" thickBot="1" x14ac:dyDescent="0.5">
      <c r="A6744" s="17" vm="214">
        <v>45821</v>
      </c>
      <c r="B6744" s="18" vm="215">
        <v>77.13</v>
      </c>
      <c r="C6744" t="s">
        <v>51</v>
      </c>
      <c r="D6744" t="str">
        <f>T_Stocks[[#This Row],[Ticker]] &amp; "-" &amp; DATE(YEAR(T_Stocks[[#This Row],[Fecha]]),MONTH(T_Stocks[[#This Row],[Fecha]]),DAY(T_Stocks[[#This Row],[Fecha]]))</f>
        <v>PRHSX-45821</v>
      </c>
    </row>
    <row r="6745" spans="1:4" ht="14.65" thickBot="1" x14ac:dyDescent="0.5">
      <c r="A6745" s="17" vm="216">
        <v>45824</v>
      </c>
      <c r="B6745" s="18" vm="217">
        <v>76.78</v>
      </c>
      <c r="C6745" t="s">
        <v>51</v>
      </c>
      <c r="D6745" t="str">
        <f>T_Stocks[[#This Row],[Ticker]] &amp; "-" &amp; DATE(YEAR(T_Stocks[[#This Row],[Fecha]]),MONTH(T_Stocks[[#This Row],[Fecha]]),DAY(T_Stocks[[#This Row],[Fecha]]))</f>
        <v>PRHSX-45824</v>
      </c>
    </row>
    <row r="6746" spans="1:4" ht="14.65" thickBot="1" x14ac:dyDescent="0.5">
      <c r="A6746" s="17" vm="218">
        <v>45825</v>
      </c>
      <c r="B6746" s="18" vm="219">
        <v>75.7</v>
      </c>
      <c r="C6746" t="s">
        <v>51</v>
      </c>
      <c r="D6746" t="str">
        <f>T_Stocks[[#This Row],[Ticker]] &amp; "-" &amp; DATE(YEAR(T_Stocks[[#This Row],[Fecha]]),MONTH(T_Stocks[[#This Row],[Fecha]]),DAY(T_Stocks[[#This Row],[Fecha]]))</f>
        <v>PRHSX-45825</v>
      </c>
    </row>
    <row r="6747" spans="1:4" ht="14.65" thickBot="1" x14ac:dyDescent="0.5">
      <c r="A6747" s="17" vm="220">
        <v>45826</v>
      </c>
      <c r="B6747" s="18" vm="221">
        <v>75.91</v>
      </c>
      <c r="C6747" t="s">
        <v>51</v>
      </c>
      <c r="D6747" t="str">
        <f>T_Stocks[[#This Row],[Ticker]] &amp; "-" &amp; DATE(YEAR(T_Stocks[[#This Row],[Fecha]]),MONTH(T_Stocks[[#This Row],[Fecha]]),DAY(T_Stocks[[#This Row],[Fecha]]))</f>
        <v>PRHSX-45826</v>
      </c>
    </row>
    <row r="6748" spans="1:4" ht="14.65" thickBot="1" x14ac:dyDescent="0.5">
      <c r="A6748" s="17" vm="222">
        <v>45828</v>
      </c>
      <c r="B6748" s="18" vm="223">
        <v>75.55</v>
      </c>
      <c r="C6748" t="s">
        <v>51</v>
      </c>
      <c r="D6748" t="str">
        <f>T_Stocks[[#This Row],[Ticker]] &amp; "-" &amp; DATE(YEAR(T_Stocks[[#This Row],[Fecha]]),MONTH(T_Stocks[[#This Row],[Fecha]]),DAY(T_Stocks[[#This Row],[Fecha]]))</f>
        <v>PRHSX-45828</v>
      </c>
    </row>
    <row r="6749" spans="1:4" ht="14.65" thickBot="1" x14ac:dyDescent="0.5">
      <c r="A6749" s="17" vm="224">
        <v>45831</v>
      </c>
      <c r="B6749" s="18" vm="225">
        <v>75.900000000000006</v>
      </c>
      <c r="C6749" t="s">
        <v>51</v>
      </c>
      <c r="D6749" t="str">
        <f>T_Stocks[[#This Row],[Ticker]] &amp; "-" &amp; DATE(YEAR(T_Stocks[[#This Row],[Fecha]]),MONTH(T_Stocks[[#This Row],[Fecha]]),DAY(T_Stocks[[#This Row],[Fecha]]))</f>
        <v>PRHSX-45831</v>
      </c>
    </row>
    <row r="6750" spans="1:4" ht="14.65" thickBot="1" x14ac:dyDescent="0.5">
      <c r="A6750" s="17" vm="226">
        <v>45832</v>
      </c>
      <c r="B6750" s="18" vm="227">
        <v>77.06</v>
      </c>
      <c r="C6750" t="s">
        <v>51</v>
      </c>
      <c r="D6750" t="str">
        <f>T_Stocks[[#This Row],[Ticker]] &amp; "-" &amp; DATE(YEAR(T_Stocks[[#This Row],[Fecha]]),MONTH(T_Stocks[[#This Row],[Fecha]]),DAY(T_Stocks[[#This Row],[Fecha]]))</f>
        <v>PRHSX-45832</v>
      </c>
    </row>
    <row r="6751" spans="1:4" ht="14.65" thickBot="1" x14ac:dyDescent="0.5">
      <c r="A6751" s="17" vm="228">
        <v>45833</v>
      </c>
      <c r="B6751" s="18" vm="229">
        <v>76.94</v>
      </c>
      <c r="C6751" t="s">
        <v>51</v>
      </c>
      <c r="D6751" t="str">
        <f>T_Stocks[[#This Row],[Ticker]] &amp; "-" &amp; DATE(YEAR(T_Stocks[[#This Row],[Fecha]]),MONTH(T_Stocks[[#This Row],[Fecha]]),DAY(T_Stocks[[#This Row],[Fecha]]))</f>
        <v>PRHSX-45833</v>
      </c>
    </row>
    <row r="6752" spans="1:4" ht="14.65" thickBot="1" x14ac:dyDescent="0.5">
      <c r="A6752" s="17" vm="230">
        <v>45834</v>
      </c>
      <c r="B6752" s="18" vm="231">
        <v>77.19</v>
      </c>
      <c r="C6752" t="s">
        <v>51</v>
      </c>
      <c r="D6752" t="str">
        <f>T_Stocks[[#This Row],[Ticker]] &amp; "-" &amp; DATE(YEAR(T_Stocks[[#This Row],[Fecha]]),MONTH(T_Stocks[[#This Row],[Fecha]]),DAY(T_Stocks[[#This Row],[Fecha]]))</f>
        <v>PRHSX-45834</v>
      </c>
    </row>
    <row r="6753" spans="1:4" ht="14.65" thickBot="1" x14ac:dyDescent="0.5">
      <c r="A6753" s="17" vm="232">
        <v>45835</v>
      </c>
      <c r="B6753" s="18" vm="233">
        <v>76.900000000000006</v>
      </c>
      <c r="C6753" t="s">
        <v>51</v>
      </c>
      <c r="D6753" t="str">
        <f>T_Stocks[[#This Row],[Ticker]] &amp; "-" &amp; DATE(YEAR(T_Stocks[[#This Row],[Fecha]]),MONTH(T_Stocks[[#This Row],[Fecha]]),DAY(T_Stocks[[#This Row],[Fecha]]))</f>
        <v>PRHSX-45835</v>
      </c>
    </row>
    <row r="6754" spans="1:4" ht="14.65" thickBot="1" x14ac:dyDescent="0.5">
      <c r="A6754" s="17" vm="234">
        <v>45838</v>
      </c>
      <c r="B6754" s="18" vm="235">
        <v>77.23</v>
      </c>
      <c r="C6754" t="s">
        <v>51</v>
      </c>
      <c r="D6754" t="str">
        <f>T_Stocks[[#This Row],[Ticker]] &amp; "-" &amp; DATE(YEAR(T_Stocks[[#This Row],[Fecha]]),MONTH(T_Stocks[[#This Row],[Fecha]]),DAY(T_Stocks[[#This Row],[Fecha]]))</f>
        <v>PRHSX-45838</v>
      </c>
    </row>
    <row r="6755" spans="1:4" ht="14.65" thickBot="1" x14ac:dyDescent="0.5">
      <c r="A6755" s="17" vm="236">
        <v>45839</v>
      </c>
      <c r="B6755" s="18" vm="237">
        <v>77.33</v>
      </c>
      <c r="C6755" t="s">
        <v>51</v>
      </c>
      <c r="D6755" t="str">
        <f>T_Stocks[[#This Row],[Ticker]] &amp; "-" &amp; DATE(YEAR(T_Stocks[[#This Row],[Fecha]]),MONTH(T_Stocks[[#This Row],[Fecha]]),DAY(T_Stocks[[#This Row],[Fecha]]))</f>
        <v>PRHSX-45839</v>
      </c>
    </row>
    <row r="6756" spans="1:4" ht="14.65" thickBot="1" x14ac:dyDescent="0.5">
      <c r="A6756" s="17" vm="238">
        <v>45840</v>
      </c>
      <c r="B6756" s="18" vm="239">
        <v>77.08</v>
      </c>
      <c r="C6756" t="s">
        <v>51</v>
      </c>
      <c r="D6756" t="str">
        <f>T_Stocks[[#This Row],[Ticker]] &amp; "-" &amp; DATE(YEAR(T_Stocks[[#This Row],[Fecha]]),MONTH(T_Stocks[[#This Row],[Fecha]]),DAY(T_Stocks[[#This Row],[Fecha]]))</f>
        <v>PRHSX-45840</v>
      </c>
    </row>
    <row r="6757" spans="1:4" ht="14.65" thickBot="1" x14ac:dyDescent="0.5">
      <c r="A6757" s="17" vm="240">
        <v>45841</v>
      </c>
      <c r="B6757" s="18" vm="241">
        <v>77.349999999999994</v>
      </c>
      <c r="C6757" t="s">
        <v>51</v>
      </c>
      <c r="D6757" t="str">
        <f>T_Stocks[[#This Row],[Ticker]] &amp; "-" &amp; DATE(YEAR(T_Stocks[[#This Row],[Fecha]]),MONTH(T_Stocks[[#This Row],[Fecha]]),DAY(T_Stocks[[#This Row],[Fecha]]))</f>
        <v>PRHSX-45841</v>
      </c>
    </row>
    <row r="6758" spans="1:4" ht="14.65" thickBot="1" x14ac:dyDescent="0.5">
      <c r="A6758" s="17" vm="242">
        <v>45845</v>
      </c>
      <c r="B6758" s="18" vm="243">
        <v>76.459999999999994</v>
      </c>
      <c r="C6758" t="s">
        <v>51</v>
      </c>
      <c r="D6758" t="str">
        <f>T_Stocks[[#This Row],[Ticker]] &amp; "-" &amp; DATE(YEAR(T_Stocks[[#This Row],[Fecha]]),MONTH(T_Stocks[[#This Row],[Fecha]]),DAY(T_Stocks[[#This Row],[Fecha]]))</f>
        <v>PRHSX-45845</v>
      </c>
    </row>
    <row r="6759" spans="1:4" ht="14.65" thickBot="1" x14ac:dyDescent="0.5">
      <c r="A6759" s="17" vm="244">
        <v>45846</v>
      </c>
      <c r="B6759" s="18" vm="243">
        <v>76.459999999999994</v>
      </c>
      <c r="C6759" t="s">
        <v>51</v>
      </c>
      <c r="D6759" t="str">
        <f>T_Stocks[[#This Row],[Ticker]] &amp; "-" &amp; DATE(YEAR(T_Stocks[[#This Row],[Fecha]]),MONTH(T_Stocks[[#This Row],[Fecha]]),DAY(T_Stocks[[#This Row],[Fecha]]))</f>
        <v>PRHSX-45846</v>
      </c>
    </row>
    <row r="6760" spans="1:4" ht="14.65" thickBot="1" x14ac:dyDescent="0.5">
      <c r="A6760" s="17" vm="245">
        <v>45847</v>
      </c>
      <c r="B6760" s="18" vm="246">
        <v>77.680000000000007</v>
      </c>
      <c r="C6760" t="s">
        <v>51</v>
      </c>
      <c r="D6760" t="str">
        <f>T_Stocks[[#This Row],[Ticker]] &amp; "-" &amp; DATE(YEAR(T_Stocks[[#This Row],[Fecha]]),MONTH(T_Stocks[[#This Row],[Fecha]]),DAY(T_Stocks[[#This Row],[Fecha]]))</f>
        <v>PRHSX-45847</v>
      </c>
    </row>
    <row r="6761" spans="1:4" ht="14.65" thickBot="1" x14ac:dyDescent="0.5">
      <c r="A6761" s="17" vm="247">
        <v>45848</v>
      </c>
      <c r="B6761" s="18" vm="248">
        <v>78.069999999999993</v>
      </c>
      <c r="C6761" t="s">
        <v>51</v>
      </c>
      <c r="D6761" t="str">
        <f>T_Stocks[[#This Row],[Ticker]] &amp; "-" &amp; DATE(YEAR(T_Stocks[[#This Row],[Fecha]]),MONTH(T_Stocks[[#This Row],[Fecha]]),DAY(T_Stocks[[#This Row],[Fecha]]))</f>
        <v>PRHSX-45848</v>
      </c>
    </row>
    <row r="6762" spans="1:4" ht="14.65" thickBot="1" x14ac:dyDescent="0.5">
      <c r="A6762" s="17" vm="249">
        <v>45849</v>
      </c>
      <c r="B6762" s="18" vm="250">
        <v>77.41</v>
      </c>
      <c r="C6762" t="s">
        <v>51</v>
      </c>
      <c r="D6762" t="str">
        <f>T_Stocks[[#This Row],[Ticker]] &amp; "-" &amp; DATE(YEAR(T_Stocks[[#This Row],[Fecha]]),MONTH(T_Stocks[[#This Row],[Fecha]]),DAY(T_Stocks[[#This Row],[Fecha]]))</f>
        <v>PRHSX-45849</v>
      </c>
    </row>
    <row r="6763" spans="1:4" ht="14.65" thickBot="1" x14ac:dyDescent="0.5">
      <c r="A6763" s="17" vm="251">
        <v>45852</v>
      </c>
      <c r="B6763" s="18" vm="252">
        <v>77.77</v>
      </c>
      <c r="C6763" t="s">
        <v>51</v>
      </c>
      <c r="D6763" t="str">
        <f>T_Stocks[[#This Row],[Ticker]] &amp; "-" &amp; DATE(YEAR(T_Stocks[[#This Row],[Fecha]]),MONTH(T_Stocks[[#This Row],[Fecha]]),DAY(T_Stocks[[#This Row],[Fecha]]))</f>
        <v>PRHSX-45852</v>
      </c>
    </row>
    <row r="6764" spans="1:4" ht="14.65" thickBot="1" x14ac:dyDescent="0.5">
      <c r="A6764" s="17" vm="253">
        <v>45853</v>
      </c>
      <c r="B6764" s="18" vm="254">
        <v>76.56</v>
      </c>
      <c r="C6764" t="s">
        <v>51</v>
      </c>
      <c r="D6764" t="str">
        <f>T_Stocks[[#This Row],[Ticker]] &amp; "-" &amp; DATE(YEAR(T_Stocks[[#This Row],[Fecha]]),MONTH(T_Stocks[[#This Row],[Fecha]]),DAY(T_Stocks[[#This Row],[Fecha]]))</f>
        <v>PRHSX-45853</v>
      </c>
    </row>
    <row r="6765" spans="1:4" ht="14.65" thickBot="1" x14ac:dyDescent="0.5">
      <c r="A6765" s="17" vm="255">
        <v>45854</v>
      </c>
      <c r="B6765" s="18" vm="256">
        <v>77.61</v>
      </c>
      <c r="C6765" t="s">
        <v>51</v>
      </c>
      <c r="D6765" t="str">
        <f>T_Stocks[[#This Row],[Ticker]] &amp; "-" &amp; DATE(YEAR(T_Stocks[[#This Row],[Fecha]]),MONTH(T_Stocks[[#This Row],[Fecha]]),DAY(T_Stocks[[#This Row],[Fecha]]))</f>
        <v>PRHSX-45854</v>
      </c>
    </row>
    <row r="6766" spans="1:4" ht="14.65" thickBot="1" x14ac:dyDescent="0.5">
      <c r="A6766" s="17" vm="257">
        <v>45855</v>
      </c>
      <c r="B6766" s="18" vm="258">
        <v>77.400000000000006</v>
      </c>
      <c r="C6766" t="s">
        <v>51</v>
      </c>
      <c r="D6766" t="str">
        <f>T_Stocks[[#This Row],[Ticker]] &amp; "-" &amp; DATE(YEAR(T_Stocks[[#This Row],[Fecha]]),MONTH(T_Stocks[[#This Row],[Fecha]]),DAY(T_Stocks[[#This Row],[Fecha]]))</f>
        <v>PRHSX-45855</v>
      </c>
    </row>
    <row r="6767" spans="1:4" ht="14.65" thickBot="1" x14ac:dyDescent="0.5">
      <c r="A6767" s="17" vm="259">
        <v>45856</v>
      </c>
      <c r="B6767" s="18" vm="260">
        <v>76.5</v>
      </c>
      <c r="C6767" t="s">
        <v>51</v>
      </c>
      <c r="D6767" t="str">
        <f>T_Stocks[[#This Row],[Ticker]] &amp; "-" &amp; DATE(YEAR(T_Stocks[[#This Row],[Fecha]]),MONTH(T_Stocks[[#This Row],[Fecha]]),DAY(T_Stocks[[#This Row],[Fecha]]))</f>
        <v>PRHSX-45856</v>
      </c>
    </row>
    <row r="6768" spans="1:4" ht="14.65" thickBot="1" x14ac:dyDescent="0.5">
      <c r="A6768" s="17" vm="261">
        <v>45859</v>
      </c>
      <c r="B6768" s="18" vm="262">
        <v>76.040000000000006</v>
      </c>
      <c r="C6768" t="s">
        <v>51</v>
      </c>
      <c r="D6768" t="str">
        <f>T_Stocks[[#This Row],[Ticker]] &amp; "-" &amp; DATE(YEAR(T_Stocks[[#This Row],[Fecha]]),MONTH(T_Stocks[[#This Row],[Fecha]]),DAY(T_Stocks[[#This Row],[Fecha]]))</f>
        <v>PRHSX-45859</v>
      </c>
    </row>
    <row r="6769" spans="1:4" ht="14.65" thickBot="1" x14ac:dyDescent="0.5">
      <c r="A6769" s="17" vm="263">
        <v>45860</v>
      </c>
      <c r="B6769" s="18" vm="264">
        <v>76.62</v>
      </c>
      <c r="C6769" t="s">
        <v>51</v>
      </c>
      <c r="D6769" t="str">
        <f>T_Stocks[[#This Row],[Ticker]] &amp; "-" &amp; DATE(YEAR(T_Stocks[[#This Row],[Fecha]]),MONTH(T_Stocks[[#This Row],[Fecha]]),DAY(T_Stocks[[#This Row],[Fecha]]))</f>
        <v>PRHSX-45860</v>
      </c>
    </row>
    <row r="6770" spans="1:4" ht="14.65" thickBot="1" x14ac:dyDescent="0.5">
      <c r="A6770" s="17" vm="265">
        <v>45861</v>
      </c>
      <c r="B6770" s="18" vm="266">
        <v>78.040000000000006</v>
      </c>
      <c r="C6770" t="s">
        <v>51</v>
      </c>
      <c r="D6770" t="str">
        <f>T_Stocks[[#This Row],[Ticker]] &amp; "-" &amp; DATE(YEAR(T_Stocks[[#This Row],[Fecha]]),MONTH(T_Stocks[[#This Row],[Fecha]]),DAY(T_Stocks[[#This Row],[Fecha]]))</f>
        <v>PRHSX-45861</v>
      </c>
    </row>
    <row r="6771" spans="1:4" ht="14.65" thickBot="1" x14ac:dyDescent="0.5">
      <c r="A6771" s="17" vm="267">
        <v>45862</v>
      </c>
      <c r="B6771" s="18" vm="268">
        <v>77.510000000000005</v>
      </c>
      <c r="C6771" t="s">
        <v>51</v>
      </c>
      <c r="D6771" t="str">
        <f>T_Stocks[[#This Row],[Ticker]] &amp; "-" &amp; DATE(YEAR(T_Stocks[[#This Row],[Fecha]]),MONTH(T_Stocks[[#This Row],[Fecha]]),DAY(T_Stocks[[#This Row],[Fecha]]))</f>
        <v>PRHSX-45862</v>
      </c>
    </row>
    <row r="6772" spans="1:4" ht="14.65" thickBot="1" x14ac:dyDescent="0.5">
      <c r="A6772" s="17">
        <v>43496</v>
      </c>
      <c r="B6772" s="19">
        <v>67.540000000000006</v>
      </c>
      <c r="C6772" t="s">
        <v>32</v>
      </c>
      <c r="D6772" t="str">
        <f>T_Stocks[[#This Row],[Ticker]] &amp; "-" &amp; DATE(YEAR(T_Stocks[[#This Row],[Fecha]]),MONTH(T_Stocks[[#This Row],[Fecha]]),DAY(T_Stocks[[#This Row],[Fecha]]))</f>
        <v>VTSAX-43496</v>
      </c>
    </row>
    <row r="6773" spans="1:4" ht="14.65" thickBot="1" x14ac:dyDescent="0.5">
      <c r="A6773" s="17">
        <v>43497.666666666664</v>
      </c>
      <c r="B6773" s="19">
        <v>67.540000000000006</v>
      </c>
      <c r="C6773" t="s">
        <v>32</v>
      </c>
      <c r="D6773" t="str">
        <f>T_Stocks[[#This Row],[Ticker]] &amp; "-" &amp; DATE(YEAR(T_Stocks[[#This Row],[Fecha]]),MONTH(T_Stocks[[#This Row],[Fecha]]),DAY(T_Stocks[[#This Row],[Fecha]]))</f>
        <v>VTSAX-43497</v>
      </c>
    </row>
    <row r="6774" spans="1:4" ht="14.65" thickBot="1" x14ac:dyDescent="0.5">
      <c r="A6774" s="17">
        <v>43500.666666666664</v>
      </c>
      <c r="B6774" s="19">
        <v>68.02</v>
      </c>
      <c r="C6774" t="s">
        <v>32</v>
      </c>
      <c r="D6774" t="str">
        <f>T_Stocks[[#This Row],[Ticker]] &amp; "-" &amp; DATE(YEAR(T_Stocks[[#This Row],[Fecha]]),MONTH(T_Stocks[[#This Row],[Fecha]]),DAY(T_Stocks[[#This Row],[Fecha]]))</f>
        <v>VTSAX-43500</v>
      </c>
    </row>
    <row r="6775" spans="1:4" ht="14.65" thickBot="1" x14ac:dyDescent="0.5">
      <c r="A6775" s="17">
        <v>43501.666666666664</v>
      </c>
      <c r="B6775" s="19">
        <v>68.33</v>
      </c>
      <c r="C6775" t="s">
        <v>32</v>
      </c>
      <c r="D6775" t="str">
        <f>T_Stocks[[#This Row],[Ticker]] &amp; "-" &amp; DATE(YEAR(T_Stocks[[#This Row],[Fecha]]),MONTH(T_Stocks[[#This Row],[Fecha]]),DAY(T_Stocks[[#This Row],[Fecha]]))</f>
        <v>VTSAX-43501</v>
      </c>
    </row>
    <row r="6776" spans="1:4" ht="14.65" thickBot="1" x14ac:dyDescent="0.5">
      <c r="A6776" s="17">
        <v>43502.666666666664</v>
      </c>
      <c r="B6776" s="19">
        <v>68.180000000000007</v>
      </c>
      <c r="C6776" t="s">
        <v>32</v>
      </c>
      <c r="D6776" t="str">
        <f>T_Stocks[[#This Row],[Ticker]] &amp; "-" &amp; DATE(YEAR(T_Stocks[[#This Row],[Fecha]]),MONTH(T_Stocks[[#This Row],[Fecha]]),DAY(T_Stocks[[#This Row],[Fecha]]))</f>
        <v>VTSAX-43502</v>
      </c>
    </row>
    <row r="6777" spans="1:4" ht="14.65" thickBot="1" x14ac:dyDescent="0.5">
      <c r="A6777" s="17">
        <v>43503.666666666664</v>
      </c>
      <c r="B6777" s="19">
        <v>67.59</v>
      </c>
      <c r="C6777" t="s">
        <v>32</v>
      </c>
      <c r="D6777" t="str">
        <f>T_Stocks[[#This Row],[Ticker]] &amp; "-" &amp; DATE(YEAR(T_Stocks[[#This Row],[Fecha]]),MONTH(T_Stocks[[#This Row],[Fecha]]),DAY(T_Stocks[[#This Row],[Fecha]]))</f>
        <v>VTSAX-43503</v>
      </c>
    </row>
    <row r="6778" spans="1:4" ht="14.65" thickBot="1" x14ac:dyDescent="0.5">
      <c r="A6778" s="17">
        <v>43504.666666666664</v>
      </c>
      <c r="B6778" s="19">
        <v>67.66</v>
      </c>
      <c r="C6778" t="s">
        <v>32</v>
      </c>
      <c r="D6778" t="str">
        <f>T_Stocks[[#This Row],[Ticker]] &amp; "-" &amp; DATE(YEAR(T_Stocks[[#This Row],[Fecha]]),MONTH(T_Stocks[[#This Row],[Fecha]]),DAY(T_Stocks[[#This Row],[Fecha]]))</f>
        <v>VTSAX-43504</v>
      </c>
    </row>
    <row r="6779" spans="1:4" ht="14.65" thickBot="1" x14ac:dyDescent="0.5">
      <c r="A6779" s="17">
        <v>43507.666666666664</v>
      </c>
      <c r="B6779" s="19">
        <v>67.77</v>
      </c>
      <c r="C6779" t="s">
        <v>32</v>
      </c>
      <c r="D6779" t="str">
        <f>T_Stocks[[#This Row],[Ticker]] &amp; "-" &amp; DATE(YEAR(T_Stocks[[#This Row],[Fecha]]),MONTH(T_Stocks[[#This Row],[Fecha]]),DAY(T_Stocks[[#This Row],[Fecha]]))</f>
        <v>VTSAX-43507</v>
      </c>
    </row>
    <row r="6780" spans="1:4" ht="14.65" thickBot="1" x14ac:dyDescent="0.5">
      <c r="A6780" s="17">
        <v>43508.666666666664</v>
      </c>
      <c r="B6780" s="19">
        <v>68.64</v>
      </c>
      <c r="C6780" t="s">
        <v>32</v>
      </c>
      <c r="D6780" t="str">
        <f>T_Stocks[[#This Row],[Ticker]] &amp; "-" &amp; DATE(YEAR(T_Stocks[[#This Row],[Fecha]]),MONTH(T_Stocks[[#This Row],[Fecha]]),DAY(T_Stocks[[#This Row],[Fecha]]))</f>
        <v>VTSAX-43508</v>
      </c>
    </row>
    <row r="6781" spans="1:4" ht="14.65" thickBot="1" x14ac:dyDescent="0.5">
      <c r="A6781" s="17">
        <v>43509.666666666664</v>
      </c>
      <c r="B6781" s="19">
        <v>68.849999999999994</v>
      </c>
      <c r="C6781" t="s">
        <v>32</v>
      </c>
      <c r="D6781" t="str">
        <f>T_Stocks[[#This Row],[Ticker]] &amp; "-" &amp; DATE(YEAR(T_Stocks[[#This Row],[Fecha]]),MONTH(T_Stocks[[#This Row],[Fecha]]),DAY(T_Stocks[[#This Row],[Fecha]]))</f>
        <v>VTSAX-43509</v>
      </c>
    </row>
    <row r="6782" spans="1:4" ht="14.65" thickBot="1" x14ac:dyDescent="0.5">
      <c r="A6782" s="17">
        <v>43510.666666666664</v>
      </c>
      <c r="B6782" s="19">
        <v>68.72</v>
      </c>
      <c r="C6782" t="s">
        <v>32</v>
      </c>
      <c r="D6782" t="str">
        <f>T_Stocks[[#This Row],[Ticker]] &amp; "-" &amp; DATE(YEAR(T_Stocks[[#This Row],[Fecha]]),MONTH(T_Stocks[[#This Row],[Fecha]]),DAY(T_Stocks[[#This Row],[Fecha]]))</f>
        <v>VTSAX-43510</v>
      </c>
    </row>
    <row r="6783" spans="1:4" ht="14.65" thickBot="1" x14ac:dyDescent="0.5">
      <c r="A6783" s="17">
        <v>43511.666666666664</v>
      </c>
      <c r="B6783" s="19">
        <v>69.489999999999995</v>
      </c>
      <c r="C6783" t="s">
        <v>32</v>
      </c>
      <c r="D6783" t="str">
        <f>T_Stocks[[#This Row],[Ticker]] &amp; "-" &amp; DATE(YEAR(T_Stocks[[#This Row],[Fecha]]),MONTH(T_Stocks[[#This Row],[Fecha]]),DAY(T_Stocks[[#This Row],[Fecha]]))</f>
        <v>VTSAX-43511</v>
      </c>
    </row>
    <row r="6784" spans="1:4" ht="14.65" thickBot="1" x14ac:dyDescent="0.5">
      <c r="A6784" s="17">
        <v>43515.666666666664</v>
      </c>
      <c r="B6784" s="19">
        <v>69.61</v>
      </c>
      <c r="C6784" t="s">
        <v>32</v>
      </c>
      <c r="D6784" t="str">
        <f>T_Stocks[[#This Row],[Ticker]] &amp; "-" &amp; DATE(YEAR(T_Stocks[[#This Row],[Fecha]]),MONTH(T_Stocks[[#This Row],[Fecha]]),DAY(T_Stocks[[#This Row],[Fecha]]))</f>
        <v>VTSAX-43515</v>
      </c>
    </row>
    <row r="6785" spans="1:4" ht="14.65" thickBot="1" x14ac:dyDescent="0.5">
      <c r="A6785" s="17">
        <v>43516.666666666664</v>
      </c>
      <c r="B6785" s="19">
        <v>69.739999999999995</v>
      </c>
      <c r="C6785" t="s">
        <v>32</v>
      </c>
      <c r="D6785" t="str">
        <f>T_Stocks[[#This Row],[Ticker]] &amp; "-" &amp; DATE(YEAR(T_Stocks[[#This Row],[Fecha]]),MONTH(T_Stocks[[#This Row],[Fecha]]),DAY(T_Stocks[[#This Row],[Fecha]]))</f>
        <v>VTSAX-43516</v>
      </c>
    </row>
    <row r="6786" spans="1:4" ht="14.65" thickBot="1" x14ac:dyDescent="0.5">
      <c r="A6786" s="17">
        <v>43517.666666666664</v>
      </c>
      <c r="B6786" s="19">
        <v>69.5</v>
      </c>
      <c r="C6786" t="s">
        <v>32</v>
      </c>
      <c r="D6786" t="str">
        <f>T_Stocks[[#This Row],[Ticker]] &amp; "-" &amp; DATE(YEAR(T_Stocks[[#This Row],[Fecha]]),MONTH(T_Stocks[[#This Row],[Fecha]]),DAY(T_Stocks[[#This Row],[Fecha]]))</f>
        <v>VTSAX-43517</v>
      </c>
    </row>
    <row r="6787" spans="1:4" ht="14.65" thickBot="1" x14ac:dyDescent="0.5">
      <c r="A6787" s="17">
        <v>43518.666666666664</v>
      </c>
      <c r="B6787" s="19">
        <v>69.98</v>
      </c>
      <c r="C6787" t="s">
        <v>32</v>
      </c>
      <c r="D6787" t="str">
        <f>T_Stocks[[#This Row],[Ticker]] &amp; "-" &amp; DATE(YEAR(T_Stocks[[#This Row],[Fecha]]),MONTH(T_Stocks[[#This Row],[Fecha]]),DAY(T_Stocks[[#This Row],[Fecha]]))</f>
        <v>VTSAX-43518</v>
      </c>
    </row>
    <row r="6788" spans="1:4" ht="14.65" thickBot="1" x14ac:dyDescent="0.5">
      <c r="A6788" s="17">
        <v>43521.666666666664</v>
      </c>
      <c r="B6788" s="19">
        <v>70.069999999999993</v>
      </c>
      <c r="C6788" t="s">
        <v>32</v>
      </c>
      <c r="D6788" t="str">
        <f>T_Stocks[[#This Row],[Ticker]] &amp; "-" &amp; DATE(YEAR(T_Stocks[[#This Row],[Fecha]]),MONTH(T_Stocks[[#This Row],[Fecha]]),DAY(T_Stocks[[#This Row],[Fecha]]))</f>
        <v>VTSAX-43521</v>
      </c>
    </row>
    <row r="6789" spans="1:4" ht="14.65" thickBot="1" x14ac:dyDescent="0.5">
      <c r="A6789" s="17">
        <v>43522.666666666664</v>
      </c>
      <c r="B6789" s="19">
        <v>69.959999999999994</v>
      </c>
      <c r="C6789" t="s">
        <v>32</v>
      </c>
      <c r="D6789" t="str">
        <f>T_Stocks[[#This Row],[Ticker]] &amp; "-" &amp; DATE(YEAR(T_Stocks[[#This Row],[Fecha]]),MONTH(T_Stocks[[#This Row],[Fecha]]),DAY(T_Stocks[[#This Row],[Fecha]]))</f>
        <v>VTSAX-43522</v>
      </c>
    </row>
    <row r="6790" spans="1:4" ht="14.65" thickBot="1" x14ac:dyDescent="0.5">
      <c r="A6790" s="17">
        <v>43523.666666666664</v>
      </c>
      <c r="B6790" s="19">
        <v>69.989999999999995</v>
      </c>
      <c r="C6790" t="s">
        <v>32</v>
      </c>
      <c r="D6790" t="str">
        <f>T_Stocks[[#This Row],[Ticker]] &amp; "-" &amp; DATE(YEAR(T_Stocks[[#This Row],[Fecha]]),MONTH(T_Stocks[[#This Row],[Fecha]]),DAY(T_Stocks[[#This Row],[Fecha]]))</f>
        <v>VTSAX-43523</v>
      </c>
    </row>
    <row r="6791" spans="1:4" ht="14.65" thickBot="1" x14ac:dyDescent="0.5">
      <c r="A6791" s="17">
        <v>43524.666666666664</v>
      </c>
      <c r="B6791" s="19">
        <v>69.8</v>
      </c>
      <c r="C6791" t="s">
        <v>32</v>
      </c>
      <c r="D6791" t="str">
        <f>T_Stocks[[#This Row],[Ticker]] &amp; "-" &amp; DATE(YEAR(T_Stocks[[#This Row],[Fecha]]),MONTH(T_Stocks[[#This Row],[Fecha]]),DAY(T_Stocks[[#This Row],[Fecha]]))</f>
        <v>VTSAX-43524</v>
      </c>
    </row>
    <row r="6792" spans="1:4" ht="14.65" thickBot="1" x14ac:dyDescent="0.5">
      <c r="A6792" s="17">
        <v>43525.666666666664</v>
      </c>
      <c r="B6792" s="19">
        <v>70.28</v>
      </c>
      <c r="C6792" t="s">
        <v>32</v>
      </c>
      <c r="D6792" t="str">
        <f>T_Stocks[[#This Row],[Ticker]] &amp; "-" &amp; DATE(YEAR(T_Stocks[[#This Row],[Fecha]]),MONTH(T_Stocks[[#This Row],[Fecha]]),DAY(T_Stocks[[#This Row],[Fecha]]))</f>
        <v>VTSAX-43525</v>
      </c>
    </row>
    <row r="6793" spans="1:4" ht="14.65" thickBot="1" x14ac:dyDescent="0.5">
      <c r="A6793" s="17">
        <v>43528.666666666664</v>
      </c>
      <c r="B6793" s="19">
        <v>69.95</v>
      </c>
      <c r="C6793" t="s">
        <v>32</v>
      </c>
      <c r="D6793" t="str">
        <f>T_Stocks[[#This Row],[Ticker]] &amp; "-" &amp; DATE(YEAR(T_Stocks[[#This Row],[Fecha]]),MONTH(T_Stocks[[#This Row],[Fecha]]),DAY(T_Stocks[[#This Row],[Fecha]]))</f>
        <v>VTSAX-43528</v>
      </c>
    </row>
    <row r="6794" spans="1:4" ht="14.65" thickBot="1" x14ac:dyDescent="0.5">
      <c r="A6794" s="17">
        <v>43529.666666666664</v>
      </c>
      <c r="B6794" s="19">
        <v>69.849999999999994</v>
      </c>
      <c r="C6794" t="s">
        <v>32</v>
      </c>
      <c r="D6794" t="str">
        <f>T_Stocks[[#This Row],[Ticker]] &amp; "-" &amp; DATE(YEAR(T_Stocks[[#This Row],[Fecha]]),MONTH(T_Stocks[[#This Row],[Fecha]]),DAY(T_Stocks[[#This Row],[Fecha]]))</f>
        <v>VTSAX-43529</v>
      </c>
    </row>
    <row r="6795" spans="1:4" ht="14.65" thickBot="1" x14ac:dyDescent="0.5">
      <c r="A6795" s="17">
        <v>43530.666666666664</v>
      </c>
      <c r="B6795" s="19">
        <v>69.290000000000006</v>
      </c>
      <c r="C6795" t="s">
        <v>32</v>
      </c>
      <c r="D6795" t="str">
        <f>T_Stocks[[#This Row],[Ticker]] &amp; "-" &amp; DATE(YEAR(T_Stocks[[#This Row],[Fecha]]),MONTH(T_Stocks[[#This Row],[Fecha]]),DAY(T_Stocks[[#This Row],[Fecha]]))</f>
        <v>VTSAX-43530</v>
      </c>
    </row>
    <row r="6796" spans="1:4" ht="14.65" thickBot="1" x14ac:dyDescent="0.5">
      <c r="A6796" s="17">
        <v>43531.666666666664</v>
      </c>
      <c r="B6796" s="19">
        <v>68.75</v>
      </c>
      <c r="C6796" t="s">
        <v>32</v>
      </c>
      <c r="D6796" t="str">
        <f>T_Stocks[[#This Row],[Ticker]] &amp; "-" &amp; DATE(YEAR(T_Stocks[[#This Row],[Fecha]]),MONTH(T_Stocks[[#This Row],[Fecha]]),DAY(T_Stocks[[#This Row],[Fecha]]))</f>
        <v>VTSAX-43531</v>
      </c>
    </row>
    <row r="6797" spans="1:4" ht="14.65" thickBot="1" x14ac:dyDescent="0.5">
      <c r="A6797" s="17">
        <v>43532.666666666664</v>
      </c>
      <c r="B6797" s="19">
        <v>68.62</v>
      </c>
      <c r="C6797" t="s">
        <v>32</v>
      </c>
      <c r="D6797" t="str">
        <f>T_Stocks[[#This Row],[Ticker]] &amp; "-" &amp; DATE(YEAR(T_Stocks[[#This Row],[Fecha]]),MONTH(T_Stocks[[#This Row],[Fecha]]),DAY(T_Stocks[[#This Row],[Fecha]]))</f>
        <v>VTSAX-43532</v>
      </c>
    </row>
    <row r="6798" spans="1:4" ht="14.65" thickBot="1" x14ac:dyDescent="0.5">
      <c r="A6798" s="17">
        <v>43535.666666666664</v>
      </c>
      <c r="B6798" s="19">
        <v>69.64</v>
      </c>
      <c r="C6798" t="s">
        <v>32</v>
      </c>
      <c r="D6798" t="str">
        <f>T_Stocks[[#This Row],[Ticker]] &amp; "-" &amp; DATE(YEAR(T_Stocks[[#This Row],[Fecha]]),MONTH(T_Stocks[[#This Row],[Fecha]]),DAY(T_Stocks[[#This Row],[Fecha]]))</f>
        <v>VTSAX-43535</v>
      </c>
    </row>
    <row r="6799" spans="1:4" ht="14.65" thickBot="1" x14ac:dyDescent="0.5">
      <c r="A6799" s="17">
        <v>43536.666666666664</v>
      </c>
      <c r="B6799" s="19">
        <v>69.84</v>
      </c>
      <c r="C6799" t="s">
        <v>32</v>
      </c>
      <c r="D6799" t="str">
        <f>T_Stocks[[#This Row],[Ticker]] &amp; "-" &amp; DATE(YEAR(T_Stocks[[#This Row],[Fecha]]),MONTH(T_Stocks[[#This Row],[Fecha]]),DAY(T_Stocks[[#This Row],[Fecha]]))</f>
        <v>VTSAX-43536</v>
      </c>
    </row>
    <row r="6800" spans="1:4" ht="14.65" thickBot="1" x14ac:dyDescent="0.5">
      <c r="A6800" s="17">
        <v>43537.666666666664</v>
      </c>
      <c r="B6800" s="19">
        <v>70.3</v>
      </c>
      <c r="C6800" t="s">
        <v>32</v>
      </c>
      <c r="D6800" t="str">
        <f>T_Stocks[[#This Row],[Ticker]] &amp; "-" &amp; DATE(YEAR(T_Stocks[[#This Row],[Fecha]]),MONTH(T_Stocks[[#This Row],[Fecha]]),DAY(T_Stocks[[#This Row],[Fecha]]))</f>
        <v>VTSAX-43537</v>
      </c>
    </row>
    <row r="6801" spans="1:4" ht="14.65" thickBot="1" x14ac:dyDescent="0.5">
      <c r="A6801" s="17">
        <v>43538.666666666664</v>
      </c>
      <c r="B6801" s="19">
        <v>70.239999999999995</v>
      </c>
      <c r="C6801" t="s">
        <v>32</v>
      </c>
      <c r="D6801" t="str">
        <f>T_Stocks[[#This Row],[Ticker]] &amp; "-" &amp; DATE(YEAR(T_Stocks[[#This Row],[Fecha]]),MONTH(T_Stocks[[#This Row],[Fecha]]),DAY(T_Stocks[[#This Row],[Fecha]]))</f>
        <v>VTSAX-43538</v>
      </c>
    </row>
    <row r="6802" spans="1:4" ht="14.65" thickBot="1" x14ac:dyDescent="0.5">
      <c r="A6802" s="17">
        <v>43539.666666666664</v>
      </c>
      <c r="B6802" s="19">
        <v>70.56</v>
      </c>
      <c r="C6802" t="s">
        <v>32</v>
      </c>
      <c r="D6802" t="str">
        <f>T_Stocks[[#This Row],[Ticker]] &amp; "-" &amp; DATE(YEAR(T_Stocks[[#This Row],[Fecha]]),MONTH(T_Stocks[[#This Row],[Fecha]]),DAY(T_Stocks[[#This Row],[Fecha]]))</f>
        <v>VTSAX-43539</v>
      </c>
    </row>
    <row r="6803" spans="1:4" ht="14.65" thickBot="1" x14ac:dyDescent="0.5">
      <c r="A6803" s="17">
        <v>43542.666666666664</v>
      </c>
      <c r="B6803" s="19">
        <v>70.84</v>
      </c>
      <c r="C6803" t="s">
        <v>32</v>
      </c>
      <c r="D6803" t="str">
        <f>T_Stocks[[#This Row],[Ticker]] &amp; "-" &amp; DATE(YEAR(T_Stocks[[#This Row],[Fecha]]),MONTH(T_Stocks[[#This Row],[Fecha]]),DAY(T_Stocks[[#This Row],[Fecha]]))</f>
        <v>VTSAX-43542</v>
      </c>
    </row>
    <row r="6804" spans="1:4" ht="14.65" thickBot="1" x14ac:dyDescent="0.5">
      <c r="A6804" s="17">
        <v>43543.666666666664</v>
      </c>
      <c r="B6804" s="19">
        <v>70.790000000000006</v>
      </c>
      <c r="C6804" t="s">
        <v>32</v>
      </c>
      <c r="D6804" t="str">
        <f>T_Stocks[[#This Row],[Ticker]] &amp; "-" &amp; DATE(YEAR(T_Stocks[[#This Row],[Fecha]]),MONTH(T_Stocks[[#This Row],[Fecha]]),DAY(T_Stocks[[#This Row],[Fecha]]))</f>
        <v>VTSAX-43543</v>
      </c>
    </row>
    <row r="6805" spans="1:4" ht="14.65" thickBot="1" x14ac:dyDescent="0.5">
      <c r="A6805" s="17">
        <v>43544.666666666664</v>
      </c>
      <c r="B6805" s="19">
        <v>70.540000000000006</v>
      </c>
      <c r="C6805" t="s">
        <v>32</v>
      </c>
      <c r="D6805" t="str">
        <f>T_Stocks[[#This Row],[Ticker]] &amp; "-" &amp; DATE(YEAR(T_Stocks[[#This Row],[Fecha]]),MONTH(T_Stocks[[#This Row],[Fecha]]),DAY(T_Stocks[[#This Row],[Fecha]]))</f>
        <v>VTSAX-43544</v>
      </c>
    </row>
    <row r="6806" spans="1:4" ht="14.65" thickBot="1" x14ac:dyDescent="0.5">
      <c r="A6806" s="17">
        <v>43545.666666666664</v>
      </c>
      <c r="B6806" s="19">
        <v>71.34</v>
      </c>
      <c r="C6806" t="s">
        <v>32</v>
      </c>
      <c r="D6806" t="str">
        <f>T_Stocks[[#This Row],[Ticker]] &amp; "-" &amp; DATE(YEAR(T_Stocks[[#This Row],[Fecha]]),MONTH(T_Stocks[[#This Row],[Fecha]]),DAY(T_Stocks[[#This Row],[Fecha]]))</f>
        <v>VTSAX-43545</v>
      </c>
    </row>
    <row r="6807" spans="1:4" ht="14.65" thickBot="1" x14ac:dyDescent="0.5">
      <c r="A6807" s="17">
        <v>43546.666666666664</v>
      </c>
      <c r="B6807" s="19">
        <v>69.489999999999995</v>
      </c>
      <c r="C6807" t="s">
        <v>32</v>
      </c>
      <c r="D6807" t="str">
        <f>T_Stocks[[#This Row],[Ticker]] &amp; "-" &amp; DATE(YEAR(T_Stocks[[#This Row],[Fecha]]),MONTH(T_Stocks[[#This Row],[Fecha]]),DAY(T_Stocks[[#This Row],[Fecha]]))</f>
        <v>VTSAX-43546</v>
      </c>
    </row>
    <row r="6808" spans="1:4" ht="14.65" thickBot="1" x14ac:dyDescent="0.5">
      <c r="A6808" s="17">
        <v>43549.666666666664</v>
      </c>
      <c r="B6808" s="19">
        <v>69.459999999999994</v>
      </c>
      <c r="C6808" t="s">
        <v>32</v>
      </c>
      <c r="D6808" t="str">
        <f>T_Stocks[[#This Row],[Ticker]] &amp; "-" &amp; DATE(YEAR(T_Stocks[[#This Row],[Fecha]]),MONTH(T_Stocks[[#This Row],[Fecha]]),DAY(T_Stocks[[#This Row],[Fecha]]))</f>
        <v>VTSAX-43549</v>
      </c>
    </row>
    <row r="6809" spans="1:4" ht="14.65" thickBot="1" x14ac:dyDescent="0.5">
      <c r="A6809" s="17">
        <v>43550.666666666664</v>
      </c>
      <c r="B6809" s="19">
        <v>69.989999999999995</v>
      </c>
      <c r="C6809" t="s">
        <v>32</v>
      </c>
      <c r="D6809" t="str">
        <f>T_Stocks[[#This Row],[Ticker]] &amp; "-" &amp; DATE(YEAR(T_Stocks[[#This Row],[Fecha]]),MONTH(T_Stocks[[#This Row],[Fecha]]),DAY(T_Stocks[[#This Row],[Fecha]]))</f>
        <v>VTSAX-43550</v>
      </c>
    </row>
    <row r="6810" spans="1:4" ht="14.65" thickBot="1" x14ac:dyDescent="0.5">
      <c r="A6810" s="17">
        <v>43551.666666666664</v>
      </c>
      <c r="B6810" s="19">
        <v>69.66</v>
      </c>
      <c r="C6810" t="s">
        <v>32</v>
      </c>
      <c r="D6810" t="str">
        <f>T_Stocks[[#This Row],[Ticker]] &amp; "-" &amp; DATE(YEAR(T_Stocks[[#This Row],[Fecha]]),MONTH(T_Stocks[[#This Row],[Fecha]]),DAY(T_Stocks[[#This Row],[Fecha]]))</f>
        <v>VTSAX-43551</v>
      </c>
    </row>
    <row r="6811" spans="1:4" ht="14.65" thickBot="1" x14ac:dyDescent="0.5">
      <c r="A6811" s="17">
        <v>43552.666666666664</v>
      </c>
      <c r="B6811" s="19">
        <v>69.98</v>
      </c>
      <c r="C6811" t="s">
        <v>32</v>
      </c>
      <c r="D6811" t="str">
        <f>T_Stocks[[#This Row],[Ticker]] &amp; "-" &amp; DATE(YEAR(T_Stocks[[#This Row],[Fecha]]),MONTH(T_Stocks[[#This Row],[Fecha]]),DAY(T_Stocks[[#This Row],[Fecha]]))</f>
        <v>VTSAX-43552</v>
      </c>
    </row>
    <row r="6812" spans="1:4" ht="14.65" thickBot="1" x14ac:dyDescent="0.5">
      <c r="A6812" s="17">
        <v>43553.666666666664</v>
      </c>
      <c r="B6812" s="19">
        <v>70.430000000000007</v>
      </c>
      <c r="C6812" t="s">
        <v>32</v>
      </c>
      <c r="D6812" t="str">
        <f>T_Stocks[[#This Row],[Ticker]] &amp; "-" &amp; DATE(YEAR(T_Stocks[[#This Row],[Fecha]]),MONTH(T_Stocks[[#This Row],[Fecha]]),DAY(T_Stocks[[#This Row],[Fecha]]))</f>
        <v>VTSAX-43553</v>
      </c>
    </row>
    <row r="6813" spans="1:4" ht="14.65" thickBot="1" x14ac:dyDescent="0.5">
      <c r="A6813" s="17">
        <v>43556.666666666664</v>
      </c>
      <c r="B6813" s="19">
        <v>71.239999999999995</v>
      </c>
      <c r="C6813" t="s">
        <v>32</v>
      </c>
      <c r="D6813" t="str">
        <f>T_Stocks[[#This Row],[Ticker]] &amp; "-" &amp; DATE(YEAR(T_Stocks[[#This Row],[Fecha]]),MONTH(T_Stocks[[#This Row],[Fecha]]),DAY(T_Stocks[[#This Row],[Fecha]]))</f>
        <v>VTSAX-43556</v>
      </c>
    </row>
    <row r="6814" spans="1:4" ht="14.65" thickBot="1" x14ac:dyDescent="0.5">
      <c r="A6814" s="17">
        <v>43557.666666666664</v>
      </c>
      <c r="B6814" s="19">
        <v>71.23</v>
      </c>
      <c r="C6814" t="s">
        <v>32</v>
      </c>
      <c r="D6814" t="str">
        <f>T_Stocks[[#This Row],[Ticker]] &amp; "-" &amp; DATE(YEAR(T_Stocks[[#This Row],[Fecha]]),MONTH(T_Stocks[[#This Row],[Fecha]]),DAY(T_Stocks[[#This Row],[Fecha]]))</f>
        <v>VTSAX-43557</v>
      </c>
    </row>
    <row r="6815" spans="1:4" ht="14.65" thickBot="1" x14ac:dyDescent="0.5">
      <c r="A6815" s="17">
        <v>43558.666666666664</v>
      </c>
      <c r="B6815" s="19">
        <v>71.42</v>
      </c>
      <c r="C6815" t="s">
        <v>32</v>
      </c>
      <c r="D6815" t="str">
        <f>T_Stocks[[#This Row],[Ticker]] &amp; "-" &amp; DATE(YEAR(T_Stocks[[#This Row],[Fecha]]),MONTH(T_Stocks[[#This Row],[Fecha]]),DAY(T_Stocks[[#This Row],[Fecha]]))</f>
        <v>VTSAX-43558</v>
      </c>
    </row>
    <row r="6816" spans="1:4" ht="14.65" thickBot="1" x14ac:dyDescent="0.5">
      <c r="A6816" s="17">
        <v>43559.666666666664</v>
      </c>
      <c r="B6816" s="19">
        <v>71.56</v>
      </c>
      <c r="C6816" t="s">
        <v>32</v>
      </c>
      <c r="D6816" t="str">
        <f>T_Stocks[[#This Row],[Ticker]] &amp; "-" &amp; DATE(YEAR(T_Stocks[[#This Row],[Fecha]]),MONTH(T_Stocks[[#This Row],[Fecha]]),DAY(T_Stocks[[#This Row],[Fecha]]))</f>
        <v>VTSAX-43559</v>
      </c>
    </row>
    <row r="6817" spans="1:4" ht="14.65" thickBot="1" x14ac:dyDescent="0.5">
      <c r="A6817" s="17">
        <v>43560.666666666664</v>
      </c>
      <c r="B6817" s="19">
        <v>71.94</v>
      </c>
      <c r="C6817" t="s">
        <v>32</v>
      </c>
      <c r="D6817" t="str">
        <f>T_Stocks[[#This Row],[Ticker]] &amp; "-" &amp; DATE(YEAR(T_Stocks[[#This Row],[Fecha]]),MONTH(T_Stocks[[#This Row],[Fecha]]),DAY(T_Stocks[[#This Row],[Fecha]]))</f>
        <v>VTSAX-43560</v>
      </c>
    </row>
    <row r="6818" spans="1:4" ht="14.65" thickBot="1" x14ac:dyDescent="0.5">
      <c r="A6818" s="17">
        <v>43563.666666666664</v>
      </c>
      <c r="B6818" s="19">
        <v>71.989999999999995</v>
      </c>
      <c r="C6818" t="s">
        <v>32</v>
      </c>
      <c r="D6818" t="str">
        <f>T_Stocks[[#This Row],[Ticker]] &amp; "-" &amp; DATE(YEAR(T_Stocks[[#This Row],[Fecha]]),MONTH(T_Stocks[[#This Row],[Fecha]]),DAY(T_Stocks[[#This Row],[Fecha]]))</f>
        <v>VTSAX-43563</v>
      </c>
    </row>
    <row r="6819" spans="1:4" ht="14.65" thickBot="1" x14ac:dyDescent="0.5">
      <c r="A6819" s="17">
        <v>43564.666666666664</v>
      </c>
      <c r="B6819" s="19">
        <v>71.53</v>
      </c>
      <c r="C6819" t="s">
        <v>32</v>
      </c>
      <c r="D6819" t="str">
        <f>T_Stocks[[#This Row],[Ticker]] &amp; "-" &amp; DATE(YEAR(T_Stocks[[#This Row],[Fecha]]),MONTH(T_Stocks[[#This Row],[Fecha]]),DAY(T_Stocks[[#This Row],[Fecha]]))</f>
        <v>VTSAX-43564</v>
      </c>
    </row>
    <row r="6820" spans="1:4" ht="14.65" thickBot="1" x14ac:dyDescent="0.5">
      <c r="A6820" s="17">
        <v>43565.666666666664</v>
      </c>
      <c r="B6820" s="19">
        <v>71.87</v>
      </c>
      <c r="C6820" t="s">
        <v>32</v>
      </c>
      <c r="D6820" t="str">
        <f>T_Stocks[[#This Row],[Ticker]] &amp; "-" &amp; DATE(YEAR(T_Stocks[[#This Row],[Fecha]]),MONTH(T_Stocks[[#This Row],[Fecha]]),DAY(T_Stocks[[#This Row],[Fecha]]))</f>
        <v>VTSAX-43565</v>
      </c>
    </row>
    <row r="6821" spans="1:4" ht="14.65" thickBot="1" x14ac:dyDescent="0.5">
      <c r="A6821" s="17">
        <v>43566.666666666664</v>
      </c>
      <c r="B6821" s="19">
        <v>71.88</v>
      </c>
      <c r="C6821" t="s">
        <v>32</v>
      </c>
      <c r="D6821" t="str">
        <f>T_Stocks[[#This Row],[Ticker]] &amp; "-" &amp; DATE(YEAR(T_Stocks[[#This Row],[Fecha]]),MONTH(T_Stocks[[#This Row],[Fecha]]),DAY(T_Stocks[[#This Row],[Fecha]]))</f>
        <v>VTSAX-43566</v>
      </c>
    </row>
    <row r="6822" spans="1:4" ht="14.65" thickBot="1" x14ac:dyDescent="0.5">
      <c r="A6822" s="17">
        <v>43567.666666666664</v>
      </c>
      <c r="B6822" s="19">
        <v>72.349999999999994</v>
      </c>
      <c r="C6822" t="s">
        <v>32</v>
      </c>
      <c r="D6822" t="str">
        <f>T_Stocks[[#This Row],[Ticker]] &amp; "-" &amp; DATE(YEAR(T_Stocks[[#This Row],[Fecha]]),MONTH(T_Stocks[[#This Row],[Fecha]]),DAY(T_Stocks[[#This Row],[Fecha]]))</f>
        <v>VTSAX-43567</v>
      </c>
    </row>
    <row r="6823" spans="1:4" ht="14.65" thickBot="1" x14ac:dyDescent="0.5">
      <c r="A6823" s="17">
        <v>43570.666666666664</v>
      </c>
      <c r="B6823" s="19">
        <v>72.28</v>
      </c>
      <c r="C6823" t="s">
        <v>32</v>
      </c>
      <c r="D6823" t="str">
        <f>T_Stocks[[#This Row],[Ticker]] &amp; "-" &amp; DATE(YEAR(T_Stocks[[#This Row],[Fecha]]),MONTH(T_Stocks[[#This Row],[Fecha]]),DAY(T_Stocks[[#This Row],[Fecha]]))</f>
        <v>VTSAX-43570</v>
      </c>
    </row>
    <row r="6824" spans="1:4" ht="14.65" thickBot="1" x14ac:dyDescent="0.5">
      <c r="A6824" s="17">
        <v>43571.666666666664</v>
      </c>
      <c r="B6824" s="19">
        <v>72.31</v>
      </c>
      <c r="C6824" t="s">
        <v>32</v>
      </c>
      <c r="D6824" t="str">
        <f>T_Stocks[[#This Row],[Ticker]] &amp; "-" &amp; DATE(YEAR(T_Stocks[[#This Row],[Fecha]]),MONTH(T_Stocks[[#This Row],[Fecha]]),DAY(T_Stocks[[#This Row],[Fecha]]))</f>
        <v>VTSAX-43571</v>
      </c>
    </row>
    <row r="6825" spans="1:4" ht="14.65" thickBot="1" x14ac:dyDescent="0.5">
      <c r="A6825" s="17">
        <v>43572.666666666664</v>
      </c>
      <c r="B6825" s="19">
        <v>72.06</v>
      </c>
      <c r="C6825" t="s">
        <v>32</v>
      </c>
      <c r="D6825" t="str">
        <f>T_Stocks[[#This Row],[Ticker]] &amp; "-" &amp; DATE(YEAR(T_Stocks[[#This Row],[Fecha]]),MONTH(T_Stocks[[#This Row],[Fecha]]),DAY(T_Stocks[[#This Row],[Fecha]]))</f>
        <v>VTSAX-43572</v>
      </c>
    </row>
    <row r="6826" spans="1:4" ht="14.65" thickBot="1" x14ac:dyDescent="0.5">
      <c r="A6826" s="17">
        <v>43573.666666666664</v>
      </c>
      <c r="B6826" s="19">
        <v>72.16</v>
      </c>
      <c r="C6826" t="s">
        <v>32</v>
      </c>
      <c r="D6826" t="str">
        <f>T_Stocks[[#This Row],[Ticker]] &amp; "-" &amp; DATE(YEAR(T_Stocks[[#This Row],[Fecha]]),MONTH(T_Stocks[[#This Row],[Fecha]]),DAY(T_Stocks[[#This Row],[Fecha]]))</f>
        <v>VTSAX-43573</v>
      </c>
    </row>
    <row r="6827" spans="1:4" ht="14.65" thickBot="1" x14ac:dyDescent="0.5">
      <c r="A6827" s="17">
        <v>43577.666666666664</v>
      </c>
      <c r="B6827" s="19">
        <v>72.209999999999994</v>
      </c>
      <c r="C6827" t="s">
        <v>32</v>
      </c>
      <c r="D6827" t="str">
        <f>T_Stocks[[#This Row],[Ticker]] &amp; "-" &amp; DATE(YEAR(T_Stocks[[#This Row],[Fecha]]),MONTH(T_Stocks[[#This Row],[Fecha]]),DAY(T_Stocks[[#This Row],[Fecha]]))</f>
        <v>VTSAX-43577</v>
      </c>
    </row>
    <row r="6828" spans="1:4" ht="14.65" thickBot="1" x14ac:dyDescent="0.5">
      <c r="A6828" s="17">
        <v>43578.666666666664</v>
      </c>
      <c r="B6828" s="19">
        <v>72.91</v>
      </c>
      <c r="C6828" t="s">
        <v>32</v>
      </c>
      <c r="D6828" t="str">
        <f>T_Stocks[[#This Row],[Ticker]] &amp; "-" &amp; DATE(YEAR(T_Stocks[[#This Row],[Fecha]]),MONTH(T_Stocks[[#This Row],[Fecha]]),DAY(T_Stocks[[#This Row],[Fecha]]))</f>
        <v>VTSAX-43578</v>
      </c>
    </row>
    <row r="6829" spans="1:4" ht="14.65" thickBot="1" x14ac:dyDescent="0.5">
      <c r="A6829" s="17">
        <v>43579.666666666664</v>
      </c>
      <c r="B6829" s="19">
        <v>72.790000000000006</v>
      </c>
      <c r="C6829" t="s">
        <v>32</v>
      </c>
      <c r="D6829" t="str">
        <f>T_Stocks[[#This Row],[Ticker]] &amp; "-" &amp; DATE(YEAR(T_Stocks[[#This Row],[Fecha]]),MONTH(T_Stocks[[#This Row],[Fecha]]),DAY(T_Stocks[[#This Row],[Fecha]]))</f>
        <v>VTSAX-43579</v>
      </c>
    </row>
    <row r="6830" spans="1:4" ht="14.65" thickBot="1" x14ac:dyDescent="0.5">
      <c r="A6830" s="17">
        <v>43580.666666666664</v>
      </c>
      <c r="B6830" s="19">
        <v>72.7</v>
      </c>
      <c r="C6830" t="s">
        <v>32</v>
      </c>
      <c r="D6830" t="str">
        <f>T_Stocks[[#This Row],[Ticker]] &amp; "-" &amp; DATE(YEAR(T_Stocks[[#This Row],[Fecha]]),MONTH(T_Stocks[[#This Row],[Fecha]]),DAY(T_Stocks[[#This Row],[Fecha]]))</f>
        <v>VTSAX-43580</v>
      </c>
    </row>
    <row r="6831" spans="1:4" ht="14.65" thickBot="1" x14ac:dyDescent="0.5">
      <c r="A6831" s="17">
        <v>43581.666666666664</v>
      </c>
      <c r="B6831" s="19">
        <v>73.09</v>
      </c>
      <c r="C6831" t="s">
        <v>32</v>
      </c>
      <c r="D6831" t="str">
        <f>T_Stocks[[#This Row],[Ticker]] &amp; "-" &amp; DATE(YEAR(T_Stocks[[#This Row],[Fecha]]),MONTH(T_Stocks[[#This Row],[Fecha]]),DAY(T_Stocks[[#This Row],[Fecha]]))</f>
        <v>VTSAX-43581</v>
      </c>
    </row>
    <row r="6832" spans="1:4" ht="14.65" thickBot="1" x14ac:dyDescent="0.5">
      <c r="A6832" s="17">
        <v>43584.666666666664</v>
      </c>
      <c r="B6832" s="19">
        <v>73.19</v>
      </c>
      <c r="C6832" t="s">
        <v>32</v>
      </c>
      <c r="D6832" t="str">
        <f>T_Stocks[[#This Row],[Ticker]] &amp; "-" &amp; DATE(YEAR(T_Stocks[[#This Row],[Fecha]]),MONTH(T_Stocks[[#This Row],[Fecha]]),DAY(T_Stocks[[#This Row],[Fecha]]))</f>
        <v>VTSAX-43584</v>
      </c>
    </row>
    <row r="6833" spans="1:4" ht="14.65" thickBot="1" x14ac:dyDescent="0.5">
      <c r="A6833" s="17">
        <v>43585.666666666664</v>
      </c>
      <c r="B6833" s="19">
        <v>73.23</v>
      </c>
      <c r="C6833" t="s">
        <v>32</v>
      </c>
      <c r="D6833" t="str">
        <f>T_Stocks[[#This Row],[Ticker]] &amp; "-" &amp; DATE(YEAR(T_Stocks[[#This Row],[Fecha]]),MONTH(T_Stocks[[#This Row],[Fecha]]),DAY(T_Stocks[[#This Row],[Fecha]]))</f>
        <v>VTSAX-43585</v>
      </c>
    </row>
    <row r="6834" spans="1:4" ht="14.65" thickBot="1" x14ac:dyDescent="0.5">
      <c r="A6834" s="17">
        <v>43586.666666666664</v>
      </c>
      <c r="B6834" s="19">
        <v>72.66</v>
      </c>
      <c r="C6834" t="s">
        <v>32</v>
      </c>
      <c r="D6834" t="str">
        <f>T_Stocks[[#This Row],[Ticker]] &amp; "-" &amp; DATE(YEAR(T_Stocks[[#This Row],[Fecha]]),MONTH(T_Stocks[[#This Row],[Fecha]]),DAY(T_Stocks[[#This Row],[Fecha]]))</f>
        <v>VTSAX-43586</v>
      </c>
    </row>
    <row r="6835" spans="1:4" ht="14.65" thickBot="1" x14ac:dyDescent="0.5">
      <c r="A6835" s="17">
        <v>43587.666666666664</v>
      </c>
      <c r="B6835" s="19">
        <v>72.55</v>
      </c>
      <c r="C6835" t="s">
        <v>32</v>
      </c>
      <c r="D6835" t="str">
        <f>T_Stocks[[#This Row],[Ticker]] &amp; "-" &amp; DATE(YEAR(T_Stocks[[#This Row],[Fecha]]),MONTH(T_Stocks[[#This Row],[Fecha]]),DAY(T_Stocks[[#This Row],[Fecha]]))</f>
        <v>VTSAX-43587</v>
      </c>
    </row>
    <row r="6836" spans="1:4" ht="14.65" thickBot="1" x14ac:dyDescent="0.5">
      <c r="A6836" s="17">
        <v>43588.666666666664</v>
      </c>
      <c r="B6836" s="19">
        <v>73.33</v>
      </c>
      <c r="C6836" t="s">
        <v>32</v>
      </c>
      <c r="D6836" t="str">
        <f>T_Stocks[[#This Row],[Ticker]] &amp; "-" &amp; DATE(YEAR(T_Stocks[[#This Row],[Fecha]]),MONTH(T_Stocks[[#This Row],[Fecha]]),DAY(T_Stocks[[#This Row],[Fecha]]))</f>
        <v>VTSAX-43588</v>
      </c>
    </row>
    <row r="6837" spans="1:4" ht="14.65" thickBot="1" x14ac:dyDescent="0.5">
      <c r="A6837" s="17">
        <v>43591.666666666664</v>
      </c>
      <c r="B6837" s="19">
        <v>73.05</v>
      </c>
      <c r="C6837" t="s">
        <v>32</v>
      </c>
      <c r="D6837" t="str">
        <f>T_Stocks[[#This Row],[Ticker]] &amp; "-" &amp; DATE(YEAR(T_Stocks[[#This Row],[Fecha]]),MONTH(T_Stocks[[#This Row],[Fecha]]),DAY(T_Stocks[[#This Row],[Fecha]]))</f>
        <v>VTSAX-43591</v>
      </c>
    </row>
    <row r="6838" spans="1:4" ht="14.65" thickBot="1" x14ac:dyDescent="0.5">
      <c r="A6838" s="17">
        <v>43592.666666666664</v>
      </c>
      <c r="B6838" s="19">
        <v>71.819999999999993</v>
      </c>
      <c r="C6838" t="s">
        <v>32</v>
      </c>
      <c r="D6838" t="str">
        <f>T_Stocks[[#This Row],[Ticker]] &amp; "-" &amp; DATE(YEAR(T_Stocks[[#This Row],[Fecha]]),MONTH(T_Stocks[[#This Row],[Fecha]]),DAY(T_Stocks[[#This Row],[Fecha]]))</f>
        <v>VTSAX-43592</v>
      </c>
    </row>
    <row r="6839" spans="1:4" ht="14.65" thickBot="1" x14ac:dyDescent="0.5">
      <c r="A6839" s="17">
        <v>43593.666666666664</v>
      </c>
      <c r="B6839" s="19">
        <v>71.69</v>
      </c>
      <c r="C6839" t="s">
        <v>32</v>
      </c>
      <c r="D6839" t="str">
        <f>T_Stocks[[#This Row],[Ticker]] &amp; "-" &amp; DATE(YEAR(T_Stocks[[#This Row],[Fecha]]),MONTH(T_Stocks[[#This Row],[Fecha]]),DAY(T_Stocks[[#This Row],[Fecha]]))</f>
        <v>VTSAX-43593</v>
      </c>
    </row>
    <row r="6840" spans="1:4" ht="14.65" thickBot="1" x14ac:dyDescent="0.5">
      <c r="A6840" s="17">
        <v>43594.666666666664</v>
      </c>
      <c r="B6840" s="19">
        <v>71.510000000000005</v>
      </c>
      <c r="C6840" t="s">
        <v>32</v>
      </c>
      <c r="D6840" t="str">
        <f>T_Stocks[[#This Row],[Ticker]] &amp; "-" &amp; DATE(YEAR(T_Stocks[[#This Row],[Fecha]]),MONTH(T_Stocks[[#This Row],[Fecha]]),DAY(T_Stocks[[#This Row],[Fecha]]))</f>
        <v>VTSAX-43594</v>
      </c>
    </row>
    <row r="6841" spans="1:4" ht="14.65" thickBot="1" x14ac:dyDescent="0.5">
      <c r="A6841" s="17">
        <v>43595.666666666664</v>
      </c>
      <c r="B6841" s="19">
        <v>71.78</v>
      </c>
      <c r="C6841" t="s">
        <v>32</v>
      </c>
      <c r="D6841" t="str">
        <f>T_Stocks[[#This Row],[Ticker]] &amp; "-" &amp; DATE(YEAR(T_Stocks[[#This Row],[Fecha]]),MONTH(T_Stocks[[#This Row],[Fecha]]),DAY(T_Stocks[[#This Row],[Fecha]]))</f>
        <v>VTSAX-43595</v>
      </c>
    </row>
    <row r="6842" spans="1:4" ht="14.65" thickBot="1" x14ac:dyDescent="0.5">
      <c r="A6842" s="17">
        <v>43598.666666666664</v>
      </c>
      <c r="B6842" s="19">
        <v>69.98</v>
      </c>
      <c r="C6842" t="s">
        <v>32</v>
      </c>
      <c r="D6842" t="str">
        <f>T_Stocks[[#This Row],[Ticker]] &amp; "-" &amp; DATE(YEAR(T_Stocks[[#This Row],[Fecha]]),MONTH(T_Stocks[[#This Row],[Fecha]]),DAY(T_Stocks[[#This Row],[Fecha]]))</f>
        <v>VTSAX-43598</v>
      </c>
    </row>
    <row r="6843" spans="1:4" ht="14.65" thickBot="1" x14ac:dyDescent="0.5">
      <c r="A6843" s="17">
        <v>43599.666666666664</v>
      </c>
      <c r="B6843" s="19">
        <v>70.61</v>
      </c>
      <c r="C6843" t="s">
        <v>32</v>
      </c>
      <c r="D6843" t="str">
        <f>T_Stocks[[#This Row],[Ticker]] &amp; "-" &amp; DATE(YEAR(T_Stocks[[#This Row],[Fecha]]),MONTH(T_Stocks[[#This Row],[Fecha]]),DAY(T_Stocks[[#This Row],[Fecha]]))</f>
        <v>VTSAX-43599</v>
      </c>
    </row>
    <row r="6844" spans="1:4" ht="14.65" thickBot="1" x14ac:dyDescent="0.5">
      <c r="A6844" s="17">
        <v>43600.666666666664</v>
      </c>
      <c r="B6844" s="19">
        <v>71.02</v>
      </c>
      <c r="C6844" t="s">
        <v>32</v>
      </c>
      <c r="D6844" t="str">
        <f>T_Stocks[[#This Row],[Ticker]] &amp; "-" &amp; DATE(YEAR(T_Stocks[[#This Row],[Fecha]]),MONTH(T_Stocks[[#This Row],[Fecha]]),DAY(T_Stocks[[#This Row],[Fecha]]))</f>
        <v>VTSAX-43600</v>
      </c>
    </row>
    <row r="6845" spans="1:4" ht="14.65" thickBot="1" x14ac:dyDescent="0.5">
      <c r="A6845" s="17">
        <v>43601.666666666664</v>
      </c>
      <c r="B6845" s="19">
        <v>71.66</v>
      </c>
      <c r="C6845" t="s">
        <v>32</v>
      </c>
      <c r="D6845" t="str">
        <f>T_Stocks[[#This Row],[Ticker]] &amp; "-" &amp; DATE(YEAR(T_Stocks[[#This Row],[Fecha]]),MONTH(T_Stocks[[#This Row],[Fecha]]),DAY(T_Stocks[[#This Row],[Fecha]]))</f>
        <v>VTSAX-43601</v>
      </c>
    </row>
    <row r="6846" spans="1:4" ht="14.65" thickBot="1" x14ac:dyDescent="0.5">
      <c r="A6846" s="17">
        <v>43602.666666666664</v>
      </c>
      <c r="B6846" s="19">
        <v>71.180000000000007</v>
      </c>
      <c r="C6846" t="s">
        <v>32</v>
      </c>
      <c r="D6846" t="str">
        <f>T_Stocks[[#This Row],[Ticker]] &amp; "-" &amp; DATE(YEAR(T_Stocks[[#This Row],[Fecha]]),MONTH(T_Stocks[[#This Row],[Fecha]]),DAY(T_Stocks[[#This Row],[Fecha]]))</f>
        <v>VTSAX-43602</v>
      </c>
    </row>
    <row r="6847" spans="1:4" ht="14.65" thickBot="1" x14ac:dyDescent="0.5">
      <c r="A6847" s="17">
        <v>43605.666666666664</v>
      </c>
      <c r="B6847" s="19">
        <v>70.69</v>
      </c>
      <c r="C6847" t="s">
        <v>32</v>
      </c>
      <c r="D6847" t="str">
        <f>T_Stocks[[#This Row],[Ticker]] &amp; "-" &amp; DATE(YEAR(T_Stocks[[#This Row],[Fecha]]),MONTH(T_Stocks[[#This Row],[Fecha]]),DAY(T_Stocks[[#This Row],[Fecha]]))</f>
        <v>VTSAX-43605</v>
      </c>
    </row>
    <row r="6848" spans="1:4" ht="14.65" thickBot="1" x14ac:dyDescent="0.5">
      <c r="A6848" s="17">
        <v>43606.666666666664</v>
      </c>
      <c r="B6848" s="19">
        <v>71.34</v>
      </c>
      <c r="C6848" t="s">
        <v>32</v>
      </c>
      <c r="D6848" t="str">
        <f>T_Stocks[[#This Row],[Ticker]] &amp; "-" &amp; DATE(YEAR(T_Stocks[[#This Row],[Fecha]]),MONTH(T_Stocks[[#This Row],[Fecha]]),DAY(T_Stocks[[#This Row],[Fecha]]))</f>
        <v>VTSAX-43606</v>
      </c>
    </row>
    <row r="6849" spans="1:4" ht="14.65" thickBot="1" x14ac:dyDescent="0.5">
      <c r="A6849" s="17">
        <v>43607.666666666664</v>
      </c>
      <c r="B6849" s="19">
        <v>71.099999999999994</v>
      </c>
      <c r="C6849" t="s">
        <v>32</v>
      </c>
      <c r="D6849" t="str">
        <f>T_Stocks[[#This Row],[Ticker]] &amp; "-" &amp; DATE(YEAR(T_Stocks[[#This Row],[Fecha]]),MONTH(T_Stocks[[#This Row],[Fecha]]),DAY(T_Stocks[[#This Row],[Fecha]]))</f>
        <v>VTSAX-43607</v>
      </c>
    </row>
    <row r="6850" spans="1:4" ht="14.65" thickBot="1" x14ac:dyDescent="0.5">
      <c r="A6850" s="17">
        <v>43608.666666666664</v>
      </c>
      <c r="B6850" s="19">
        <v>70.19</v>
      </c>
      <c r="C6850" t="s">
        <v>32</v>
      </c>
      <c r="D6850" t="str">
        <f>T_Stocks[[#This Row],[Ticker]] &amp; "-" &amp; DATE(YEAR(T_Stocks[[#This Row],[Fecha]]),MONTH(T_Stocks[[#This Row],[Fecha]]),DAY(T_Stocks[[#This Row],[Fecha]]))</f>
        <v>VTSAX-43608</v>
      </c>
    </row>
    <row r="6851" spans="1:4" ht="14.65" thickBot="1" x14ac:dyDescent="0.5">
      <c r="A6851" s="17">
        <v>43609.666666666664</v>
      </c>
      <c r="B6851" s="19">
        <v>70.349999999999994</v>
      </c>
      <c r="C6851" t="s">
        <v>32</v>
      </c>
      <c r="D6851" t="str">
        <f>T_Stocks[[#This Row],[Ticker]] &amp; "-" &amp; DATE(YEAR(T_Stocks[[#This Row],[Fecha]]),MONTH(T_Stocks[[#This Row],[Fecha]]),DAY(T_Stocks[[#This Row],[Fecha]]))</f>
        <v>VTSAX-43609</v>
      </c>
    </row>
    <row r="6852" spans="1:4" ht="14.65" thickBot="1" x14ac:dyDescent="0.5">
      <c r="A6852" s="17">
        <v>43613.666666666664</v>
      </c>
      <c r="B6852" s="19">
        <v>69.77</v>
      </c>
      <c r="C6852" t="s">
        <v>32</v>
      </c>
      <c r="D6852" t="str">
        <f>T_Stocks[[#This Row],[Ticker]] &amp; "-" &amp; DATE(YEAR(T_Stocks[[#This Row],[Fecha]]),MONTH(T_Stocks[[#This Row],[Fecha]]),DAY(T_Stocks[[#This Row],[Fecha]]))</f>
        <v>VTSAX-43613</v>
      </c>
    </row>
    <row r="6853" spans="1:4" ht="14.65" thickBot="1" x14ac:dyDescent="0.5">
      <c r="A6853" s="17">
        <v>43614.666666666664</v>
      </c>
      <c r="B6853" s="19">
        <v>69.28</v>
      </c>
      <c r="C6853" t="s">
        <v>32</v>
      </c>
      <c r="D6853" t="str">
        <f>T_Stocks[[#This Row],[Ticker]] &amp; "-" &amp; DATE(YEAR(T_Stocks[[#This Row],[Fecha]]),MONTH(T_Stocks[[#This Row],[Fecha]]),DAY(T_Stocks[[#This Row],[Fecha]]))</f>
        <v>VTSAX-43614</v>
      </c>
    </row>
    <row r="6854" spans="1:4" ht="14.65" thickBot="1" x14ac:dyDescent="0.5">
      <c r="A6854" s="17">
        <v>43615.666666666664</v>
      </c>
      <c r="B6854" s="19">
        <v>69.400000000000006</v>
      </c>
      <c r="C6854" t="s">
        <v>32</v>
      </c>
      <c r="D6854" t="str">
        <f>T_Stocks[[#This Row],[Ticker]] &amp; "-" &amp; DATE(YEAR(T_Stocks[[#This Row],[Fecha]]),MONTH(T_Stocks[[#This Row],[Fecha]]),DAY(T_Stocks[[#This Row],[Fecha]]))</f>
        <v>VTSAX-43615</v>
      </c>
    </row>
    <row r="6855" spans="1:4" ht="14.65" thickBot="1" x14ac:dyDescent="0.5">
      <c r="A6855" s="17">
        <v>43616.666666666664</v>
      </c>
      <c r="B6855" s="19">
        <v>68.52</v>
      </c>
      <c r="C6855" t="s">
        <v>32</v>
      </c>
      <c r="D6855" t="str">
        <f>T_Stocks[[#This Row],[Ticker]] &amp; "-" &amp; DATE(YEAR(T_Stocks[[#This Row],[Fecha]]),MONTH(T_Stocks[[#This Row],[Fecha]]),DAY(T_Stocks[[#This Row],[Fecha]]))</f>
        <v>VTSAX-43616</v>
      </c>
    </row>
    <row r="6856" spans="1:4" ht="14.65" thickBot="1" x14ac:dyDescent="0.5">
      <c r="A6856" s="17">
        <v>43619.666666666664</v>
      </c>
      <c r="B6856" s="19">
        <v>68.36</v>
      </c>
      <c r="C6856" t="s">
        <v>32</v>
      </c>
      <c r="D6856" t="str">
        <f>T_Stocks[[#This Row],[Ticker]] &amp; "-" &amp; DATE(YEAR(T_Stocks[[#This Row],[Fecha]]),MONTH(T_Stocks[[#This Row],[Fecha]]),DAY(T_Stocks[[#This Row],[Fecha]]))</f>
        <v>VTSAX-43619</v>
      </c>
    </row>
    <row r="6857" spans="1:4" ht="14.65" thickBot="1" x14ac:dyDescent="0.5">
      <c r="A6857" s="17">
        <v>43620.666666666664</v>
      </c>
      <c r="B6857" s="19">
        <v>69.87</v>
      </c>
      <c r="C6857" t="s">
        <v>32</v>
      </c>
      <c r="D6857" t="str">
        <f>T_Stocks[[#This Row],[Ticker]] &amp; "-" &amp; DATE(YEAR(T_Stocks[[#This Row],[Fecha]]),MONTH(T_Stocks[[#This Row],[Fecha]]),DAY(T_Stocks[[#This Row],[Fecha]]))</f>
        <v>VTSAX-43620</v>
      </c>
    </row>
    <row r="6858" spans="1:4" ht="14.65" thickBot="1" x14ac:dyDescent="0.5">
      <c r="A6858" s="17">
        <v>43621.666666666664</v>
      </c>
      <c r="B6858" s="19">
        <v>70.400000000000006</v>
      </c>
      <c r="C6858" t="s">
        <v>32</v>
      </c>
      <c r="D6858" t="str">
        <f>T_Stocks[[#This Row],[Ticker]] &amp; "-" &amp; DATE(YEAR(T_Stocks[[#This Row],[Fecha]]),MONTH(T_Stocks[[#This Row],[Fecha]]),DAY(T_Stocks[[#This Row],[Fecha]]))</f>
        <v>VTSAX-43621</v>
      </c>
    </row>
    <row r="6859" spans="1:4" ht="14.65" thickBot="1" x14ac:dyDescent="0.5">
      <c r="A6859" s="17">
        <v>43622.666666666664</v>
      </c>
      <c r="B6859" s="19">
        <v>70.78</v>
      </c>
      <c r="C6859" t="s">
        <v>32</v>
      </c>
      <c r="D6859" t="str">
        <f>T_Stocks[[#This Row],[Ticker]] &amp; "-" &amp; DATE(YEAR(T_Stocks[[#This Row],[Fecha]]),MONTH(T_Stocks[[#This Row],[Fecha]]),DAY(T_Stocks[[#This Row],[Fecha]]))</f>
        <v>VTSAX-43622</v>
      </c>
    </row>
    <row r="6860" spans="1:4" ht="14.65" thickBot="1" x14ac:dyDescent="0.5">
      <c r="A6860" s="17">
        <v>43623.666666666664</v>
      </c>
      <c r="B6860" s="19">
        <v>71.489999999999995</v>
      </c>
      <c r="C6860" t="s">
        <v>32</v>
      </c>
      <c r="D6860" t="str">
        <f>T_Stocks[[#This Row],[Ticker]] &amp; "-" &amp; DATE(YEAR(T_Stocks[[#This Row],[Fecha]]),MONTH(T_Stocks[[#This Row],[Fecha]]),DAY(T_Stocks[[#This Row],[Fecha]]))</f>
        <v>VTSAX-43623</v>
      </c>
    </row>
    <row r="6861" spans="1:4" ht="14.65" thickBot="1" x14ac:dyDescent="0.5">
      <c r="A6861" s="17">
        <v>43626.666666666664</v>
      </c>
      <c r="B6861" s="19">
        <v>71.84</v>
      </c>
      <c r="C6861" t="s">
        <v>32</v>
      </c>
      <c r="D6861" t="str">
        <f>T_Stocks[[#This Row],[Ticker]] &amp; "-" &amp; DATE(YEAR(T_Stocks[[#This Row],[Fecha]]),MONTH(T_Stocks[[#This Row],[Fecha]]),DAY(T_Stocks[[#This Row],[Fecha]]))</f>
        <v>VTSAX-43626</v>
      </c>
    </row>
    <row r="6862" spans="1:4" ht="14.65" thickBot="1" x14ac:dyDescent="0.5">
      <c r="A6862" s="17">
        <v>43627.666666666664</v>
      </c>
      <c r="B6862" s="19">
        <v>71.78</v>
      </c>
      <c r="C6862" t="s">
        <v>32</v>
      </c>
      <c r="D6862" t="str">
        <f>T_Stocks[[#This Row],[Ticker]] &amp; "-" &amp; DATE(YEAR(T_Stocks[[#This Row],[Fecha]]),MONTH(T_Stocks[[#This Row],[Fecha]]),DAY(T_Stocks[[#This Row],[Fecha]]))</f>
        <v>VTSAX-43627</v>
      </c>
    </row>
    <row r="6863" spans="1:4" ht="14.65" thickBot="1" x14ac:dyDescent="0.5">
      <c r="A6863" s="17">
        <v>43628.666666666664</v>
      </c>
      <c r="B6863" s="19">
        <v>71.66</v>
      </c>
      <c r="C6863" t="s">
        <v>32</v>
      </c>
      <c r="D6863" t="str">
        <f>T_Stocks[[#This Row],[Ticker]] &amp; "-" &amp; DATE(YEAR(T_Stocks[[#This Row],[Fecha]]),MONTH(T_Stocks[[#This Row],[Fecha]]),DAY(T_Stocks[[#This Row],[Fecha]]))</f>
        <v>VTSAX-43628</v>
      </c>
    </row>
    <row r="6864" spans="1:4" ht="14.65" thickBot="1" x14ac:dyDescent="0.5">
      <c r="A6864" s="17">
        <v>43629.666666666664</v>
      </c>
      <c r="B6864" s="19">
        <v>72.02</v>
      </c>
      <c r="C6864" t="s">
        <v>32</v>
      </c>
      <c r="D6864" t="str">
        <f>T_Stocks[[#This Row],[Ticker]] &amp; "-" &amp; DATE(YEAR(T_Stocks[[#This Row],[Fecha]]),MONTH(T_Stocks[[#This Row],[Fecha]]),DAY(T_Stocks[[#This Row],[Fecha]]))</f>
        <v>VTSAX-43629</v>
      </c>
    </row>
    <row r="6865" spans="1:4" ht="14.65" thickBot="1" x14ac:dyDescent="0.5">
      <c r="A6865" s="17">
        <v>43630.666666666664</v>
      </c>
      <c r="B6865" s="19">
        <v>71.58</v>
      </c>
      <c r="C6865" t="s">
        <v>32</v>
      </c>
      <c r="D6865" t="str">
        <f>T_Stocks[[#This Row],[Ticker]] &amp; "-" &amp; DATE(YEAR(T_Stocks[[#This Row],[Fecha]]),MONTH(T_Stocks[[#This Row],[Fecha]]),DAY(T_Stocks[[#This Row],[Fecha]]))</f>
        <v>VTSAX-43630</v>
      </c>
    </row>
    <row r="6866" spans="1:4" ht="14.65" thickBot="1" x14ac:dyDescent="0.5">
      <c r="A6866" s="17">
        <v>43633.666666666664</v>
      </c>
      <c r="B6866" s="19">
        <v>71.69</v>
      </c>
      <c r="C6866" t="s">
        <v>32</v>
      </c>
      <c r="D6866" t="str">
        <f>T_Stocks[[#This Row],[Ticker]] &amp; "-" &amp; DATE(YEAR(T_Stocks[[#This Row],[Fecha]]),MONTH(T_Stocks[[#This Row],[Fecha]]),DAY(T_Stocks[[#This Row],[Fecha]]))</f>
        <v>VTSAX-43633</v>
      </c>
    </row>
    <row r="6867" spans="1:4" ht="14.65" thickBot="1" x14ac:dyDescent="0.5">
      <c r="A6867" s="17">
        <v>43634.666666666664</v>
      </c>
      <c r="B6867" s="19">
        <v>72.41</v>
      </c>
      <c r="C6867" t="s">
        <v>32</v>
      </c>
      <c r="D6867" t="str">
        <f>T_Stocks[[#This Row],[Ticker]] &amp; "-" &amp; DATE(YEAR(T_Stocks[[#This Row],[Fecha]]),MONTH(T_Stocks[[#This Row],[Fecha]]),DAY(T_Stocks[[#This Row],[Fecha]]))</f>
        <v>VTSAX-43634</v>
      </c>
    </row>
    <row r="6868" spans="1:4" ht="14.65" thickBot="1" x14ac:dyDescent="0.5">
      <c r="A6868" s="17">
        <v>43635.666666666664</v>
      </c>
      <c r="B6868" s="19">
        <v>72.64</v>
      </c>
      <c r="C6868" t="s">
        <v>32</v>
      </c>
      <c r="D6868" t="str">
        <f>T_Stocks[[#This Row],[Ticker]] &amp; "-" &amp; DATE(YEAR(T_Stocks[[#This Row],[Fecha]]),MONTH(T_Stocks[[#This Row],[Fecha]]),DAY(T_Stocks[[#This Row],[Fecha]]))</f>
        <v>VTSAX-43635</v>
      </c>
    </row>
    <row r="6869" spans="1:4" ht="14.65" thickBot="1" x14ac:dyDescent="0.5">
      <c r="A6869" s="17">
        <v>43636.666666666664</v>
      </c>
      <c r="B6869" s="19">
        <v>73.290000000000006</v>
      </c>
      <c r="C6869" t="s">
        <v>32</v>
      </c>
      <c r="D6869" t="str">
        <f>T_Stocks[[#This Row],[Ticker]] &amp; "-" &amp; DATE(YEAR(T_Stocks[[#This Row],[Fecha]]),MONTH(T_Stocks[[#This Row],[Fecha]]),DAY(T_Stocks[[#This Row],[Fecha]]))</f>
        <v>VTSAX-43636</v>
      </c>
    </row>
    <row r="6870" spans="1:4" ht="14.65" thickBot="1" x14ac:dyDescent="0.5">
      <c r="A6870" s="17">
        <v>43637.666666666664</v>
      </c>
      <c r="B6870" s="19">
        <v>73.13</v>
      </c>
      <c r="C6870" t="s">
        <v>32</v>
      </c>
      <c r="D6870" t="str">
        <f>T_Stocks[[#This Row],[Ticker]] &amp; "-" &amp; DATE(YEAR(T_Stocks[[#This Row],[Fecha]]),MONTH(T_Stocks[[#This Row],[Fecha]]),DAY(T_Stocks[[#This Row],[Fecha]]))</f>
        <v>VTSAX-43637</v>
      </c>
    </row>
    <row r="6871" spans="1:4" ht="14.65" thickBot="1" x14ac:dyDescent="0.5">
      <c r="A6871" s="17">
        <v>43640.666666666664</v>
      </c>
      <c r="B6871" s="19">
        <v>72.900000000000006</v>
      </c>
      <c r="C6871" t="s">
        <v>32</v>
      </c>
      <c r="D6871" t="str">
        <f>T_Stocks[[#This Row],[Ticker]] &amp; "-" &amp; DATE(YEAR(T_Stocks[[#This Row],[Fecha]]),MONTH(T_Stocks[[#This Row],[Fecha]]),DAY(T_Stocks[[#This Row],[Fecha]]))</f>
        <v>VTSAX-43640</v>
      </c>
    </row>
    <row r="6872" spans="1:4" ht="14.65" thickBot="1" x14ac:dyDescent="0.5">
      <c r="A6872" s="17">
        <v>43641.666666666664</v>
      </c>
      <c r="B6872" s="19">
        <v>72.22</v>
      </c>
      <c r="C6872" t="s">
        <v>32</v>
      </c>
      <c r="D6872" t="str">
        <f>T_Stocks[[#This Row],[Ticker]] &amp; "-" &amp; DATE(YEAR(T_Stocks[[#This Row],[Fecha]]),MONTH(T_Stocks[[#This Row],[Fecha]]),DAY(T_Stocks[[#This Row],[Fecha]]))</f>
        <v>VTSAX-43641</v>
      </c>
    </row>
    <row r="6873" spans="1:4" ht="14.65" thickBot="1" x14ac:dyDescent="0.5">
      <c r="A6873" s="17">
        <v>43642.666666666664</v>
      </c>
      <c r="B6873" s="19">
        <v>72.12</v>
      </c>
      <c r="C6873" t="s">
        <v>32</v>
      </c>
      <c r="D6873" t="str">
        <f>T_Stocks[[#This Row],[Ticker]] &amp; "-" &amp; DATE(YEAR(T_Stocks[[#This Row],[Fecha]]),MONTH(T_Stocks[[#This Row],[Fecha]]),DAY(T_Stocks[[#This Row],[Fecha]]))</f>
        <v>VTSAX-43642</v>
      </c>
    </row>
    <row r="6874" spans="1:4" ht="14.65" thickBot="1" x14ac:dyDescent="0.5">
      <c r="A6874" s="17">
        <v>43643.666666666664</v>
      </c>
      <c r="B6874" s="19">
        <v>72.540000000000006</v>
      </c>
      <c r="C6874" t="s">
        <v>32</v>
      </c>
      <c r="D6874" t="str">
        <f>T_Stocks[[#This Row],[Ticker]] &amp; "-" &amp; DATE(YEAR(T_Stocks[[#This Row],[Fecha]]),MONTH(T_Stocks[[#This Row],[Fecha]]),DAY(T_Stocks[[#This Row],[Fecha]]))</f>
        <v>VTSAX-43643</v>
      </c>
    </row>
    <row r="6875" spans="1:4" ht="14.65" thickBot="1" x14ac:dyDescent="0.5">
      <c r="A6875" s="17">
        <v>43644.666666666664</v>
      </c>
      <c r="B6875" s="19">
        <v>73.040000000000006</v>
      </c>
      <c r="C6875" t="s">
        <v>32</v>
      </c>
      <c r="D6875" t="str">
        <f>T_Stocks[[#This Row],[Ticker]] &amp; "-" &amp; DATE(YEAR(T_Stocks[[#This Row],[Fecha]]),MONTH(T_Stocks[[#This Row],[Fecha]]),DAY(T_Stocks[[#This Row],[Fecha]]))</f>
        <v>VTSAX-43644</v>
      </c>
    </row>
    <row r="6876" spans="1:4" ht="14.65" thickBot="1" x14ac:dyDescent="0.5">
      <c r="A6876" s="17">
        <v>43647.666666666664</v>
      </c>
      <c r="B6876" s="19">
        <v>73.569999999999993</v>
      </c>
      <c r="C6876" t="s">
        <v>32</v>
      </c>
      <c r="D6876" t="str">
        <f>T_Stocks[[#This Row],[Ticker]] &amp; "-" &amp; DATE(YEAR(T_Stocks[[#This Row],[Fecha]]),MONTH(T_Stocks[[#This Row],[Fecha]]),DAY(T_Stocks[[#This Row],[Fecha]]))</f>
        <v>VTSAX-43647</v>
      </c>
    </row>
    <row r="6877" spans="1:4" ht="14.65" thickBot="1" x14ac:dyDescent="0.5">
      <c r="A6877" s="17">
        <v>43648.666666666664</v>
      </c>
      <c r="B6877" s="19">
        <v>73.72</v>
      </c>
      <c r="C6877" t="s">
        <v>32</v>
      </c>
      <c r="D6877" t="str">
        <f>T_Stocks[[#This Row],[Ticker]] &amp; "-" &amp; DATE(YEAR(T_Stocks[[#This Row],[Fecha]]),MONTH(T_Stocks[[#This Row],[Fecha]]),DAY(T_Stocks[[#This Row],[Fecha]]))</f>
        <v>VTSAX-43648</v>
      </c>
    </row>
    <row r="6878" spans="1:4" ht="14.65" thickBot="1" x14ac:dyDescent="0.5">
      <c r="A6878" s="17">
        <v>43649.541666666664</v>
      </c>
      <c r="B6878" s="19">
        <v>74.319999999999993</v>
      </c>
      <c r="C6878" t="s">
        <v>32</v>
      </c>
      <c r="D6878" t="str">
        <f>T_Stocks[[#This Row],[Ticker]] &amp; "-" &amp; DATE(YEAR(T_Stocks[[#This Row],[Fecha]]),MONTH(T_Stocks[[#This Row],[Fecha]]),DAY(T_Stocks[[#This Row],[Fecha]]))</f>
        <v>VTSAX-43649</v>
      </c>
    </row>
    <row r="6879" spans="1:4" ht="14.65" thickBot="1" x14ac:dyDescent="0.5">
      <c r="A6879" s="17">
        <v>43651.666666666664</v>
      </c>
      <c r="B6879" s="19">
        <v>74.23</v>
      </c>
      <c r="C6879" t="s">
        <v>32</v>
      </c>
      <c r="D6879" t="str">
        <f>T_Stocks[[#This Row],[Ticker]] &amp; "-" &amp; DATE(YEAR(T_Stocks[[#This Row],[Fecha]]),MONTH(T_Stocks[[#This Row],[Fecha]]),DAY(T_Stocks[[#This Row],[Fecha]]))</f>
        <v>VTSAX-43651</v>
      </c>
    </row>
    <row r="6880" spans="1:4" ht="14.65" thickBot="1" x14ac:dyDescent="0.5">
      <c r="A6880" s="17">
        <v>43654.666666666664</v>
      </c>
      <c r="B6880" s="19">
        <v>73.83</v>
      </c>
      <c r="C6880" t="s">
        <v>32</v>
      </c>
      <c r="D6880" t="str">
        <f>T_Stocks[[#This Row],[Ticker]] &amp; "-" &amp; DATE(YEAR(T_Stocks[[#This Row],[Fecha]]),MONTH(T_Stocks[[#This Row],[Fecha]]),DAY(T_Stocks[[#This Row],[Fecha]]))</f>
        <v>VTSAX-43654</v>
      </c>
    </row>
    <row r="6881" spans="1:4" ht="14.65" thickBot="1" x14ac:dyDescent="0.5">
      <c r="A6881" s="17">
        <v>43655.666666666664</v>
      </c>
      <c r="B6881" s="19">
        <v>73.97</v>
      </c>
      <c r="C6881" t="s">
        <v>32</v>
      </c>
      <c r="D6881" t="str">
        <f>T_Stocks[[#This Row],[Ticker]] &amp; "-" &amp; DATE(YEAR(T_Stocks[[#This Row],[Fecha]]),MONTH(T_Stocks[[#This Row],[Fecha]]),DAY(T_Stocks[[#This Row],[Fecha]]))</f>
        <v>VTSAX-43655</v>
      </c>
    </row>
    <row r="6882" spans="1:4" ht="14.65" thickBot="1" x14ac:dyDescent="0.5">
      <c r="A6882" s="17">
        <v>43656.666666666664</v>
      </c>
      <c r="B6882" s="19">
        <v>74.27</v>
      </c>
      <c r="C6882" t="s">
        <v>32</v>
      </c>
      <c r="D6882" t="str">
        <f>T_Stocks[[#This Row],[Ticker]] &amp; "-" &amp; DATE(YEAR(T_Stocks[[#This Row],[Fecha]]),MONTH(T_Stocks[[#This Row],[Fecha]]),DAY(T_Stocks[[#This Row],[Fecha]]))</f>
        <v>VTSAX-43656</v>
      </c>
    </row>
    <row r="6883" spans="1:4" ht="14.65" thickBot="1" x14ac:dyDescent="0.5">
      <c r="A6883" s="17">
        <v>43657.666666666664</v>
      </c>
      <c r="B6883" s="19">
        <v>74.39</v>
      </c>
      <c r="C6883" t="s">
        <v>32</v>
      </c>
      <c r="D6883" t="str">
        <f>T_Stocks[[#This Row],[Ticker]] &amp; "-" &amp; DATE(YEAR(T_Stocks[[#This Row],[Fecha]]),MONTH(T_Stocks[[#This Row],[Fecha]]),DAY(T_Stocks[[#This Row],[Fecha]]))</f>
        <v>VTSAX-43657</v>
      </c>
    </row>
    <row r="6884" spans="1:4" ht="14.65" thickBot="1" x14ac:dyDescent="0.5">
      <c r="A6884" s="17">
        <v>43658.666666666664</v>
      </c>
      <c r="B6884" s="19">
        <v>74.77</v>
      </c>
      <c r="C6884" t="s">
        <v>32</v>
      </c>
      <c r="D6884" t="str">
        <f>T_Stocks[[#This Row],[Ticker]] &amp; "-" &amp; DATE(YEAR(T_Stocks[[#This Row],[Fecha]]),MONTH(T_Stocks[[#This Row],[Fecha]]),DAY(T_Stocks[[#This Row],[Fecha]]))</f>
        <v>VTSAX-43658</v>
      </c>
    </row>
    <row r="6885" spans="1:4" ht="14.65" thickBot="1" x14ac:dyDescent="0.5">
      <c r="A6885" s="17">
        <v>43661.666666666664</v>
      </c>
      <c r="B6885" s="19">
        <v>74.75</v>
      </c>
      <c r="C6885" t="s">
        <v>32</v>
      </c>
      <c r="D6885" t="str">
        <f>T_Stocks[[#This Row],[Ticker]] &amp; "-" &amp; DATE(YEAR(T_Stocks[[#This Row],[Fecha]]),MONTH(T_Stocks[[#This Row],[Fecha]]),DAY(T_Stocks[[#This Row],[Fecha]]))</f>
        <v>VTSAX-43661</v>
      </c>
    </row>
    <row r="6886" spans="1:4" ht="14.65" thickBot="1" x14ac:dyDescent="0.5">
      <c r="A6886" s="17">
        <v>43662.666666666664</v>
      </c>
      <c r="B6886" s="19">
        <v>74.52</v>
      </c>
      <c r="C6886" t="s">
        <v>32</v>
      </c>
      <c r="D6886" t="str">
        <f>T_Stocks[[#This Row],[Ticker]] &amp; "-" &amp; DATE(YEAR(T_Stocks[[#This Row],[Fecha]]),MONTH(T_Stocks[[#This Row],[Fecha]]),DAY(T_Stocks[[#This Row],[Fecha]]))</f>
        <v>VTSAX-43662</v>
      </c>
    </row>
    <row r="6887" spans="1:4" ht="14.65" thickBot="1" x14ac:dyDescent="0.5">
      <c r="A6887" s="17">
        <v>43663.666666666664</v>
      </c>
      <c r="B6887" s="19">
        <v>74.05</v>
      </c>
      <c r="C6887" t="s">
        <v>32</v>
      </c>
      <c r="D6887" t="str">
        <f>T_Stocks[[#This Row],[Ticker]] &amp; "-" &amp; DATE(YEAR(T_Stocks[[#This Row],[Fecha]]),MONTH(T_Stocks[[#This Row],[Fecha]]),DAY(T_Stocks[[#This Row],[Fecha]]))</f>
        <v>VTSAX-43663</v>
      </c>
    </row>
    <row r="6888" spans="1:4" ht="14.65" thickBot="1" x14ac:dyDescent="0.5">
      <c r="A6888" s="17">
        <v>43664.666666666664</v>
      </c>
      <c r="B6888" s="19">
        <v>74.319999999999993</v>
      </c>
      <c r="C6888" t="s">
        <v>32</v>
      </c>
      <c r="D6888" t="str">
        <f>T_Stocks[[#This Row],[Ticker]] &amp; "-" &amp; DATE(YEAR(T_Stocks[[#This Row],[Fecha]]),MONTH(T_Stocks[[#This Row],[Fecha]]),DAY(T_Stocks[[#This Row],[Fecha]]))</f>
        <v>VTSAX-43664</v>
      </c>
    </row>
    <row r="6889" spans="1:4" ht="14.65" thickBot="1" x14ac:dyDescent="0.5">
      <c r="A6889" s="17">
        <v>43665.666666666664</v>
      </c>
      <c r="B6889" s="19">
        <v>73.87</v>
      </c>
      <c r="C6889" t="s">
        <v>32</v>
      </c>
      <c r="D6889" t="str">
        <f>T_Stocks[[#This Row],[Ticker]] &amp; "-" &amp; DATE(YEAR(T_Stocks[[#This Row],[Fecha]]),MONTH(T_Stocks[[#This Row],[Fecha]]),DAY(T_Stocks[[#This Row],[Fecha]]))</f>
        <v>VTSAX-43665</v>
      </c>
    </row>
    <row r="6890" spans="1:4" ht="14.65" thickBot="1" x14ac:dyDescent="0.5">
      <c r="A6890" s="17">
        <v>43668.666666666664</v>
      </c>
      <c r="B6890" s="19">
        <v>74.05</v>
      </c>
      <c r="C6890" t="s">
        <v>32</v>
      </c>
      <c r="D6890" t="str">
        <f>T_Stocks[[#This Row],[Ticker]] &amp; "-" &amp; DATE(YEAR(T_Stocks[[#This Row],[Fecha]]),MONTH(T_Stocks[[#This Row],[Fecha]]),DAY(T_Stocks[[#This Row],[Fecha]]))</f>
        <v>VTSAX-43668</v>
      </c>
    </row>
    <row r="6891" spans="1:4" ht="14.65" thickBot="1" x14ac:dyDescent="0.5">
      <c r="A6891" s="17">
        <v>43669.666666666664</v>
      </c>
      <c r="B6891" s="19">
        <v>74.55</v>
      </c>
      <c r="C6891" t="s">
        <v>32</v>
      </c>
      <c r="D6891" t="str">
        <f>T_Stocks[[#This Row],[Ticker]] &amp; "-" &amp; DATE(YEAR(T_Stocks[[#This Row],[Fecha]]),MONTH(T_Stocks[[#This Row],[Fecha]]),DAY(T_Stocks[[#This Row],[Fecha]]))</f>
        <v>VTSAX-43669</v>
      </c>
    </row>
    <row r="6892" spans="1:4" ht="14.65" thickBot="1" x14ac:dyDescent="0.5">
      <c r="A6892" s="17">
        <v>43670.666666666664</v>
      </c>
      <c r="B6892" s="19">
        <v>75.02</v>
      </c>
      <c r="C6892" t="s">
        <v>32</v>
      </c>
      <c r="D6892" t="str">
        <f>T_Stocks[[#This Row],[Ticker]] &amp; "-" &amp; DATE(YEAR(T_Stocks[[#This Row],[Fecha]]),MONTH(T_Stocks[[#This Row],[Fecha]]),DAY(T_Stocks[[#This Row],[Fecha]]))</f>
        <v>VTSAX-43670</v>
      </c>
    </row>
    <row r="6893" spans="1:4" ht="14.65" thickBot="1" x14ac:dyDescent="0.5">
      <c r="A6893" s="17">
        <v>43671.666666666664</v>
      </c>
      <c r="B6893" s="19">
        <v>74.56</v>
      </c>
      <c r="C6893" t="s">
        <v>32</v>
      </c>
      <c r="D6893" t="str">
        <f>T_Stocks[[#This Row],[Ticker]] &amp; "-" &amp; DATE(YEAR(T_Stocks[[#This Row],[Fecha]]),MONTH(T_Stocks[[#This Row],[Fecha]]),DAY(T_Stocks[[#This Row],[Fecha]]))</f>
        <v>VTSAX-43671</v>
      </c>
    </row>
    <row r="6894" spans="1:4" ht="14.65" thickBot="1" x14ac:dyDescent="0.5">
      <c r="A6894" s="17">
        <v>43672.666666666664</v>
      </c>
      <c r="B6894" s="19">
        <v>75.150000000000006</v>
      </c>
      <c r="C6894" t="s">
        <v>32</v>
      </c>
      <c r="D6894" t="str">
        <f>T_Stocks[[#This Row],[Ticker]] &amp; "-" &amp; DATE(YEAR(T_Stocks[[#This Row],[Fecha]]),MONTH(T_Stocks[[#This Row],[Fecha]]),DAY(T_Stocks[[#This Row],[Fecha]]))</f>
        <v>VTSAX-43672</v>
      </c>
    </row>
    <row r="6895" spans="1:4" ht="14.65" thickBot="1" x14ac:dyDescent="0.5">
      <c r="A6895" s="17">
        <v>43675.666666666664</v>
      </c>
      <c r="B6895" s="19">
        <v>74.97</v>
      </c>
      <c r="C6895" t="s">
        <v>32</v>
      </c>
      <c r="D6895" t="str">
        <f>T_Stocks[[#This Row],[Ticker]] &amp; "-" &amp; DATE(YEAR(T_Stocks[[#This Row],[Fecha]]),MONTH(T_Stocks[[#This Row],[Fecha]]),DAY(T_Stocks[[#This Row],[Fecha]]))</f>
        <v>VTSAX-43675</v>
      </c>
    </row>
    <row r="6896" spans="1:4" ht="14.65" thickBot="1" x14ac:dyDescent="0.5">
      <c r="A6896" s="17">
        <v>43676.666666666664</v>
      </c>
      <c r="B6896" s="19">
        <v>74.88</v>
      </c>
      <c r="C6896" t="s">
        <v>32</v>
      </c>
      <c r="D6896" t="str">
        <f>T_Stocks[[#This Row],[Ticker]] &amp; "-" &amp; DATE(YEAR(T_Stocks[[#This Row],[Fecha]]),MONTH(T_Stocks[[#This Row],[Fecha]]),DAY(T_Stocks[[#This Row],[Fecha]]))</f>
        <v>VTSAX-43676</v>
      </c>
    </row>
    <row r="6897" spans="1:4" ht="14.65" thickBot="1" x14ac:dyDescent="0.5">
      <c r="A6897" s="17">
        <v>43677.666666666664</v>
      </c>
      <c r="B6897" s="19">
        <v>74.09</v>
      </c>
      <c r="C6897" t="s">
        <v>32</v>
      </c>
      <c r="D6897" t="str">
        <f>T_Stocks[[#This Row],[Ticker]] &amp; "-" &amp; DATE(YEAR(T_Stocks[[#This Row],[Fecha]]),MONTH(T_Stocks[[#This Row],[Fecha]]),DAY(T_Stocks[[#This Row],[Fecha]]))</f>
        <v>VTSAX-43677</v>
      </c>
    </row>
    <row r="6898" spans="1:4" ht="14.65" thickBot="1" x14ac:dyDescent="0.5">
      <c r="A6898" s="17">
        <v>43678.666666666664</v>
      </c>
      <c r="B6898" s="19">
        <v>73.37</v>
      </c>
      <c r="C6898" t="s">
        <v>32</v>
      </c>
      <c r="D6898" t="str">
        <f>T_Stocks[[#This Row],[Ticker]] &amp; "-" &amp; DATE(YEAR(T_Stocks[[#This Row],[Fecha]]),MONTH(T_Stocks[[#This Row],[Fecha]]),DAY(T_Stocks[[#This Row],[Fecha]]))</f>
        <v>VTSAX-43678</v>
      </c>
    </row>
    <row r="6899" spans="1:4" ht="14.65" thickBot="1" x14ac:dyDescent="0.5">
      <c r="A6899" s="17">
        <v>43679.666666666664</v>
      </c>
      <c r="B6899" s="19">
        <v>72.790000000000006</v>
      </c>
      <c r="C6899" t="s">
        <v>32</v>
      </c>
      <c r="D6899" t="str">
        <f>T_Stocks[[#This Row],[Ticker]] &amp; "-" &amp; DATE(YEAR(T_Stocks[[#This Row],[Fecha]]),MONTH(T_Stocks[[#This Row],[Fecha]]),DAY(T_Stocks[[#This Row],[Fecha]]))</f>
        <v>VTSAX-43679</v>
      </c>
    </row>
    <row r="6900" spans="1:4" ht="14.65" thickBot="1" x14ac:dyDescent="0.5">
      <c r="A6900" s="17">
        <v>43682.666666666664</v>
      </c>
      <c r="B6900" s="19">
        <v>70.62</v>
      </c>
      <c r="C6900" t="s">
        <v>32</v>
      </c>
      <c r="D6900" t="str">
        <f>T_Stocks[[#This Row],[Ticker]] &amp; "-" &amp; DATE(YEAR(T_Stocks[[#This Row],[Fecha]]),MONTH(T_Stocks[[#This Row],[Fecha]]),DAY(T_Stocks[[#This Row],[Fecha]]))</f>
        <v>VTSAX-43682</v>
      </c>
    </row>
    <row r="6901" spans="1:4" ht="14.65" thickBot="1" x14ac:dyDescent="0.5">
      <c r="A6901" s="17">
        <v>43683.666666666664</v>
      </c>
      <c r="B6901" s="19">
        <v>71.540000000000006</v>
      </c>
      <c r="C6901" t="s">
        <v>32</v>
      </c>
      <c r="D6901" t="str">
        <f>T_Stocks[[#This Row],[Ticker]] &amp; "-" &amp; DATE(YEAR(T_Stocks[[#This Row],[Fecha]]),MONTH(T_Stocks[[#This Row],[Fecha]]),DAY(T_Stocks[[#This Row],[Fecha]]))</f>
        <v>VTSAX-43683</v>
      </c>
    </row>
    <row r="6902" spans="1:4" ht="14.65" thickBot="1" x14ac:dyDescent="0.5">
      <c r="A6902" s="17">
        <v>43684.666666666664</v>
      </c>
      <c r="B6902" s="19">
        <v>71.61</v>
      </c>
      <c r="C6902" t="s">
        <v>32</v>
      </c>
      <c r="D6902" t="str">
        <f>T_Stocks[[#This Row],[Ticker]] &amp; "-" &amp; DATE(YEAR(T_Stocks[[#This Row],[Fecha]]),MONTH(T_Stocks[[#This Row],[Fecha]]),DAY(T_Stocks[[#This Row],[Fecha]]))</f>
        <v>VTSAX-43684</v>
      </c>
    </row>
    <row r="6903" spans="1:4" ht="14.65" thickBot="1" x14ac:dyDescent="0.5">
      <c r="A6903" s="17">
        <v>43685.666666666664</v>
      </c>
      <c r="B6903" s="19">
        <v>73</v>
      </c>
      <c r="C6903" t="s">
        <v>32</v>
      </c>
      <c r="D6903" t="str">
        <f>T_Stocks[[#This Row],[Ticker]] &amp; "-" &amp; DATE(YEAR(T_Stocks[[#This Row],[Fecha]]),MONTH(T_Stocks[[#This Row],[Fecha]]),DAY(T_Stocks[[#This Row],[Fecha]]))</f>
        <v>VTSAX-43685</v>
      </c>
    </row>
    <row r="6904" spans="1:4" ht="14.65" thickBot="1" x14ac:dyDescent="0.5">
      <c r="A6904" s="17">
        <v>43686.666666666664</v>
      </c>
      <c r="B6904" s="19">
        <v>72.47</v>
      </c>
      <c r="C6904" t="s">
        <v>32</v>
      </c>
      <c r="D6904" t="str">
        <f>T_Stocks[[#This Row],[Ticker]] &amp; "-" &amp; DATE(YEAR(T_Stocks[[#This Row],[Fecha]]),MONTH(T_Stocks[[#This Row],[Fecha]]),DAY(T_Stocks[[#This Row],[Fecha]]))</f>
        <v>VTSAX-43686</v>
      </c>
    </row>
    <row r="6905" spans="1:4" ht="14.65" thickBot="1" x14ac:dyDescent="0.5">
      <c r="A6905" s="17">
        <v>43689.666666666664</v>
      </c>
      <c r="B6905" s="19">
        <v>71.59</v>
      </c>
      <c r="C6905" t="s">
        <v>32</v>
      </c>
      <c r="D6905" t="str">
        <f>T_Stocks[[#This Row],[Ticker]] &amp; "-" &amp; DATE(YEAR(T_Stocks[[#This Row],[Fecha]]),MONTH(T_Stocks[[#This Row],[Fecha]]),DAY(T_Stocks[[#This Row],[Fecha]]))</f>
        <v>VTSAX-43689</v>
      </c>
    </row>
    <row r="6906" spans="1:4" ht="14.65" thickBot="1" x14ac:dyDescent="0.5">
      <c r="A6906" s="17">
        <v>43690.666666666664</v>
      </c>
      <c r="B6906" s="19">
        <v>72.599999999999994</v>
      </c>
      <c r="C6906" t="s">
        <v>32</v>
      </c>
      <c r="D6906" t="str">
        <f>T_Stocks[[#This Row],[Ticker]] &amp; "-" &amp; DATE(YEAR(T_Stocks[[#This Row],[Fecha]]),MONTH(T_Stocks[[#This Row],[Fecha]]),DAY(T_Stocks[[#This Row],[Fecha]]))</f>
        <v>VTSAX-43690</v>
      </c>
    </row>
    <row r="6907" spans="1:4" ht="14.65" thickBot="1" x14ac:dyDescent="0.5">
      <c r="A6907" s="17">
        <v>43691.666666666664</v>
      </c>
      <c r="B6907" s="19">
        <v>70.5</v>
      </c>
      <c r="C6907" t="s">
        <v>32</v>
      </c>
      <c r="D6907" t="str">
        <f>T_Stocks[[#This Row],[Ticker]] &amp; "-" &amp; DATE(YEAR(T_Stocks[[#This Row],[Fecha]]),MONTH(T_Stocks[[#This Row],[Fecha]]),DAY(T_Stocks[[#This Row],[Fecha]]))</f>
        <v>VTSAX-43691</v>
      </c>
    </row>
    <row r="6908" spans="1:4" ht="14.65" thickBot="1" x14ac:dyDescent="0.5">
      <c r="A6908" s="17">
        <v>43692.666666666664</v>
      </c>
      <c r="B6908" s="19">
        <v>70.64</v>
      </c>
      <c r="C6908" t="s">
        <v>32</v>
      </c>
      <c r="D6908" t="str">
        <f>T_Stocks[[#This Row],[Ticker]] &amp; "-" &amp; DATE(YEAR(T_Stocks[[#This Row],[Fecha]]),MONTH(T_Stocks[[#This Row],[Fecha]]),DAY(T_Stocks[[#This Row],[Fecha]]))</f>
        <v>VTSAX-43692</v>
      </c>
    </row>
    <row r="6909" spans="1:4" ht="14.65" thickBot="1" x14ac:dyDescent="0.5">
      <c r="A6909" s="17">
        <v>43693.666666666664</v>
      </c>
      <c r="B6909" s="19">
        <v>71.73</v>
      </c>
      <c r="C6909" t="s">
        <v>32</v>
      </c>
      <c r="D6909" t="str">
        <f>T_Stocks[[#This Row],[Ticker]] &amp; "-" &amp; DATE(YEAR(T_Stocks[[#This Row],[Fecha]]),MONTH(T_Stocks[[#This Row],[Fecha]]),DAY(T_Stocks[[#This Row],[Fecha]]))</f>
        <v>VTSAX-43693</v>
      </c>
    </row>
    <row r="6910" spans="1:4" ht="14.65" thickBot="1" x14ac:dyDescent="0.5">
      <c r="A6910" s="17">
        <v>43696.666666666664</v>
      </c>
      <c r="B6910" s="19">
        <v>72.55</v>
      </c>
      <c r="C6910" t="s">
        <v>32</v>
      </c>
      <c r="D6910" t="str">
        <f>T_Stocks[[#This Row],[Ticker]] &amp; "-" &amp; DATE(YEAR(T_Stocks[[#This Row],[Fecha]]),MONTH(T_Stocks[[#This Row],[Fecha]]),DAY(T_Stocks[[#This Row],[Fecha]]))</f>
        <v>VTSAX-43696</v>
      </c>
    </row>
    <row r="6911" spans="1:4" ht="14.65" thickBot="1" x14ac:dyDescent="0.5">
      <c r="A6911" s="17">
        <v>43697.666666666664</v>
      </c>
      <c r="B6911" s="19">
        <v>72.010000000000005</v>
      </c>
      <c r="C6911" t="s">
        <v>32</v>
      </c>
      <c r="D6911" t="str">
        <f>T_Stocks[[#This Row],[Ticker]] &amp; "-" &amp; DATE(YEAR(T_Stocks[[#This Row],[Fecha]]),MONTH(T_Stocks[[#This Row],[Fecha]]),DAY(T_Stocks[[#This Row],[Fecha]]))</f>
        <v>VTSAX-43697</v>
      </c>
    </row>
    <row r="6912" spans="1:4" ht="14.65" thickBot="1" x14ac:dyDescent="0.5">
      <c r="A6912" s="17">
        <v>43698.666666666664</v>
      </c>
      <c r="B6912" s="19">
        <v>72.61</v>
      </c>
      <c r="C6912" t="s">
        <v>32</v>
      </c>
      <c r="D6912" t="str">
        <f>T_Stocks[[#This Row],[Ticker]] &amp; "-" &amp; DATE(YEAR(T_Stocks[[#This Row],[Fecha]]),MONTH(T_Stocks[[#This Row],[Fecha]]),DAY(T_Stocks[[#This Row],[Fecha]]))</f>
        <v>VTSAX-43698</v>
      </c>
    </row>
    <row r="6913" spans="1:4" ht="14.65" thickBot="1" x14ac:dyDescent="0.5">
      <c r="A6913" s="17">
        <v>43699.666666666664</v>
      </c>
      <c r="B6913" s="19">
        <v>72.56</v>
      </c>
      <c r="C6913" t="s">
        <v>32</v>
      </c>
      <c r="D6913" t="str">
        <f>T_Stocks[[#This Row],[Ticker]] &amp; "-" &amp; DATE(YEAR(T_Stocks[[#This Row],[Fecha]]),MONTH(T_Stocks[[#This Row],[Fecha]]),DAY(T_Stocks[[#This Row],[Fecha]]))</f>
        <v>VTSAX-43699</v>
      </c>
    </row>
    <row r="6914" spans="1:4" ht="14.65" thickBot="1" x14ac:dyDescent="0.5">
      <c r="A6914" s="17">
        <v>43700.666666666664</v>
      </c>
      <c r="B6914" s="19">
        <v>70.680000000000007</v>
      </c>
      <c r="C6914" t="s">
        <v>32</v>
      </c>
      <c r="D6914" t="str">
        <f>T_Stocks[[#This Row],[Ticker]] &amp; "-" &amp; DATE(YEAR(T_Stocks[[#This Row],[Fecha]]),MONTH(T_Stocks[[#This Row],[Fecha]]),DAY(T_Stocks[[#This Row],[Fecha]]))</f>
        <v>VTSAX-43700</v>
      </c>
    </row>
    <row r="6915" spans="1:4" ht="14.65" thickBot="1" x14ac:dyDescent="0.5">
      <c r="A6915" s="17">
        <v>43703.666666666664</v>
      </c>
      <c r="B6915" s="19">
        <v>71.44</v>
      </c>
      <c r="C6915" t="s">
        <v>32</v>
      </c>
      <c r="D6915" t="str">
        <f>T_Stocks[[#This Row],[Ticker]] &amp; "-" &amp; DATE(YEAR(T_Stocks[[#This Row],[Fecha]]),MONTH(T_Stocks[[#This Row],[Fecha]]),DAY(T_Stocks[[#This Row],[Fecha]]))</f>
        <v>VTSAX-43703</v>
      </c>
    </row>
    <row r="6916" spans="1:4" ht="14.65" thickBot="1" x14ac:dyDescent="0.5">
      <c r="A6916" s="17">
        <v>43704.666666666664</v>
      </c>
      <c r="B6916" s="19">
        <v>71.13</v>
      </c>
      <c r="C6916" t="s">
        <v>32</v>
      </c>
      <c r="D6916" t="str">
        <f>T_Stocks[[#This Row],[Ticker]] &amp; "-" &amp; DATE(YEAR(T_Stocks[[#This Row],[Fecha]]),MONTH(T_Stocks[[#This Row],[Fecha]]),DAY(T_Stocks[[#This Row],[Fecha]]))</f>
        <v>VTSAX-43704</v>
      </c>
    </row>
    <row r="6917" spans="1:4" ht="14.65" thickBot="1" x14ac:dyDescent="0.5">
      <c r="A6917" s="17">
        <v>43705.666666666664</v>
      </c>
      <c r="B6917" s="19">
        <v>71.61</v>
      </c>
      <c r="C6917" t="s">
        <v>32</v>
      </c>
      <c r="D6917" t="str">
        <f>T_Stocks[[#This Row],[Ticker]] &amp; "-" &amp; DATE(YEAR(T_Stocks[[#This Row],[Fecha]]),MONTH(T_Stocks[[#This Row],[Fecha]]),DAY(T_Stocks[[#This Row],[Fecha]]))</f>
        <v>VTSAX-43705</v>
      </c>
    </row>
    <row r="6918" spans="1:4" ht="14.65" thickBot="1" x14ac:dyDescent="0.5">
      <c r="A6918" s="17">
        <v>43706.666666666664</v>
      </c>
      <c r="B6918" s="19">
        <v>72.55</v>
      </c>
      <c r="C6918" t="s">
        <v>32</v>
      </c>
      <c r="D6918" t="str">
        <f>T_Stocks[[#This Row],[Ticker]] &amp; "-" &amp; DATE(YEAR(T_Stocks[[#This Row],[Fecha]]),MONTH(T_Stocks[[#This Row],[Fecha]]),DAY(T_Stocks[[#This Row],[Fecha]]))</f>
        <v>VTSAX-43706</v>
      </c>
    </row>
    <row r="6919" spans="1:4" ht="14.65" thickBot="1" x14ac:dyDescent="0.5">
      <c r="A6919" s="17">
        <v>43707.666666666664</v>
      </c>
      <c r="B6919" s="19">
        <v>72.599999999999994</v>
      </c>
      <c r="C6919" t="s">
        <v>32</v>
      </c>
      <c r="D6919" t="str">
        <f>T_Stocks[[#This Row],[Ticker]] &amp; "-" &amp; DATE(YEAR(T_Stocks[[#This Row],[Fecha]]),MONTH(T_Stocks[[#This Row],[Fecha]]),DAY(T_Stocks[[#This Row],[Fecha]]))</f>
        <v>VTSAX-43707</v>
      </c>
    </row>
    <row r="6920" spans="1:4" ht="14.65" thickBot="1" x14ac:dyDescent="0.5">
      <c r="A6920" s="17">
        <v>43711.666666666664</v>
      </c>
      <c r="B6920" s="19">
        <v>72.040000000000006</v>
      </c>
      <c r="C6920" t="s">
        <v>32</v>
      </c>
      <c r="D6920" t="str">
        <f>T_Stocks[[#This Row],[Ticker]] &amp; "-" &amp; DATE(YEAR(T_Stocks[[#This Row],[Fecha]]),MONTH(T_Stocks[[#This Row],[Fecha]]),DAY(T_Stocks[[#This Row],[Fecha]]))</f>
        <v>VTSAX-43711</v>
      </c>
    </row>
    <row r="6921" spans="1:4" ht="14.65" thickBot="1" x14ac:dyDescent="0.5">
      <c r="A6921" s="17">
        <v>43712.666666666664</v>
      </c>
      <c r="B6921" s="19">
        <v>72.819999999999993</v>
      </c>
      <c r="C6921" t="s">
        <v>32</v>
      </c>
      <c r="D6921" t="str">
        <f>T_Stocks[[#This Row],[Ticker]] &amp; "-" &amp; DATE(YEAR(T_Stocks[[#This Row],[Fecha]]),MONTH(T_Stocks[[#This Row],[Fecha]]),DAY(T_Stocks[[#This Row],[Fecha]]))</f>
        <v>VTSAX-43712</v>
      </c>
    </row>
    <row r="6922" spans="1:4" ht="14.65" thickBot="1" x14ac:dyDescent="0.5">
      <c r="A6922" s="17">
        <v>43713.666666666664</v>
      </c>
      <c r="B6922" s="19">
        <v>73.790000000000006</v>
      </c>
      <c r="C6922" t="s">
        <v>32</v>
      </c>
      <c r="D6922" t="str">
        <f>T_Stocks[[#This Row],[Ticker]] &amp; "-" &amp; DATE(YEAR(T_Stocks[[#This Row],[Fecha]]),MONTH(T_Stocks[[#This Row],[Fecha]]),DAY(T_Stocks[[#This Row],[Fecha]]))</f>
        <v>VTSAX-43713</v>
      </c>
    </row>
    <row r="6923" spans="1:4" ht="14.65" thickBot="1" x14ac:dyDescent="0.5">
      <c r="A6923" s="17">
        <v>43714.666666666664</v>
      </c>
      <c r="B6923" s="19">
        <v>73.819999999999993</v>
      </c>
      <c r="C6923" t="s">
        <v>32</v>
      </c>
      <c r="D6923" t="str">
        <f>T_Stocks[[#This Row],[Ticker]] &amp; "-" &amp; DATE(YEAR(T_Stocks[[#This Row],[Fecha]]),MONTH(T_Stocks[[#This Row],[Fecha]]),DAY(T_Stocks[[#This Row],[Fecha]]))</f>
        <v>VTSAX-43714</v>
      </c>
    </row>
    <row r="6924" spans="1:4" ht="14.65" thickBot="1" x14ac:dyDescent="0.5">
      <c r="A6924" s="17">
        <v>43717.666666666664</v>
      </c>
      <c r="B6924" s="19">
        <v>73.849999999999994</v>
      </c>
      <c r="C6924" t="s">
        <v>32</v>
      </c>
      <c r="D6924" t="str">
        <f>T_Stocks[[#This Row],[Ticker]] &amp; "-" &amp; DATE(YEAR(T_Stocks[[#This Row],[Fecha]]),MONTH(T_Stocks[[#This Row],[Fecha]]),DAY(T_Stocks[[#This Row],[Fecha]]))</f>
        <v>VTSAX-43717</v>
      </c>
    </row>
    <row r="6925" spans="1:4" ht="14.65" thickBot="1" x14ac:dyDescent="0.5">
      <c r="A6925" s="17">
        <v>43718.666666666664</v>
      </c>
      <c r="B6925" s="19">
        <v>73.930000000000007</v>
      </c>
      <c r="C6925" t="s">
        <v>32</v>
      </c>
      <c r="D6925" t="str">
        <f>T_Stocks[[#This Row],[Ticker]] &amp; "-" &amp; DATE(YEAR(T_Stocks[[#This Row],[Fecha]]),MONTH(T_Stocks[[#This Row],[Fecha]]),DAY(T_Stocks[[#This Row],[Fecha]]))</f>
        <v>VTSAX-43718</v>
      </c>
    </row>
    <row r="6926" spans="1:4" ht="14.65" thickBot="1" x14ac:dyDescent="0.5">
      <c r="A6926" s="17">
        <v>43719.666666666664</v>
      </c>
      <c r="B6926" s="19">
        <v>74.55</v>
      </c>
      <c r="C6926" t="s">
        <v>32</v>
      </c>
      <c r="D6926" t="str">
        <f>T_Stocks[[#This Row],[Ticker]] &amp; "-" &amp; DATE(YEAR(T_Stocks[[#This Row],[Fecha]]),MONTH(T_Stocks[[#This Row],[Fecha]]),DAY(T_Stocks[[#This Row],[Fecha]]))</f>
        <v>VTSAX-43719</v>
      </c>
    </row>
    <row r="6927" spans="1:4" ht="14.65" thickBot="1" x14ac:dyDescent="0.5">
      <c r="A6927" s="17">
        <v>43720.666666666664</v>
      </c>
      <c r="B6927" s="19">
        <v>74.739999999999995</v>
      </c>
      <c r="C6927" t="s">
        <v>32</v>
      </c>
      <c r="D6927" t="str">
        <f>T_Stocks[[#This Row],[Ticker]] &amp; "-" &amp; DATE(YEAR(T_Stocks[[#This Row],[Fecha]]),MONTH(T_Stocks[[#This Row],[Fecha]]),DAY(T_Stocks[[#This Row],[Fecha]]))</f>
        <v>VTSAX-43720</v>
      </c>
    </row>
    <row r="6928" spans="1:4" ht="14.65" thickBot="1" x14ac:dyDescent="0.5">
      <c r="A6928" s="17">
        <v>43721.666666666664</v>
      </c>
      <c r="B6928" s="19">
        <v>74.37</v>
      </c>
      <c r="C6928" t="s">
        <v>32</v>
      </c>
      <c r="D6928" t="str">
        <f>T_Stocks[[#This Row],[Ticker]] &amp; "-" &amp; DATE(YEAR(T_Stocks[[#This Row],[Fecha]]),MONTH(T_Stocks[[#This Row],[Fecha]]),DAY(T_Stocks[[#This Row],[Fecha]]))</f>
        <v>VTSAX-43721</v>
      </c>
    </row>
    <row r="6929" spans="1:4" ht="14.65" thickBot="1" x14ac:dyDescent="0.5">
      <c r="A6929" s="17">
        <v>43724.666666666664</v>
      </c>
      <c r="B6929" s="19">
        <v>74.23</v>
      </c>
      <c r="C6929" t="s">
        <v>32</v>
      </c>
      <c r="D6929" t="str">
        <f>T_Stocks[[#This Row],[Ticker]] &amp; "-" &amp; DATE(YEAR(T_Stocks[[#This Row],[Fecha]]),MONTH(T_Stocks[[#This Row],[Fecha]]),DAY(T_Stocks[[#This Row],[Fecha]]))</f>
        <v>VTSAX-43724</v>
      </c>
    </row>
    <row r="6930" spans="1:4" ht="14.65" thickBot="1" x14ac:dyDescent="0.5">
      <c r="A6930" s="17">
        <v>43725.666666666664</v>
      </c>
      <c r="B6930" s="19">
        <v>74.400000000000006</v>
      </c>
      <c r="C6930" t="s">
        <v>32</v>
      </c>
      <c r="D6930" t="str">
        <f>T_Stocks[[#This Row],[Ticker]] &amp; "-" &amp; DATE(YEAR(T_Stocks[[#This Row],[Fecha]]),MONTH(T_Stocks[[#This Row],[Fecha]]),DAY(T_Stocks[[#This Row],[Fecha]]))</f>
        <v>VTSAX-43725</v>
      </c>
    </row>
    <row r="6931" spans="1:4" ht="14.65" thickBot="1" x14ac:dyDescent="0.5">
      <c r="A6931" s="17">
        <v>43726.666666666664</v>
      </c>
      <c r="B6931" s="19">
        <v>74.37</v>
      </c>
      <c r="C6931" t="s">
        <v>32</v>
      </c>
      <c r="D6931" t="str">
        <f>T_Stocks[[#This Row],[Ticker]] &amp; "-" &amp; DATE(YEAR(T_Stocks[[#This Row],[Fecha]]),MONTH(T_Stocks[[#This Row],[Fecha]]),DAY(T_Stocks[[#This Row],[Fecha]]))</f>
        <v>VTSAX-43726</v>
      </c>
    </row>
    <row r="6932" spans="1:4" ht="14.65" thickBot="1" x14ac:dyDescent="0.5">
      <c r="A6932" s="17">
        <v>43727.666666666664</v>
      </c>
      <c r="B6932" s="19">
        <v>74.349999999999994</v>
      </c>
      <c r="C6932" t="s">
        <v>32</v>
      </c>
      <c r="D6932" t="str">
        <f>T_Stocks[[#This Row],[Ticker]] &amp; "-" &amp; DATE(YEAR(T_Stocks[[#This Row],[Fecha]]),MONTH(T_Stocks[[#This Row],[Fecha]]),DAY(T_Stocks[[#This Row],[Fecha]]))</f>
        <v>VTSAX-43727</v>
      </c>
    </row>
    <row r="6933" spans="1:4" ht="14.65" thickBot="1" x14ac:dyDescent="0.5">
      <c r="A6933" s="17">
        <v>43728.666666666664</v>
      </c>
      <c r="B6933" s="19">
        <v>74.02</v>
      </c>
      <c r="C6933" t="s">
        <v>32</v>
      </c>
      <c r="D6933" t="str">
        <f>T_Stocks[[#This Row],[Ticker]] &amp; "-" &amp; DATE(YEAR(T_Stocks[[#This Row],[Fecha]]),MONTH(T_Stocks[[#This Row],[Fecha]]),DAY(T_Stocks[[#This Row],[Fecha]]))</f>
        <v>VTSAX-43728</v>
      </c>
    </row>
    <row r="6934" spans="1:4" ht="14.65" thickBot="1" x14ac:dyDescent="0.5">
      <c r="A6934" s="17">
        <v>43731.666666666664</v>
      </c>
      <c r="B6934" s="19">
        <v>74.010000000000005</v>
      </c>
      <c r="C6934" t="s">
        <v>32</v>
      </c>
      <c r="D6934" t="str">
        <f>T_Stocks[[#This Row],[Ticker]] &amp; "-" &amp; DATE(YEAR(T_Stocks[[#This Row],[Fecha]]),MONTH(T_Stocks[[#This Row],[Fecha]]),DAY(T_Stocks[[#This Row],[Fecha]]))</f>
        <v>VTSAX-43731</v>
      </c>
    </row>
    <row r="6935" spans="1:4" ht="14.65" thickBot="1" x14ac:dyDescent="0.5">
      <c r="A6935" s="17">
        <v>43732.666666666664</v>
      </c>
      <c r="B6935" s="19">
        <v>73.319999999999993</v>
      </c>
      <c r="C6935" t="s">
        <v>32</v>
      </c>
      <c r="D6935" t="str">
        <f>T_Stocks[[#This Row],[Ticker]] &amp; "-" &amp; DATE(YEAR(T_Stocks[[#This Row],[Fecha]]),MONTH(T_Stocks[[#This Row],[Fecha]]),DAY(T_Stocks[[#This Row],[Fecha]]))</f>
        <v>VTSAX-43732</v>
      </c>
    </row>
    <row r="6936" spans="1:4" ht="14.65" thickBot="1" x14ac:dyDescent="0.5">
      <c r="A6936" s="17">
        <v>43733.666666666664</v>
      </c>
      <c r="B6936" s="19">
        <v>73.81</v>
      </c>
      <c r="C6936" t="s">
        <v>32</v>
      </c>
      <c r="D6936" t="str">
        <f>T_Stocks[[#This Row],[Ticker]] &amp; "-" &amp; DATE(YEAR(T_Stocks[[#This Row],[Fecha]]),MONTH(T_Stocks[[#This Row],[Fecha]]),DAY(T_Stocks[[#This Row],[Fecha]]))</f>
        <v>VTSAX-43733</v>
      </c>
    </row>
    <row r="6937" spans="1:4" ht="14.65" thickBot="1" x14ac:dyDescent="0.5">
      <c r="A6937" s="17">
        <v>43734.666666666664</v>
      </c>
      <c r="B6937" s="19">
        <v>73.569999999999993</v>
      </c>
      <c r="C6937" t="s">
        <v>32</v>
      </c>
      <c r="D6937" t="str">
        <f>T_Stocks[[#This Row],[Ticker]] &amp; "-" &amp; DATE(YEAR(T_Stocks[[#This Row],[Fecha]]),MONTH(T_Stocks[[#This Row],[Fecha]]),DAY(T_Stocks[[#This Row],[Fecha]]))</f>
        <v>VTSAX-43734</v>
      </c>
    </row>
    <row r="6938" spans="1:4" ht="14.65" thickBot="1" x14ac:dyDescent="0.5">
      <c r="A6938" s="17">
        <v>43735.666666666664</v>
      </c>
      <c r="B6938" s="19">
        <v>73.14</v>
      </c>
      <c r="C6938" t="s">
        <v>32</v>
      </c>
      <c r="D6938" t="str">
        <f>T_Stocks[[#This Row],[Ticker]] &amp; "-" &amp; DATE(YEAR(T_Stocks[[#This Row],[Fecha]]),MONTH(T_Stocks[[#This Row],[Fecha]]),DAY(T_Stocks[[#This Row],[Fecha]]))</f>
        <v>VTSAX-43735</v>
      </c>
    </row>
    <row r="6939" spans="1:4" ht="14.65" thickBot="1" x14ac:dyDescent="0.5">
      <c r="A6939" s="17">
        <v>43738.666666666664</v>
      </c>
      <c r="B6939" s="19">
        <v>73.5</v>
      </c>
      <c r="C6939" t="s">
        <v>32</v>
      </c>
      <c r="D6939" t="str">
        <f>T_Stocks[[#This Row],[Ticker]] &amp; "-" &amp; DATE(YEAR(T_Stocks[[#This Row],[Fecha]]),MONTH(T_Stocks[[#This Row],[Fecha]]),DAY(T_Stocks[[#This Row],[Fecha]]))</f>
        <v>VTSAX-43738</v>
      </c>
    </row>
    <row r="6940" spans="1:4" ht="14.65" thickBot="1" x14ac:dyDescent="0.5">
      <c r="A6940" s="17">
        <v>43739.666666666664</v>
      </c>
      <c r="B6940" s="19">
        <v>72.55</v>
      </c>
      <c r="C6940" t="s">
        <v>32</v>
      </c>
      <c r="D6940" t="str">
        <f>T_Stocks[[#This Row],[Ticker]] &amp; "-" &amp; DATE(YEAR(T_Stocks[[#This Row],[Fecha]]),MONTH(T_Stocks[[#This Row],[Fecha]]),DAY(T_Stocks[[#This Row],[Fecha]]))</f>
        <v>VTSAX-43739</v>
      </c>
    </row>
    <row r="6941" spans="1:4" ht="14.65" thickBot="1" x14ac:dyDescent="0.5">
      <c r="A6941" s="17">
        <v>43740.666666666664</v>
      </c>
      <c r="B6941" s="19">
        <v>71.319999999999993</v>
      </c>
      <c r="C6941" t="s">
        <v>32</v>
      </c>
      <c r="D6941" t="str">
        <f>T_Stocks[[#This Row],[Ticker]] &amp; "-" &amp; DATE(YEAR(T_Stocks[[#This Row],[Fecha]]),MONTH(T_Stocks[[#This Row],[Fecha]]),DAY(T_Stocks[[#This Row],[Fecha]]))</f>
        <v>VTSAX-43740</v>
      </c>
    </row>
    <row r="6942" spans="1:4" ht="14.65" thickBot="1" x14ac:dyDescent="0.5">
      <c r="A6942" s="17">
        <v>43741.666666666664</v>
      </c>
      <c r="B6942" s="19">
        <v>71.91</v>
      </c>
      <c r="C6942" t="s">
        <v>32</v>
      </c>
      <c r="D6942" t="str">
        <f>T_Stocks[[#This Row],[Ticker]] &amp; "-" &amp; DATE(YEAR(T_Stocks[[#This Row],[Fecha]]),MONTH(T_Stocks[[#This Row],[Fecha]]),DAY(T_Stocks[[#This Row],[Fecha]]))</f>
        <v>VTSAX-43741</v>
      </c>
    </row>
    <row r="6943" spans="1:4" ht="14.65" thickBot="1" x14ac:dyDescent="0.5">
      <c r="A6943" s="17">
        <v>43742.666666666664</v>
      </c>
      <c r="B6943" s="19">
        <v>72.88</v>
      </c>
      <c r="C6943" t="s">
        <v>32</v>
      </c>
      <c r="D6943" t="str">
        <f>T_Stocks[[#This Row],[Ticker]] &amp; "-" &amp; DATE(YEAR(T_Stocks[[#This Row],[Fecha]]),MONTH(T_Stocks[[#This Row],[Fecha]]),DAY(T_Stocks[[#This Row],[Fecha]]))</f>
        <v>VTSAX-43742</v>
      </c>
    </row>
    <row r="6944" spans="1:4" ht="14.65" thickBot="1" x14ac:dyDescent="0.5">
      <c r="A6944" s="17">
        <v>43745.666666666664</v>
      </c>
      <c r="B6944" s="19">
        <v>72.59</v>
      </c>
      <c r="C6944" t="s">
        <v>32</v>
      </c>
      <c r="D6944" t="str">
        <f>T_Stocks[[#This Row],[Ticker]] &amp; "-" &amp; DATE(YEAR(T_Stocks[[#This Row],[Fecha]]),MONTH(T_Stocks[[#This Row],[Fecha]]),DAY(T_Stocks[[#This Row],[Fecha]]))</f>
        <v>VTSAX-43745</v>
      </c>
    </row>
    <row r="6945" spans="1:4" ht="14.65" thickBot="1" x14ac:dyDescent="0.5">
      <c r="A6945" s="17">
        <v>43746.666666666664</v>
      </c>
      <c r="B6945" s="19">
        <v>71.430000000000007</v>
      </c>
      <c r="C6945" t="s">
        <v>32</v>
      </c>
      <c r="D6945" t="str">
        <f>T_Stocks[[#This Row],[Ticker]] &amp; "-" &amp; DATE(YEAR(T_Stocks[[#This Row],[Fecha]]),MONTH(T_Stocks[[#This Row],[Fecha]]),DAY(T_Stocks[[#This Row],[Fecha]]))</f>
        <v>VTSAX-43746</v>
      </c>
    </row>
    <row r="6946" spans="1:4" ht="14.65" thickBot="1" x14ac:dyDescent="0.5">
      <c r="A6946" s="17">
        <v>43747.666666666664</v>
      </c>
      <c r="B6946" s="19">
        <v>72.08</v>
      </c>
      <c r="C6946" t="s">
        <v>32</v>
      </c>
      <c r="D6946" t="str">
        <f>T_Stocks[[#This Row],[Ticker]] &amp; "-" &amp; DATE(YEAR(T_Stocks[[#This Row],[Fecha]]),MONTH(T_Stocks[[#This Row],[Fecha]]),DAY(T_Stocks[[#This Row],[Fecha]]))</f>
        <v>VTSAX-43747</v>
      </c>
    </row>
    <row r="6947" spans="1:4" ht="14.65" thickBot="1" x14ac:dyDescent="0.5">
      <c r="A6947" s="17">
        <v>43748.666666666664</v>
      </c>
      <c r="B6947" s="19">
        <v>72.5</v>
      </c>
      <c r="C6947" t="s">
        <v>32</v>
      </c>
      <c r="D6947" t="str">
        <f>T_Stocks[[#This Row],[Ticker]] &amp; "-" &amp; DATE(YEAR(T_Stocks[[#This Row],[Fecha]]),MONTH(T_Stocks[[#This Row],[Fecha]]),DAY(T_Stocks[[#This Row],[Fecha]]))</f>
        <v>VTSAX-43748</v>
      </c>
    </row>
    <row r="6948" spans="1:4" ht="14.65" thickBot="1" x14ac:dyDescent="0.5">
      <c r="A6948" s="17">
        <v>43749.666666666664</v>
      </c>
      <c r="B6948" s="19">
        <v>73.36</v>
      </c>
      <c r="C6948" t="s">
        <v>32</v>
      </c>
      <c r="D6948" t="str">
        <f>T_Stocks[[#This Row],[Ticker]] &amp; "-" &amp; DATE(YEAR(T_Stocks[[#This Row],[Fecha]]),MONTH(T_Stocks[[#This Row],[Fecha]]),DAY(T_Stocks[[#This Row],[Fecha]]))</f>
        <v>VTSAX-43749</v>
      </c>
    </row>
    <row r="6949" spans="1:4" ht="14.65" thickBot="1" x14ac:dyDescent="0.5">
      <c r="A6949" s="17">
        <v>43752.666666666664</v>
      </c>
      <c r="B6949" s="19">
        <v>73.239999999999995</v>
      </c>
      <c r="C6949" t="s">
        <v>32</v>
      </c>
      <c r="D6949" t="str">
        <f>T_Stocks[[#This Row],[Ticker]] &amp; "-" &amp; DATE(YEAR(T_Stocks[[#This Row],[Fecha]]),MONTH(T_Stocks[[#This Row],[Fecha]]),DAY(T_Stocks[[#This Row],[Fecha]]))</f>
        <v>VTSAX-43752</v>
      </c>
    </row>
    <row r="6950" spans="1:4" ht="14.65" thickBot="1" x14ac:dyDescent="0.5">
      <c r="A6950" s="17">
        <v>43753.666666666664</v>
      </c>
      <c r="B6950" s="19">
        <v>73.959999999999994</v>
      </c>
      <c r="C6950" t="s">
        <v>32</v>
      </c>
      <c r="D6950" t="str">
        <f>T_Stocks[[#This Row],[Ticker]] &amp; "-" &amp; DATE(YEAR(T_Stocks[[#This Row],[Fecha]]),MONTH(T_Stocks[[#This Row],[Fecha]]),DAY(T_Stocks[[#This Row],[Fecha]]))</f>
        <v>VTSAX-43753</v>
      </c>
    </row>
    <row r="6951" spans="1:4" ht="14.65" thickBot="1" x14ac:dyDescent="0.5">
      <c r="A6951" s="17">
        <v>43754.666666666664</v>
      </c>
      <c r="B6951" s="19">
        <v>73.8</v>
      </c>
      <c r="C6951" t="s">
        <v>32</v>
      </c>
      <c r="D6951" t="str">
        <f>T_Stocks[[#This Row],[Ticker]] &amp; "-" &amp; DATE(YEAR(T_Stocks[[#This Row],[Fecha]]),MONTH(T_Stocks[[#This Row],[Fecha]]),DAY(T_Stocks[[#This Row],[Fecha]]))</f>
        <v>VTSAX-43754</v>
      </c>
    </row>
    <row r="6952" spans="1:4" ht="14.65" thickBot="1" x14ac:dyDescent="0.5">
      <c r="A6952" s="17">
        <v>43755.666666666664</v>
      </c>
      <c r="B6952" s="19">
        <v>74.069999999999993</v>
      </c>
      <c r="C6952" t="s">
        <v>32</v>
      </c>
      <c r="D6952" t="str">
        <f>T_Stocks[[#This Row],[Ticker]] &amp; "-" &amp; DATE(YEAR(T_Stocks[[#This Row],[Fecha]]),MONTH(T_Stocks[[#This Row],[Fecha]]),DAY(T_Stocks[[#This Row],[Fecha]]))</f>
        <v>VTSAX-43755</v>
      </c>
    </row>
    <row r="6953" spans="1:4" ht="14.65" thickBot="1" x14ac:dyDescent="0.5">
      <c r="A6953" s="17">
        <v>43756.666666666664</v>
      </c>
      <c r="B6953" s="19">
        <v>73.77</v>
      </c>
      <c r="C6953" t="s">
        <v>32</v>
      </c>
      <c r="D6953" t="str">
        <f>T_Stocks[[#This Row],[Ticker]] &amp; "-" &amp; DATE(YEAR(T_Stocks[[#This Row],[Fecha]]),MONTH(T_Stocks[[#This Row],[Fecha]]),DAY(T_Stocks[[#This Row],[Fecha]]))</f>
        <v>VTSAX-43756</v>
      </c>
    </row>
    <row r="6954" spans="1:4" ht="14.65" thickBot="1" x14ac:dyDescent="0.5">
      <c r="A6954" s="17">
        <v>43759.666666666664</v>
      </c>
      <c r="B6954" s="19">
        <v>74.28</v>
      </c>
      <c r="C6954" t="s">
        <v>32</v>
      </c>
      <c r="D6954" t="str">
        <f>T_Stocks[[#This Row],[Ticker]] &amp; "-" &amp; DATE(YEAR(T_Stocks[[#This Row],[Fecha]]),MONTH(T_Stocks[[#This Row],[Fecha]]),DAY(T_Stocks[[#This Row],[Fecha]]))</f>
        <v>VTSAX-43759</v>
      </c>
    </row>
    <row r="6955" spans="1:4" ht="14.65" thickBot="1" x14ac:dyDescent="0.5">
      <c r="A6955" s="17">
        <v>43760.666666666664</v>
      </c>
      <c r="B6955" s="19">
        <v>74.02</v>
      </c>
      <c r="C6955" t="s">
        <v>32</v>
      </c>
      <c r="D6955" t="str">
        <f>T_Stocks[[#This Row],[Ticker]] &amp; "-" &amp; DATE(YEAR(T_Stocks[[#This Row],[Fecha]]),MONTH(T_Stocks[[#This Row],[Fecha]]),DAY(T_Stocks[[#This Row],[Fecha]]))</f>
        <v>VTSAX-43760</v>
      </c>
    </row>
    <row r="6956" spans="1:4" ht="14.65" thickBot="1" x14ac:dyDescent="0.5">
      <c r="A6956" s="17">
        <v>43761.666666666664</v>
      </c>
      <c r="B6956" s="19">
        <v>74.209999999999994</v>
      </c>
      <c r="C6956" t="s">
        <v>32</v>
      </c>
      <c r="D6956" t="str">
        <f>T_Stocks[[#This Row],[Ticker]] &amp; "-" &amp; DATE(YEAR(T_Stocks[[#This Row],[Fecha]]),MONTH(T_Stocks[[#This Row],[Fecha]]),DAY(T_Stocks[[#This Row],[Fecha]]))</f>
        <v>VTSAX-43761</v>
      </c>
    </row>
    <row r="6957" spans="1:4" ht="14.65" thickBot="1" x14ac:dyDescent="0.5">
      <c r="A6957" s="17">
        <v>43762.666666666664</v>
      </c>
      <c r="B6957" s="19">
        <v>74.39</v>
      </c>
      <c r="C6957" t="s">
        <v>32</v>
      </c>
      <c r="D6957" t="str">
        <f>T_Stocks[[#This Row],[Ticker]] &amp; "-" &amp; DATE(YEAR(T_Stocks[[#This Row],[Fecha]]),MONTH(T_Stocks[[#This Row],[Fecha]]),DAY(T_Stocks[[#This Row],[Fecha]]))</f>
        <v>VTSAX-43762</v>
      </c>
    </row>
    <row r="6958" spans="1:4" ht="14.65" thickBot="1" x14ac:dyDescent="0.5">
      <c r="A6958" s="17">
        <v>43763.666666666664</v>
      </c>
      <c r="B6958" s="19">
        <v>74.709999999999994</v>
      </c>
      <c r="C6958" t="s">
        <v>32</v>
      </c>
      <c r="D6958" t="str">
        <f>T_Stocks[[#This Row],[Ticker]] &amp; "-" &amp; DATE(YEAR(T_Stocks[[#This Row],[Fecha]]),MONTH(T_Stocks[[#This Row],[Fecha]]),DAY(T_Stocks[[#This Row],[Fecha]]))</f>
        <v>VTSAX-43763</v>
      </c>
    </row>
    <row r="6959" spans="1:4" ht="14.65" thickBot="1" x14ac:dyDescent="0.5">
      <c r="A6959" s="17">
        <v>43766.666666666664</v>
      </c>
      <c r="B6959" s="19">
        <v>75.14</v>
      </c>
      <c r="C6959" t="s">
        <v>32</v>
      </c>
      <c r="D6959" t="str">
        <f>T_Stocks[[#This Row],[Ticker]] &amp; "-" &amp; DATE(YEAR(T_Stocks[[#This Row],[Fecha]]),MONTH(T_Stocks[[#This Row],[Fecha]]),DAY(T_Stocks[[#This Row],[Fecha]]))</f>
        <v>VTSAX-43766</v>
      </c>
    </row>
    <row r="6960" spans="1:4" ht="14.65" thickBot="1" x14ac:dyDescent="0.5">
      <c r="A6960" s="17">
        <v>43767.666666666664</v>
      </c>
      <c r="B6960" s="19">
        <v>75.14</v>
      </c>
      <c r="C6960" t="s">
        <v>32</v>
      </c>
      <c r="D6960" t="str">
        <f>T_Stocks[[#This Row],[Ticker]] &amp; "-" &amp; DATE(YEAR(T_Stocks[[#This Row],[Fecha]]),MONTH(T_Stocks[[#This Row],[Fecha]]),DAY(T_Stocks[[#This Row],[Fecha]]))</f>
        <v>VTSAX-43767</v>
      </c>
    </row>
    <row r="6961" spans="1:4" ht="14.65" thickBot="1" x14ac:dyDescent="0.5">
      <c r="A6961" s="17">
        <v>43768.666666666664</v>
      </c>
      <c r="B6961" s="19">
        <v>75.319999999999993</v>
      </c>
      <c r="C6961" t="s">
        <v>32</v>
      </c>
      <c r="D6961" t="str">
        <f>T_Stocks[[#This Row],[Ticker]] &amp; "-" &amp; DATE(YEAR(T_Stocks[[#This Row],[Fecha]]),MONTH(T_Stocks[[#This Row],[Fecha]]),DAY(T_Stocks[[#This Row],[Fecha]]))</f>
        <v>VTSAX-43768</v>
      </c>
    </row>
    <row r="6962" spans="1:4" ht="14.65" thickBot="1" x14ac:dyDescent="0.5">
      <c r="A6962" s="17">
        <v>43769.666666666664</v>
      </c>
      <c r="B6962" s="19">
        <v>75.05</v>
      </c>
      <c r="C6962" t="s">
        <v>32</v>
      </c>
      <c r="D6962" t="str">
        <f>T_Stocks[[#This Row],[Ticker]] &amp; "-" &amp; DATE(YEAR(T_Stocks[[#This Row],[Fecha]]),MONTH(T_Stocks[[#This Row],[Fecha]]),DAY(T_Stocks[[#This Row],[Fecha]]))</f>
        <v>VTSAX-43769</v>
      </c>
    </row>
    <row r="6963" spans="1:4" ht="14.65" thickBot="1" x14ac:dyDescent="0.5">
      <c r="A6963" s="17">
        <v>43770.666666666664</v>
      </c>
      <c r="B6963" s="19">
        <v>75.84</v>
      </c>
      <c r="C6963" t="s">
        <v>32</v>
      </c>
      <c r="D6963" t="str">
        <f>T_Stocks[[#This Row],[Ticker]] &amp; "-" &amp; DATE(YEAR(T_Stocks[[#This Row],[Fecha]]),MONTH(T_Stocks[[#This Row],[Fecha]]),DAY(T_Stocks[[#This Row],[Fecha]]))</f>
        <v>VTSAX-43770</v>
      </c>
    </row>
    <row r="6964" spans="1:4" ht="14.65" thickBot="1" x14ac:dyDescent="0.5">
      <c r="A6964" s="17">
        <v>43773.666666666664</v>
      </c>
      <c r="B6964" s="19">
        <v>76.11</v>
      </c>
      <c r="C6964" t="s">
        <v>32</v>
      </c>
      <c r="D6964" t="str">
        <f>T_Stocks[[#This Row],[Ticker]] &amp; "-" &amp; DATE(YEAR(T_Stocks[[#This Row],[Fecha]]),MONTH(T_Stocks[[#This Row],[Fecha]]),DAY(T_Stocks[[#This Row],[Fecha]]))</f>
        <v>VTSAX-43773</v>
      </c>
    </row>
    <row r="6965" spans="1:4" ht="14.65" thickBot="1" x14ac:dyDescent="0.5">
      <c r="A6965" s="17">
        <v>43774.666666666664</v>
      </c>
      <c r="B6965" s="19">
        <v>76.03</v>
      </c>
      <c r="C6965" t="s">
        <v>32</v>
      </c>
      <c r="D6965" t="str">
        <f>T_Stocks[[#This Row],[Ticker]] &amp; "-" &amp; DATE(YEAR(T_Stocks[[#This Row],[Fecha]]),MONTH(T_Stocks[[#This Row],[Fecha]]),DAY(T_Stocks[[#This Row],[Fecha]]))</f>
        <v>VTSAX-43774</v>
      </c>
    </row>
    <row r="6966" spans="1:4" ht="14.65" thickBot="1" x14ac:dyDescent="0.5">
      <c r="A6966" s="17">
        <v>43775.666666666664</v>
      </c>
      <c r="B6966" s="19">
        <v>76.02</v>
      </c>
      <c r="C6966" t="s">
        <v>32</v>
      </c>
      <c r="D6966" t="str">
        <f>T_Stocks[[#This Row],[Ticker]] &amp; "-" &amp; DATE(YEAR(T_Stocks[[#This Row],[Fecha]]),MONTH(T_Stocks[[#This Row],[Fecha]]),DAY(T_Stocks[[#This Row],[Fecha]]))</f>
        <v>VTSAX-43775</v>
      </c>
    </row>
    <row r="6967" spans="1:4" ht="14.65" thickBot="1" x14ac:dyDescent="0.5">
      <c r="A6967" s="17">
        <v>43776.666666666664</v>
      </c>
      <c r="B6967" s="19">
        <v>76.260000000000005</v>
      </c>
      <c r="C6967" t="s">
        <v>32</v>
      </c>
      <c r="D6967" t="str">
        <f>T_Stocks[[#This Row],[Ticker]] &amp; "-" &amp; DATE(YEAR(T_Stocks[[#This Row],[Fecha]]),MONTH(T_Stocks[[#This Row],[Fecha]]),DAY(T_Stocks[[#This Row],[Fecha]]))</f>
        <v>VTSAX-43776</v>
      </c>
    </row>
    <row r="6968" spans="1:4" ht="14.65" thickBot="1" x14ac:dyDescent="0.5">
      <c r="A6968" s="17">
        <v>43777.666666666664</v>
      </c>
      <c r="B6968" s="19">
        <v>76.489999999999995</v>
      </c>
      <c r="C6968" t="s">
        <v>32</v>
      </c>
      <c r="D6968" t="str">
        <f>T_Stocks[[#This Row],[Ticker]] &amp; "-" &amp; DATE(YEAR(T_Stocks[[#This Row],[Fecha]]),MONTH(T_Stocks[[#This Row],[Fecha]]),DAY(T_Stocks[[#This Row],[Fecha]]))</f>
        <v>VTSAX-43777</v>
      </c>
    </row>
    <row r="6969" spans="1:4" ht="14.65" thickBot="1" x14ac:dyDescent="0.5">
      <c r="A6969" s="17">
        <v>43780.666666666664</v>
      </c>
      <c r="B6969" s="19">
        <v>76.36</v>
      </c>
      <c r="C6969" t="s">
        <v>32</v>
      </c>
      <c r="D6969" t="str">
        <f>T_Stocks[[#This Row],[Ticker]] &amp; "-" &amp; DATE(YEAR(T_Stocks[[#This Row],[Fecha]]),MONTH(T_Stocks[[#This Row],[Fecha]]),DAY(T_Stocks[[#This Row],[Fecha]]))</f>
        <v>VTSAX-43780</v>
      </c>
    </row>
    <row r="6970" spans="1:4" ht="14.65" thickBot="1" x14ac:dyDescent="0.5">
      <c r="A6970" s="17">
        <v>43781.666666666664</v>
      </c>
      <c r="B6970" s="19">
        <v>76.47</v>
      </c>
      <c r="C6970" t="s">
        <v>32</v>
      </c>
      <c r="D6970" t="str">
        <f>T_Stocks[[#This Row],[Ticker]] &amp; "-" &amp; DATE(YEAR(T_Stocks[[#This Row],[Fecha]]),MONTH(T_Stocks[[#This Row],[Fecha]]),DAY(T_Stocks[[#This Row],[Fecha]]))</f>
        <v>VTSAX-43781</v>
      </c>
    </row>
    <row r="6971" spans="1:4" ht="14.65" thickBot="1" x14ac:dyDescent="0.5">
      <c r="A6971" s="17">
        <v>43782.666666666664</v>
      </c>
      <c r="B6971" s="19">
        <v>76.510000000000005</v>
      </c>
      <c r="C6971" t="s">
        <v>32</v>
      </c>
      <c r="D6971" t="str">
        <f>T_Stocks[[#This Row],[Ticker]] &amp; "-" &amp; DATE(YEAR(T_Stocks[[#This Row],[Fecha]]),MONTH(T_Stocks[[#This Row],[Fecha]]),DAY(T_Stocks[[#This Row],[Fecha]]))</f>
        <v>VTSAX-43782</v>
      </c>
    </row>
    <row r="6972" spans="1:4" ht="14.65" thickBot="1" x14ac:dyDescent="0.5">
      <c r="A6972" s="17">
        <v>43783.666666666664</v>
      </c>
      <c r="B6972" s="19">
        <v>76.599999999999994</v>
      </c>
      <c r="C6972" t="s">
        <v>32</v>
      </c>
      <c r="D6972" t="str">
        <f>T_Stocks[[#This Row],[Ticker]] &amp; "-" &amp; DATE(YEAR(T_Stocks[[#This Row],[Fecha]]),MONTH(T_Stocks[[#This Row],[Fecha]]),DAY(T_Stocks[[#This Row],[Fecha]]))</f>
        <v>VTSAX-43783</v>
      </c>
    </row>
    <row r="6973" spans="1:4" ht="14.65" thickBot="1" x14ac:dyDescent="0.5">
      <c r="A6973" s="17">
        <v>43784.666666666664</v>
      </c>
      <c r="B6973" s="19">
        <v>77.180000000000007</v>
      </c>
      <c r="C6973" t="s">
        <v>32</v>
      </c>
      <c r="D6973" t="str">
        <f>T_Stocks[[#This Row],[Ticker]] &amp; "-" &amp; DATE(YEAR(T_Stocks[[#This Row],[Fecha]]),MONTH(T_Stocks[[#This Row],[Fecha]]),DAY(T_Stocks[[#This Row],[Fecha]]))</f>
        <v>VTSAX-43784</v>
      </c>
    </row>
    <row r="6974" spans="1:4" ht="14.65" thickBot="1" x14ac:dyDescent="0.5">
      <c r="A6974" s="17">
        <v>43787.666666666664</v>
      </c>
      <c r="B6974" s="19">
        <v>77.209999999999994</v>
      </c>
      <c r="C6974" t="s">
        <v>32</v>
      </c>
      <c r="D6974" t="str">
        <f>T_Stocks[[#This Row],[Ticker]] &amp; "-" &amp; DATE(YEAR(T_Stocks[[#This Row],[Fecha]]),MONTH(T_Stocks[[#This Row],[Fecha]]),DAY(T_Stocks[[#This Row],[Fecha]]))</f>
        <v>VTSAX-43787</v>
      </c>
    </row>
    <row r="6975" spans="1:4" ht="14.65" thickBot="1" x14ac:dyDescent="0.5">
      <c r="A6975" s="17">
        <v>43788.666666666664</v>
      </c>
      <c r="B6975" s="19">
        <v>77.22</v>
      </c>
      <c r="C6975" t="s">
        <v>32</v>
      </c>
      <c r="D6975" t="str">
        <f>T_Stocks[[#This Row],[Ticker]] &amp; "-" &amp; DATE(YEAR(T_Stocks[[#This Row],[Fecha]]),MONTH(T_Stocks[[#This Row],[Fecha]]),DAY(T_Stocks[[#This Row],[Fecha]]))</f>
        <v>VTSAX-43788</v>
      </c>
    </row>
    <row r="6976" spans="1:4" ht="14.65" thickBot="1" x14ac:dyDescent="0.5">
      <c r="A6976" s="17">
        <v>43789.666666666664</v>
      </c>
      <c r="B6976" s="19">
        <v>76.98</v>
      </c>
      <c r="C6976" t="s">
        <v>32</v>
      </c>
      <c r="D6976" t="str">
        <f>T_Stocks[[#This Row],[Ticker]] &amp; "-" &amp; DATE(YEAR(T_Stocks[[#This Row],[Fecha]]),MONTH(T_Stocks[[#This Row],[Fecha]]),DAY(T_Stocks[[#This Row],[Fecha]]))</f>
        <v>VTSAX-43789</v>
      </c>
    </row>
    <row r="6977" spans="1:4" ht="14.65" thickBot="1" x14ac:dyDescent="0.5">
      <c r="A6977" s="17">
        <v>43790.666666666664</v>
      </c>
      <c r="B6977" s="19">
        <v>76.819999999999993</v>
      </c>
      <c r="C6977" t="s">
        <v>32</v>
      </c>
      <c r="D6977" t="str">
        <f>T_Stocks[[#This Row],[Ticker]] &amp; "-" &amp; DATE(YEAR(T_Stocks[[#This Row],[Fecha]]),MONTH(T_Stocks[[#This Row],[Fecha]]),DAY(T_Stocks[[#This Row],[Fecha]]))</f>
        <v>VTSAX-43790</v>
      </c>
    </row>
    <row r="6978" spans="1:4" ht="14.65" thickBot="1" x14ac:dyDescent="0.5">
      <c r="A6978" s="17">
        <v>43791.666666666664</v>
      </c>
      <c r="B6978" s="19">
        <v>77</v>
      </c>
      <c r="C6978" t="s">
        <v>32</v>
      </c>
      <c r="D6978" t="str">
        <f>T_Stocks[[#This Row],[Ticker]] &amp; "-" &amp; DATE(YEAR(T_Stocks[[#This Row],[Fecha]]),MONTH(T_Stocks[[#This Row],[Fecha]]),DAY(T_Stocks[[#This Row],[Fecha]]))</f>
        <v>VTSAX-43791</v>
      </c>
    </row>
    <row r="6979" spans="1:4" ht="14.65" thickBot="1" x14ac:dyDescent="0.5">
      <c r="A6979" s="17">
        <v>43794.666666666664</v>
      </c>
      <c r="B6979" s="19">
        <v>77.680000000000007</v>
      </c>
      <c r="C6979" t="s">
        <v>32</v>
      </c>
      <c r="D6979" t="str">
        <f>T_Stocks[[#This Row],[Ticker]] &amp; "-" &amp; DATE(YEAR(T_Stocks[[#This Row],[Fecha]]),MONTH(T_Stocks[[#This Row],[Fecha]]),DAY(T_Stocks[[#This Row],[Fecha]]))</f>
        <v>VTSAX-43794</v>
      </c>
    </row>
    <row r="6980" spans="1:4" ht="14.65" thickBot="1" x14ac:dyDescent="0.5">
      <c r="A6980" s="17">
        <v>43795.666666666664</v>
      </c>
      <c r="B6980" s="19">
        <v>77.87</v>
      </c>
      <c r="C6980" t="s">
        <v>32</v>
      </c>
      <c r="D6980" t="str">
        <f>T_Stocks[[#This Row],[Ticker]] &amp; "-" &amp; DATE(YEAR(T_Stocks[[#This Row],[Fecha]]),MONTH(T_Stocks[[#This Row],[Fecha]]),DAY(T_Stocks[[#This Row],[Fecha]]))</f>
        <v>VTSAX-43795</v>
      </c>
    </row>
    <row r="6981" spans="1:4" ht="14.65" thickBot="1" x14ac:dyDescent="0.5">
      <c r="A6981" s="17">
        <v>43796.666666666664</v>
      </c>
      <c r="B6981" s="19">
        <v>78.22</v>
      </c>
      <c r="C6981" t="s">
        <v>32</v>
      </c>
      <c r="D6981" t="str">
        <f>T_Stocks[[#This Row],[Ticker]] &amp; "-" &amp; DATE(YEAR(T_Stocks[[#This Row],[Fecha]]),MONTH(T_Stocks[[#This Row],[Fecha]]),DAY(T_Stocks[[#This Row],[Fecha]]))</f>
        <v>VTSAX-43796</v>
      </c>
    </row>
    <row r="6982" spans="1:4" ht="14.65" thickBot="1" x14ac:dyDescent="0.5">
      <c r="A6982" s="17">
        <v>43798.541666666664</v>
      </c>
      <c r="B6982" s="19">
        <v>77.89</v>
      </c>
      <c r="C6982" t="s">
        <v>32</v>
      </c>
      <c r="D6982" t="str">
        <f>T_Stocks[[#This Row],[Ticker]] &amp; "-" &amp; DATE(YEAR(T_Stocks[[#This Row],[Fecha]]),MONTH(T_Stocks[[#This Row],[Fecha]]),DAY(T_Stocks[[#This Row],[Fecha]]))</f>
        <v>VTSAX-43798</v>
      </c>
    </row>
    <row r="6983" spans="1:4" ht="14.65" thickBot="1" x14ac:dyDescent="0.5">
      <c r="A6983" s="17">
        <v>43801.666666666664</v>
      </c>
      <c r="B6983" s="19">
        <v>77.19</v>
      </c>
      <c r="C6983" t="s">
        <v>32</v>
      </c>
      <c r="D6983" t="str">
        <f>T_Stocks[[#This Row],[Ticker]] &amp; "-" &amp; DATE(YEAR(T_Stocks[[#This Row],[Fecha]]),MONTH(T_Stocks[[#This Row],[Fecha]]),DAY(T_Stocks[[#This Row],[Fecha]]))</f>
        <v>VTSAX-43801</v>
      </c>
    </row>
    <row r="6984" spans="1:4" ht="14.65" thickBot="1" x14ac:dyDescent="0.5">
      <c r="A6984" s="17">
        <v>43802.666666666664</v>
      </c>
      <c r="B6984" s="19">
        <v>76.72</v>
      </c>
      <c r="C6984" t="s">
        <v>32</v>
      </c>
      <c r="D6984" t="str">
        <f>T_Stocks[[#This Row],[Ticker]] &amp; "-" &amp; DATE(YEAR(T_Stocks[[#This Row],[Fecha]]),MONTH(T_Stocks[[#This Row],[Fecha]]),DAY(T_Stocks[[#This Row],[Fecha]]))</f>
        <v>VTSAX-43802</v>
      </c>
    </row>
    <row r="6985" spans="1:4" ht="14.65" thickBot="1" x14ac:dyDescent="0.5">
      <c r="A6985" s="17">
        <v>43803.666666666664</v>
      </c>
      <c r="B6985" s="19">
        <v>77.2</v>
      </c>
      <c r="C6985" t="s">
        <v>32</v>
      </c>
      <c r="D6985" t="str">
        <f>T_Stocks[[#This Row],[Ticker]] &amp; "-" &amp; DATE(YEAR(T_Stocks[[#This Row],[Fecha]]),MONTH(T_Stocks[[#This Row],[Fecha]]),DAY(T_Stocks[[#This Row],[Fecha]]))</f>
        <v>VTSAX-43803</v>
      </c>
    </row>
    <row r="6986" spans="1:4" ht="14.65" thickBot="1" x14ac:dyDescent="0.5">
      <c r="A6986" s="17">
        <v>43804.666666666664</v>
      </c>
      <c r="B6986" s="19">
        <v>77.31</v>
      </c>
      <c r="C6986" t="s">
        <v>32</v>
      </c>
      <c r="D6986" t="str">
        <f>T_Stocks[[#This Row],[Ticker]] &amp; "-" &amp; DATE(YEAR(T_Stocks[[#This Row],[Fecha]]),MONTH(T_Stocks[[#This Row],[Fecha]]),DAY(T_Stocks[[#This Row],[Fecha]]))</f>
        <v>VTSAX-43804</v>
      </c>
    </row>
    <row r="6987" spans="1:4" ht="14.65" thickBot="1" x14ac:dyDescent="0.5">
      <c r="A6987" s="17">
        <v>43805.666666666664</v>
      </c>
      <c r="B6987" s="19">
        <v>78.010000000000005</v>
      </c>
      <c r="C6987" t="s">
        <v>32</v>
      </c>
      <c r="D6987" t="str">
        <f>T_Stocks[[#This Row],[Ticker]] &amp; "-" &amp; DATE(YEAR(T_Stocks[[#This Row],[Fecha]]),MONTH(T_Stocks[[#This Row],[Fecha]]),DAY(T_Stocks[[#This Row],[Fecha]]))</f>
        <v>VTSAX-43805</v>
      </c>
    </row>
    <row r="6988" spans="1:4" ht="14.65" thickBot="1" x14ac:dyDescent="0.5">
      <c r="A6988" s="17">
        <v>43808.666666666664</v>
      </c>
      <c r="B6988" s="19">
        <v>77.77</v>
      </c>
      <c r="C6988" t="s">
        <v>32</v>
      </c>
      <c r="D6988" t="str">
        <f>T_Stocks[[#This Row],[Ticker]] &amp; "-" &amp; DATE(YEAR(T_Stocks[[#This Row],[Fecha]]),MONTH(T_Stocks[[#This Row],[Fecha]]),DAY(T_Stocks[[#This Row],[Fecha]]))</f>
        <v>VTSAX-43808</v>
      </c>
    </row>
    <row r="6989" spans="1:4" ht="14.65" thickBot="1" x14ac:dyDescent="0.5">
      <c r="A6989" s="17">
        <v>43809.666666666664</v>
      </c>
      <c r="B6989" s="19">
        <v>77.69</v>
      </c>
      <c r="C6989" t="s">
        <v>32</v>
      </c>
      <c r="D6989" t="str">
        <f>T_Stocks[[#This Row],[Ticker]] &amp; "-" &amp; DATE(YEAR(T_Stocks[[#This Row],[Fecha]]),MONTH(T_Stocks[[#This Row],[Fecha]]),DAY(T_Stocks[[#This Row],[Fecha]]))</f>
        <v>VTSAX-43809</v>
      </c>
    </row>
    <row r="6990" spans="1:4" ht="14.65" thickBot="1" x14ac:dyDescent="0.5">
      <c r="A6990" s="17">
        <v>43810.666666666664</v>
      </c>
      <c r="B6990" s="19">
        <v>77.88</v>
      </c>
      <c r="C6990" t="s">
        <v>32</v>
      </c>
      <c r="D6990" t="str">
        <f>T_Stocks[[#This Row],[Ticker]] &amp; "-" &amp; DATE(YEAR(T_Stocks[[#This Row],[Fecha]]),MONTH(T_Stocks[[#This Row],[Fecha]]),DAY(T_Stocks[[#This Row],[Fecha]]))</f>
        <v>VTSAX-43810</v>
      </c>
    </row>
    <row r="6991" spans="1:4" ht="14.65" thickBot="1" x14ac:dyDescent="0.5">
      <c r="A6991" s="17">
        <v>43811.666666666664</v>
      </c>
      <c r="B6991" s="19">
        <v>78.53</v>
      </c>
      <c r="C6991" t="s">
        <v>32</v>
      </c>
      <c r="D6991" t="str">
        <f>T_Stocks[[#This Row],[Ticker]] &amp; "-" &amp; DATE(YEAR(T_Stocks[[#This Row],[Fecha]]),MONTH(T_Stocks[[#This Row],[Fecha]]),DAY(T_Stocks[[#This Row],[Fecha]]))</f>
        <v>VTSAX-43811</v>
      </c>
    </row>
    <row r="6992" spans="1:4" ht="14.65" thickBot="1" x14ac:dyDescent="0.5">
      <c r="A6992" s="17">
        <v>43812.666666666664</v>
      </c>
      <c r="B6992" s="19">
        <v>78.52</v>
      </c>
      <c r="C6992" t="s">
        <v>32</v>
      </c>
      <c r="D6992" t="str">
        <f>T_Stocks[[#This Row],[Ticker]] &amp; "-" &amp; DATE(YEAR(T_Stocks[[#This Row],[Fecha]]),MONTH(T_Stocks[[#This Row],[Fecha]]),DAY(T_Stocks[[#This Row],[Fecha]]))</f>
        <v>VTSAX-43812</v>
      </c>
    </row>
    <row r="6993" spans="1:4" ht="14.65" thickBot="1" x14ac:dyDescent="0.5">
      <c r="A6993" s="17">
        <v>43815.666666666664</v>
      </c>
      <c r="B6993" s="19">
        <v>79.09</v>
      </c>
      <c r="C6993" t="s">
        <v>32</v>
      </c>
      <c r="D6993" t="str">
        <f>T_Stocks[[#This Row],[Ticker]] &amp; "-" &amp; DATE(YEAR(T_Stocks[[#This Row],[Fecha]]),MONTH(T_Stocks[[#This Row],[Fecha]]),DAY(T_Stocks[[#This Row],[Fecha]]))</f>
        <v>VTSAX-43815</v>
      </c>
    </row>
    <row r="6994" spans="1:4" ht="14.65" thickBot="1" x14ac:dyDescent="0.5">
      <c r="A6994" s="17">
        <v>43816.666666666664</v>
      </c>
      <c r="B6994" s="19">
        <v>79.14</v>
      </c>
      <c r="C6994" t="s">
        <v>32</v>
      </c>
      <c r="D6994" t="str">
        <f>T_Stocks[[#This Row],[Ticker]] &amp; "-" &amp; DATE(YEAR(T_Stocks[[#This Row],[Fecha]]),MONTH(T_Stocks[[#This Row],[Fecha]]),DAY(T_Stocks[[#This Row],[Fecha]]))</f>
        <v>VTSAX-43816</v>
      </c>
    </row>
    <row r="6995" spans="1:4" ht="14.65" thickBot="1" x14ac:dyDescent="0.5">
      <c r="A6995" s="17">
        <v>43817.666666666664</v>
      </c>
      <c r="B6995" s="19">
        <v>79.14</v>
      </c>
      <c r="C6995" t="s">
        <v>32</v>
      </c>
      <c r="D6995" t="str">
        <f>T_Stocks[[#This Row],[Ticker]] &amp; "-" &amp; DATE(YEAR(T_Stocks[[#This Row],[Fecha]]),MONTH(T_Stocks[[#This Row],[Fecha]]),DAY(T_Stocks[[#This Row],[Fecha]]))</f>
        <v>VTSAX-43817</v>
      </c>
    </row>
    <row r="6996" spans="1:4" ht="14.65" thickBot="1" x14ac:dyDescent="0.5">
      <c r="A6996" s="17">
        <v>43818.666666666664</v>
      </c>
      <c r="B6996" s="19">
        <v>79.5</v>
      </c>
      <c r="C6996" t="s">
        <v>32</v>
      </c>
      <c r="D6996" t="str">
        <f>T_Stocks[[#This Row],[Ticker]] &amp; "-" &amp; DATE(YEAR(T_Stocks[[#This Row],[Fecha]]),MONTH(T_Stocks[[#This Row],[Fecha]]),DAY(T_Stocks[[#This Row],[Fecha]]))</f>
        <v>VTSAX-43818</v>
      </c>
    </row>
    <row r="6997" spans="1:4" ht="14.65" thickBot="1" x14ac:dyDescent="0.5">
      <c r="A6997" s="17">
        <v>43819.666666666664</v>
      </c>
      <c r="B6997" s="19">
        <v>79.900000000000006</v>
      </c>
      <c r="C6997" t="s">
        <v>32</v>
      </c>
      <c r="D6997" t="str">
        <f>T_Stocks[[#This Row],[Ticker]] &amp; "-" &amp; DATE(YEAR(T_Stocks[[#This Row],[Fecha]]),MONTH(T_Stocks[[#This Row],[Fecha]]),DAY(T_Stocks[[#This Row],[Fecha]]))</f>
        <v>VTSAX-43819</v>
      </c>
    </row>
    <row r="6998" spans="1:4" ht="14.65" thickBot="1" x14ac:dyDescent="0.5">
      <c r="A6998" s="17">
        <v>43822.666666666664</v>
      </c>
      <c r="B6998" s="19">
        <v>79.53</v>
      </c>
      <c r="C6998" t="s">
        <v>32</v>
      </c>
      <c r="D6998" t="str">
        <f>T_Stocks[[#This Row],[Ticker]] &amp; "-" &amp; DATE(YEAR(T_Stocks[[#This Row],[Fecha]]),MONTH(T_Stocks[[#This Row],[Fecha]]),DAY(T_Stocks[[#This Row],[Fecha]]))</f>
        <v>VTSAX-43822</v>
      </c>
    </row>
    <row r="6999" spans="1:4" ht="14.65" thickBot="1" x14ac:dyDescent="0.5">
      <c r="A6999" s="17">
        <v>43823.541666666664</v>
      </c>
      <c r="B6999" s="19">
        <v>79.540000000000006</v>
      </c>
      <c r="C6999" t="s">
        <v>32</v>
      </c>
      <c r="D6999" t="str">
        <f>T_Stocks[[#This Row],[Ticker]] &amp; "-" &amp; DATE(YEAR(T_Stocks[[#This Row],[Fecha]]),MONTH(T_Stocks[[#This Row],[Fecha]]),DAY(T_Stocks[[#This Row],[Fecha]]))</f>
        <v>VTSAX-43823</v>
      </c>
    </row>
    <row r="7000" spans="1:4" ht="14.65" thickBot="1" x14ac:dyDescent="0.5">
      <c r="A7000" s="17">
        <v>43825.666666666664</v>
      </c>
      <c r="B7000" s="19">
        <v>79.92</v>
      </c>
      <c r="C7000" t="s">
        <v>32</v>
      </c>
      <c r="D7000" t="str">
        <f>T_Stocks[[#This Row],[Ticker]] &amp; "-" &amp; DATE(YEAR(T_Stocks[[#This Row],[Fecha]]),MONTH(T_Stocks[[#This Row],[Fecha]]),DAY(T_Stocks[[#This Row],[Fecha]]))</f>
        <v>VTSAX-43825</v>
      </c>
    </row>
    <row r="7001" spans="1:4" ht="14.65" thickBot="1" x14ac:dyDescent="0.5">
      <c r="A7001" s="17">
        <v>43826.666666666664</v>
      </c>
      <c r="B7001" s="19">
        <v>79.88</v>
      </c>
      <c r="C7001" t="s">
        <v>32</v>
      </c>
      <c r="D7001" t="str">
        <f>T_Stocks[[#This Row],[Ticker]] &amp; "-" &amp; DATE(YEAR(T_Stocks[[#This Row],[Fecha]]),MONTH(T_Stocks[[#This Row],[Fecha]]),DAY(T_Stocks[[#This Row],[Fecha]]))</f>
        <v>VTSAX-43826</v>
      </c>
    </row>
    <row r="7002" spans="1:4" ht="14.65" thickBot="1" x14ac:dyDescent="0.5">
      <c r="A7002" s="17">
        <v>43829.666666666664</v>
      </c>
      <c r="B7002" s="19">
        <v>79.45</v>
      </c>
      <c r="C7002" t="s">
        <v>32</v>
      </c>
      <c r="D7002" t="str">
        <f>T_Stocks[[#This Row],[Ticker]] &amp; "-" &amp; DATE(YEAR(T_Stocks[[#This Row],[Fecha]]),MONTH(T_Stocks[[#This Row],[Fecha]]),DAY(T_Stocks[[#This Row],[Fecha]]))</f>
        <v>VTSAX-43829</v>
      </c>
    </row>
    <row r="7003" spans="1:4" ht="14.65" thickBot="1" x14ac:dyDescent="0.5">
      <c r="A7003" s="17">
        <v>43830.666666666664</v>
      </c>
      <c r="B7003" s="19">
        <v>79.69</v>
      </c>
      <c r="C7003" t="s">
        <v>32</v>
      </c>
      <c r="D7003" t="str">
        <f>T_Stocks[[#This Row],[Ticker]] &amp; "-" &amp; DATE(YEAR(T_Stocks[[#This Row],[Fecha]]),MONTH(T_Stocks[[#This Row],[Fecha]]),DAY(T_Stocks[[#This Row],[Fecha]]))</f>
        <v>VTSAX-43830</v>
      </c>
    </row>
    <row r="7004" spans="1:4" ht="14.65" thickBot="1" x14ac:dyDescent="0.5">
      <c r="A7004" s="17">
        <v>43832.666666666664</v>
      </c>
      <c r="B7004" s="19">
        <v>80.290000000000006</v>
      </c>
      <c r="C7004" t="s">
        <v>32</v>
      </c>
      <c r="D7004" t="str">
        <f>T_Stocks[[#This Row],[Ticker]] &amp; "-" &amp; DATE(YEAR(T_Stocks[[#This Row],[Fecha]]),MONTH(T_Stocks[[#This Row],[Fecha]]),DAY(T_Stocks[[#This Row],[Fecha]]))</f>
        <v>VTSAX-43832</v>
      </c>
    </row>
    <row r="7005" spans="1:4" ht="14.65" thickBot="1" x14ac:dyDescent="0.5">
      <c r="A7005" s="17">
        <v>43833.666666666664</v>
      </c>
      <c r="B7005" s="19">
        <v>79.8</v>
      </c>
      <c r="C7005" t="s">
        <v>32</v>
      </c>
      <c r="D7005" t="str">
        <f>T_Stocks[[#This Row],[Ticker]] &amp; "-" &amp; DATE(YEAR(T_Stocks[[#This Row],[Fecha]]),MONTH(T_Stocks[[#This Row],[Fecha]]),DAY(T_Stocks[[#This Row],[Fecha]]))</f>
        <v>VTSAX-43833</v>
      </c>
    </row>
    <row r="7006" spans="1:4" ht="14.65" thickBot="1" x14ac:dyDescent="0.5">
      <c r="A7006" s="17">
        <v>43836.666666666664</v>
      </c>
      <c r="B7006" s="19">
        <v>80.06</v>
      </c>
      <c r="C7006" t="s">
        <v>32</v>
      </c>
      <c r="D7006" t="str">
        <f>T_Stocks[[#This Row],[Ticker]] &amp; "-" &amp; DATE(YEAR(T_Stocks[[#This Row],[Fecha]]),MONTH(T_Stocks[[#This Row],[Fecha]]),DAY(T_Stocks[[#This Row],[Fecha]]))</f>
        <v>VTSAX-43836</v>
      </c>
    </row>
    <row r="7007" spans="1:4" ht="14.65" thickBot="1" x14ac:dyDescent="0.5">
      <c r="A7007" s="17">
        <v>43837.666666666664</v>
      </c>
      <c r="B7007" s="19">
        <v>79.87</v>
      </c>
      <c r="C7007" t="s">
        <v>32</v>
      </c>
      <c r="D7007" t="str">
        <f>T_Stocks[[#This Row],[Ticker]] &amp; "-" &amp; DATE(YEAR(T_Stocks[[#This Row],[Fecha]]),MONTH(T_Stocks[[#This Row],[Fecha]]),DAY(T_Stocks[[#This Row],[Fecha]]))</f>
        <v>VTSAX-43837</v>
      </c>
    </row>
    <row r="7008" spans="1:4" ht="14.65" thickBot="1" x14ac:dyDescent="0.5">
      <c r="A7008" s="17">
        <v>43838.666666666664</v>
      </c>
      <c r="B7008" s="19">
        <v>80.25</v>
      </c>
      <c r="C7008" t="s">
        <v>32</v>
      </c>
      <c r="D7008" t="str">
        <f>T_Stocks[[#This Row],[Ticker]] &amp; "-" &amp; DATE(YEAR(T_Stocks[[#This Row],[Fecha]]),MONTH(T_Stocks[[#This Row],[Fecha]]),DAY(T_Stocks[[#This Row],[Fecha]]))</f>
        <v>VTSAX-43838</v>
      </c>
    </row>
    <row r="7009" spans="1:4" ht="14.65" thickBot="1" x14ac:dyDescent="0.5">
      <c r="A7009" s="17">
        <v>43839.666666666664</v>
      </c>
      <c r="B7009" s="19">
        <v>80.75</v>
      </c>
      <c r="C7009" t="s">
        <v>32</v>
      </c>
      <c r="D7009" t="str">
        <f>T_Stocks[[#This Row],[Ticker]] &amp; "-" &amp; DATE(YEAR(T_Stocks[[#This Row],[Fecha]]),MONTH(T_Stocks[[#This Row],[Fecha]]),DAY(T_Stocks[[#This Row],[Fecha]]))</f>
        <v>VTSAX-43839</v>
      </c>
    </row>
    <row r="7010" spans="1:4" ht="14.65" thickBot="1" x14ac:dyDescent="0.5">
      <c r="A7010" s="17">
        <v>43840.666666666664</v>
      </c>
      <c r="B7010" s="19">
        <v>80.53</v>
      </c>
      <c r="C7010" t="s">
        <v>32</v>
      </c>
      <c r="D7010" t="str">
        <f>T_Stocks[[#This Row],[Ticker]] &amp; "-" &amp; DATE(YEAR(T_Stocks[[#This Row],[Fecha]]),MONTH(T_Stocks[[#This Row],[Fecha]]),DAY(T_Stocks[[#This Row],[Fecha]]))</f>
        <v>VTSAX-43840</v>
      </c>
    </row>
    <row r="7011" spans="1:4" ht="14.65" thickBot="1" x14ac:dyDescent="0.5">
      <c r="A7011" s="17">
        <v>43843.666666666664</v>
      </c>
      <c r="B7011" s="19">
        <v>81.11</v>
      </c>
      <c r="C7011" t="s">
        <v>32</v>
      </c>
      <c r="D7011" t="str">
        <f>T_Stocks[[#This Row],[Ticker]] &amp; "-" &amp; DATE(YEAR(T_Stocks[[#This Row],[Fecha]]),MONTH(T_Stocks[[#This Row],[Fecha]]),DAY(T_Stocks[[#This Row],[Fecha]]))</f>
        <v>VTSAX-43843</v>
      </c>
    </row>
    <row r="7012" spans="1:4" ht="14.65" thickBot="1" x14ac:dyDescent="0.5">
      <c r="A7012" s="17">
        <v>43844.666666666664</v>
      </c>
      <c r="B7012" s="19">
        <v>81.06</v>
      </c>
      <c r="C7012" t="s">
        <v>32</v>
      </c>
      <c r="D7012" t="str">
        <f>T_Stocks[[#This Row],[Ticker]] &amp; "-" &amp; DATE(YEAR(T_Stocks[[#This Row],[Fecha]]),MONTH(T_Stocks[[#This Row],[Fecha]]),DAY(T_Stocks[[#This Row],[Fecha]]))</f>
        <v>VTSAX-43844</v>
      </c>
    </row>
    <row r="7013" spans="1:4" ht="14.65" thickBot="1" x14ac:dyDescent="0.5">
      <c r="A7013" s="17">
        <v>43845.666666666664</v>
      </c>
      <c r="B7013" s="19">
        <v>81.23</v>
      </c>
      <c r="C7013" t="s">
        <v>32</v>
      </c>
      <c r="D7013" t="str">
        <f>T_Stocks[[#This Row],[Ticker]] &amp; "-" &amp; DATE(YEAR(T_Stocks[[#This Row],[Fecha]]),MONTH(T_Stocks[[#This Row],[Fecha]]),DAY(T_Stocks[[#This Row],[Fecha]]))</f>
        <v>VTSAX-43845</v>
      </c>
    </row>
    <row r="7014" spans="1:4" ht="14.65" thickBot="1" x14ac:dyDescent="0.5">
      <c r="A7014" s="17">
        <v>43846.666666666664</v>
      </c>
      <c r="B7014" s="19">
        <v>81.95</v>
      </c>
      <c r="C7014" t="s">
        <v>32</v>
      </c>
      <c r="D7014" t="str">
        <f>T_Stocks[[#This Row],[Ticker]] &amp; "-" &amp; DATE(YEAR(T_Stocks[[#This Row],[Fecha]]),MONTH(T_Stocks[[#This Row],[Fecha]]),DAY(T_Stocks[[#This Row],[Fecha]]))</f>
        <v>VTSAX-43846</v>
      </c>
    </row>
    <row r="7015" spans="1:4" ht="14.65" thickBot="1" x14ac:dyDescent="0.5">
      <c r="A7015" s="17">
        <v>43847.666666666664</v>
      </c>
      <c r="B7015" s="19">
        <v>82.18</v>
      </c>
      <c r="C7015" t="s">
        <v>32</v>
      </c>
      <c r="D7015" t="str">
        <f>T_Stocks[[#This Row],[Ticker]] &amp; "-" &amp; DATE(YEAR(T_Stocks[[#This Row],[Fecha]]),MONTH(T_Stocks[[#This Row],[Fecha]]),DAY(T_Stocks[[#This Row],[Fecha]]))</f>
        <v>VTSAX-43847</v>
      </c>
    </row>
    <row r="7016" spans="1:4" ht="14.65" thickBot="1" x14ac:dyDescent="0.5">
      <c r="A7016" s="17">
        <v>43851.666666666664</v>
      </c>
      <c r="B7016" s="19">
        <v>81.96</v>
      </c>
      <c r="C7016" t="s">
        <v>32</v>
      </c>
      <c r="D7016" t="str">
        <f>T_Stocks[[#This Row],[Ticker]] &amp; "-" &amp; DATE(YEAR(T_Stocks[[#This Row],[Fecha]]),MONTH(T_Stocks[[#This Row],[Fecha]]),DAY(T_Stocks[[#This Row],[Fecha]]))</f>
        <v>VTSAX-43851</v>
      </c>
    </row>
    <row r="7017" spans="1:4" ht="14.65" thickBot="1" x14ac:dyDescent="0.5">
      <c r="A7017" s="17">
        <v>43852.666666666664</v>
      </c>
      <c r="B7017" s="19">
        <v>82</v>
      </c>
      <c r="C7017" t="s">
        <v>32</v>
      </c>
      <c r="D7017" t="str">
        <f>T_Stocks[[#This Row],[Ticker]] &amp; "-" &amp; DATE(YEAR(T_Stocks[[#This Row],[Fecha]]),MONTH(T_Stocks[[#This Row],[Fecha]]),DAY(T_Stocks[[#This Row],[Fecha]]))</f>
        <v>VTSAX-43852</v>
      </c>
    </row>
    <row r="7018" spans="1:4" ht="14.65" thickBot="1" x14ac:dyDescent="0.5">
      <c r="A7018" s="17">
        <v>43853.666666666664</v>
      </c>
      <c r="B7018" s="19">
        <v>82.09</v>
      </c>
      <c r="C7018" t="s">
        <v>32</v>
      </c>
      <c r="D7018" t="str">
        <f>T_Stocks[[#This Row],[Ticker]] &amp; "-" &amp; DATE(YEAR(T_Stocks[[#This Row],[Fecha]]),MONTH(T_Stocks[[#This Row],[Fecha]]),DAY(T_Stocks[[#This Row],[Fecha]]))</f>
        <v>VTSAX-43853</v>
      </c>
    </row>
    <row r="7019" spans="1:4" ht="14.65" thickBot="1" x14ac:dyDescent="0.5">
      <c r="A7019" s="17">
        <v>43854.666666666664</v>
      </c>
      <c r="B7019" s="19">
        <v>81.33</v>
      </c>
      <c r="C7019" t="s">
        <v>32</v>
      </c>
      <c r="D7019" t="str">
        <f>T_Stocks[[#This Row],[Ticker]] &amp; "-" &amp; DATE(YEAR(T_Stocks[[#This Row],[Fecha]]),MONTH(T_Stocks[[#This Row],[Fecha]]),DAY(T_Stocks[[#This Row],[Fecha]]))</f>
        <v>VTSAX-43854</v>
      </c>
    </row>
    <row r="7020" spans="1:4" ht="14.65" thickBot="1" x14ac:dyDescent="0.5">
      <c r="A7020" s="17">
        <v>43857.666666666664</v>
      </c>
      <c r="B7020" s="19">
        <v>80.099999999999994</v>
      </c>
      <c r="C7020" t="s">
        <v>32</v>
      </c>
      <c r="D7020" t="str">
        <f>T_Stocks[[#This Row],[Ticker]] &amp; "-" &amp; DATE(YEAR(T_Stocks[[#This Row],[Fecha]]),MONTH(T_Stocks[[#This Row],[Fecha]]),DAY(T_Stocks[[#This Row],[Fecha]]))</f>
        <v>VTSAX-43857</v>
      </c>
    </row>
    <row r="7021" spans="1:4" ht="14.65" thickBot="1" x14ac:dyDescent="0.5">
      <c r="A7021" s="17">
        <v>43858.666666666664</v>
      </c>
      <c r="B7021" s="19">
        <v>80.89</v>
      </c>
      <c r="C7021" t="s">
        <v>32</v>
      </c>
      <c r="D7021" t="str">
        <f>T_Stocks[[#This Row],[Ticker]] &amp; "-" &amp; DATE(YEAR(T_Stocks[[#This Row],[Fecha]]),MONTH(T_Stocks[[#This Row],[Fecha]]),DAY(T_Stocks[[#This Row],[Fecha]]))</f>
        <v>VTSAX-43858</v>
      </c>
    </row>
    <row r="7022" spans="1:4" ht="14.65" thickBot="1" x14ac:dyDescent="0.5">
      <c r="A7022" s="17">
        <v>43859.666666666664</v>
      </c>
      <c r="B7022" s="19">
        <v>80.8</v>
      </c>
      <c r="C7022" t="s">
        <v>32</v>
      </c>
      <c r="D7022" t="str">
        <f>T_Stocks[[#This Row],[Ticker]] &amp; "-" &amp; DATE(YEAR(T_Stocks[[#This Row],[Fecha]]),MONTH(T_Stocks[[#This Row],[Fecha]]),DAY(T_Stocks[[#This Row],[Fecha]]))</f>
        <v>VTSAX-43859</v>
      </c>
    </row>
    <row r="7023" spans="1:4" ht="14.65" thickBot="1" x14ac:dyDescent="0.5">
      <c r="A7023" s="17">
        <v>43860.666666666664</v>
      </c>
      <c r="B7023" s="19">
        <v>81.05</v>
      </c>
      <c r="C7023" t="s">
        <v>32</v>
      </c>
      <c r="D7023" t="str">
        <f>T_Stocks[[#This Row],[Ticker]] &amp; "-" &amp; DATE(YEAR(T_Stocks[[#This Row],[Fecha]]),MONTH(T_Stocks[[#This Row],[Fecha]]),DAY(T_Stocks[[#This Row],[Fecha]]))</f>
        <v>VTSAX-43860</v>
      </c>
    </row>
    <row r="7024" spans="1:4" ht="14.65" thickBot="1" x14ac:dyDescent="0.5">
      <c r="A7024" s="17">
        <v>43861.666666666664</v>
      </c>
      <c r="B7024" s="19">
        <v>79.63</v>
      </c>
      <c r="C7024" t="s">
        <v>32</v>
      </c>
      <c r="D7024" t="str">
        <f>T_Stocks[[#This Row],[Ticker]] &amp; "-" &amp; DATE(YEAR(T_Stocks[[#This Row],[Fecha]]),MONTH(T_Stocks[[#This Row],[Fecha]]),DAY(T_Stocks[[#This Row],[Fecha]]))</f>
        <v>VTSAX-43861</v>
      </c>
    </row>
    <row r="7025" spans="1:4" ht="14.65" thickBot="1" x14ac:dyDescent="0.5">
      <c r="A7025" s="17">
        <v>43864.666666666664</v>
      </c>
      <c r="B7025" s="19">
        <v>80.290000000000006</v>
      </c>
      <c r="C7025" t="s">
        <v>32</v>
      </c>
      <c r="D7025" t="str">
        <f>T_Stocks[[#This Row],[Ticker]] &amp; "-" &amp; DATE(YEAR(T_Stocks[[#This Row],[Fecha]]),MONTH(T_Stocks[[#This Row],[Fecha]]),DAY(T_Stocks[[#This Row],[Fecha]]))</f>
        <v>VTSAX-43864</v>
      </c>
    </row>
    <row r="7026" spans="1:4" ht="14.65" thickBot="1" x14ac:dyDescent="0.5">
      <c r="A7026" s="17">
        <v>43865.666666666664</v>
      </c>
      <c r="B7026" s="19">
        <v>81.53</v>
      </c>
      <c r="C7026" t="s">
        <v>32</v>
      </c>
      <c r="D7026" t="str">
        <f>T_Stocks[[#This Row],[Ticker]] &amp; "-" &amp; DATE(YEAR(T_Stocks[[#This Row],[Fecha]]),MONTH(T_Stocks[[#This Row],[Fecha]]),DAY(T_Stocks[[#This Row],[Fecha]]))</f>
        <v>VTSAX-43865</v>
      </c>
    </row>
    <row r="7027" spans="1:4" ht="14.65" thickBot="1" x14ac:dyDescent="0.5">
      <c r="A7027" s="17">
        <v>43866.666666666664</v>
      </c>
      <c r="B7027" s="19">
        <v>82.35</v>
      </c>
      <c r="C7027" t="s">
        <v>32</v>
      </c>
      <c r="D7027" t="str">
        <f>T_Stocks[[#This Row],[Ticker]] &amp; "-" &amp; DATE(YEAR(T_Stocks[[#This Row],[Fecha]]),MONTH(T_Stocks[[#This Row],[Fecha]]),DAY(T_Stocks[[#This Row],[Fecha]]))</f>
        <v>VTSAX-43866</v>
      </c>
    </row>
    <row r="7028" spans="1:4" ht="14.65" thickBot="1" x14ac:dyDescent="0.5">
      <c r="A7028" s="17">
        <v>43867.666666666664</v>
      </c>
      <c r="B7028" s="19">
        <v>82.57</v>
      </c>
      <c r="C7028" t="s">
        <v>32</v>
      </c>
      <c r="D7028" t="str">
        <f>T_Stocks[[#This Row],[Ticker]] &amp; "-" &amp; DATE(YEAR(T_Stocks[[#This Row],[Fecha]]),MONTH(T_Stocks[[#This Row],[Fecha]]),DAY(T_Stocks[[#This Row],[Fecha]]))</f>
        <v>VTSAX-43867</v>
      </c>
    </row>
    <row r="7029" spans="1:4" ht="14.65" thickBot="1" x14ac:dyDescent="0.5">
      <c r="A7029" s="17">
        <v>43868.666666666664</v>
      </c>
      <c r="B7029" s="19">
        <v>82.11</v>
      </c>
      <c r="C7029" t="s">
        <v>32</v>
      </c>
      <c r="D7029" t="str">
        <f>T_Stocks[[#This Row],[Ticker]] &amp; "-" &amp; DATE(YEAR(T_Stocks[[#This Row],[Fecha]]),MONTH(T_Stocks[[#This Row],[Fecha]]),DAY(T_Stocks[[#This Row],[Fecha]]))</f>
        <v>VTSAX-43868</v>
      </c>
    </row>
    <row r="7030" spans="1:4" ht="14.65" thickBot="1" x14ac:dyDescent="0.5">
      <c r="A7030" s="17">
        <v>43871.666666666664</v>
      </c>
      <c r="B7030" s="19">
        <v>82.73</v>
      </c>
      <c r="C7030" t="s">
        <v>32</v>
      </c>
      <c r="D7030" t="str">
        <f>T_Stocks[[#This Row],[Ticker]] &amp; "-" &amp; DATE(YEAR(T_Stocks[[#This Row],[Fecha]]),MONTH(T_Stocks[[#This Row],[Fecha]]),DAY(T_Stocks[[#This Row],[Fecha]]))</f>
        <v>VTSAX-43871</v>
      </c>
    </row>
    <row r="7031" spans="1:4" ht="14.65" thickBot="1" x14ac:dyDescent="0.5">
      <c r="A7031" s="17">
        <v>43872.666666666664</v>
      </c>
      <c r="B7031" s="19">
        <v>82.93</v>
      </c>
      <c r="C7031" t="s">
        <v>32</v>
      </c>
      <c r="D7031" t="str">
        <f>T_Stocks[[#This Row],[Ticker]] &amp; "-" &amp; DATE(YEAR(T_Stocks[[#This Row],[Fecha]]),MONTH(T_Stocks[[#This Row],[Fecha]]),DAY(T_Stocks[[#This Row],[Fecha]]))</f>
        <v>VTSAX-43872</v>
      </c>
    </row>
    <row r="7032" spans="1:4" ht="14.65" thickBot="1" x14ac:dyDescent="0.5">
      <c r="A7032" s="17">
        <v>43873.666666666664</v>
      </c>
      <c r="B7032" s="19">
        <v>83.46</v>
      </c>
      <c r="C7032" t="s">
        <v>32</v>
      </c>
      <c r="D7032" t="str">
        <f>T_Stocks[[#This Row],[Ticker]] &amp; "-" &amp; DATE(YEAR(T_Stocks[[#This Row],[Fecha]]),MONTH(T_Stocks[[#This Row],[Fecha]]),DAY(T_Stocks[[#This Row],[Fecha]]))</f>
        <v>VTSAX-43873</v>
      </c>
    </row>
    <row r="7033" spans="1:4" ht="14.65" thickBot="1" x14ac:dyDescent="0.5">
      <c r="A7033" s="17">
        <v>43874.666666666664</v>
      </c>
      <c r="B7033" s="19">
        <v>83.42</v>
      </c>
      <c r="C7033" t="s">
        <v>32</v>
      </c>
      <c r="D7033" t="str">
        <f>T_Stocks[[#This Row],[Ticker]] &amp; "-" &amp; DATE(YEAR(T_Stocks[[#This Row],[Fecha]]),MONTH(T_Stocks[[#This Row],[Fecha]]),DAY(T_Stocks[[#This Row],[Fecha]]))</f>
        <v>VTSAX-43874</v>
      </c>
    </row>
    <row r="7034" spans="1:4" ht="14.65" thickBot="1" x14ac:dyDescent="0.5">
      <c r="A7034" s="17">
        <v>43875.666666666664</v>
      </c>
      <c r="B7034" s="19">
        <v>83.57</v>
      </c>
      <c r="C7034" t="s">
        <v>32</v>
      </c>
      <c r="D7034" t="str">
        <f>T_Stocks[[#This Row],[Ticker]] &amp; "-" &amp; DATE(YEAR(T_Stocks[[#This Row],[Fecha]]),MONTH(T_Stocks[[#This Row],[Fecha]]),DAY(T_Stocks[[#This Row],[Fecha]]))</f>
        <v>VTSAX-43875</v>
      </c>
    </row>
    <row r="7035" spans="1:4" ht="14.65" thickBot="1" x14ac:dyDescent="0.5">
      <c r="A7035" s="17">
        <v>43879.666666666664</v>
      </c>
      <c r="B7035" s="19">
        <v>83.38</v>
      </c>
      <c r="C7035" t="s">
        <v>32</v>
      </c>
      <c r="D7035" t="str">
        <f>T_Stocks[[#This Row],[Ticker]] &amp; "-" &amp; DATE(YEAR(T_Stocks[[#This Row],[Fecha]]),MONTH(T_Stocks[[#This Row],[Fecha]]),DAY(T_Stocks[[#This Row],[Fecha]]))</f>
        <v>VTSAX-43879</v>
      </c>
    </row>
    <row r="7036" spans="1:4" ht="14.65" thickBot="1" x14ac:dyDescent="0.5">
      <c r="A7036" s="17">
        <v>43880.666666666664</v>
      </c>
      <c r="B7036" s="19">
        <v>83.79</v>
      </c>
      <c r="C7036" t="s">
        <v>32</v>
      </c>
      <c r="D7036" t="str">
        <f>T_Stocks[[#This Row],[Ticker]] &amp; "-" &amp; DATE(YEAR(T_Stocks[[#This Row],[Fecha]]),MONTH(T_Stocks[[#This Row],[Fecha]]),DAY(T_Stocks[[#This Row],[Fecha]]))</f>
        <v>VTSAX-43880</v>
      </c>
    </row>
    <row r="7037" spans="1:4" ht="14.65" thickBot="1" x14ac:dyDescent="0.5">
      <c r="A7037" s="17">
        <v>43881.666666666664</v>
      </c>
      <c r="B7037" s="19">
        <v>83.56</v>
      </c>
      <c r="C7037" t="s">
        <v>32</v>
      </c>
      <c r="D7037" t="str">
        <f>T_Stocks[[#This Row],[Ticker]] &amp; "-" &amp; DATE(YEAR(T_Stocks[[#This Row],[Fecha]]),MONTH(T_Stocks[[#This Row],[Fecha]]),DAY(T_Stocks[[#This Row],[Fecha]]))</f>
        <v>VTSAX-43881</v>
      </c>
    </row>
    <row r="7038" spans="1:4" ht="14.65" thickBot="1" x14ac:dyDescent="0.5">
      <c r="A7038" s="17">
        <v>43882.666666666664</v>
      </c>
      <c r="B7038" s="19">
        <v>82.68</v>
      </c>
      <c r="C7038" t="s">
        <v>32</v>
      </c>
      <c r="D7038" t="str">
        <f>T_Stocks[[#This Row],[Ticker]] &amp; "-" &amp; DATE(YEAR(T_Stocks[[#This Row],[Fecha]]),MONTH(T_Stocks[[#This Row],[Fecha]]),DAY(T_Stocks[[#This Row],[Fecha]]))</f>
        <v>VTSAX-43882</v>
      </c>
    </row>
    <row r="7039" spans="1:4" ht="14.65" thickBot="1" x14ac:dyDescent="0.5">
      <c r="A7039" s="17">
        <v>43885.666666666664</v>
      </c>
      <c r="B7039" s="19">
        <v>79.959999999999994</v>
      </c>
      <c r="C7039" t="s">
        <v>32</v>
      </c>
      <c r="D7039" t="str">
        <f>T_Stocks[[#This Row],[Ticker]] &amp; "-" &amp; DATE(YEAR(T_Stocks[[#This Row],[Fecha]]),MONTH(T_Stocks[[#This Row],[Fecha]]),DAY(T_Stocks[[#This Row],[Fecha]]))</f>
        <v>VTSAX-43885</v>
      </c>
    </row>
    <row r="7040" spans="1:4" ht="14.65" thickBot="1" x14ac:dyDescent="0.5">
      <c r="A7040" s="17">
        <v>43886.666666666664</v>
      </c>
      <c r="B7040" s="19">
        <v>77.5</v>
      </c>
      <c r="C7040" t="s">
        <v>32</v>
      </c>
      <c r="D7040" t="str">
        <f>T_Stocks[[#This Row],[Ticker]] &amp; "-" &amp; DATE(YEAR(T_Stocks[[#This Row],[Fecha]]),MONTH(T_Stocks[[#This Row],[Fecha]]),DAY(T_Stocks[[#This Row],[Fecha]]))</f>
        <v>VTSAX-43886</v>
      </c>
    </row>
    <row r="7041" spans="1:4" ht="14.65" thickBot="1" x14ac:dyDescent="0.5">
      <c r="A7041" s="17">
        <v>43887.666666666664</v>
      </c>
      <c r="B7041" s="19">
        <v>77.08</v>
      </c>
      <c r="C7041" t="s">
        <v>32</v>
      </c>
      <c r="D7041" t="str">
        <f>T_Stocks[[#This Row],[Ticker]] &amp; "-" &amp; DATE(YEAR(T_Stocks[[#This Row],[Fecha]]),MONTH(T_Stocks[[#This Row],[Fecha]]),DAY(T_Stocks[[#This Row],[Fecha]]))</f>
        <v>VTSAX-43887</v>
      </c>
    </row>
    <row r="7042" spans="1:4" ht="14.65" thickBot="1" x14ac:dyDescent="0.5">
      <c r="A7042" s="17">
        <v>43888.666666666664</v>
      </c>
      <c r="B7042" s="19">
        <v>73.760000000000005</v>
      </c>
      <c r="C7042" t="s">
        <v>32</v>
      </c>
      <c r="D7042" t="str">
        <f>T_Stocks[[#This Row],[Ticker]] &amp; "-" &amp; DATE(YEAR(T_Stocks[[#This Row],[Fecha]]),MONTH(T_Stocks[[#This Row],[Fecha]]),DAY(T_Stocks[[#This Row],[Fecha]]))</f>
        <v>VTSAX-43888</v>
      </c>
    </row>
    <row r="7043" spans="1:4" ht="14.65" thickBot="1" x14ac:dyDescent="0.5">
      <c r="A7043" s="17">
        <v>43889.666666666664</v>
      </c>
      <c r="B7043" s="19">
        <v>73.13</v>
      </c>
      <c r="C7043" t="s">
        <v>32</v>
      </c>
      <c r="D7043" t="str">
        <f>T_Stocks[[#This Row],[Ticker]] &amp; "-" &amp; DATE(YEAR(T_Stocks[[#This Row],[Fecha]]),MONTH(T_Stocks[[#This Row],[Fecha]]),DAY(T_Stocks[[#This Row],[Fecha]]))</f>
        <v>VTSAX-43889</v>
      </c>
    </row>
    <row r="7044" spans="1:4" ht="14.65" thickBot="1" x14ac:dyDescent="0.5">
      <c r="A7044" s="17">
        <v>43892.666666666664</v>
      </c>
      <c r="B7044" s="19">
        <v>76.3</v>
      </c>
      <c r="C7044" t="s">
        <v>32</v>
      </c>
      <c r="D7044" t="str">
        <f>T_Stocks[[#This Row],[Ticker]] &amp; "-" &amp; DATE(YEAR(T_Stocks[[#This Row],[Fecha]]),MONTH(T_Stocks[[#This Row],[Fecha]]),DAY(T_Stocks[[#This Row],[Fecha]]))</f>
        <v>VTSAX-43892</v>
      </c>
    </row>
    <row r="7045" spans="1:4" ht="14.65" thickBot="1" x14ac:dyDescent="0.5">
      <c r="A7045" s="17">
        <v>43893.666666666664</v>
      </c>
      <c r="B7045" s="19">
        <v>74.25</v>
      </c>
      <c r="C7045" t="s">
        <v>32</v>
      </c>
      <c r="D7045" t="str">
        <f>T_Stocks[[#This Row],[Ticker]] &amp; "-" &amp; DATE(YEAR(T_Stocks[[#This Row],[Fecha]]),MONTH(T_Stocks[[#This Row],[Fecha]]),DAY(T_Stocks[[#This Row],[Fecha]]))</f>
        <v>VTSAX-43893</v>
      </c>
    </row>
    <row r="7046" spans="1:4" ht="14.65" thickBot="1" x14ac:dyDescent="0.5">
      <c r="A7046" s="17">
        <v>43894.666666666664</v>
      </c>
      <c r="B7046" s="19">
        <v>77.25</v>
      </c>
      <c r="C7046" t="s">
        <v>32</v>
      </c>
      <c r="D7046" t="str">
        <f>T_Stocks[[#This Row],[Ticker]] &amp; "-" &amp; DATE(YEAR(T_Stocks[[#This Row],[Fecha]]),MONTH(T_Stocks[[#This Row],[Fecha]]),DAY(T_Stocks[[#This Row],[Fecha]]))</f>
        <v>VTSAX-43894</v>
      </c>
    </row>
    <row r="7047" spans="1:4" ht="14.65" thickBot="1" x14ac:dyDescent="0.5">
      <c r="A7047" s="17">
        <v>43895.666666666664</v>
      </c>
      <c r="B7047" s="19">
        <v>74.66</v>
      </c>
      <c r="C7047" t="s">
        <v>32</v>
      </c>
      <c r="D7047" t="str">
        <f>T_Stocks[[#This Row],[Ticker]] &amp; "-" &amp; DATE(YEAR(T_Stocks[[#This Row],[Fecha]]),MONTH(T_Stocks[[#This Row],[Fecha]]),DAY(T_Stocks[[#This Row],[Fecha]]))</f>
        <v>VTSAX-43895</v>
      </c>
    </row>
    <row r="7048" spans="1:4" ht="14.65" thickBot="1" x14ac:dyDescent="0.5">
      <c r="A7048" s="17">
        <v>43896.666666666664</v>
      </c>
      <c r="B7048" s="19">
        <v>73.33</v>
      </c>
      <c r="C7048" t="s">
        <v>32</v>
      </c>
      <c r="D7048" t="str">
        <f>T_Stocks[[#This Row],[Ticker]] &amp; "-" &amp; DATE(YEAR(T_Stocks[[#This Row],[Fecha]]),MONTH(T_Stocks[[#This Row],[Fecha]]),DAY(T_Stocks[[#This Row],[Fecha]]))</f>
        <v>VTSAX-43896</v>
      </c>
    </row>
    <row r="7049" spans="1:4" ht="14.65" thickBot="1" x14ac:dyDescent="0.5">
      <c r="A7049" s="17">
        <v>43899.666666666664</v>
      </c>
      <c r="B7049" s="19">
        <v>67.58</v>
      </c>
      <c r="C7049" t="s">
        <v>32</v>
      </c>
      <c r="D7049" t="str">
        <f>T_Stocks[[#This Row],[Ticker]] &amp; "-" &amp; DATE(YEAR(T_Stocks[[#This Row],[Fecha]]),MONTH(T_Stocks[[#This Row],[Fecha]]),DAY(T_Stocks[[#This Row],[Fecha]]))</f>
        <v>VTSAX-43899</v>
      </c>
    </row>
    <row r="7050" spans="1:4" ht="14.65" thickBot="1" x14ac:dyDescent="0.5">
      <c r="A7050" s="17">
        <v>43900.666666666664</v>
      </c>
      <c r="B7050" s="19">
        <v>70.77</v>
      </c>
      <c r="C7050" t="s">
        <v>32</v>
      </c>
      <c r="D7050" t="str">
        <f>T_Stocks[[#This Row],[Ticker]] &amp; "-" &amp; DATE(YEAR(T_Stocks[[#This Row],[Fecha]]),MONTH(T_Stocks[[#This Row],[Fecha]]),DAY(T_Stocks[[#This Row],[Fecha]]))</f>
        <v>VTSAX-43900</v>
      </c>
    </row>
    <row r="7051" spans="1:4" ht="14.65" thickBot="1" x14ac:dyDescent="0.5">
      <c r="A7051" s="17">
        <v>43901.666666666664</v>
      </c>
      <c r="B7051" s="19">
        <v>67.17</v>
      </c>
      <c r="C7051" t="s">
        <v>32</v>
      </c>
      <c r="D7051" t="str">
        <f>T_Stocks[[#This Row],[Ticker]] &amp; "-" &amp; DATE(YEAR(T_Stocks[[#This Row],[Fecha]]),MONTH(T_Stocks[[#This Row],[Fecha]]),DAY(T_Stocks[[#This Row],[Fecha]]))</f>
        <v>VTSAX-43901</v>
      </c>
    </row>
    <row r="7052" spans="1:4" ht="14.65" thickBot="1" x14ac:dyDescent="0.5">
      <c r="A7052" s="17">
        <v>43902.666666666664</v>
      </c>
      <c r="B7052" s="19">
        <v>60.69</v>
      </c>
      <c r="C7052" t="s">
        <v>32</v>
      </c>
      <c r="D7052" t="str">
        <f>T_Stocks[[#This Row],[Ticker]] &amp; "-" &amp; DATE(YEAR(T_Stocks[[#This Row],[Fecha]]),MONTH(T_Stocks[[#This Row],[Fecha]]),DAY(T_Stocks[[#This Row],[Fecha]]))</f>
        <v>VTSAX-43902</v>
      </c>
    </row>
    <row r="7053" spans="1:4" ht="14.65" thickBot="1" x14ac:dyDescent="0.5">
      <c r="A7053" s="17">
        <v>43903.666666666664</v>
      </c>
      <c r="B7053" s="19">
        <v>66.14</v>
      </c>
      <c r="C7053" t="s">
        <v>32</v>
      </c>
      <c r="D7053" t="str">
        <f>T_Stocks[[#This Row],[Ticker]] &amp; "-" &amp; DATE(YEAR(T_Stocks[[#This Row],[Fecha]]),MONTH(T_Stocks[[#This Row],[Fecha]]),DAY(T_Stocks[[#This Row],[Fecha]]))</f>
        <v>VTSAX-43903</v>
      </c>
    </row>
    <row r="7054" spans="1:4" ht="14.65" thickBot="1" x14ac:dyDescent="0.5">
      <c r="A7054" s="17">
        <v>43906.666666666664</v>
      </c>
      <c r="B7054" s="19">
        <v>58.01</v>
      </c>
      <c r="C7054" t="s">
        <v>32</v>
      </c>
      <c r="D7054" t="str">
        <f>T_Stocks[[#This Row],[Ticker]] &amp; "-" &amp; DATE(YEAR(T_Stocks[[#This Row],[Fecha]]),MONTH(T_Stocks[[#This Row],[Fecha]]),DAY(T_Stocks[[#This Row],[Fecha]]))</f>
        <v>VTSAX-43906</v>
      </c>
    </row>
    <row r="7055" spans="1:4" ht="14.65" thickBot="1" x14ac:dyDescent="0.5">
      <c r="A7055" s="17">
        <v>43907.666666666664</v>
      </c>
      <c r="B7055" s="19">
        <v>61.36</v>
      </c>
      <c r="C7055" t="s">
        <v>32</v>
      </c>
      <c r="D7055" t="str">
        <f>T_Stocks[[#This Row],[Ticker]] &amp; "-" &amp; DATE(YEAR(T_Stocks[[#This Row],[Fecha]]),MONTH(T_Stocks[[#This Row],[Fecha]]),DAY(T_Stocks[[#This Row],[Fecha]]))</f>
        <v>VTSAX-43907</v>
      </c>
    </row>
    <row r="7056" spans="1:4" ht="14.65" thickBot="1" x14ac:dyDescent="0.5">
      <c r="A7056" s="17">
        <v>43908.666666666664</v>
      </c>
      <c r="B7056" s="19">
        <v>57.77</v>
      </c>
      <c r="C7056" t="s">
        <v>32</v>
      </c>
      <c r="D7056" t="str">
        <f>T_Stocks[[#This Row],[Ticker]] &amp; "-" &amp; DATE(YEAR(T_Stocks[[#This Row],[Fecha]]),MONTH(T_Stocks[[#This Row],[Fecha]]),DAY(T_Stocks[[#This Row],[Fecha]]))</f>
        <v>VTSAX-43908</v>
      </c>
    </row>
    <row r="7057" spans="1:4" ht="14.65" thickBot="1" x14ac:dyDescent="0.5">
      <c r="A7057" s="17">
        <v>43909.666666666664</v>
      </c>
      <c r="B7057" s="19">
        <v>58.48</v>
      </c>
      <c r="C7057" t="s">
        <v>32</v>
      </c>
      <c r="D7057" t="str">
        <f>T_Stocks[[#This Row],[Ticker]] &amp; "-" &amp; DATE(YEAR(T_Stocks[[#This Row],[Fecha]]),MONTH(T_Stocks[[#This Row],[Fecha]]),DAY(T_Stocks[[#This Row],[Fecha]]))</f>
        <v>VTSAX-43909</v>
      </c>
    </row>
    <row r="7058" spans="1:4" ht="14.65" thickBot="1" x14ac:dyDescent="0.5">
      <c r="A7058" s="17">
        <v>43910.666666666664</v>
      </c>
      <c r="B7058" s="19">
        <v>56.04</v>
      </c>
      <c r="C7058" t="s">
        <v>32</v>
      </c>
      <c r="D7058" t="str">
        <f>T_Stocks[[#This Row],[Ticker]] &amp; "-" &amp; DATE(YEAR(T_Stocks[[#This Row],[Fecha]]),MONTH(T_Stocks[[#This Row],[Fecha]]),DAY(T_Stocks[[#This Row],[Fecha]]))</f>
        <v>VTSAX-43910</v>
      </c>
    </row>
    <row r="7059" spans="1:4" ht="14.65" thickBot="1" x14ac:dyDescent="0.5">
      <c r="A7059" s="17">
        <v>43913.666666666664</v>
      </c>
      <c r="B7059" s="19">
        <v>54.49</v>
      </c>
      <c r="C7059" t="s">
        <v>32</v>
      </c>
      <c r="D7059" t="str">
        <f>T_Stocks[[#This Row],[Ticker]] &amp; "-" &amp; DATE(YEAR(T_Stocks[[#This Row],[Fecha]]),MONTH(T_Stocks[[#This Row],[Fecha]]),DAY(T_Stocks[[#This Row],[Fecha]]))</f>
        <v>VTSAX-43913</v>
      </c>
    </row>
    <row r="7060" spans="1:4" ht="14.65" thickBot="1" x14ac:dyDescent="0.5">
      <c r="A7060" s="17">
        <v>43914.666666666664</v>
      </c>
      <c r="B7060" s="19">
        <v>59.64</v>
      </c>
      <c r="C7060" t="s">
        <v>32</v>
      </c>
      <c r="D7060" t="str">
        <f>T_Stocks[[#This Row],[Ticker]] &amp; "-" &amp; DATE(YEAR(T_Stocks[[#This Row],[Fecha]]),MONTH(T_Stocks[[#This Row],[Fecha]]),DAY(T_Stocks[[#This Row],[Fecha]]))</f>
        <v>VTSAX-43914</v>
      </c>
    </row>
    <row r="7061" spans="1:4" ht="14.65" thickBot="1" x14ac:dyDescent="0.5">
      <c r="A7061" s="17">
        <v>43915.666666666664</v>
      </c>
      <c r="B7061" s="19">
        <v>60.17</v>
      </c>
      <c r="C7061" t="s">
        <v>32</v>
      </c>
      <c r="D7061" t="str">
        <f>T_Stocks[[#This Row],[Ticker]] &amp; "-" &amp; DATE(YEAR(T_Stocks[[#This Row],[Fecha]]),MONTH(T_Stocks[[#This Row],[Fecha]]),DAY(T_Stocks[[#This Row],[Fecha]]))</f>
        <v>VTSAX-43915</v>
      </c>
    </row>
    <row r="7062" spans="1:4" ht="14.65" thickBot="1" x14ac:dyDescent="0.5">
      <c r="A7062" s="17">
        <v>43916.666666666664</v>
      </c>
      <c r="B7062" s="19">
        <v>63.91</v>
      </c>
      <c r="C7062" t="s">
        <v>32</v>
      </c>
      <c r="D7062" t="str">
        <f>T_Stocks[[#This Row],[Ticker]] &amp; "-" &amp; DATE(YEAR(T_Stocks[[#This Row],[Fecha]]),MONTH(T_Stocks[[#This Row],[Fecha]]),DAY(T_Stocks[[#This Row],[Fecha]]))</f>
        <v>VTSAX-43916</v>
      </c>
    </row>
    <row r="7063" spans="1:4" ht="14.65" thickBot="1" x14ac:dyDescent="0.5">
      <c r="A7063" s="17">
        <v>43917.666666666664</v>
      </c>
      <c r="B7063" s="19">
        <v>61.76</v>
      </c>
      <c r="C7063" t="s">
        <v>32</v>
      </c>
      <c r="D7063" t="str">
        <f>T_Stocks[[#This Row],[Ticker]] &amp; "-" &amp; DATE(YEAR(T_Stocks[[#This Row],[Fecha]]),MONTH(T_Stocks[[#This Row],[Fecha]]),DAY(T_Stocks[[#This Row],[Fecha]]))</f>
        <v>VTSAX-43917</v>
      </c>
    </row>
    <row r="7064" spans="1:4" ht="14.65" thickBot="1" x14ac:dyDescent="0.5">
      <c r="A7064" s="17">
        <v>43920.666666666664</v>
      </c>
      <c r="B7064" s="19">
        <v>63.71</v>
      </c>
      <c r="C7064" t="s">
        <v>32</v>
      </c>
      <c r="D7064" t="str">
        <f>T_Stocks[[#This Row],[Ticker]] &amp; "-" &amp; DATE(YEAR(T_Stocks[[#This Row],[Fecha]]),MONTH(T_Stocks[[#This Row],[Fecha]]),DAY(T_Stocks[[#This Row],[Fecha]]))</f>
        <v>VTSAX-43920</v>
      </c>
    </row>
    <row r="7065" spans="1:4" ht="14.65" thickBot="1" x14ac:dyDescent="0.5">
      <c r="A7065" s="17">
        <v>43921.666666666664</v>
      </c>
      <c r="B7065" s="19">
        <v>62.75</v>
      </c>
      <c r="C7065" t="s">
        <v>32</v>
      </c>
      <c r="D7065" t="str">
        <f>T_Stocks[[#This Row],[Ticker]] &amp; "-" &amp; DATE(YEAR(T_Stocks[[#This Row],[Fecha]]),MONTH(T_Stocks[[#This Row],[Fecha]]),DAY(T_Stocks[[#This Row],[Fecha]]))</f>
        <v>VTSAX-43921</v>
      </c>
    </row>
    <row r="7066" spans="1:4" ht="14.65" thickBot="1" x14ac:dyDescent="0.5">
      <c r="A7066" s="17">
        <v>43922.666666666664</v>
      </c>
      <c r="B7066" s="19">
        <v>59.83</v>
      </c>
      <c r="C7066" t="s">
        <v>32</v>
      </c>
      <c r="D7066" t="str">
        <f>T_Stocks[[#This Row],[Ticker]] &amp; "-" &amp; DATE(YEAR(T_Stocks[[#This Row],[Fecha]]),MONTH(T_Stocks[[#This Row],[Fecha]]),DAY(T_Stocks[[#This Row],[Fecha]]))</f>
        <v>VTSAX-43922</v>
      </c>
    </row>
    <row r="7067" spans="1:4" ht="14.65" thickBot="1" x14ac:dyDescent="0.5">
      <c r="A7067" s="17">
        <v>43923.666666666664</v>
      </c>
      <c r="B7067" s="19">
        <v>61.06</v>
      </c>
      <c r="C7067" t="s">
        <v>32</v>
      </c>
      <c r="D7067" t="str">
        <f>T_Stocks[[#This Row],[Ticker]] &amp; "-" &amp; DATE(YEAR(T_Stocks[[#This Row],[Fecha]]),MONTH(T_Stocks[[#This Row],[Fecha]]),DAY(T_Stocks[[#This Row],[Fecha]]))</f>
        <v>VTSAX-43923</v>
      </c>
    </row>
    <row r="7068" spans="1:4" ht="14.65" thickBot="1" x14ac:dyDescent="0.5">
      <c r="A7068" s="17">
        <v>43924.666666666664</v>
      </c>
      <c r="B7068" s="19">
        <v>60.05</v>
      </c>
      <c r="C7068" t="s">
        <v>32</v>
      </c>
      <c r="D7068" t="str">
        <f>T_Stocks[[#This Row],[Ticker]] &amp; "-" &amp; DATE(YEAR(T_Stocks[[#This Row],[Fecha]]),MONTH(T_Stocks[[#This Row],[Fecha]]),DAY(T_Stocks[[#This Row],[Fecha]]))</f>
        <v>VTSAX-43924</v>
      </c>
    </row>
    <row r="7069" spans="1:4" ht="14.65" thickBot="1" x14ac:dyDescent="0.5">
      <c r="A7069" s="17">
        <v>43927.666666666664</v>
      </c>
      <c r="B7069" s="19">
        <v>64.349999999999994</v>
      </c>
      <c r="C7069" t="s">
        <v>32</v>
      </c>
      <c r="D7069" t="str">
        <f>T_Stocks[[#This Row],[Ticker]] &amp; "-" &amp; DATE(YEAR(T_Stocks[[#This Row],[Fecha]]),MONTH(T_Stocks[[#This Row],[Fecha]]),DAY(T_Stocks[[#This Row],[Fecha]]))</f>
        <v>VTSAX-43927</v>
      </c>
    </row>
    <row r="7070" spans="1:4" ht="14.65" thickBot="1" x14ac:dyDescent="0.5">
      <c r="A7070" s="17">
        <v>43928.666666666664</v>
      </c>
      <c r="B7070" s="19">
        <v>64.319999999999993</v>
      </c>
      <c r="C7070" t="s">
        <v>32</v>
      </c>
      <c r="D7070" t="str">
        <f>T_Stocks[[#This Row],[Ticker]] &amp; "-" &amp; DATE(YEAR(T_Stocks[[#This Row],[Fecha]]),MONTH(T_Stocks[[#This Row],[Fecha]]),DAY(T_Stocks[[#This Row],[Fecha]]))</f>
        <v>VTSAX-43928</v>
      </c>
    </row>
    <row r="7071" spans="1:4" ht="14.65" thickBot="1" x14ac:dyDescent="0.5">
      <c r="A7071" s="17">
        <v>43929.666666666664</v>
      </c>
      <c r="B7071" s="19">
        <v>66.64</v>
      </c>
      <c r="C7071" t="s">
        <v>32</v>
      </c>
      <c r="D7071" t="str">
        <f>T_Stocks[[#This Row],[Ticker]] &amp; "-" &amp; DATE(YEAR(T_Stocks[[#This Row],[Fecha]]),MONTH(T_Stocks[[#This Row],[Fecha]]),DAY(T_Stocks[[#This Row],[Fecha]]))</f>
        <v>VTSAX-43929</v>
      </c>
    </row>
    <row r="7072" spans="1:4" ht="14.65" thickBot="1" x14ac:dyDescent="0.5">
      <c r="A7072" s="17">
        <v>43930.666666666664</v>
      </c>
      <c r="B7072" s="19">
        <v>67.83</v>
      </c>
      <c r="C7072" t="s">
        <v>32</v>
      </c>
      <c r="D7072" t="str">
        <f>T_Stocks[[#This Row],[Ticker]] &amp; "-" &amp; DATE(YEAR(T_Stocks[[#This Row],[Fecha]]),MONTH(T_Stocks[[#This Row],[Fecha]]),DAY(T_Stocks[[#This Row],[Fecha]]))</f>
        <v>VTSAX-43930</v>
      </c>
    </row>
    <row r="7073" spans="1:4" ht="14.65" thickBot="1" x14ac:dyDescent="0.5">
      <c r="A7073" s="17">
        <v>43934.666666666664</v>
      </c>
      <c r="B7073" s="19">
        <v>67.040000000000006</v>
      </c>
      <c r="C7073" t="s">
        <v>32</v>
      </c>
      <c r="D7073" t="str">
        <f>T_Stocks[[#This Row],[Ticker]] &amp; "-" &amp; DATE(YEAR(T_Stocks[[#This Row],[Fecha]]),MONTH(T_Stocks[[#This Row],[Fecha]]),DAY(T_Stocks[[#This Row],[Fecha]]))</f>
        <v>VTSAX-43934</v>
      </c>
    </row>
    <row r="7074" spans="1:4" ht="14.65" thickBot="1" x14ac:dyDescent="0.5">
      <c r="A7074" s="17">
        <v>43935.666666666664</v>
      </c>
      <c r="B7074" s="19">
        <v>69.05</v>
      </c>
      <c r="C7074" t="s">
        <v>32</v>
      </c>
      <c r="D7074" t="str">
        <f>T_Stocks[[#This Row],[Ticker]] &amp; "-" &amp; DATE(YEAR(T_Stocks[[#This Row],[Fecha]]),MONTH(T_Stocks[[#This Row],[Fecha]]),DAY(T_Stocks[[#This Row],[Fecha]]))</f>
        <v>VTSAX-43935</v>
      </c>
    </row>
    <row r="7075" spans="1:4" ht="14.65" thickBot="1" x14ac:dyDescent="0.5">
      <c r="A7075" s="17">
        <v>43936.666666666664</v>
      </c>
      <c r="B7075" s="19">
        <v>67.44</v>
      </c>
      <c r="C7075" t="s">
        <v>32</v>
      </c>
      <c r="D7075" t="str">
        <f>T_Stocks[[#This Row],[Ticker]] &amp; "-" &amp; DATE(YEAR(T_Stocks[[#This Row],[Fecha]]),MONTH(T_Stocks[[#This Row],[Fecha]]),DAY(T_Stocks[[#This Row],[Fecha]]))</f>
        <v>VTSAX-43936</v>
      </c>
    </row>
    <row r="7076" spans="1:4" ht="14.65" thickBot="1" x14ac:dyDescent="0.5">
      <c r="A7076" s="17">
        <v>43937.666666666664</v>
      </c>
      <c r="B7076" s="19">
        <v>67.77</v>
      </c>
      <c r="C7076" t="s">
        <v>32</v>
      </c>
      <c r="D7076" t="str">
        <f>T_Stocks[[#This Row],[Ticker]] &amp; "-" &amp; DATE(YEAR(T_Stocks[[#This Row],[Fecha]]),MONTH(T_Stocks[[#This Row],[Fecha]]),DAY(T_Stocks[[#This Row],[Fecha]]))</f>
        <v>VTSAX-43937</v>
      </c>
    </row>
    <row r="7077" spans="1:4" ht="14.65" thickBot="1" x14ac:dyDescent="0.5">
      <c r="A7077" s="17">
        <v>43938.666666666664</v>
      </c>
      <c r="B7077" s="19">
        <v>69.709999999999994</v>
      </c>
      <c r="C7077" t="s">
        <v>32</v>
      </c>
      <c r="D7077" t="str">
        <f>T_Stocks[[#This Row],[Ticker]] &amp; "-" &amp; DATE(YEAR(T_Stocks[[#This Row],[Fecha]]),MONTH(T_Stocks[[#This Row],[Fecha]]),DAY(T_Stocks[[#This Row],[Fecha]]))</f>
        <v>VTSAX-43938</v>
      </c>
    </row>
    <row r="7078" spans="1:4" ht="14.65" thickBot="1" x14ac:dyDescent="0.5">
      <c r="A7078" s="17">
        <v>43941.666666666664</v>
      </c>
      <c r="B7078" s="19">
        <v>68.52</v>
      </c>
      <c r="C7078" t="s">
        <v>32</v>
      </c>
      <c r="D7078" t="str">
        <f>T_Stocks[[#This Row],[Ticker]] &amp; "-" &amp; DATE(YEAR(T_Stocks[[#This Row],[Fecha]]),MONTH(T_Stocks[[#This Row],[Fecha]]),DAY(T_Stocks[[#This Row],[Fecha]]))</f>
        <v>VTSAX-43941</v>
      </c>
    </row>
    <row r="7079" spans="1:4" ht="14.65" thickBot="1" x14ac:dyDescent="0.5">
      <c r="A7079" s="17">
        <v>43942.666666666664</v>
      </c>
      <c r="B7079" s="19">
        <v>66.430000000000007</v>
      </c>
      <c r="C7079" t="s">
        <v>32</v>
      </c>
      <c r="D7079" t="str">
        <f>T_Stocks[[#This Row],[Ticker]] &amp; "-" &amp; DATE(YEAR(T_Stocks[[#This Row],[Fecha]]),MONTH(T_Stocks[[#This Row],[Fecha]]),DAY(T_Stocks[[#This Row],[Fecha]]))</f>
        <v>VTSAX-43942</v>
      </c>
    </row>
    <row r="7080" spans="1:4" ht="14.65" thickBot="1" x14ac:dyDescent="0.5">
      <c r="A7080" s="17">
        <v>43943.666666666664</v>
      </c>
      <c r="B7080" s="19">
        <v>67.92</v>
      </c>
      <c r="C7080" t="s">
        <v>32</v>
      </c>
      <c r="D7080" t="str">
        <f>T_Stocks[[#This Row],[Ticker]] &amp; "-" &amp; DATE(YEAR(T_Stocks[[#This Row],[Fecha]]),MONTH(T_Stocks[[#This Row],[Fecha]]),DAY(T_Stocks[[#This Row],[Fecha]]))</f>
        <v>VTSAX-43943</v>
      </c>
    </row>
    <row r="7081" spans="1:4" ht="14.65" thickBot="1" x14ac:dyDescent="0.5">
      <c r="A7081" s="17">
        <v>43944.666666666664</v>
      </c>
      <c r="B7081" s="19">
        <v>67.97</v>
      </c>
      <c r="C7081" t="s">
        <v>32</v>
      </c>
      <c r="D7081" t="str">
        <f>T_Stocks[[#This Row],[Ticker]] &amp; "-" &amp; DATE(YEAR(T_Stocks[[#This Row],[Fecha]]),MONTH(T_Stocks[[#This Row],[Fecha]]),DAY(T_Stocks[[#This Row],[Fecha]]))</f>
        <v>VTSAX-43944</v>
      </c>
    </row>
    <row r="7082" spans="1:4" ht="14.65" thickBot="1" x14ac:dyDescent="0.5">
      <c r="A7082" s="17">
        <v>43945.666666666664</v>
      </c>
      <c r="B7082" s="19">
        <v>68.92</v>
      </c>
      <c r="C7082" t="s">
        <v>32</v>
      </c>
      <c r="D7082" t="str">
        <f>T_Stocks[[#This Row],[Ticker]] &amp; "-" &amp; DATE(YEAR(T_Stocks[[#This Row],[Fecha]]),MONTH(T_Stocks[[#This Row],[Fecha]]),DAY(T_Stocks[[#This Row],[Fecha]]))</f>
        <v>VTSAX-43945</v>
      </c>
    </row>
    <row r="7083" spans="1:4" ht="14.65" thickBot="1" x14ac:dyDescent="0.5">
      <c r="A7083" s="17">
        <v>43948.666666666664</v>
      </c>
      <c r="B7083" s="19">
        <v>70.16</v>
      </c>
      <c r="C7083" t="s">
        <v>32</v>
      </c>
      <c r="D7083" t="str">
        <f>T_Stocks[[#This Row],[Ticker]] &amp; "-" &amp; DATE(YEAR(T_Stocks[[#This Row],[Fecha]]),MONTH(T_Stocks[[#This Row],[Fecha]]),DAY(T_Stocks[[#This Row],[Fecha]]))</f>
        <v>VTSAX-43948</v>
      </c>
    </row>
    <row r="7084" spans="1:4" ht="14.65" thickBot="1" x14ac:dyDescent="0.5">
      <c r="A7084" s="17">
        <v>43949.666666666664</v>
      </c>
      <c r="B7084" s="19">
        <v>69.900000000000006</v>
      </c>
      <c r="C7084" t="s">
        <v>32</v>
      </c>
      <c r="D7084" t="str">
        <f>T_Stocks[[#This Row],[Ticker]] &amp; "-" &amp; DATE(YEAR(T_Stocks[[#This Row],[Fecha]]),MONTH(T_Stocks[[#This Row],[Fecha]]),DAY(T_Stocks[[#This Row],[Fecha]]))</f>
        <v>VTSAX-43949</v>
      </c>
    </row>
    <row r="7085" spans="1:4" ht="14.65" thickBot="1" x14ac:dyDescent="0.5">
      <c r="A7085" s="17">
        <v>43950.666666666664</v>
      </c>
      <c r="B7085" s="19">
        <v>71.930000000000007</v>
      </c>
      <c r="C7085" t="s">
        <v>32</v>
      </c>
      <c r="D7085" t="str">
        <f>T_Stocks[[#This Row],[Ticker]] &amp; "-" &amp; DATE(YEAR(T_Stocks[[#This Row],[Fecha]]),MONTH(T_Stocks[[#This Row],[Fecha]]),DAY(T_Stocks[[#This Row],[Fecha]]))</f>
        <v>VTSAX-43950</v>
      </c>
    </row>
    <row r="7086" spans="1:4" ht="14.65" thickBot="1" x14ac:dyDescent="0.5">
      <c r="A7086" s="17">
        <v>43951.666666666664</v>
      </c>
      <c r="B7086" s="19">
        <v>71.069999999999993</v>
      </c>
      <c r="C7086" t="s">
        <v>32</v>
      </c>
      <c r="D7086" t="str">
        <f>T_Stocks[[#This Row],[Ticker]] &amp; "-" &amp; DATE(YEAR(T_Stocks[[#This Row],[Fecha]]),MONTH(T_Stocks[[#This Row],[Fecha]]),DAY(T_Stocks[[#This Row],[Fecha]]))</f>
        <v>VTSAX-43951</v>
      </c>
    </row>
    <row r="7087" spans="1:4" ht="14.65" thickBot="1" x14ac:dyDescent="0.5">
      <c r="A7087" s="17">
        <v>43952.666666666664</v>
      </c>
      <c r="B7087" s="19">
        <v>68.989999999999995</v>
      </c>
      <c r="C7087" t="s">
        <v>32</v>
      </c>
      <c r="D7087" t="str">
        <f>T_Stocks[[#This Row],[Ticker]] &amp; "-" &amp; DATE(YEAR(T_Stocks[[#This Row],[Fecha]]),MONTH(T_Stocks[[#This Row],[Fecha]]),DAY(T_Stocks[[#This Row],[Fecha]]))</f>
        <v>VTSAX-43952</v>
      </c>
    </row>
    <row r="7088" spans="1:4" ht="14.65" thickBot="1" x14ac:dyDescent="0.5">
      <c r="A7088" s="17">
        <v>43955.666666666664</v>
      </c>
      <c r="B7088" s="19">
        <v>69.31</v>
      </c>
      <c r="C7088" t="s">
        <v>32</v>
      </c>
      <c r="D7088" t="str">
        <f>T_Stocks[[#This Row],[Ticker]] &amp; "-" &amp; DATE(YEAR(T_Stocks[[#This Row],[Fecha]]),MONTH(T_Stocks[[#This Row],[Fecha]]),DAY(T_Stocks[[#This Row],[Fecha]]))</f>
        <v>VTSAX-43955</v>
      </c>
    </row>
    <row r="7089" spans="1:4" ht="14.65" thickBot="1" x14ac:dyDescent="0.5">
      <c r="A7089" s="17">
        <v>43956.666666666664</v>
      </c>
      <c r="B7089" s="19">
        <v>69.97</v>
      </c>
      <c r="C7089" t="s">
        <v>32</v>
      </c>
      <c r="D7089" t="str">
        <f>T_Stocks[[#This Row],[Ticker]] &amp; "-" &amp; DATE(YEAR(T_Stocks[[#This Row],[Fecha]]),MONTH(T_Stocks[[#This Row],[Fecha]]),DAY(T_Stocks[[#This Row],[Fecha]]))</f>
        <v>VTSAX-43956</v>
      </c>
    </row>
    <row r="7090" spans="1:4" ht="14.65" thickBot="1" x14ac:dyDescent="0.5">
      <c r="A7090" s="17">
        <v>43957.666666666664</v>
      </c>
      <c r="B7090" s="19">
        <v>69.52</v>
      </c>
      <c r="C7090" t="s">
        <v>32</v>
      </c>
      <c r="D7090" t="str">
        <f>T_Stocks[[#This Row],[Ticker]] &amp; "-" &amp; DATE(YEAR(T_Stocks[[#This Row],[Fecha]]),MONTH(T_Stocks[[#This Row],[Fecha]]),DAY(T_Stocks[[#This Row],[Fecha]]))</f>
        <v>VTSAX-43957</v>
      </c>
    </row>
    <row r="7091" spans="1:4" ht="14.65" thickBot="1" x14ac:dyDescent="0.5">
      <c r="A7091" s="17">
        <v>43958.666666666664</v>
      </c>
      <c r="B7091" s="19">
        <v>70.45</v>
      </c>
      <c r="C7091" t="s">
        <v>32</v>
      </c>
      <c r="D7091" t="str">
        <f>T_Stocks[[#This Row],[Ticker]] &amp; "-" &amp; DATE(YEAR(T_Stocks[[#This Row],[Fecha]]),MONTH(T_Stocks[[#This Row],[Fecha]]),DAY(T_Stocks[[#This Row],[Fecha]]))</f>
        <v>VTSAX-43958</v>
      </c>
    </row>
    <row r="7092" spans="1:4" ht="14.65" thickBot="1" x14ac:dyDescent="0.5">
      <c r="A7092" s="17">
        <v>43959.666666666664</v>
      </c>
      <c r="B7092" s="19">
        <v>71.790000000000006</v>
      </c>
      <c r="C7092" t="s">
        <v>32</v>
      </c>
      <c r="D7092" t="str">
        <f>T_Stocks[[#This Row],[Ticker]] &amp; "-" &amp; DATE(YEAR(T_Stocks[[#This Row],[Fecha]]),MONTH(T_Stocks[[#This Row],[Fecha]]),DAY(T_Stocks[[#This Row],[Fecha]]))</f>
        <v>VTSAX-43959</v>
      </c>
    </row>
    <row r="7093" spans="1:4" ht="14.65" thickBot="1" x14ac:dyDescent="0.5">
      <c r="A7093" s="17">
        <v>43962.666666666664</v>
      </c>
      <c r="B7093" s="19">
        <v>71.77</v>
      </c>
      <c r="C7093" t="s">
        <v>32</v>
      </c>
      <c r="D7093" t="str">
        <f>T_Stocks[[#This Row],[Ticker]] &amp; "-" &amp; DATE(YEAR(T_Stocks[[#This Row],[Fecha]]),MONTH(T_Stocks[[#This Row],[Fecha]]),DAY(T_Stocks[[#This Row],[Fecha]]))</f>
        <v>VTSAX-43962</v>
      </c>
    </row>
    <row r="7094" spans="1:4" ht="14.65" thickBot="1" x14ac:dyDescent="0.5">
      <c r="A7094" s="17">
        <v>43963.666666666664</v>
      </c>
      <c r="B7094" s="19">
        <v>70.209999999999994</v>
      </c>
      <c r="C7094" t="s">
        <v>32</v>
      </c>
      <c r="D7094" t="str">
        <f>T_Stocks[[#This Row],[Ticker]] &amp; "-" &amp; DATE(YEAR(T_Stocks[[#This Row],[Fecha]]),MONTH(T_Stocks[[#This Row],[Fecha]]),DAY(T_Stocks[[#This Row],[Fecha]]))</f>
        <v>VTSAX-43963</v>
      </c>
    </row>
    <row r="7095" spans="1:4" ht="14.65" thickBot="1" x14ac:dyDescent="0.5">
      <c r="A7095" s="17">
        <v>43964.666666666664</v>
      </c>
      <c r="B7095" s="19">
        <v>68.84</v>
      </c>
      <c r="C7095" t="s">
        <v>32</v>
      </c>
      <c r="D7095" t="str">
        <f>T_Stocks[[#This Row],[Ticker]] &amp; "-" &amp; DATE(YEAR(T_Stocks[[#This Row],[Fecha]]),MONTH(T_Stocks[[#This Row],[Fecha]]),DAY(T_Stocks[[#This Row],[Fecha]]))</f>
        <v>VTSAX-43964</v>
      </c>
    </row>
    <row r="7096" spans="1:4" ht="14.65" thickBot="1" x14ac:dyDescent="0.5">
      <c r="A7096" s="17">
        <v>43965.666666666664</v>
      </c>
      <c r="B7096" s="19">
        <v>69.62</v>
      </c>
      <c r="C7096" t="s">
        <v>32</v>
      </c>
      <c r="D7096" t="str">
        <f>T_Stocks[[#This Row],[Ticker]] &amp; "-" &amp; DATE(YEAR(T_Stocks[[#This Row],[Fecha]]),MONTH(T_Stocks[[#This Row],[Fecha]]),DAY(T_Stocks[[#This Row],[Fecha]]))</f>
        <v>VTSAX-43965</v>
      </c>
    </row>
    <row r="7097" spans="1:4" ht="14.65" thickBot="1" x14ac:dyDescent="0.5">
      <c r="A7097" s="17">
        <v>43966.666666666664</v>
      </c>
      <c r="B7097" s="19">
        <v>69.98</v>
      </c>
      <c r="C7097" t="s">
        <v>32</v>
      </c>
      <c r="D7097" t="str">
        <f>T_Stocks[[#This Row],[Ticker]] &amp; "-" &amp; DATE(YEAR(T_Stocks[[#This Row],[Fecha]]),MONTH(T_Stocks[[#This Row],[Fecha]]),DAY(T_Stocks[[#This Row],[Fecha]]))</f>
        <v>VTSAX-43966</v>
      </c>
    </row>
    <row r="7098" spans="1:4" ht="14.65" thickBot="1" x14ac:dyDescent="0.5">
      <c r="A7098" s="17">
        <v>43969.666666666664</v>
      </c>
      <c r="B7098" s="19">
        <v>72.36</v>
      </c>
      <c r="C7098" t="s">
        <v>32</v>
      </c>
      <c r="D7098" t="str">
        <f>T_Stocks[[#This Row],[Ticker]] &amp; "-" &amp; DATE(YEAR(T_Stocks[[#This Row],[Fecha]]),MONTH(T_Stocks[[#This Row],[Fecha]]),DAY(T_Stocks[[#This Row],[Fecha]]))</f>
        <v>VTSAX-43969</v>
      </c>
    </row>
    <row r="7099" spans="1:4" ht="14.65" thickBot="1" x14ac:dyDescent="0.5">
      <c r="A7099" s="17">
        <v>43970.666666666664</v>
      </c>
      <c r="B7099" s="19">
        <v>71.599999999999994</v>
      </c>
      <c r="C7099" t="s">
        <v>32</v>
      </c>
      <c r="D7099" t="str">
        <f>T_Stocks[[#This Row],[Ticker]] &amp; "-" &amp; DATE(YEAR(T_Stocks[[#This Row],[Fecha]]),MONTH(T_Stocks[[#This Row],[Fecha]]),DAY(T_Stocks[[#This Row],[Fecha]]))</f>
        <v>VTSAX-43970</v>
      </c>
    </row>
    <row r="7100" spans="1:4" ht="14.65" thickBot="1" x14ac:dyDescent="0.5">
      <c r="A7100" s="17">
        <v>43971.666666666664</v>
      </c>
      <c r="B7100" s="19">
        <v>72.88</v>
      </c>
      <c r="C7100" t="s">
        <v>32</v>
      </c>
      <c r="D7100" t="str">
        <f>T_Stocks[[#This Row],[Ticker]] &amp; "-" &amp; DATE(YEAR(T_Stocks[[#This Row],[Fecha]]),MONTH(T_Stocks[[#This Row],[Fecha]]),DAY(T_Stocks[[#This Row],[Fecha]]))</f>
        <v>VTSAX-43971</v>
      </c>
    </row>
    <row r="7101" spans="1:4" ht="14.65" thickBot="1" x14ac:dyDescent="0.5">
      <c r="A7101" s="17">
        <v>43972.666666666664</v>
      </c>
      <c r="B7101" s="19">
        <v>72.400000000000006</v>
      </c>
      <c r="C7101" t="s">
        <v>32</v>
      </c>
      <c r="D7101" t="str">
        <f>T_Stocks[[#This Row],[Ticker]] &amp; "-" &amp; DATE(YEAR(T_Stocks[[#This Row],[Fecha]]),MONTH(T_Stocks[[#This Row],[Fecha]]),DAY(T_Stocks[[#This Row],[Fecha]]))</f>
        <v>VTSAX-43972</v>
      </c>
    </row>
    <row r="7102" spans="1:4" ht="14.65" thickBot="1" x14ac:dyDescent="0.5">
      <c r="A7102" s="17">
        <v>43973.666666666664</v>
      </c>
      <c r="B7102" s="19">
        <v>72.63</v>
      </c>
      <c r="C7102" t="s">
        <v>32</v>
      </c>
      <c r="D7102" t="str">
        <f>T_Stocks[[#This Row],[Ticker]] &amp; "-" &amp; DATE(YEAR(T_Stocks[[#This Row],[Fecha]]),MONTH(T_Stocks[[#This Row],[Fecha]]),DAY(T_Stocks[[#This Row],[Fecha]]))</f>
        <v>VTSAX-43973</v>
      </c>
    </row>
    <row r="7103" spans="1:4" ht="14.65" thickBot="1" x14ac:dyDescent="0.5">
      <c r="A7103" s="17">
        <v>43977.666666666664</v>
      </c>
      <c r="B7103" s="19">
        <v>73.64</v>
      </c>
      <c r="C7103" t="s">
        <v>32</v>
      </c>
      <c r="D7103" t="str">
        <f>T_Stocks[[#This Row],[Ticker]] &amp; "-" &amp; DATE(YEAR(T_Stocks[[#This Row],[Fecha]]),MONTH(T_Stocks[[#This Row],[Fecha]]),DAY(T_Stocks[[#This Row],[Fecha]]))</f>
        <v>VTSAX-43977</v>
      </c>
    </row>
    <row r="7104" spans="1:4" ht="14.65" thickBot="1" x14ac:dyDescent="0.5">
      <c r="A7104" s="17">
        <v>43978.666666666664</v>
      </c>
      <c r="B7104" s="19">
        <v>74.8</v>
      </c>
      <c r="C7104" t="s">
        <v>32</v>
      </c>
      <c r="D7104" t="str">
        <f>T_Stocks[[#This Row],[Ticker]] &amp; "-" &amp; DATE(YEAR(T_Stocks[[#This Row],[Fecha]]),MONTH(T_Stocks[[#This Row],[Fecha]]),DAY(T_Stocks[[#This Row],[Fecha]]))</f>
        <v>VTSAX-43978</v>
      </c>
    </row>
    <row r="7105" spans="1:4" ht="14.65" thickBot="1" x14ac:dyDescent="0.5">
      <c r="A7105" s="17">
        <v>43979.666666666664</v>
      </c>
      <c r="B7105" s="19">
        <v>74.53</v>
      </c>
      <c r="C7105" t="s">
        <v>32</v>
      </c>
      <c r="D7105" t="str">
        <f>T_Stocks[[#This Row],[Ticker]] &amp; "-" &amp; DATE(YEAR(T_Stocks[[#This Row],[Fecha]]),MONTH(T_Stocks[[#This Row],[Fecha]]),DAY(T_Stocks[[#This Row],[Fecha]]))</f>
        <v>VTSAX-43979</v>
      </c>
    </row>
    <row r="7106" spans="1:4" ht="14.65" thickBot="1" x14ac:dyDescent="0.5">
      <c r="A7106" s="17">
        <v>43980.666666666664</v>
      </c>
      <c r="B7106" s="19">
        <v>74.89</v>
      </c>
      <c r="C7106" t="s">
        <v>32</v>
      </c>
      <c r="D7106" t="str">
        <f>T_Stocks[[#This Row],[Ticker]] &amp; "-" &amp; DATE(YEAR(T_Stocks[[#This Row],[Fecha]]),MONTH(T_Stocks[[#This Row],[Fecha]]),DAY(T_Stocks[[#This Row],[Fecha]]))</f>
        <v>VTSAX-43980</v>
      </c>
    </row>
    <row r="7107" spans="1:4" ht="14.65" thickBot="1" x14ac:dyDescent="0.5">
      <c r="A7107" s="17">
        <v>43983.666666666664</v>
      </c>
      <c r="B7107" s="19">
        <v>75.290000000000006</v>
      </c>
      <c r="C7107" t="s">
        <v>32</v>
      </c>
      <c r="D7107" t="str">
        <f>T_Stocks[[#This Row],[Ticker]] &amp; "-" &amp; DATE(YEAR(T_Stocks[[#This Row],[Fecha]]),MONTH(T_Stocks[[#This Row],[Fecha]]),DAY(T_Stocks[[#This Row],[Fecha]]))</f>
        <v>VTSAX-43983</v>
      </c>
    </row>
    <row r="7108" spans="1:4" ht="14.65" thickBot="1" x14ac:dyDescent="0.5">
      <c r="A7108" s="17">
        <v>43984.666666666664</v>
      </c>
      <c r="B7108" s="19">
        <v>75.92</v>
      </c>
      <c r="C7108" t="s">
        <v>32</v>
      </c>
      <c r="D7108" t="str">
        <f>T_Stocks[[#This Row],[Ticker]] &amp; "-" &amp; DATE(YEAR(T_Stocks[[#This Row],[Fecha]]),MONTH(T_Stocks[[#This Row],[Fecha]]),DAY(T_Stocks[[#This Row],[Fecha]]))</f>
        <v>VTSAX-43984</v>
      </c>
    </row>
    <row r="7109" spans="1:4" ht="14.65" thickBot="1" x14ac:dyDescent="0.5">
      <c r="A7109" s="17">
        <v>43985.666666666664</v>
      </c>
      <c r="B7109" s="19">
        <v>77.069999999999993</v>
      </c>
      <c r="C7109" t="s">
        <v>32</v>
      </c>
      <c r="D7109" t="str">
        <f>T_Stocks[[#This Row],[Ticker]] &amp; "-" &amp; DATE(YEAR(T_Stocks[[#This Row],[Fecha]]),MONTH(T_Stocks[[#This Row],[Fecha]]),DAY(T_Stocks[[#This Row],[Fecha]]))</f>
        <v>VTSAX-43985</v>
      </c>
    </row>
    <row r="7110" spans="1:4" ht="14.65" thickBot="1" x14ac:dyDescent="0.5">
      <c r="A7110" s="17">
        <v>43986.666666666664</v>
      </c>
      <c r="B7110" s="19">
        <v>76.819999999999993</v>
      </c>
      <c r="C7110" t="s">
        <v>32</v>
      </c>
      <c r="D7110" t="str">
        <f>T_Stocks[[#This Row],[Ticker]] &amp; "-" &amp; DATE(YEAR(T_Stocks[[#This Row],[Fecha]]),MONTH(T_Stocks[[#This Row],[Fecha]]),DAY(T_Stocks[[#This Row],[Fecha]]))</f>
        <v>VTSAX-43986</v>
      </c>
    </row>
    <row r="7111" spans="1:4" ht="14.65" thickBot="1" x14ac:dyDescent="0.5">
      <c r="A7111" s="17">
        <v>43987.666666666664</v>
      </c>
      <c r="B7111" s="19">
        <v>78.849999999999994</v>
      </c>
      <c r="C7111" t="s">
        <v>32</v>
      </c>
      <c r="D7111" t="str">
        <f>T_Stocks[[#This Row],[Ticker]] &amp; "-" &amp; DATE(YEAR(T_Stocks[[#This Row],[Fecha]]),MONTH(T_Stocks[[#This Row],[Fecha]]),DAY(T_Stocks[[#This Row],[Fecha]]))</f>
        <v>VTSAX-43987</v>
      </c>
    </row>
    <row r="7112" spans="1:4" ht="14.65" thickBot="1" x14ac:dyDescent="0.5">
      <c r="A7112" s="17">
        <v>43990.666666666664</v>
      </c>
      <c r="B7112" s="19">
        <v>79.92</v>
      </c>
      <c r="C7112" t="s">
        <v>32</v>
      </c>
      <c r="D7112" t="str">
        <f>T_Stocks[[#This Row],[Ticker]] &amp; "-" &amp; DATE(YEAR(T_Stocks[[#This Row],[Fecha]]),MONTH(T_Stocks[[#This Row],[Fecha]]),DAY(T_Stocks[[#This Row],[Fecha]]))</f>
        <v>VTSAX-43990</v>
      </c>
    </row>
    <row r="7113" spans="1:4" ht="14.65" thickBot="1" x14ac:dyDescent="0.5">
      <c r="A7113" s="17">
        <v>43991.666666666664</v>
      </c>
      <c r="B7113" s="19">
        <v>79.16</v>
      </c>
      <c r="C7113" t="s">
        <v>32</v>
      </c>
      <c r="D7113" t="str">
        <f>T_Stocks[[#This Row],[Ticker]] &amp; "-" &amp; DATE(YEAR(T_Stocks[[#This Row],[Fecha]]),MONTH(T_Stocks[[#This Row],[Fecha]]),DAY(T_Stocks[[#This Row],[Fecha]]))</f>
        <v>VTSAX-43991</v>
      </c>
    </row>
    <row r="7114" spans="1:4" ht="14.65" thickBot="1" x14ac:dyDescent="0.5">
      <c r="A7114" s="17">
        <v>43992.666666666664</v>
      </c>
      <c r="B7114" s="19">
        <v>78.61</v>
      </c>
      <c r="C7114" t="s">
        <v>32</v>
      </c>
      <c r="D7114" t="str">
        <f>T_Stocks[[#This Row],[Ticker]] &amp; "-" &amp; DATE(YEAR(T_Stocks[[#This Row],[Fecha]]),MONTH(T_Stocks[[#This Row],[Fecha]]),DAY(T_Stocks[[#This Row],[Fecha]]))</f>
        <v>VTSAX-43992</v>
      </c>
    </row>
    <row r="7115" spans="1:4" ht="14.65" thickBot="1" x14ac:dyDescent="0.5">
      <c r="A7115" s="17">
        <v>43993.666666666664</v>
      </c>
      <c r="B7115" s="19">
        <v>73.89</v>
      </c>
      <c r="C7115" t="s">
        <v>32</v>
      </c>
      <c r="D7115" t="str">
        <f>T_Stocks[[#This Row],[Ticker]] &amp; "-" &amp; DATE(YEAR(T_Stocks[[#This Row],[Fecha]]),MONTH(T_Stocks[[#This Row],[Fecha]]),DAY(T_Stocks[[#This Row],[Fecha]]))</f>
        <v>VTSAX-43993</v>
      </c>
    </row>
    <row r="7116" spans="1:4" ht="14.65" thickBot="1" x14ac:dyDescent="0.5">
      <c r="A7116" s="17">
        <v>43994.666666666664</v>
      </c>
      <c r="B7116" s="19">
        <v>74.94</v>
      </c>
      <c r="C7116" t="s">
        <v>32</v>
      </c>
      <c r="D7116" t="str">
        <f>T_Stocks[[#This Row],[Ticker]] &amp; "-" &amp; DATE(YEAR(T_Stocks[[#This Row],[Fecha]]),MONTH(T_Stocks[[#This Row],[Fecha]]),DAY(T_Stocks[[#This Row],[Fecha]]))</f>
        <v>VTSAX-43994</v>
      </c>
    </row>
    <row r="7117" spans="1:4" ht="14.65" thickBot="1" x14ac:dyDescent="0.5">
      <c r="A7117" s="17">
        <v>43997.666666666664</v>
      </c>
      <c r="B7117" s="19">
        <v>75.709999999999994</v>
      </c>
      <c r="C7117" t="s">
        <v>32</v>
      </c>
      <c r="D7117" t="str">
        <f>T_Stocks[[#This Row],[Ticker]] &amp; "-" &amp; DATE(YEAR(T_Stocks[[#This Row],[Fecha]]),MONTH(T_Stocks[[#This Row],[Fecha]]),DAY(T_Stocks[[#This Row],[Fecha]]))</f>
        <v>VTSAX-43997</v>
      </c>
    </row>
    <row r="7118" spans="1:4" ht="14.65" thickBot="1" x14ac:dyDescent="0.5">
      <c r="A7118" s="17">
        <v>43998.666666666664</v>
      </c>
      <c r="B7118" s="19">
        <v>77.16</v>
      </c>
      <c r="C7118" t="s">
        <v>32</v>
      </c>
      <c r="D7118" t="str">
        <f>T_Stocks[[#This Row],[Ticker]] &amp; "-" &amp; DATE(YEAR(T_Stocks[[#This Row],[Fecha]]),MONTH(T_Stocks[[#This Row],[Fecha]]),DAY(T_Stocks[[#This Row],[Fecha]]))</f>
        <v>VTSAX-43998</v>
      </c>
    </row>
    <row r="7119" spans="1:4" ht="14.65" thickBot="1" x14ac:dyDescent="0.5">
      <c r="A7119" s="17">
        <v>43999.666666666664</v>
      </c>
      <c r="B7119" s="19">
        <v>76.81</v>
      </c>
      <c r="C7119" t="s">
        <v>32</v>
      </c>
      <c r="D7119" t="str">
        <f>T_Stocks[[#This Row],[Ticker]] &amp; "-" &amp; DATE(YEAR(T_Stocks[[#This Row],[Fecha]]),MONTH(T_Stocks[[#This Row],[Fecha]]),DAY(T_Stocks[[#This Row],[Fecha]]))</f>
        <v>VTSAX-43999</v>
      </c>
    </row>
    <row r="7120" spans="1:4" ht="14.65" thickBot="1" x14ac:dyDescent="0.5">
      <c r="A7120" s="17">
        <v>44000.666666666664</v>
      </c>
      <c r="B7120" s="19">
        <v>76.88</v>
      </c>
      <c r="C7120" t="s">
        <v>32</v>
      </c>
      <c r="D7120" t="str">
        <f>T_Stocks[[#This Row],[Ticker]] &amp; "-" &amp; DATE(YEAR(T_Stocks[[#This Row],[Fecha]]),MONTH(T_Stocks[[#This Row],[Fecha]]),DAY(T_Stocks[[#This Row],[Fecha]]))</f>
        <v>VTSAX-44000</v>
      </c>
    </row>
    <row r="7121" spans="1:4" ht="14.65" thickBot="1" x14ac:dyDescent="0.5">
      <c r="A7121" s="17">
        <v>44001.666666666664</v>
      </c>
      <c r="B7121" s="19">
        <v>76.47</v>
      </c>
      <c r="C7121" t="s">
        <v>32</v>
      </c>
      <c r="D7121" t="str">
        <f>T_Stocks[[#This Row],[Ticker]] &amp; "-" &amp; DATE(YEAR(T_Stocks[[#This Row],[Fecha]]),MONTH(T_Stocks[[#This Row],[Fecha]]),DAY(T_Stocks[[#This Row],[Fecha]]))</f>
        <v>VTSAX-44001</v>
      </c>
    </row>
    <row r="7122" spans="1:4" ht="14.65" thickBot="1" x14ac:dyDescent="0.5">
      <c r="A7122" s="17">
        <v>44004.666666666664</v>
      </c>
      <c r="B7122" s="19">
        <v>76.98</v>
      </c>
      <c r="C7122" t="s">
        <v>32</v>
      </c>
      <c r="D7122" t="str">
        <f>T_Stocks[[#This Row],[Ticker]] &amp; "-" &amp; DATE(YEAR(T_Stocks[[#This Row],[Fecha]]),MONTH(T_Stocks[[#This Row],[Fecha]]),DAY(T_Stocks[[#This Row],[Fecha]]))</f>
        <v>VTSAX-44004</v>
      </c>
    </row>
    <row r="7123" spans="1:4" ht="14.65" thickBot="1" x14ac:dyDescent="0.5">
      <c r="A7123" s="17">
        <v>44005.666666666664</v>
      </c>
      <c r="B7123" s="19">
        <v>77.28</v>
      </c>
      <c r="C7123" t="s">
        <v>32</v>
      </c>
      <c r="D7123" t="str">
        <f>T_Stocks[[#This Row],[Ticker]] &amp; "-" &amp; DATE(YEAR(T_Stocks[[#This Row],[Fecha]]),MONTH(T_Stocks[[#This Row],[Fecha]]),DAY(T_Stocks[[#This Row],[Fecha]]))</f>
        <v>VTSAX-44005</v>
      </c>
    </row>
    <row r="7124" spans="1:4" ht="14.65" thickBot="1" x14ac:dyDescent="0.5">
      <c r="A7124" s="17">
        <v>44006.666666666664</v>
      </c>
      <c r="B7124" s="19">
        <v>74.87</v>
      </c>
      <c r="C7124" t="s">
        <v>32</v>
      </c>
      <c r="D7124" t="str">
        <f>T_Stocks[[#This Row],[Ticker]] &amp; "-" &amp; DATE(YEAR(T_Stocks[[#This Row],[Fecha]]),MONTH(T_Stocks[[#This Row],[Fecha]]),DAY(T_Stocks[[#This Row],[Fecha]]))</f>
        <v>VTSAX-44006</v>
      </c>
    </row>
    <row r="7125" spans="1:4" ht="14.65" thickBot="1" x14ac:dyDescent="0.5">
      <c r="A7125" s="17">
        <v>44007.666666666664</v>
      </c>
      <c r="B7125" s="19">
        <v>75.760000000000005</v>
      </c>
      <c r="C7125" t="s">
        <v>32</v>
      </c>
      <c r="D7125" t="str">
        <f>T_Stocks[[#This Row],[Ticker]] &amp; "-" &amp; DATE(YEAR(T_Stocks[[#This Row],[Fecha]]),MONTH(T_Stocks[[#This Row],[Fecha]]),DAY(T_Stocks[[#This Row],[Fecha]]))</f>
        <v>VTSAX-44007</v>
      </c>
    </row>
    <row r="7126" spans="1:4" ht="14.65" thickBot="1" x14ac:dyDescent="0.5">
      <c r="A7126" s="17">
        <v>44008.666666666664</v>
      </c>
      <c r="B7126" s="19">
        <v>73.95</v>
      </c>
      <c r="C7126" t="s">
        <v>32</v>
      </c>
      <c r="D7126" t="str">
        <f>T_Stocks[[#This Row],[Ticker]] &amp; "-" &amp; DATE(YEAR(T_Stocks[[#This Row],[Fecha]]),MONTH(T_Stocks[[#This Row],[Fecha]]),DAY(T_Stocks[[#This Row],[Fecha]]))</f>
        <v>VTSAX-44008</v>
      </c>
    </row>
    <row r="7127" spans="1:4" ht="14.65" thickBot="1" x14ac:dyDescent="0.5">
      <c r="A7127" s="17">
        <v>44011.666666666664</v>
      </c>
      <c r="B7127" s="19">
        <v>75.09</v>
      </c>
      <c r="C7127" t="s">
        <v>32</v>
      </c>
      <c r="D7127" t="str">
        <f>T_Stocks[[#This Row],[Ticker]] &amp; "-" &amp; DATE(YEAR(T_Stocks[[#This Row],[Fecha]]),MONTH(T_Stocks[[#This Row],[Fecha]]),DAY(T_Stocks[[#This Row],[Fecha]]))</f>
        <v>VTSAX-44011</v>
      </c>
    </row>
    <row r="7128" spans="1:4" ht="14.65" thickBot="1" x14ac:dyDescent="0.5">
      <c r="A7128" s="17">
        <v>44012.666666666664</v>
      </c>
      <c r="B7128" s="19">
        <v>76.260000000000005</v>
      </c>
      <c r="C7128" t="s">
        <v>32</v>
      </c>
      <c r="D7128" t="str">
        <f>T_Stocks[[#This Row],[Ticker]] &amp; "-" &amp; DATE(YEAR(T_Stocks[[#This Row],[Fecha]]),MONTH(T_Stocks[[#This Row],[Fecha]]),DAY(T_Stocks[[#This Row],[Fecha]]))</f>
        <v>VTSAX-44012</v>
      </c>
    </row>
    <row r="7129" spans="1:4" ht="14.65" thickBot="1" x14ac:dyDescent="0.5">
      <c r="A7129" s="17">
        <v>44013.666666666664</v>
      </c>
      <c r="B7129" s="19">
        <v>76.61</v>
      </c>
      <c r="C7129" t="s">
        <v>32</v>
      </c>
      <c r="D7129" t="str">
        <f>T_Stocks[[#This Row],[Ticker]] &amp; "-" &amp; DATE(YEAR(T_Stocks[[#This Row],[Fecha]]),MONTH(T_Stocks[[#This Row],[Fecha]]),DAY(T_Stocks[[#This Row],[Fecha]]))</f>
        <v>VTSAX-44013</v>
      </c>
    </row>
    <row r="7130" spans="1:4" ht="14.65" thickBot="1" x14ac:dyDescent="0.5">
      <c r="A7130" s="17">
        <v>44014.666666666664</v>
      </c>
      <c r="B7130" s="19">
        <v>76.98</v>
      </c>
      <c r="C7130" t="s">
        <v>32</v>
      </c>
      <c r="D7130" t="str">
        <f>T_Stocks[[#This Row],[Ticker]] &amp; "-" &amp; DATE(YEAR(T_Stocks[[#This Row],[Fecha]]),MONTH(T_Stocks[[#This Row],[Fecha]]),DAY(T_Stocks[[#This Row],[Fecha]]))</f>
        <v>VTSAX-44014</v>
      </c>
    </row>
    <row r="7131" spans="1:4" ht="14.65" thickBot="1" x14ac:dyDescent="0.5">
      <c r="A7131" s="17">
        <v>44018.666666666664</v>
      </c>
      <c r="B7131" s="19">
        <v>78.17</v>
      </c>
      <c r="C7131" t="s">
        <v>32</v>
      </c>
      <c r="D7131" t="str">
        <f>T_Stocks[[#This Row],[Ticker]] &amp; "-" &amp; DATE(YEAR(T_Stocks[[#This Row],[Fecha]]),MONTH(T_Stocks[[#This Row],[Fecha]]),DAY(T_Stocks[[#This Row],[Fecha]]))</f>
        <v>VTSAX-44018</v>
      </c>
    </row>
    <row r="7132" spans="1:4" ht="14.65" thickBot="1" x14ac:dyDescent="0.5">
      <c r="A7132" s="17">
        <v>44019.666666666664</v>
      </c>
      <c r="B7132" s="19">
        <v>77.31</v>
      </c>
      <c r="C7132" t="s">
        <v>32</v>
      </c>
      <c r="D7132" t="str">
        <f>T_Stocks[[#This Row],[Ticker]] &amp; "-" &amp; DATE(YEAR(T_Stocks[[#This Row],[Fecha]]),MONTH(T_Stocks[[#This Row],[Fecha]]),DAY(T_Stocks[[#This Row],[Fecha]]))</f>
        <v>VTSAX-44019</v>
      </c>
    </row>
    <row r="7133" spans="1:4" ht="14.65" thickBot="1" x14ac:dyDescent="0.5">
      <c r="A7133" s="17">
        <v>44020.666666666664</v>
      </c>
      <c r="B7133" s="19">
        <v>77.959999999999994</v>
      </c>
      <c r="C7133" t="s">
        <v>32</v>
      </c>
      <c r="D7133" t="str">
        <f>T_Stocks[[#This Row],[Ticker]] &amp; "-" &amp; DATE(YEAR(T_Stocks[[#This Row],[Fecha]]),MONTH(T_Stocks[[#This Row],[Fecha]]),DAY(T_Stocks[[#This Row],[Fecha]]))</f>
        <v>VTSAX-44020</v>
      </c>
    </row>
    <row r="7134" spans="1:4" ht="14.65" thickBot="1" x14ac:dyDescent="0.5">
      <c r="A7134" s="17">
        <v>44021.666666666664</v>
      </c>
      <c r="B7134" s="19">
        <v>77.5</v>
      </c>
      <c r="C7134" t="s">
        <v>32</v>
      </c>
      <c r="D7134" t="str">
        <f>T_Stocks[[#This Row],[Ticker]] &amp; "-" &amp; DATE(YEAR(T_Stocks[[#This Row],[Fecha]]),MONTH(T_Stocks[[#This Row],[Fecha]]),DAY(T_Stocks[[#This Row],[Fecha]]))</f>
        <v>VTSAX-44021</v>
      </c>
    </row>
    <row r="7135" spans="1:4" ht="14.65" thickBot="1" x14ac:dyDescent="0.5">
      <c r="A7135" s="17">
        <v>44022.666666666664</v>
      </c>
      <c r="B7135" s="19">
        <v>78.34</v>
      </c>
      <c r="C7135" t="s">
        <v>32</v>
      </c>
      <c r="D7135" t="str">
        <f>T_Stocks[[#This Row],[Ticker]] &amp; "-" &amp; DATE(YEAR(T_Stocks[[#This Row],[Fecha]]),MONTH(T_Stocks[[#This Row],[Fecha]]),DAY(T_Stocks[[#This Row],[Fecha]]))</f>
        <v>VTSAX-44022</v>
      </c>
    </row>
    <row r="7136" spans="1:4" ht="14.65" thickBot="1" x14ac:dyDescent="0.5">
      <c r="A7136" s="17">
        <v>44025.666666666664</v>
      </c>
      <c r="B7136" s="19">
        <v>77.45</v>
      </c>
      <c r="C7136" t="s">
        <v>32</v>
      </c>
      <c r="D7136" t="str">
        <f>T_Stocks[[#This Row],[Ticker]] &amp; "-" &amp; DATE(YEAR(T_Stocks[[#This Row],[Fecha]]),MONTH(T_Stocks[[#This Row],[Fecha]]),DAY(T_Stocks[[#This Row],[Fecha]]))</f>
        <v>VTSAX-44025</v>
      </c>
    </row>
    <row r="7137" spans="1:4" ht="14.65" thickBot="1" x14ac:dyDescent="0.5">
      <c r="A7137" s="17">
        <v>44026.666666666664</v>
      </c>
      <c r="B7137" s="19">
        <v>78.510000000000005</v>
      </c>
      <c r="C7137" t="s">
        <v>32</v>
      </c>
      <c r="D7137" t="str">
        <f>T_Stocks[[#This Row],[Ticker]] &amp; "-" &amp; DATE(YEAR(T_Stocks[[#This Row],[Fecha]]),MONTH(T_Stocks[[#This Row],[Fecha]]),DAY(T_Stocks[[#This Row],[Fecha]]))</f>
        <v>VTSAX-44026</v>
      </c>
    </row>
    <row r="7138" spans="1:4" ht="14.65" thickBot="1" x14ac:dyDescent="0.5">
      <c r="A7138" s="17">
        <v>44027.666666666664</v>
      </c>
      <c r="B7138" s="19">
        <v>79.44</v>
      </c>
      <c r="C7138" t="s">
        <v>32</v>
      </c>
      <c r="D7138" t="str">
        <f>T_Stocks[[#This Row],[Ticker]] &amp; "-" &amp; DATE(YEAR(T_Stocks[[#This Row],[Fecha]]),MONTH(T_Stocks[[#This Row],[Fecha]]),DAY(T_Stocks[[#This Row],[Fecha]]))</f>
        <v>VTSAX-44027</v>
      </c>
    </row>
    <row r="7139" spans="1:4" ht="14.65" thickBot="1" x14ac:dyDescent="0.5">
      <c r="A7139" s="17">
        <v>44028.666666666664</v>
      </c>
      <c r="B7139" s="19">
        <v>79.12</v>
      </c>
      <c r="C7139" t="s">
        <v>32</v>
      </c>
      <c r="D7139" t="str">
        <f>T_Stocks[[#This Row],[Ticker]] &amp; "-" &amp; DATE(YEAR(T_Stocks[[#This Row],[Fecha]]),MONTH(T_Stocks[[#This Row],[Fecha]]),DAY(T_Stocks[[#This Row],[Fecha]]))</f>
        <v>VTSAX-44028</v>
      </c>
    </row>
    <row r="7140" spans="1:4" ht="14.65" thickBot="1" x14ac:dyDescent="0.5">
      <c r="A7140" s="17">
        <v>44029.666666666664</v>
      </c>
      <c r="B7140" s="19">
        <v>79.400000000000006</v>
      </c>
      <c r="C7140" t="s">
        <v>32</v>
      </c>
      <c r="D7140" t="str">
        <f>T_Stocks[[#This Row],[Ticker]] &amp; "-" &amp; DATE(YEAR(T_Stocks[[#This Row],[Fecha]]),MONTH(T_Stocks[[#This Row],[Fecha]]),DAY(T_Stocks[[#This Row],[Fecha]]))</f>
        <v>VTSAX-44029</v>
      </c>
    </row>
    <row r="7141" spans="1:4" ht="14.65" thickBot="1" x14ac:dyDescent="0.5">
      <c r="A7141" s="17">
        <v>44032.666666666664</v>
      </c>
      <c r="B7141" s="19">
        <v>80.08</v>
      </c>
      <c r="C7141" t="s">
        <v>32</v>
      </c>
      <c r="D7141" t="str">
        <f>T_Stocks[[#This Row],[Ticker]] &amp; "-" &amp; DATE(YEAR(T_Stocks[[#This Row],[Fecha]]),MONTH(T_Stocks[[#This Row],[Fecha]]),DAY(T_Stocks[[#This Row],[Fecha]]))</f>
        <v>VTSAX-44032</v>
      </c>
    </row>
    <row r="7142" spans="1:4" ht="14.65" thickBot="1" x14ac:dyDescent="0.5">
      <c r="A7142" s="17">
        <v>44033.666666666664</v>
      </c>
      <c r="B7142" s="19">
        <v>80.239999999999995</v>
      </c>
      <c r="C7142" t="s">
        <v>32</v>
      </c>
      <c r="D7142" t="str">
        <f>T_Stocks[[#This Row],[Ticker]] &amp; "-" &amp; DATE(YEAR(T_Stocks[[#This Row],[Fecha]]),MONTH(T_Stocks[[#This Row],[Fecha]]),DAY(T_Stocks[[#This Row],[Fecha]]))</f>
        <v>VTSAX-44033</v>
      </c>
    </row>
    <row r="7143" spans="1:4" ht="14.65" thickBot="1" x14ac:dyDescent="0.5">
      <c r="A7143" s="17">
        <v>44034.666666666664</v>
      </c>
      <c r="B7143" s="19">
        <v>80.69</v>
      </c>
      <c r="C7143" t="s">
        <v>32</v>
      </c>
      <c r="D7143" t="str">
        <f>T_Stocks[[#This Row],[Ticker]] &amp; "-" &amp; DATE(YEAR(T_Stocks[[#This Row],[Fecha]]),MONTH(T_Stocks[[#This Row],[Fecha]]),DAY(T_Stocks[[#This Row],[Fecha]]))</f>
        <v>VTSAX-44034</v>
      </c>
    </row>
    <row r="7144" spans="1:4" ht="14.65" thickBot="1" x14ac:dyDescent="0.5">
      <c r="A7144" s="17">
        <v>44035.666666666664</v>
      </c>
      <c r="B7144" s="19">
        <v>79.77</v>
      </c>
      <c r="C7144" t="s">
        <v>32</v>
      </c>
      <c r="D7144" t="str">
        <f>T_Stocks[[#This Row],[Ticker]] &amp; "-" &amp; DATE(YEAR(T_Stocks[[#This Row],[Fecha]]),MONTH(T_Stocks[[#This Row],[Fecha]]),DAY(T_Stocks[[#This Row],[Fecha]]))</f>
        <v>VTSAX-44035</v>
      </c>
    </row>
    <row r="7145" spans="1:4" ht="14.65" thickBot="1" x14ac:dyDescent="0.5">
      <c r="A7145" s="17">
        <v>44036.666666666664</v>
      </c>
      <c r="B7145" s="19">
        <v>79.17</v>
      </c>
      <c r="C7145" t="s">
        <v>32</v>
      </c>
      <c r="D7145" t="str">
        <f>T_Stocks[[#This Row],[Ticker]] &amp; "-" &amp; DATE(YEAR(T_Stocks[[#This Row],[Fecha]]),MONTH(T_Stocks[[#This Row],[Fecha]]),DAY(T_Stocks[[#This Row],[Fecha]]))</f>
        <v>VTSAX-44036</v>
      </c>
    </row>
    <row r="7146" spans="1:4" ht="14.65" thickBot="1" x14ac:dyDescent="0.5">
      <c r="A7146" s="17">
        <v>44039.666666666664</v>
      </c>
      <c r="B7146" s="19">
        <v>79.849999999999994</v>
      </c>
      <c r="C7146" t="s">
        <v>32</v>
      </c>
      <c r="D7146" t="str">
        <f>T_Stocks[[#This Row],[Ticker]] &amp; "-" &amp; DATE(YEAR(T_Stocks[[#This Row],[Fecha]]),MONTH(T_Stocks[[#This Row],[Fecha]]),DAY(T_Stocks[[#This Row],[Fecha]]))</f>
        <v>VTSAX-44039</v>
      </c>
    </row>
    <row r="7147" spans="1:4" ht="14.65" thickBot="1" x14ac:dyDescent="0.5">
      <c r="A7147" s="17">
        <v>44040.666666666664</v>
      </c>
      <c r="B7147" s="19">
        <v>79.28</v>
      </c>
      <c r="C7147" t="s">
        <v>32</v>
      </c>
      <c r="D7147" t="str">
        <f>T_Stocks[[#This Row],[Ticker]] &amp; "-" &amp; DATE(YEAR(T_Stocks[[#This Row],[Fecha]]),MONTH(T_Stocks[[#This Row],[Fecha]]),DAY(T_Stocks[[#This Row],[Fecha]]))</f>
        <v>VTSAX-44040</v>
      </c>
    </row>
    <row r="7148" spans="1:4" ht="14.65" thickBot="1" x14ac:dyDescent="0.5">
      <c r="A7148" s="17">
        <v>44041.666666666664</v>
      </c>
      <c r="B7148" s="19">
        <v>80.38</v>
      </c>
      <c r="C7148" t="s">
        <v>32</v>
      </c>
      <c r="D7148" t="str">
        <f>T_Stocks[[#This Row],[Ticker]] &amp; "-" &amp; DATE(YEAR(T_Stocks[[#This Row],[Fecha]]),MONTH(T_Stocks[[#This Row],[Fecha]]),DAY(T_Stocks[[#This Row],[Fecha]]))</f>
        <v>VTSAX-44041</v>
      </c>
    </row>
    <row r="7149" spans="1:4" ht="14.65" thickBot="1" x14ac:dyDescent="0.5">
      <c r="A7149" s="17">
        <v>44042.666666666664</v>
      </c>
      <c r="B7149" s="19">
        <v>80.12</v>
      </c>
      <c r="C7149" t="s">
        <v>32</v>
      </c>
      <c r="D7149" t="str">
        <f>T_Stocks[[#This Row],[Ticker]] &amp; "-" &amp; DATE(YEAR(T_Stocks[[#This Row],[Fecha]]),MONTH(T_Stocks[[#This Row],[Fecha]]),DAY(T_Stocks[[#This Row],[Fecha]]))</f>
        <v>VTSAX-44042</v>
      </c>
    </row>
    <row r="7150" spans="1:4" ht="14.65" thickBot="1" x14ac:dyDescent="0.5">
      <c r="A7150" s="17">
        <v>44043.666666666664</v>
      </c>
      <c r="B7150" s="19">
        <v>80.569999999999993</v>
      </c>
      <c r="C7150" t="s">
        <v>32</v>
      </c>
      <c r="D7150" t="str">
        <f>T_Stocks[[#This Row],[Ticker]] &amp; "-" &amp; DATE(YEAR(T_Stocks[[#This Row],[Fecha]]),MONTH(T_Stocks[[#This Row],[Fecha]]),DAY(T_Stocks[[#This Row],[Fecha]]))</f>
        <v>VTSAX-44043</v>
      </c>
    </row>
    <row r="7151" spans="1:4" ht="14.65" thickBot="1" x14ac:dyDescent="0.5">
      <c r="A7151" s="17">
        <v>44046.666666666664</v>
      </c>
      <c r="B7151" s="19">
        <v>81.27</v>
      </c>
      <c r="C7151" t="s">
        <v>32</v>
      </c>
      <c r="D7151" t="str">
        <f>T_Stocks[[#This Row],[Ticker]] &amp; "-" &amp; DATE(YEAR(T_Stocks[[#This Row],[Fecha]]),MONTH(T_Stocks[[#This Row],[Fecha]]),DAY(T_Stocks[[#This Row],[Fecha]]))</f>
        <v>VTSAX-44046</v>
      </c>
    </row>
    <row r="7152" spans="1:4" ht="14.65" thickBot="1" x14ac:dyDescent="0.5">
      <c r="A7152" s="17">
        <v>44047.666666666664</v>
      </c>
      <c r="B7152" s="19">
        <v>81.569999999999993</v>
      </c>
      <c r="C7152" t="s">
        <v>32</v>
      </c>
      <c r="D7152" t="str">
        <f>T_Stocks[[#This Row],[Ticker]] &amp; "-" &amp; DATE(YEAR(T_Stocks[[#This Row],[Fecha]]),MONTH(T_Stocks[[#This Row],[Fecha]]),DAY(T_Stocks[[#This Row],[Fecha]]))</f>
        <v>VTSAX-44047</v>
      </c>
    </row>
    <row r="7153" spans="1:4" ht="14.65" thickBot="1" x14ac:dyDescent="0.5">
      <c r="A7153" s="17">
        <v>44048.666666666664</v>
      </c>
      <c r="B7153" s="19">
        <v>82.18</v>
      </c>
      <c r="C7153" t="s">
        <v>32</v>
      </c>
      <c r="D7153" t="str">
        <f>T_Stocks[[#This Row],[Ticker]] &amp; "-" &amp; DATE(YEAR(T_Stocks[[#This Row],[Fecha]]),MONTH(T_Stocks[[#This Row],[Fecha]]),DAY(T_Stocks[[#This Row],[Fecha]]))</f>
        <v>VTSAX-44048</v>
      </c>
    </row>
    <row r="7154" spans="1:4" ht="14.65" thickBot="1" x14ac:dyDescent="0.5">
      <c r="A7154" s="17">
        <v>44049.666666666664</v>
      </c>
      <c r="B7154" s="19">
        <v>82.59</v>
      </c>
      <c r="C7154" t="s">
        <v>32</v>
      </c>
      <c r="D7154" t="str">
        <f>T_Stocks[[#This Row],[Ticker]] &amp; "-" &amp; DATE(YEAR(T_Stocks[[#This Row],[Fecha]]),MONTH(T_Stocks[[#This Row],[Fecha]]),DAY(T_Stocks[[#This Row],[Fecha]]))</f>
        <v>VTSAX-44049</v>
      </c>
    </row>
    <row r="7155" spans="1:4" ht="14.65" thickBot="1" x14ac:dyDescent="0.5">
      <c r="A7155" s="17">
        <v>44050.666666666664</v>
      </c>
      <c r="B7155" s="19">
        <v>82.67</v>
      </c>
      <c r="C7155" t="s">
        <v>32</v>
      </c>
      <c r="D7155" t="str">
        <f>T_Stocks[[#This Row],[Ticker]] &amp; "-" &amp; DATE(YEAR(T_Stocks[[#This Row],[Fecha]]),MONTH(T_Stocks[[#This Row],[Fecha]]),DAY(T_Stocks[[#This Row],[Fecha]]))</f>
        <v>VTSAX-44050</v>
      </c>
    </row>
    <row r="7156" spans="1:4" ht="14.65" thickBot="1" x14ac:dyDescent="0.5">
      <c r="A7156" s="17">
        <v>44053.666666666664</v>
      </c>
      <c r="B7156" s="19">
        <v>82.86</v>
      </c>
      <c r="C7156" t="s">
        <v>32</v>
      </c>
      <c r="D7156" t="str">
        <f>T_Stocks[[#This Row],[Ticker]] &amp; "-" &amp; DATE(YEAR(T_Stocks[[#This Row],[Fecha]]),MONTH(T_Stocks[[#This Row],[Fecha]]),DAY(T_Stocks[[#This Row],[Fecha]]))</f>
        <v>VTSAX-44053</v>
      </c>
    </row>
    <row r="7157" spans="1:4" ht="14.65" thickBot="1" x14ac:dyDescent="0.5">
      <c r="A7157" s="17">
        <v>44054.666666666664</v>
      </c>
      <c r="B7157" s="19">
        <v>82.2</v>
      </c>
      <c r="C7157" t="s">
        <v>32</v>
      </c>
      <c r="D7157" t="str">
        <f>T_Stocks[[#This Row],[Ticker]] &amp; "-" &amp; DATE(YEAR(T_Stocks[[#This Row],[Fecha]]),MONTH(T_Stocks[[#This Row],[Fecha]]),DAY(T_Stocks[[#This Row],[Fecha]]))</f>
        <v>VTSAX-44054</v>
      </c>
    </row>
    <row r="7158" spans="1:4" ht="14.65" thickBot="1" x14ac:dyDescent="0.5">
      <c r="A7158" s="17">
        <v>44055.666666666664</v>
      </c>
      <c r="B7158" s="19">
        <v>83.31</v>
      </c>
      <c r="C7158" t="s">
        <v>32</v>
      </c>
      <c r="D7158" t="str">
        <f>T_Stocks[[#This Row],[Ticker]] &amp; "-" &amp; DATE(YEAR(T_Stocks[[#This Row],[Fecha]]),MONTH(T_Stocks[[#This Row],[Fecha]]),DAY(T_Stocks[[#This Row],[Fecha]]))</f>
        <v>VTSAX-44055</v>
      </c>
    </row>
    <row r="7159" spans="1:4" ht="14.65" thickBot="1" x14ac:dyDescent="0.5">
      <c r="A7159" s="17">
        <v>44056.666666666664</v>
      </c>
      <c r="B7159" s="19">
        <v>83.24</v>
      </c>
      <c r="C7159" t="s">
        <v>32</v>
      </c>
      <c r="D7159" t="str">
        <f>T_Stocks[[#This Row],[Ticker]] &amp; "-" &amp; DATE(YEAR(T_Stocks[[#This Row],[Fecha]]),MONTH(T_Stocks[[#This Row],[Fecha]]),DAY(T_Stocks[[#This Row],[Fecha]]))</f>
        <v>VTSAX-44056</v>
      </c>
    </row>
    <row r="7160" spans="1:4" ht="14.65" thickBot="1" x14ac:dyDescent="0.5">
      <c r="A7160" s="17">
        <v>44057.666666666664</v>
      </c>
      <c r="B7160" s="19">
        <v>83.2</v>
      </c>
      <c r="C7160" t="s">
        <v>32</v>
      </c>
      <c r="D7160" t="str">
        <f>T_Stocks[[#This Row],[Ticker]] &amp; "-" &amp; DATE(YEAR(T_Stocks[[#This Row],[Fecha]]),MONTH(T_Stocks[[#This Row],[Fecha]]),DAY(T_Stocks[[#This Row],[Fecha]]))</f>
        <v>VTSAX-44057</v>
      </c>
    </row>
    <row r="7161" spans="1:4" ht="14.65" thickBot="1" x14ac:dyDescent="0.5">
      <c r="A7161" s="17">
        <v>44060.666666666664</v>
      </c>
      <c r="B7161" s="19">
        <v>83.56</v>
      </c>
      <c r="C7161" t="s">
        <v>32</v>
      </c>
      <c r="D7161" t="str">
        <f>T_Stocks[[#This Row],[Ticker]] &amp; "-" &amp; DATE(YEAR(T_Stocks[[#This Row],[Fecha]]),MONTH(T_Stocks[[#This Row],[Fecha]]),DAY(T_Stocks[[#This Row],[Fecha]]))</f>
        <v>VTSAX-44060</v>
      </c>
    </row>
    <row r="7162" spans="1:4" ht="14.65" thickBot="1" x14ac:dyDescent="0.5">
      <c r="A7162" s="17">
        <v>44061.666666666664</v>
      </c>
      <c r="B7162" s="19">
        <v>83.7</v>
      </c>
      <c r="C7162" t="s">
        <v>32</v>
      </c>
      <c r="D7162" t="str">
        <f>T_Stocks[[#This Row],[Ticker]] &amp; "-" &amp; DATE(YEAR(T_Stocks[[#This Row],[Fecha]]),MONTH(T_Stocks[[#This Row],[Fecha]]),DAY(T_Stocks[[#This Row],[Fecha]]))</f>
        <v>VTSAX-44061</v>
      </c>
    </row>
    <row r="7163" spans="1:4" ht="14.65" thickBot="1" x14ac:dyDescent="0.5">
      <c r="A7163" s="17">
        <v>44062.666666666664</v>
      </c>
      <c r="B7163" s="19">
        <v>83.35</v>
      </c>
      <c r="C7163" t="s">
        <v>32</v>
      </c>
      <c r="D7163" t="str">
        <f>T_Stocks[[#This Row],[Ticker]] &amp; "-" &amp; DATE(YEAR(T_Stocks[[#This Row],[Fecha]]),MONTH(T_Stocks[[#This Row],[Fecha]]),DAY(T_Stocks[[#This Row],[Fecha]]))</f>
        <v>VTSAX-44062</v>
      </c>
    </row>
    <row r="7164" spans="1:4" ht="14.65" thickBot="1" x14ac:dyDescent="0.5">
      <c r="A7164" s="17">
        <v>44063.666666666664</v>
      </c>
      <c r="B7164" s="19">
        <v>83.61</v>
      </c>
      <c r="C7164" t="s">
        <v>32</v>
      </c>
      <c r="D7164" t="str">
        <f>T_Stocks[[#This Row],[Ticker]] &amp; "-" &amp; DATE(YEAR(T_Stocks[[#This Row],[Fecha]]),MONTH(T_Stocks[[#This Row],[Fecha]]),DAY(T_Stocks[[#This Row],[Fecha]]))</f>
        <v>VTSAX-44063</v>
      </c>
    </row>
    <row r="7165" spans="1:4" ht="14.65" thickBot="1" x14ac:dyDescent="0.5">
      <c r="A7165" s="17">
        <v>44064.666666666664</v>
      </c>
      <c r="B7165" s="19">
        <v>83.8</v>
      </c>
      <c r="C7165" t="s">
        <v>32</v>
      </c>
      <c r="D7165" t="str">
        <f>T_Stocks[[#This Row],[Ticker]] &amp; "-" &amp; DATE(YEAR(T_Stocks[[#This Row],[Fecha]]),MONTH(T_Stocks[[#This Row],[Fecha]]),DAY(T_Stocks[[#This Row],[Fecha]]))</f>
        <v>VTSAX-44064</v>
      </c>
    </row>
    <row r="7166" spans="1:4" ht="14.65" thickBot="1" x14ac:dyDescent="0.5">
      <c r="A7166" s="17">
        <v>44067.666666666664</v>
      </c>
      <c r="B7166" s="19">
        <v>84.59</v>
      </c>
      <c r="C7166" t="s">
        <v>32</v>
      </c>
      <c r="D7166" t="str">
        <f>T_Stocks[[#This Row],[Ticker]] &amp; "-" &amp; DATE(YEAR(T_Stocks[[#This Row],[Fecha]]),MONTH(T_Stocks[[#This Row],[Fecha]]),DAY(T_Stocks[[#This Row],[Fecha]]))</f>
        <v>VTSAX-44067</v>
      </c>
    </row>
    <row r="7167" spans="1:4" ht="14.65" thickBot="1" x14ac:dyDescent="0.5">
      <c r="A7167" s="17">
        <v>44068.666666666664</v>
      </c>
      <c r="B7167" s="19">
        <v>84.89</v>
      </c>
      <c r="C7167" t="s">
        <v>32</v>
      </c>
      <c r="D7167" t="str">
        <f>T_Stocks[[#This Row],[Ticker]] &amp; "-" &amp; DATE(YEAR(T_Stocks[[#This Row],[Fecha]]),MONTH(T_Stocks[[#This Row],[Fecha]]),DAY(T_Stocks[[#This Row],[Fecha]]))</f>
        <v>VTSAX-44068</v>
      </c>
    </row>
    <row r="7168" spans="1:4" ht="14.65" thickBot="1" x14ac:dyDescent="0.5">
      <c r="A7168" s="17">
        <v>44069.666666666664</v>
      </c>
      <c r="B7168" s="19">
        <v>85.68</v>
      </c>
      <c r="C7168" t="s">
        <v>32</v>
      </c>
      <c r="D7168" t="str">
        <f>T_Stocks[[#This Row],[Ticker]] &amp; "-" &amp; DATE(YEAR(T_Stocks[[#This Row],[Fecha]]),MONTH(T_Stocks[[#This Row],[Fecha]]),DAY(T_Stocks[[#This Row],[Fecha]]))</f>
        <v>VTSAX-44069</v>
      </c>
    </row>
    <row r="7169" spans="1:4" ht="14.65" thickBot="1" x14ac:dyDescent="0.5">
      <c r="A7169" s="17">
        <v>44070.666666666664</v>
      </c>
      <c r="B7169" s="19">
        <v>85.88</v>
      </c>
      <c r="C7169" t="s">
        <v>32</v>
      </c>
      <c r="D7169" t="str">
        <f>T_Stocks[[#This Row],[Ticker]] &amp; "-" &amp; DATE(YEAR(T_Stocks[[#This Row],[Fecha]]),MONTH(T_Stocks[[#This Row],[Fecha]]),DAY(T_Stocks[[#This Row],[Fecha]]))</f>
        <v>VTSAX-44070</v>
      </c>
    </row>
    <row r="7170" spans="1:4" ht="14.65" thickBot="1" x14ac:dyDescent="0.5">
      <c r="A7170" s="17">
        <v>44071.666666666664</v>
      </c>
      <c r="B7170" s="19">
        <v>86.47</v>
      </c>
      <c r="C7170" t="s">
        <v>32</v>
      </c>
      <c r="D7170" t="str">
        <f>T_Stocks[[#This Row],[Ticker]] &amp; "-" &amp; DATE(YEAR(T_Stocks[[#This Row],[Fecha]]),MONTH(T_Stocks[[#This Row],[Fecha]]),DAY(T_Stocks[[#This Row],[Fecha]]))</f>
        <v>VTSAX-44071</v>
      </c>
    </row>
    <row r="7171" spans="1:4" ht="14.65" thickBot="1" x14ac:dyDescent="0.5">
      <c r="A7171" s="17">
        <v>44074.666666666664</v>
      </c>
      <c r="B7171" s="19">
        <v>86.35</v>
      </c>
      <c r="C7171" t="s">
        <v>32</v>
      </c>
      <c r="D7171" t="str">
        <f>T_Stocks[[#This Row],[Ticker]] &amp; "-" &amp; DATE(YEAR(T_Stocks[[#This Row],[Fecha]]),MONTH(T_Stocks[[#This Row],[Fecha]]),DAY(T_Stocks[[#This Row],[Fecha]]))</f>
        <v>VTSAX-44074</v>
      </c>
    </row>
    <row r="7172" spans="1:4" ht="14.65" thickBot="1" x14ac:dyDescent="0.5">
      <c r="A7172" s="17">
        <v>44075.666666666664</v>
      </c>
      <c r="B7172" s="19">
        <v>87.08</v>
      </c>
      <c r="C7172" t="s">
        <v>32</v>
      </c>
      <c r="D7172" t="str">
        <f>T_Stocks[[#This Row],[Ticker]] &amp; "-" &amp; DATE(YEAR(T_Stocks[[#This Row],[Fecha]]),MONTH(T_Stocks[[#This Row],[Fecha]]),DAY(T_Stocks[[#This Row],[Fecha]]))</f>
        <v>VTSAX-44075</v>
      </c>
    </row>
    <row r="7173" spans="1:4" ht="14.65" thickBot="1" x14ac:dyDescent="0.5">
      <c r="A7173" s="17">
        <v>44076.666666666664</v>
      </c>
      <c r="B7173" s="19">
        <v>88.27</v>
      </c>
      <c r="C7173" t="s">
        <v>32</v>
      </c>
      <c r="D7173" t="str">
        <f>T_Stocks[[#This Row],[Ticker]] &amp; "-" &amp; DATE(YEAR(T_Stocks[[#This Row],[Fecha]]),MONTH(T_Stocks[[#This Row],[Fecha]]),DAY(T_Stocks[[#This Row],[Fecha]]))</f>
        <v>VTSAX-44076</v>
      </c>
    </row>
    <row r="7174" spans="1:4" ht="14.65" thickBot="1" x14ac:dyDescent="0.5">
      <c r="A7174" s="17">
        <v>44077.666666666664</v>
      </c>
      <c r="B7174" s="19">
        <v>85.14</v>
      </c>
      <c r="C7174" t="s">
        <v>32</v>
      </c>
      <c r="D7174" t="str">
        <f>T_Stocks[[#This Row],[Ticker]] &amp; "-" &amp; DATE(YEAR(T_Stocks[[#This Row],[Fecha]]),MONTH(T_Stocks[[#This Row],[Fecha]]),DAY(T_Stocks[[#This Row],[Fecha]]))</f>
        <v>VTSAX-44077</v>
      </c>
    </row>
    <row r="7175" spans="1:4" ht="14.65" thickBot="1" x14ac:dyDescent="0.5">
      <c r="A7175" s="17">
        <v>44078.666666666664</v>
      </c>
      <c r="B7175" s="19">
        <v>84.42</v>
      </c>
      <c r="C7175" t="s">
        <v>32</v>
      </c>
      <c r="D7175" t="str">
        <f>T_Stocks[[#This Row],[Ticker]] &amp; "-" &amp; DATE(YEAR(T_Stocks[[#This Row],[Fecha]]),MONTH(T_Stocks[[#This Row],[Fecha]]),DAY(T_Stocks[[#This Row],[Fecha]]))</f>
        <v>VTSAX-44078</v>
      </c>
    </row>
    <row r="7176" spans="1:4" ht="14.65" thickBot="1" x14ac:dyDescent="0.5">
      <c r="A7176" s="17">
        <v>44082.666666666664</v>
      </c>
      <c r="B7176" s="19">
        <v>82.03</v>
      </c>
      <c r="C7176" t="s">
        <v>32</v>
      </c>
      <c r="D7176" t="str">
        <f>T_Stocks[[#This Row],[Ticker]] &amp; "-" &amp; DATE(YEAR(T_Stocks[[#This Row],[Fecha]]),MONTH(T_Stocks[[#This Row],[Fecha]]),DAY(T_Stocks[[#This Row],[Fecha]]))</f>
        <v>VTSAX-44082</v>
      </c>
    </row>
    <row r="7177" spans="1:4" ht="14.65" thickBot="1" x14ac:dyDescent="0.5">
      <c r="A7177" s="17">
        <v>44083.666666666664</v>
      </c>
      <c r="B7177" s="19">
        <v>83.69</v>
      </c>
      <c r="C7177" t="s">
        <v>32</v>
      </c>
      <c r="D7177" t="str">
        <f>T_Stocks[[#This Row],[Ticker]] &amp; "-" &amp; DATE(YEAR(T_Stocks[[#This Row],[Fecha]]),MONTH(T_Stocks[[#This Row],[Fecha]]),DAY(T_Stocks[[#This Row],[Fecha]]))</f>
        <v>VTSAX-44083</v>
      </c>
    </row>
    <row r="7178" spans="1:4" ht="14.65" thickBot="1" x14ac:dyDescent="0.5">
      <c r="A7178" s="17">
        <v>44084.666666666664</v>
      </c>
      <c r="B7178" s="19">
        <v>82.32</v>
      </c>
      <c r="C7178" t="s">
        <v>32</v>
      </c>
      <c r="D7178" t="str">
        <f>T_Stocks[[#This Row],[Ticker]] &amp; "-" &amp; DATE(YEAR(T_Stocks[[#This Row],[Fecha]]),MONTH(T_Stocks[[#This Row],[Fecha]]),DAY(T_Stocks[[#This Row],[Fecha]]))</f>
        <v>VTSAX-44084</v>
      </c>
    </row>
    <row r="7179" spans="1:4" ht="14.65" thickBot="1" x14ac:dyDescent="0.5">
      <c r="A7179" s="17">
        <v>44085.666666666664</v>
      </c>
      <c r="B7179" s="19">
        <v>82.3</v>
      </c>
      <c r="C7179" t="s">
        <v>32</v>
      </c>
      <c r="D7179" t="str">
        <f>T_Stocks[[#This Row],[Ticker]] &amp; "-" &amp; DATE(YEAR(T_Stocks[[#This Row],[Fecha]]),MONTH(T_Stocks[[#This Row],[Fecha]]),DAY(T_Stocks[[#This Row],[Fecha]]))</f>
        <v>VTSAX-44085</v>
      </c>
    </row>
    <row r="7180" spans="1:4" ht="14.65" thickBot="1" x14ac:dyDescent="0.5">
      <c r="A7180" s="17">
        <v>44088.666666666664</v>
      </c>
      <c r="B7180" s="19">
        <v>83.6</v>
      </c>
      <c r="C7180" t="s">
        <v>32</v>
      </c>
      <c r="D7180" t="str">
        <f>T_Stocks[[#This Row],[Ticker]] &amp; "-" &amp; DATE(YEAR(T_Stocks[[#This Row],[Fecha]]),MONTH(T_Stocks[[#This Row],[Fecha]]),DAY(T_Stocks[[#This Row],[Fecha]]))</f>
        <v>VTSAX-44088</v>
      </c>
    </row>
    <row r="7181" spans="1:4" ht="14.65" thickBot="1" x14ac:dyDescent="0.5">
      <c r="A7181" s="17">
        <v>44089.666666666664</v>
      </c>
      <c r="B7181" s="19">
        <v>84.08</v>
      </c>
      <c r="C7181" t="s">
        <v>32</v>
      </c>
      <c r="D7181" t="str">
        <f>T_Stocks[[#This Row],[Ticker]] &amp; "-" &amp; DATE(YEAR(T_Stocks[[#This Row],[Fecha]]),MONTH(T_Stocks[[#This Row],[Fecha]]),DAY(T_Stocks[[#This Row],[Fecha]]))</f>
        <v>VTSAX-44089</v>
      </c>
    </row>
    <row r="7182" spans="1:4" ht="14.65" thickBot="1" x14ac:dyDescent="0.5">
      <c r="A7182" s="17">
        <v>44090.666666666664</v>
      </c>
      <c r="B7182" s="19">
        <v>83.8</v>
      </c>
      <c r="C7182" t="s">
        <v>32</v>
      </c>
      <c r="D7182" t="str">
        <f>T_Stocks[[#This Row],[Ticker]] &amp; "-" &amp; DATE(YEAR(T_Stocks[[#This Row],[Fecha]]),MONTH(T_Stocks[[#This Row],[Fecha]]),DAY(T_Stocks[[#This Row],[Fecha]]))</f>
        <v>VTSAX-44090</v>
      </c>
    </row>
    <row r="7183" spans="1:4" ht="14.65" thickBot="1" x14ac:dyDescent="0.5">
      <c r="A7183" s="17">
        <v>44091.666666666664</v>
      </c>
      <c r="B7183" s="19">
        <v>83.09</v>
      </c>
      <c r="C7183" t="s">
        <v>32</v>
      </c>
      <c r="D7183" t="str">
        <f>T_Stocks[[#This Row],[Ticker]] &amp; "-" &amp; DATE(YEAR(T_Stocks[[#This Row],[Fecha]]),MONTH(T_Stocks[[#This Row],[Fecha]]),DAY(T_Stocks[[#This Row],[Fecha]]))</f>
        <v>VTSAX-44091</v>
      </c>
    </row>
    <row r="7184" spans="1:4" ht="14.65" thickBot="1" x14ac:dyDescent="0.5">
      <c r="A7184" s="17">
        <v>44092.666666666664</v>
      </c>
      <c r="B7184" s="19">
        <v>82.31</v>
      </c>
      <c r="C7184" t="s">
        <v>32</v>
      </c>
      <c r="D7184" t="str">
        <f>T_Stocks[[#This Row],[Ticker]] &amp; "-" &amp; DATE(YEAR(T_Stocks[[#This Row],[Fecha]]),MONTH(T_Stocks[[#This Row],[Fecha]]),DAY(T_Stocks[[#This Row],[Fecha]]))</f>
        <v>VTSAX-44092</v>
      </c>
    </row>
    <row r="7185" spans="1:4" ht="14.65" thickBot="1" x14ac:dyDescent="0.5">
      <c r="A7185" s="17">
        <v>44095.666666666664</v>
      </c>
      <c r="B7185" s="19">
        <v>81.31</v>
      </c>
      <c r="C7185" t="s">
        <v>32</v>
      </c>
      <c r="D7185" t="str">
        <f>T_Stocks[[#This Row],[Ticker]] &amp; "-" &amp; DATE(YEAR(T_Stocks[[#This Row],[Fecha]]),MONTH(T_Stocks[[#This Row],[Fecha]]),DAY(T_Stocks[[#This Row],[Fecha]]))</f>
        <v>VTSAX-44095</v>
      </c>
    </row>
    <row r="7186" spans="1:4" ht="14.65" thickBot="1" x14ac:dyDescent="0.5">
      <c r="A7186" s="17">
        <v>44096.666666666664</v>
      </c>
      <c r="B7186" s="19">
        <v>82.11</v>
      </c>
      <c r="C7186" t="s">
        <v>32</v>
      </c>
      <c r="D7186" t="str">
        <f>T_Stocks[[#This Row],[Ticker]] &amp; "-" &amp; DATE(YEAR(T_Stocks[[#This Row],[Fecha]]),MONTH(T_Stocks[[#This Row],[Fecha]]),DAY(T_Stocks[[#This Row],[Fecha]]))</f>
        <v>VTSAX-44096</v>
      </c>
    </row>
    <row r="7187" spans="1:4" ht="14.65" thickBot="1" x14ac:dyDescent="0.5">
      <c r="A7187" s="17">
        <v>44097.666666666664</v>
      </c>
      <c r="B7187" s="19">
        <v>80.11</v>
      </c>
      <c r="C7187" t="s">
        <v>32</v>
      </c>
      <c r="D7187" t="str">
        <f>T_Stocks[[#This Row],[Ticker]] &amp; "-" &amp; DATE(YEAR(T_Stocks[[#This Row],[Fecha]]),MONTH(T_Stocks[[#This Row],[Fecha]]),DAY(T_Stocks[[#This Row],[Fecha]]))</f>
        <v>VTSAX-44097</v>
      </c>
    </row>
    <row r="7188" spans="1:4" ht="14.65" thickBot="1" x14ac:dyDescent="0.5">
      <c r="A7188" s="17">
        <v>44098.666666666664</v>
      </c>
      <c r="B7188" s="19">
        <v>79.959999999999994</v>
      </c>
      <c r="C7188" t="s">
        <v>32</v>
      </c>
      <c r="D7188" t="str">
        <f>T_Stocks[[#This Row],[Ticker]] &amp; "-" &amp; DATE(YEAR(T_Stocks[[#This Row],[Fecha]]),MONTH(T_Stocks[[#This Row],[Fecha]]),DAY(T_Stocks[[#This Row],[Fecha]]))</f>
        <v>VTSAX-44098</v>
      </c>
    </row>
    <row r="7189" spans="1:4" ht="14.65" thickBot="1" x14ac:dyDescent="0.5">
      <c r="A7189" s="17">
        <v>44099.666666666664</v>
      </c>
      <c r="B7189" s="19">
        <v>81.3</v>
      </c>
      <c r="C7189" t="s">
        <v>32</v>
      </c>
      <c r="D7189" t="str">
        <f>T_Stocks[[#This Row],[Ticker]] &amp; "-" &amp; DATE(YEAR(T_Stocks[[#This Row],[Fecha]]),MONTH(T_Stocks[[#This Row],[Fecha]]),DAY(T_Stocks[[#This Row],[Fecha]]))</f>
        <v>VTSAX-44099</v>
      </c>
    </row>
    <row r="7190" spans="1:4" ht="14.65" thickBot="1" x14ac:dyDescent="0.5">
      <c r="A7190" s="17">
        <v>44102.666666666664</v>
      </c>
      <c r="B7190" s="19">
        <v>82.68</v>
      </c>
      <c r="C7190" t="s">
        <v>32</v>
      </c>
      <c r="D7190" t="str">
        <f>T_Stocks[[#This Row],[Ticker]] &amp; "-" &amp; DATE(YEAR(T_Stocks[[#This Row],[Fecha]]),MONTH(T_Stocks[[#This Row],[Fecha]]),DAY(T_Stocks[[#This Row],[Fecha]]))</f>
        <v>VTSAX-44102</v>
      </c>
    </row>
    <row r="7191" spans="1:4" ht="14.65" thickBot="1" x14ac:dyDescent="0.5">
      <c r="A7191" s="17">
        <v>44103.666666666664</v>
      </c>
      <c r="B7191" s="19">
        <v>82.31</v>
      </c>
      <c r="C7191" t="s">
        <v>32</v>
      </c>
      <c r="D7191" t="str">
        <f>T_Stocks[[#This Row],[Ticker]] &amp; "-" &amp; DATE(YEAR(T_Stocks[[#This Row],[Fecha]]),MONTH(T_Stocks[[#This Row],[Fecha]]),DAY(T_Stocks[[#This Row],[Fecha]]))</f>
        <v>VTSAX-44103</v>
      </c>
    </row>
    <row r="7192" spans="1:4" ht="14.65" thickBot="1" x14ac:dyDescent="0.5">
      <c r="A7192" s="17">
        <v>44104.666666666664</v>
      </c>
      <c r="B7192" s="19">
        <v>82.94</v>
      </c>
      <c r="C7192" t="s">
        <v>32</v>
      </c>
      <c r="D7192" t="str">
        <f>T_Stocks[[#This Row],[Ticker]] &amp; "-" &amp; DATE(YEAR(T_Stocks[[#This Row],[Fecha]]),MONTH(T_Stocks[[#This Row],[Fecha]]),DAY(T_Stocks[[#This Row],[Fecha]]))</f>
        <v>VTSAX-44104</v>
      </c>
    </row>
    <row r="7193" spans="1:4" ht="14.65" thickBot="1" x14ac:dyDescent="0.5">
      <c r="A7193" s="17">
        <v>44105.666666666664</v>
      </c>
      <c r="B7193" s="19">
        <v>83.57</v>
      </c>
      <c r="C7193" t="s">
        <v>32</v>
      </c>
      <c r="D7193" t="str">
        <f>T_Stocks[[#This Row],[Ticker]] &amp; "-" &amp; DATE(YEAR(T_Stocks[[#This Row],[Fecha]]),MONTH(T_Stocks[[#This Row],[Fecha]]),DAY(T_Stocks[[#This Row],[Fecha]]))</f>
        <v>VTSAX-44105</v>
      </c>
    </row>
    <row r="7194" spans="1:4" ht="14.65" thickBot="1" x14ac:dyDescent="0.5">
      <c r="A7194" s="17">
        <v>44106.666666666664</v>
      </c>
      <c r="B7194" s="19">
        <v>82.89</v>
      </c>
      <c r="C7194" t="s">
        <v>32</v>
      </c>
      <c r="D7194" t="str">
        <f>T_Stocks[[#This Row],[Ticker]] &amp; "-" &amp; DATE(YEAR(T_Stocks[[#This Row],[Fecha]]),MONTH(T_Stocks[[#This Row],[Fecha]]),DAY(T_Stocks[[#This Row],[Fecha]]))</f>
        <v>VTSAX-44106</v>
      </c>
    </row>
    <row r="7195" spans="1:4" ht="14.65" thickBot="1" x14ac:dyDescent="0.5">
      <c r="A7195" s="17">
        <v>44109.666666666664</v>
      </c>
      <c r="B7195" s="19">
        <v>84.45</v>
      </c>
      <c r="C7195" t="s">
        <v>32</v>
      </c>
      <c r="D7195" t="str">
        <f>T_Stocks[[#This Row],[Ticker]] &amp; "-" &amp; DATE(YEAR(T_Stocks[[#This Row],[Fecha]]),MONTH(T_Stocks[[#This Row],[Fecha]]),DAY(T_Stocks[[#This Row],[Fecha]]))</f>
        <v>VTSAX-44109</v>
      </c>
    </row>
    <row r="7196" spans="1:4" ht="14.65" thickBot="1" x14ac:dyDescent="0.5">
      <c r="A7196" s="17">
        <v>44110.666666666664</v>
      </c>
      <c r="B7196" s="19">
        <v>83.4</v>
      </c>
      <c r="C7196" t="s">
        <v>32</v>
      </c>
      <c r="D7196" t="str">
        <f>T_Stocks[[#This Row],[Ticker]] &amp; "-" &amp; DATE(YEAR(T_Stocks[[#This Row],[Fecha]]),MONTH(T_Stocks[[#This Row],[Fecha]]),DAY(T_Stocks[[#This Row],[Fecha]]))</f>
        <v>VTSAX-44110</v>
      </c>
    </row>
    <row r="7197" spans="1:4" ht="14.65" thickBot="1" x14ac:dyDescent="0.5">
      <c r="A7197" s="17">
        <v>44111.666666666664</v>
      </c>
      <c r="B7197" s="19">
        <v>84.88</v>
      </c>
      <c r="C7197" t="s">
        <v>32</v>
      </c>
      <c r="D7197" t="str">
        <f>T_Stocks[[#This Row],[Ticker]] &amp; "-" &amp; DATE(YEAR(T_Stocks[[#This Row],[Fecha]]),MONTH(T_Stocks[[#This Row],[Fecha]]),DAY(T_Stocks[[#This Row],[Fecha]]))</f>
        <v>VTSAX-44111</v>
      </c>
    </row>
    <row r="7198" spans="1:4" ht="14.65" thickBot="1" x14ac:dyDescent="0.5">
      <c r="A7198" s="17">
        <v>44112.666666666664</v>
      </c>
      <c r="B7198" s="19">
        <v>85.59</v>
      </c>
      <c r="C7198" t="s">
        <v>32</v>
      </c>
      <c r="D7198" t="str">
        <f>T_Stocks[[#This Row],[Ticker]] &amp; "-" &amp; DATE(YEAR(T_Stocks[[#This Row],[Fecha]]),MONTH(T_Stocks[[#This Row],[Fecha]]),DAY(T_Stocks[[#This Row],[Fecha]]))</f>
        <v>VTSAX-44112</v>
      </c>
    </row>
    <row r="7199" spans="1:4" ht="14.65" thickBot="1" x14ac:dyDescent="0.5">
      <c r="A7199" s="17">
        <v>44113.666666666664</v>
      </c>
      <c r="B7199" s="19">
        <v>86.32</v>
      </c>
      <c r="C7199" t="s">
        <v>32</v>
      </c>
      <c r="D7199" t="str">
        <f>T_Stocks[[#This Row],[Ticker]] &amp; "-" &amp; DATE(YEAR(T_Stocks[[#This Row],[Fecha]]),MONTH(T_Stocks[[#This Row],[Fecha]]),DAY(T_Stocks[[#This Row],[Fecha]]))</f>
        <v>VTSAX-44113</v>
      </c>
    </row>
    <row r="7200" spans="1:4" ht="14.65" thickBot="1" x14ac:dyDescent="0.5">
      <c r="A7200" s="17">
        <v>44116.666666666664</v>
      </c>
      <c r="B7200" s="19">
        <v>87.59</v>
      </c>
      <c r="C7200" t="s">
        <v>32</v>
      </c>
      <c r="D7200" t="str">
        <f>T_Stocks[[#This Row],[Ticker]] &amp; "-" &amp; DATE(YEAR(T_Stocks[[#This Row],[Fecha]]),MONTH(T_Stocks[[#This Row],[Fecha]]),DAY(T_Stocks[[#This Row],[Fecha]]))</f>
        <v>VTSAX-44116</v>
      </c>
    </row>
    <row r="7201" spans="1:4" ht="14.65" thickBot="1" x14ac:dyDescent="0.5">
      <c r="A7201" s="17">
        <v>44117.666666666664</v>
      </c>
      <c r="B7201" s="19">
        <v>87.14</v>
      </c>
      <c r="C7201" t="s">
        <v>32</v>
      </c>
      <c r="D7201" t="str">
        <f>T_Stocks[[#This Row],[Ticker]] &amp; "-" &amp; DATE(YEAR(T_Stocks[[#This Row],[Fecha]]),MONTH(T_Stocks[[#This Row],[Fecha]]),DAY(T_Stocks[[#This Row],[Fecha]]))</f>
        <v>VTSAX-44117</v>
      </c>
    </row>
    <row r="7202" spans="1:4" ht="14.65" thickBot="1" x14ac:dyDescent="0.5">
      <c r="A7202" s="17">
        <v>44118.666666666664</v>
      </c>
      <c r="B7202" s="19">
        <v>86.58</v>
      </c>
      <c r="C7202" t="s">
        <v>32</v>
      </c>
      <c r="D7202" t="str">
        <f>T_Stocks[[#This Row],[Ticker]] &amp; "-" &amp; DATE(YEAR(T_Stocks[[#This Row],[Fecha]]),MONTH(T_Stocks[[#This Row],[Fecha]]),DAY(T_Stocks[[#This Row],[Fecha]]))</f>
        <v>VTSAX-44118</v>
      </c>
    </row>
    <row r="7203" spans="1:4" ht="14.65" thickBot="1" x14ac:dyDescent="0.5">
      <c r="A7203" s="17">
        <v>44119.666666666664</v>
      </c>
      <c r="B7203" s="19">
        <v>86.53</v>
      </c>
      <c r="C7203" t="s">
        <v>32</v>
      </c>
      <c r="D7203" t="str">
        <f>T_Stocks[[#This Row],[Ticker]] &amp; "-" &amp; DATE(YEAR(T_Stocks[[#This Row],[Fecha]]),MONTH(T_Stocks[[#This Row],[Fecha]]),DAY(T_Stocks[[#This Row],[Fecha]]))</f>
        <v>VTSAX-44119</v>
      </c>
    </row>
    <row r="7204" spans="1:4" ht="14.65" thickBot="1" x14ac:dyDescent="0.5">
      <c r="A7204" s="17">
        <v>44120.666666666664</v>
      </c>
      <c r="B7204" s="19">
        <v>86.49</v>
      </c>
      <c r="C7204" t="s">
        <v>32</v>
      </c>
      <c r="D7204" t="str">
        <f>T_Stocks[[#This Row],[Ticker]] &amp; "-" &amp; DATE(YEAR(T_Stocks[[#This Row],[Fecha]]),MONTH(T_Stocks[[#This Row],[Fecha]]),DAY(T_Stocks[[#This Row],[Fecha]]))</f>
        <v>VTSAX-44120</v>
      </c>
    </row>
    <row r="7205" spans="1:4" ht="14.65" thickBot="1" x14ac:dyDescent="0.5">
      <c r="A7205" s="17">
        <v>44123.666666666664</v>
      </c>
      <c r="B7205" s="19">
        <v>85.16</v>
      </c>
      <c r="C7205" t="s">
        <v>32</v>
      </c>
      <c r="D7205" t="str">
        <f>T_Stocks[[#This Row],[Ticker]] &amp; "-" &amp; DATE(YEAR(T_Stocks[[#This Row],[Fecha]]),MONTH(T_Stocks[[#This Row],[Fecha]]),DAY(T_Stocks[[#This Row],[Fecha]]))</f>
        <v>VTSAX-44123</v>
      </c>
    </row>
    <row r="7206" spans="1:4" ht="14.65" thickBot="1" x14ac:dyDescent="0.5">
      <c r="A7206" s="17">
        <v>44124.666666666664</v>
      </c>
      <c r="B7206" s="19">
        <v>85.48</v>
      </c>
      <c r="C7206" t="s">
        <v>32</v>
      </c>
      <c r="D7206" t="str">
        <f>T_Stocks[[#This Row],[Ticker]] &amp; "-" &amp; DATE(YEAR(T_Stocks[[#This Row],[Fecha]]),MONTH(T_Stocks[[#This Row],[Fecha]]),DAY(T_Stocks[[#This Row],[Fecha]]))</f>
        <v>VTSAX-44124</v>
      </c>
    </row>
    <row r="7207" spans="1:4" ht="14.65" thickBot="1" x14ac:dyDescent="0.5">
      <c r="A7207" s="17">
        <v>44125.666666666664</v>
      </c>
      <c r="B7207" s="19">
        <v>85.21</v>
      </c>
      <c r="C7207" t="s">
        <v>32</v>
      </c>
      <c r="D7207" t="str">
        <f>T_Stocks[[#This Row],[Ticker]] &amp; "-" &amp; DATE(YEAR(T_Stocks[[#This Row],[Fecha]]),MONTH(T_Stocks[[#This Row],[Fecha]]),DAY(T_Stocks[[#This Row],[Fecha]]))</f>
        <v>VTSAX-44125</v>
      </c>
    </row>
    <row r="7208" spans="1:4" ht="14.65" thickBot="1" x14ac:dyDescent="0.5">
      <c r="A7208" s="17">
        <v>44126.666666666664</v>
      </c>
      <c r="B7208" s="19">
        <v>85.76</v>
      </c>
      <c r="C7208" t="s">
        <v>32</v>
      </c>
      <c r="D7208" t="str">
        <f>T_Stocks[[#This Row],[Ticker]] &amp; "-" &amp; DATE(YEAR(T_Stocks[[#This Row],[Fecha]]),MONTH(T_Stocks[[#This Row],[Fecha]]),DAY(T_Stocks[[#This Row],[Fecha]]))</f>
        <v>VTSAX-44126</v>
      </c>
    </row>
    <row r="7209" spans="1:4" ht="14.65" thickBot="1" x14ac:dyDescent="0.5">
      <c r="A7209" s="17">
        <v>44127.666666666664</v>
      </c>
      <c r="B7209" s="19">
        <v>86.1</v>
      </c>
      <c r="C7209" t="s">
        <v>32</v>
      </c>
      <c r="D7209" t="str">
        <f>T_Stocks[[#This Row],[Ticker]] &amp; "-" &amp; DATE(YEAR(T_Stocks[[#This Row],[Fecha]]),MONTH(T_Stocks[[#This Row],[Fecha]]),DAY(T_Stocks[[#This Row],[Fecha]]))</f>
        <v>VTSAX-44127</v>
      </c>
    </row>
    <row r="7210" spans="1:4" ht="14.65" thickBot="1" x14ac:dyDescent="0.5">
      <c r="A7210" s="17">
        <v>44130.666666666664</v>
      </c>
      <c r="B7210" s="19">
        <v>84.48</v>
      </c>
      <c r="C7210" t="s">
        <v>32</v>
      </c>
      <c r="D7210" t="str">
        <f>T_Stocks[[#This Row],[Ticker]] &amp; "-" &amp; DATE(YEAR(T_Stocks[[#This Row],[Fecha]]),MONTH(T_Stocks[[#This Row],[Fecha]]),DAY(T_Stocks[[#This Row],[Fecha]]))</f>
        <v>VTSAX-44130</v>
      </c>
    </row>
    <row r="7211" spans="1:4" ht="14.65" thickBot="1" x14ac:dyDescent="0.5">
      <c r="A7211" s="17">
        <v>44131.666666666664</v>
      </c>
      <c r="B7211" s="19">
        <v>84.19</v>
      </c>
      <c r="C7211" t="s">
        <v>32</v>
      </c>
      <c r="D7211" t="str">
        <f>T_Stocks[[#This Row],[Ticker]] &amp; "-" &amp; DATE(YEAR(T_Stocks[[#This Row],[Fecha]]),MONTH(T_Stocks[[#This Row],[Fecha]]),DAY(T_Stocks[[#This Row],[Fecha]]))</f>
        <v>VTSAX-44131</v>
      </c>
    </row>
    <row r="7212" spans="1:4" ht="14.65" thickBot="1" x14ac:dyDescent="0.5">
      <c r="A7212" s="17">
        <v>44132.666666666664</v>
      </c>
      <c r="B7212" s="19">
        <v>81.33</v>
      </c>
      <c r="C7212" t="s">
        <v>32</v>
      </c>
      <c r="D7212" t="str">
        <f>T_Stocks[[#This Row],[Ticker]] &amp; "-" &amp; DATE(YEAR(T_Stocks[[#This Row],[Fecha]]),MONTH(T_Stocks[[#This Row],[Fecha]]),DAY(T_Stocks[[#This Row],[Fecha]]))</f>
        <v>VTSAX-44132</v>
      </c>
    </row>
    <row r="7213" spans="1:4" ht="14.65" thickBot="1" x14ac:dyDescent="0.5">
      <c r="A7213" s="17">
        <v>44133.666666666664</v>
      </c>
      <c r="B7213" s="19">
        <v>82.26</v>
      </c>
      <c r="C7213" t="s">
        <v>32</v>
      </c>
      <c r="D7213" t="str">
        <f>T_Stocks[[#This Row],[Ticker]] &amp; "-" &amp; DATE(YEAR(T_Stocks[[#This Row],[Fecha]]),MONTH(T_Stocks[[#This Row],[Fecha]]),DAY(T_Stocks[[#This Row],[Fecha]]))</f>
        <v>VTSAX-44133</v>
      </c>
    </row>
    <row r="7214" spans="1:4" ht="14.65" thickBot="1" x14ac:dyDescent="0.5">
      <c r="A7214" s="17">
        <v>44134.666666666664</v>
      </c>
      <c r="B7214" s="19">
        <v>81.16</v>
      </c>
      <c r="C7214" t="s">
        <v>32</v>
      </c>
      <c r="D7214" t="str">
        <f>T_Stocks[[#This Row],[Ticker]] &amp; "-" &amp; DATE(YEAR(T_Stocks[[#This Row],[Fecha]]),MONTH(T_Stocks[[#This Row],[Fecha]]),DAY(T_Stocks[[#This Row],[Fecha]]))</f>
        <v>VTSAX-44134</v>
      </c>
    </row>
    <row r="7215" spans="1:4" ht="14.65" thickBot="1" x14ac:dyDescent="0.5">
      <c r="A7215" s="17">
        <v>44137.666666666664</v>
      </c>
      <c r="B7215" s="19">
        <v>82.18</v>
      </c>
      <c r="C7215" t="s">
        <v>32</v>
      </c>
      <c r="D7215" t="str">
        <f>T_Stocks[[#This Row],[Ticker]] &amp; "-" &amp; DATE(YEAR(T_Stocks[[#This Row],[Fecha]]),MONTH(T_Stocks[[#This Row],[Fecha]]),DAY(T_Stocks[[#This Row],[Fecha]]))</f>
        <v>VTSAX-44137</v>
      </c>
    </row>
    <row r="7216" spans="1:4" ht="14.65" thickBot="1" x14ac:dyDescent="0.5">
      <c r="A7216" s="17">
        <v>44138.666666666664</v>
      </c>
      <c r="B7216" s="19">
        <v>83.76</v>
      </c>
      <c r="C7216" t="s">
        <v>32</v>
      </c>
      <c r="D7216" t="str">
        <f>T_Stocks[[#This Row],[Ticker]] &amp; "-" &amp; DATE(YEAR(T_Stocks[[#This Row],[Fecha]]),MONTH(T_Stocks[[#This Row],[Fecha]]),DAY(T_Stocks[[#This Row],[Fecha]]))</f>
        <v>VTSAX-44138</v>
      </c>
    </row>
    <row r="7217" spans="1:4" ht="14.65" thickBot="1" x14ac:dyDescent="0.5">
      <c r="A7217" s="17">
        <v>44139.666666666664</v>
      </c>
      <c r="B7217" s="19">
        <v>85.51</v>
      </c>
      <c r="C7217" t="s">
        <v>32</v>
      </c>
      <c r="D7217" t="str">
        <f>T_Stocks[[#This Row],[Ticker]] &amp; "-" &amp; DATE(YEAR(T_Stocks[[#This Row],[Fecha]]),MONTH(T_Stocks[[#This Row],[Fecha]]),DAY(T_Stocks[[#This Row],[Fecha]]))</f>
        <v>VTSAX-44139</v>
      </c>
    </row>
    <row r="7218" spans="1:4" ht="14.65" thickBot="1" x14ac:dyDescent="0.5">
      <c r="A7218" s="17">
        <v>44140.666666666664</v>
      </c>
      <c r="B7218" s="19">
        <v>87.29</v>
      </c>
      <c r="C7218" t="s">
        <v>32</v>
      </c>
      <c r="D7218" t="str">
        <f>T_Stocks[[#This Row],[Ticker]] &amp; "-" &amp; DATE(YEAR(T_Stocks[[#This Row],[Fecha]]),MONTH(T_Stocks[[#This Row],[Fecha]]),DAY(T_Stocks[[#This Row],[Fecha]]))</f>
        <v>VTSAX-44140</v>
      </c>
    </row>
    <row r="7219" spans="1:4" ht="14.65" thickBot="1" x14ac:dyDescent="0.5">
      <c r="A7219" s="17">
        <v>44141.666666666664</v>
      </c>
      <c r="B7219" s="19">
        <v>87.23</v>
      </c>
      <c r="C7219" t="s">
        <v>32</v>
      </c>
      <c r="D7219" t="str">
        <f>T_Stocks[[#This Row],[Ticker]] &amp; "-" &amp; DATE(YEAR(T_Stocks[[#This Row],[Fecha]]),MONTH(T_Stocks[[#This Row],[Fecha]]),DAY(T_Stocks[[#This Row],[Fecha]]))</f>
        <v>VTSAX-44141</v>
      </c>
    </row>
    <row r="7220" spans="1:4" ht="14.65" thickBot="1" x14ac:dyDescent="0.5">
      <c r="A7220" s="17">
        <v>44144.666666666664</v>
      </c>
      <c r="B7220" s="19">
        <v>88.2</v>
      </c>
      <c r="C7220" t="s">
        <v>32</v>
      </c>
      <c r="D7220" t="str">
        <f>T_Stocks[[#This Row],[Ticker]] &amp; "-" &amp; DATE(YEAR(T_Stocks[[#This Row],[Fecha]]),MONTH(T_Stocks[[#This Row],[Fecha]]),DAY(T_Stocks[[#This Row],[Fecha]]))</f>
        <v>VTSAX-44144</v>
      </c>
    </row>
    <row r="7221" spans="1:4" ht="14.65" thickBot="1" x14ac:dyDescent="0.5">
      <c r="A7221" s="17">
        <v>44145.666666666664</v>
      </c>
      <c r="B7221" s="19">
        <v>88.16</v>
      </c>
      <c r="C7221" t="s">
        <v>32</v>
      </c>
      <c r="D7221" t="str">
        <f>T_Stocks[[#This Row],[Ticker]] &amp; "-" &amp; DATE(YEAR(T_Stocks[[#This Row],[Fecha]]),MONTH(T_Stocks[[#This Row],[Fecha]]),DAY(T_Stocks[[#This Row],[Fecha]]))</f>
        <v>VTSAX-44145</v>
      </c>
    </row>
    <row r="7222" spans="1:4" ht="14.65" thickBot="1" x14ac:dyDescent="0.5">
      <c r="A7222" s="17">
        <v>44146.666666666664</v>
      </c>
      <c r="B7222" s="19">
        <v>88.84</v>
      </c>
      <c r="C7222" t="s">
        <v>32</v>
      </c>
      <c r="D7222" t="str">
        <f>T_Stocks[[#This Row],[Ticker]] &amp; "-" &amp; DATE(YEAR(T_Stocks[[#This Row],[Fecha]]),MONTH(T_Stocks[[#This Row],[Fecha]]),DAY(T_Stocks[[#This Row],[Fecha]]))</f>
        <v>VTSAX-44146</v>
      </c>
    </row>
    <row r="7223" spans="1:4" ht="14.65" thickBot="1" x14ac:dyDescent="0.5">
      <c r="A7223" s="17">
        <v>44147.666666666664</v>
      </c>
      <c r="B7223" s="19">
        <v>87.97</v>
      </c>
      <c r="C7223" t="s">
        <v>32</v>
      </c>
      <c r="D7223" t="str">
        <f>T_Stocks[[#This Row],[Ticker]] &amp; "-" &amp; DATE(YEAR(T_Stocks[[#This Row],[Fecha]]),MONTH(T_Stocks[[#This Row],[Fecha]]),DAY(T_Stocks[[#This Row],[Fecha]]))</f>
        <v>VTSAX-44147</v>
      </c>
    </row>
    <row r="7224" spans="1:4" ht="14.65" thickBot="1" x14ac:dyDescent="0.5">
      <c r="A7224" s="17">
        <v>44148.666666666664</v>
      </c>
      <c r="B7224" s="19">
        <v>89.18</v>
      </c>
      <c r="C7224" t="s">
        <v>32</v>
      </c>
      <c r="D7224" t="str">
        <f>T_Stocks[[#This Row],[Ticker]] &amp; "-" &amp; DATE(YEAR(T_Stocks[[#This Row],[Fecha]]),MONTH(T_Stocks[[#This Row],[Fecha]]),DAY(T_Stocks[[#This Row],[Fecha]]))</f>
        <v>VTSAX-44148</v>
      </c>
    </row>
    <row r="7225" spans="1:4" ht="14.65" thickBot="1" x14ac:dyDescent="0.5">
      <c r="A7225" s="17">
        <v>44151.666666666664</v>
      </c>
      <c r="B7225" s="19">
        <v>90.28</v>
      </c>
      <c r="C7225" t="s">
        <v>32</v>
      </c>
      <c r="D7225" t="str">
        <f>T_Stocks[[#This Row],[Ticker]] &amp; "-" &amp; DATE(YEAR(T_Stocks[[#This Row],[Fecha]]),MONTH(T_Stocks[[#This Row],[Fecha]]),DAY(T_Stocks[[#This Row],[Fecha]]))</f>
        <v>VTSAX-44151</v>
      </c>
    </row>
    <row r="7226" spans="1:4" ht="14.65" thickBot="1" x14ac:dyDescent="0.5">
      <c r="A7226" s="17">
        <v>44152.666666666664</v>
      </c>
      <c r="B7226" s="19">
        <v>90.07</v>
      </c>
      <c r="C7226" t="s">
        <v>32</v>
      </c>
      <c r="D7226" t="str">
        <f>T_Stocks[[#This Row],[Ticker]] &amp; "-" &amp; DATE(YEAR(T_Stocks[[#This Row],[Fecha]]),MONTH(T_Stocks[[#This Row],[Fecha]]),DAY(T_Stocks[[#This Row],[Fecha]]))</f>
        <v>VTSAX-44152</v>
      </c>
    </row>
    <row r="7227" spans="1:4" ht="14.65" thickBot="1" x14ac:dyDescent="0.5">
      <c r="A7227" s="17">
        <v>44153.666666666664</v>
      </c>
      <c r="B7227" s="19">
        <v>89.16</v>
      </c>
      <c r="C7227" t="s">
        <v>32</v>
      </c>
      <c r="D7227" t="str">
        <f>T_Stocks[[#This Row],[Ticker]] &amp; "-" &amp; DATE(YEAR(T_Stocks[[#This Row],[Fecha]]),MONTH(T_Stocks[[#This Row],[Fecha]]),DAY(T_Stocks[[#This Row],[Fecha]]))</f>
        <v>VTSAX-44153</v>
      </c>
    </row>
    <row r="7228" spans="1:4" ht="14.65" thickBot="1" x14ac:dyDescent="0.5">
      <c r="A7228" s="17">
        <v>44154.666666666664</v>
      </c>
      <c r="B7228" s="19">
        <v>89.66</v>
      </c>
      <c r="C7228" t="s">
        <v>32</v>
      </c>
      <c r="D7228" t="str">
        <f>T_Stocks[[#This Row],[Ticker]] &amp; "-" &amp; DATE(YEAR(T_Stocks[[#This Row],[Fecha]]),MONTH(T_Stocks[[#This Row],[Fecha]]),DAY(T_Stocks[[#This Row],[Fecha]]))</f>
        <v>VTSAX-44154</v>
      </c>
    </row>
    <row r="7229" spans="1:4" ht="14.65" thickBot="1" x14ac:dyDescent="0.5">
      <c r="A7229" s="17">
        <v>44155.666666666664</v>
      </c>
      <c r="B7229" s="19">
        <v>89.18</v>
      </c>
      <c r="C7229" t="s">
        <v>32</v>
      </c>
      <c r="D7229" t="str">
        <f>T_Stocks[[#This Row],[Ticker]] &amp; "-" &amp; DATE(YEAR(T_Stocks[[#This Row],[Fecha]]),MONTH(T_Stocks[[#This Row],[Fecha]]),DAY(T_Stocks[[#This Row],[Fecha]]))</f>
        <v>VTSAX-44155</v>
      </c>
    </row>
    <row r="7230" spans="1:4" ht="14.65" thickBot="1" x14ac:dyDescent="0.5">
      <c r="A7230" s="17">
        <v>44158.666666666664</v>
      </c>
      <c r="B7230" s="19">
        <v>89.89</v>
      </c>
      <c r="C7230" t="s">
        <v>32</v>
      </c>
      <c r="D7230" t="str">
        <f>T_Stocks[[#This Row],[Ticker]] &amp; "-" &amp; DATE(YEAR(T_Stocks[[#This Row],[Fecha]]),MONTH(T_Stocks[[#This Row],[Fecha]]),DAY(T_Stocks[[#This Row],[Fecha]]))</f>
        <v>VTSAX-44158</v>
      </c>
    </row>
    <row r="7231" spans="1:4" ht="14.65" thickBot="1" x14ac:dyDescent="0.5">
      <c r="A7231" s="17">
        <v>44159.666666666664</v>
      </c>
      <c r="B7231" s="19">
        <v>91.29</v>
      </c>
      <c r="C7231" t="s">
        <v>32</v>
      </c>
      <c r="D7231" t="str">
        <f>T_Stocks[[#This Row],[Ticker]] &amp; "-" &amp; DATE(YEAR(T_Stocks[[#This Row],[Fecha]]),MONTH(T_Stocks[[#This Row],[Fecha]]),DAY(T_Stocks[[#This Row],[Fecha]]))</f>
        <v>VTSAX-44159</v>
      </c>
    </row>
    <row r="7232" spans="1:4" ht="14.65" thickBot="1" x14ac:dyDescent="0.5">
      <c r="A7232" s="17">
        <v>44160.666666666664</v>
      </c>
      <c r="B7232" s="19">
        <v>91.24</v>
      </c>
      <c r="C7232" t="s">
        <v>32</v>
      </c>
      <c r="D7232" t="str">
        <f>T_Stocks[[#This Row],[Ticker]] &amp; "-" &amp; DATE(YEAR(T_Stocks[[#This Row],[Fecha]]),MONTH(T_Stocks[[#This Row],[Fecha]]),DAY(T_Stocks[[#This Row],[Fecha]]))</f>
        <v>VTSAX-44160</v>
      </c>
    </row>
    <row r="7233" spans="1:4" ht="14.65" thickBot="1" x14ac:dyDescent="0.5">
      <c r="A7233" s="17">
        <v>44162.541666666664</v>
      </c>
      <c r="B7233" s="19">
        <v>91.58</v>
      </c>
      <c r="C7233" t="s">
        <v>32</v>
      </c>
      <c r="D7233" t="str">
        <f>T_Stocks[[#This Row],[Ticker]] &amp; "-" &amp; DATE(YEAR(T_Stocks[[#This Row],[Fecha]]),MONTH(T_Stocks[[#This Row],[Fecha]]),DAY(T_Stocks[[#This Row],[Fecha]]))</f>
        <v>VTSAX-44162</v>
      </c>
    </row>
    <row r="7234" spans="1:4" ht="14.65" thickBot="1" x14ac:dyDescent="0.5">
      <c r="A7234" s="17">
        <v>44165.666666666664</v>
      </c>
      <c r="B7234" s="19">
        <v>91.06</v>
      </c>
      <c r="C7234" t="s">
        <v>32</v>
      </c>
      <c r="D7234" t="str">
        <f>T_Stocks[[#This Row],[Ticker]] &amp; "-" &amp; DATE(YEAR(T_Stocks[[#This Row],[Fecha]]),MONTH(T_Stocks[[#This Row],[Fecha]]),DAY(T_Stocks[[#This Row],[Fecha]]))</f>
        <v>VTSAX-44165</v>
      </c>
    </row>
    <row r="7235" spans="1:4" ht="14.65" thickBot="1" x14ac:dyDescent="0.5">
      <c r="A7235" s="17">
        <v>44166.666666666664</v>
      </c>
      <c r="B7235" s="19">
        <v>91.99</v>
      </c>
      <c r="C7235" t="s">
        <v>32</v>
      </c>
      <c r="D7235" t="str">
        <f>T_Stocks[[#This Row],[Ticker]] &amp; "-" &amp; DATE(YEAR(T_Stocks[[#This Row],[Fecha]]),MONTH(T_Stocks[[#This Row],[Fecha]]),DAY(T_Stocks[[#This Row],[Fecha]]))</f>
        <v>VTSAX-44166</v>
      </c>
    </row>
    <row r="7236" spans="1:4" ht="14.65" thickBot="1" x14ac:dyDescent="0.5">
      <c r="A7236" s="17">
        <v>44167.666666666664</v>
      </c>
      <c r="B7236" s="19">
        <v>92.09</v>
      </c>
      <c r="C7236" t="s">
        <v>32</v>
      </c>
      <c r="D7236" t="str">
        <f>T_Stocks[[#This Row],[Ticker]] &amp; "-" &amp; DATE(YEAR(T_Stocks[[#This Row],[Fecha]]),MONTH(T_Stocks[[#This Row],[Fecha]]),DAY(T_Stocks[[#This Row],[Fecha]]))</f>
        <v>VTSAX-44167</v>
      </c>
    </row>
    <row r="7237" spans="1:4" ht="14.65" thickBot="1" x14ac:dyDescent="0.5">
      <c r="A7237" s="17">
        <v>44168.666666666664</v>
      </c>
      <c r="B7237" s="19">
        <v>92.23</v>
      </c>
      <c r="C7237" t="s">
        <v>32</v>
      </c>
      <c r="D7237" t="str">
        <f>T_Stocks[[#This Row],[Ticker]] &amp; "-" &amp; DATE(YEAR(T_Stocks[[#This Row],[Fecha]]),MONTH(T_Stocks[[#This Row],[Fecha]]),DAY(T_Stocks[[#This Row],[Fecha]]))</f>
        <v>VTSAX-44168</v>
      </c>
    </row>
    <row r="7238" spans="1:4" ht="14.65" thickBot="1" x14ac:dyDescent="0.5">
      <c r="A7238" s="17">
        <v>44169.666666666664</v>
      </c>
      <c r="B7238" s="19">
        <v>93.19</v>
      </c>
      <c r="C7238" t="s">
        <v>32</v>
      </c>
      <c r="D7238" t="str">
        <f>T_Stocks[[#This Row],[Ticker]] &amp; "-" &amp; DATE(YEAR(T_Stocks[[#This Row],[Fecha]]),MONTH(T_Stocks[[#This Row],[Fecha]]),DAY(T_Stocks[[#This Row],[Fecha]]))</f>
        <v>VTSAX-44169</v>
      </c>
    </row>
    <row r="7239" spans="1:4" ht="14.65" thickBot="1" x14ac:dyDescent="0.5">
      <c r="A7239" s="17">
        <v>44172.666666666664</v>
      </c>
      <c r="B7239" s="19">
        <v>93.1</v>
      </c>
      <c r="C7239" t="s">
        <v>32</v>
      </c>
      <c r="D7239" t="str">
        <f>T_Stocks[[#This Row],[Ticker]] &amp; "-" &amp; DATE(YEAR(T_Stocks[[#This Row],[Fecha]]),MONTH(T_Stocks[[#This Row],[Fecha]]),DAY(T_Stocks[[#This Row],[Fecha]]))</f>
        <v>VTSAX-44172</v>
      </c>
    </row>
    <row r="7240" spans="1:4" ht="14.65" thickBot="1" x14ac:dyDescent="0.5">
      <c r="A7240" s="17">
        <v>44173.666666666664</v>
      </c>
      <c r="B7240" s="19">
        <v>93.48</v>
      </c>
      <c r="C7240" t="s">
        <v>32</v>
      </c>
      <c r="D7240" t="str">
        <f>T_Stocks[[#This Row],[Ticker]] &amp; "-" &amp; DATE(YEAR(T_Stocks[[#This Row],[Fecha]]),MONTH(T_Stocks[[#This Row],[Fecha]]),DAY(T_Stocks[[#This Row],[Fecha]]))</f>
        <v>VTSAX-44173</v>
      </c>
    </row>
    <row r="7241" spans="1:4" ht="14.65" thickBot="1" x14ac:dyDescent="0.5">
      <c r="A7241" s="17">
        <v>44174.666666666664</v>
      </c>
      <c r="B7241" s="19">
        <v>92.62</v>
      </c>
      <c r="C7241" t="s">
        <v>32</v>
      </c>
      <c r="D7241" t="str">
        <f>T_Stocks[[#This Row],[Ticker]] &amp; "-" &amp; DATE(YEAR(T_Stocks[[#This Row],[Fecha]]),MONTH(T_Stocks[[#This Row],[Fecha]]),DAY(T_Stocks[[#This Row],[Fecha]]))</f>
        <v>VTSAX-44174</v>
      </c>
    </row>
    <row r="7242" spans="1:4" ht="14.65" thickBot="1" x14ac:dyDescent="0.5">
      <c r="A7242" s="17">
        <v>44175.666666666664</v>
      </c>
      <c r="B7242" s="19">
        <v>92.76</v>
      </c>
      <c r="C7242" t="s">
        <v>32</v>
      </c>
      <c r="D7242" t="str">
        <f>T_Stocks[[#This Row],[Ticker]] &amp; "-" &amp; DATE(YEAR(T_Stocks[[#This Row],[Fecha]]),MONTH(T_Stocks[[#This Row],[Fecha]]),DAY(T_Stocks[[#This Row],[Fecha]]))</f>
        <v>VTSAX-44175</v>
      </c>
    </row>
    <row r="7243" spans="1:4" ht="14.65" thickBot="1" x14ac:dyDescent="0.5">
      <c r="A7243" s="17">
        <v>44176.666666666664</v>
      </c>
      <c r="B7243" s="19">
        <v>92.59</v>
      </c>
      <c r="C7243" t="s">
        <v>32</v>
      </c>
      <c r="D7243" t="str">
        <f>T_Stocks[[#This Row],[Ticker]] &amp; "-" &amp; DATE(YEAR(T_Stocks[[#This Row],[Fecha]]),MONTH(T_Stocks[[#This Row],[Fecha]]),DAY(T_Stocks[[#This Row],[Fecha]]))</f>
        <v>VTSAX-44176</v>
      </c>
    </row>
    <row r="7244" spans="1:4" ht="14.65" thickBot="1" x14ac:dyDescent="0.5">
      <c r="A7244" s="17">
        <v>44179.666666666664</v>
      </c>
      <c r="B7244" s="19">
        <v>92.33</v>
      </c>
      <c r="C7244" t="s">
        <v>32</v>
      </c>
      <c r="D7244" t="str">
        <f>T_Stocks[[#This Row],[Ticker]] &amp; "-" &amp; DATE(YEAR(T_Stocks[[#This Row],[Fecha]]),MONTH(T_Stocks[[#This Row],[Fecha]]),DAY(T_Stocks[[#This Row],[Fecha]]))</f>
        <v>VTSAX-44179</v>
      </c>
    </row>
    <row r="7245" spans="1:4" ht="14.65" thickBot="1" x14ac:dyDescent="0.5">
      <c r="A7245" s="17">
        <v>44180.666666666664</v>
      </c>
      <c r="B7245" s="19">
        <v>93.57</v>
      </c>
      <c r="C7245" t="s">
        <v>32</v>
      </c>
      <c r="D7245" t="str">
        <f>T_Stocks[[#This Row],[Ticker]] &amp; "-" &amp; DATE(YEAR(T_Stocks[[#This Row],[Fecha]]),MONTH(T_Stocks[[#This Row],[Fecha]]),DAY(T_Stocks[[#This Row],[Fecha]]))</f>
        <v>VTSAX-44180</v>
      </c>
    </row>
    <row r="7246" spans="1:4" ht="14.65" thickBot="1" x14ac:dyDescent="0.5">
      <c r="A7246" s="17">
        <v>44181.666666666664</v>
      </c>
      <c r="B7246" s="19">
        <v>93.69</v>
      </c>
      <c r="C7246" t="s">
        <v>32</v>
      </c>
      <c r="D7246" t="str">
        <f>T_Stocks[[#This Row],[Ticker]] &amp; "-" &amp; DATE(YEAR(T_Stocks[[#This Row],[Fecha]]),MONTH(T_Stocks[[#This Row],[Fecha]]),DAY(T_Stocks[[#This Row],[Fecha]]))</f>
        <v>VTSAX-44181</v>
      </c>
    </row>
    <row r="7247" spans="1:4" ht="14.65" thickBot="1" x14ac:dyDescent="0.5">
      <c r="A7247" s="17">
        <v>44182.666666666664</v>
      </c>
      <c r="B7247" s="19">
        <v>94.42</v>
      </c>
      <c r="C7247" t="s">
        <v>32</v>
      </c>
      <c r="D7247" t="str">
        <f>T_Stocks[[#This Row],[Ticker]] &amp; "-" &amp; DATE(YEAR(T_Stocks[[#This Row],[Fecha]]),MONTH(T_Stocks[[#This Row],[Fecha]]),DAY(T_Stocks[[#This Row],[Fecha]]))</f>
        <v>VTSAX-44182</v>
      </c>
    </row>
    <row r="7248" spans="1:4" ht="14.65" thickBot="1" x14ac:dyDescent="0.5">
      <c r="A7248" s="17">
        <v>44183.666666666664</v>
      </c>
      <c r="B7248" s="19">
        <v>94.21</v>
      </c>
      <c r="C7248" t="s">
        <v>32</v>
      </c>
      <c r="D7248" t="str">
        <f>T_Stocks[[#This Row],[Ticker]] &amp; "-" &amp; DATE(YEAR(T_Stocks[[#This Row],[Fecha]]),MONTH(T_Stocks[[#This Row],[Fecha]]),DAY(T_Stocks[[#This Row],[Fecha]]))</f>
        <v>VTSAX-44183</v>
      </c>
    </row>
    <row r="7249" spans="1:4" ht="14.65" thickBot="1" x14ac:dyDescent="0.5">
      <c r="A7249" s="17">
        <v>44186.666666666664</v>
      </c>
      <c r="B7249" s="19">
        <v>93.93</v>
      </c>
      <c r="C7249" t="s">
        <v>32</v>
      </c>
      <c r="D7249" t="str">
        <f>T_Stocks[[#This Row],[Ticker]] &amp; "-" &amp; DATE(YEAR(T_Stocks[[#This Row],[Fecha]]),MONTH(T_Stocks[[#This Row],[Fecha]]),DAY(T_Stocks[[#This Row],[Fecha]]))</f>
        <v>VTSAX-44186</v>
      </c>
    </row>
    <row r="7250" spans="1:4" ht="14.65" thickBot="1" x14ac:dyDescent="0.5">
      <c r="A7250" s="17">
        <v>44187.666666666664</v>
      </c>
      <c r="B7250" s="19">
        <v>93.95</v>
      </c>
      <c r="C7250" t="s">
        <v>32</v>
      </c>
      <c r="D7250" t="str">
        <f>T_Stocks[[#This Row],[Ticker]] &amp; "-" &amp; DATE(YEAR(T_Stocks[[#This Row],[Fecha]]),MONTH(T_Stocks[[#This Row],[Fecha]]),DAY(T_Stocks[[#This Row],[Fecha]]))</f>
        <v>VTSAX-44187</v>
      </c>
    </row>
    <row r="7251" spans="1:4" ht="14.65" thickBot="1" x14ac:dyDescent="0.5">
      <c r="A7251" s="17">
        <v>44188.666666666664</v>
      </c>
      <c r="B7251" s="19">
        <v>93.66</v>
      </c>
      <c r="C7251" t="s">
        <v>32</v>
      </c>
      <c r="D7251" t="str">
        <f>T_Stocks[[#This Row],[Ticker]] &amp; "-" &amp; DATE(YEAR(T_Stocks[[#This Row],[Fecha]]),MONTH(T_Stocks[[#This Row],[Fecha]]),DAY(T_Stocks[[#This Row],[Fecha]]))</f>
        <v>VTSAX-44188</v>
      </c>
    </row>
    <row r="7252" spans="1:4" ht="14.65" thickBot="1" x14ac:dyDescent="0.5">
      <c r="A7252" s="17">
        <v>44189.541666666664</v>
      </c>
      <c r="B7252" s="19">
        <v>93.91</v>
      </c>
      <c r="C7252" t="s">
        <v>32</v>
      </c>
      <c r="D7252" t="str">
        <f>T_Stocks[[#This Row],[Ticker]] &amp; "-" &amp; DATE(YEAR(T_Stocks[[#This Row],[Fecha]]),MONTH(T_Stocks[[#This Row],[Fecha]]),DAY(T_Stocks[[#This Row],[Fecha]]))</f>
        <v>VTSAX-44189</v>
      </c>
    </row>
    <row r="7253" spans="1:4" ht="14.65" thickBot="1" x14ac:dyDescent="0.5">
      <c r="A7253" s="17">
        <v>44193.666666666664</v>
      </c>
      <c r="B7253" s="19">
        <v>94.4</v>
      </c>
      <c r="C7253" t="s">
        <v>32</v>
      </c>
      <c r="D7253" t="str">
        <f>T_Stocks[[#This Row],[Ticker]] &amp; "-" &amp; DATE(YEAR(T_Stocks[[#This Row],[Fecha]]),MONTH(T_Stocks[[#This Row],[Fecha]]),DAY(T_Stocks[[#This Row],[Fecha]]))</f>
        <v>VTSAX-44193</v>
      </c>
    </row>
    <row r="7254" spans="1:4" ht="14.65" thickBot="1" x14ac:dyDescent="0.5">
      <c r="A7254" s="17">
        <v>44194.666666666664</v>
      </c>
      <c r="B7254" s="19">
        <v>94.03</v>
      </c>
      <c r="C7254" t="s">
        <v>32</v>
      </c>
      <c r="D7254" t="str">
        <f>T_Stocks[[#This Row],[Ticker]] &amp; "-" &amp; DATE(YEAR(T_Stocks[[#This Row],[Fecha]]),MONTH(T_Stocks[[#This Row],[Fecha]]),DAY(T_Stocks[[#This Row],[Fecha]]))</f>
        <v>VTSAX-44194</v>
      </c>
    </row>
    <row r="7255" spans="1:4" ht="14.65" thickBot="1" x14ac:dyDescent="0.5">
      <c r="A7255" s="17">
        <v>44195.666666666664</v>
      </c>
      <c r="B7255" s="19">
        <v>94.28</v>
      </c>
      <c r="C7255" t="s">
        <v>32</v>
      </c>
      <c r="D7255" t="str">
        <f>T_Stocks[[#This Row],[Ticker]] &amp; "-" &amp; DATE(YEAR(T_Stocks[[#This Row],[Fecha]]),MONTH(T_Stocks[[#This Row],[Fecha]]),DAY(T_Stocks[[#This Row],[Fecha]]))</f>
        <v>VTSAX-44195</v>
      </c>
    </row>
    <row r="7256" spans="1:4" ht="14.65" thickBot="1" x14ac:dyDescent="0.5">
      <c r="A7256" s="17">
        <v>44196.666666666664</v>
      </c>
      <c r="B7256" s="19">
        <v>94.74</v>
      </c>
      <c r="C7256" t="s">
        <v>32</v>
      </c>
      <c r="D7256" t="str">
        <f>T_Stocks[[#This Row],[Ticker]] &amp; "-" &amp; DATE(YEAR(T_Stocks[[#This Row],[Fecha]]),MONTH(T_Stocks[[#This Row],[Fecha]]),DAY(T_Stocks[[#This Row],[Fecha]]))</f>
        <v>VTSAX-44196</v>
      </c>
    </row>
    <row r="7257" spans="1:4" ht="14.65" thickBot="1" x14ac:dyDescent="0.5">
      <c r="A7257" s="17">
        <v>44200.666666666664</v>
      </c>
      <c r="B7257" s="19">
        <v>93.35</v>
      </c>
      <c r="C7257" t="s">
        <v>32</v>
      </c>
      <c r="D7257" t="str">
        <f>T_Stocks[[#This Row],[Ticker]] &amp; "-" &amp; DATE(YEAR(T_Stocks[[#This Row],[Fecha]]),MONTH(T_Stocks[[#This Row],[Fecha]]),DAY(T_Stocks[[#This Row],[Fecha]]))</f>
        <v>VTSAX-44200</v>
      </c>
    </row>
    <row r="7258" spans="1:4" ht="14.65" thickBot="1" x14ac:dyDescent="0.5">
      <c r="A7258" s="17">
        <v>44201.666666666664</v>
      </c>
      <c r="B7258" s="19">
        <v>94.14</v>
      </c>
      <c r="C7258" t="s">
        <v>32</v>
      </c>
      <c r="D7258" t="str">
        <f>T_Stocks[[#This Row],[Ticker]] &amp; "-" &amp; DATE(YEAR(T_Stocks[[#This Row],[Fecha]]),MONTH(T_Stocks[[#This Row],[Fecha]]),DAY(T_Stocks[[#This Row],[Fecha]]))</f>
        <v>VTSAX-44201</v>
      </c>
    </row>
    <row r="7259" spans="1:4" ht="14.65" thickBot="1" x14ac:dyDescent="0.5">
      <c r="A7259" s="17">
        <v>44202.666666666664</v>
      </c>
      <c r="B7259" s="19">
        <v>94.93</v>
      </c>
      <c r="C7259" t="s">
        <v>32</v>
      </c>
      <c r="D7259" t="str">
        <f>T_Stocks[[#This Row],[Ticker]] &amp; "-" &amp; DATE(YEAR(T_Stocks[[#This Row],[Fecha]]),MONTH(T_Stocks[[#This Row],[Fecha]]),DAY(T_Stocks[[#This Row],[Fecha]]))</f>
        <v>VTSAX-44202</v>
      </c>
    </row>
    <row r="7260" spans="1:4" ht="14.65" thickBot="1" x14ac:dyDescent="0.5">
      <c r="A7260" s="17">
        <v>44203.666666666664</v>
      </c>
      <c r="B7260" s="19">
        <v>96.49</v>
      </c>
      <c r="C7260" t="s">
        <v>32</v>
      </c>
      <c r="D7260" t="str">
        <f>T_Stocks[[#This Row],[Ticker]] &amp; "-" &amp; DATE(YEAR(T_Stocks[[#This Row],[Fecha]]),MONTH(T_Stocks[[#This Row],[Fecha]]),DAY(T_Stocks[[#This Row],[Fecha]]))</f>
        <v>VTSAX-44203</v>
      </c>
    </row>
    <row r="7261" spans="1:4" ht="14.65" thickBot="1" x14ac:dyDescent="0.5">
      <c r="A7261" s="17">
        <v>44204.666666666664</v>
      </c>
      <c r="B7261" s="19">
        <v>96.95</v>
      </c>
      <c r="C7261" t="s">
        <v>32</v>
      </c>
      <c r="D7261" t="str">
        <f>T_Stocks[[#This Row],[Ticker]] &amp; "-" &amp; DATE(YEAR(T_Stocks[[#This Row],[Fecha]]),MONTH(T_Stocks[[#This Row],[Fecha]]),DAY(T_Stocks[[#This Row],[Fecha]]))</f>
        <v>VTSAX-44204</v>
      </c>
    </row>
    <row r="7262" spans="1:4" ht="14.65" thickBot="1" x14ac:dyDescent="0.5">
      <c r="A7262" s="17">
        <v>44207.666666666664</v>
      </c>
      <c r="B7262" s="19">
        <v>96.43</v>
      </c>
      <c r="C7262" t="s">
        <v>32</v>
      </c>
      <c r="D7262" t="str">
        <f>T_Stocks[[#This Row],[Ticker]] &amp; "-" &amp; DATE(YEAR(T_Stocks[[#This Row],[Fecha]]),MONTH(T_Stocks[[#This Row],[Fecha]]),DAY(T_Stocks[[#This Row],[Fecha]]))</f>
        <v>VTSAX-44207</v>
      </c>
    </row>
    <row r="7263" spans="1:4" ht="14.65" thickBot="1" x14ac:dyDescent="0.5">
      <c r="A7263" s="17">
        <v>44208.666666666664</v>
      </c>
      <c r="B7263" s="19">
        <v>96.73</v>
      </c>
      <c r="C7263" t="s">
        <v>32</v>
      </c>
      <c r="D7263" t="str">
        <f>T_Stocks[[#This Row],[Ticker]] &amp; "-" &amp; DATE(YEAR(T_Stocks[[#This Row],[Fecha]]),MONTH(T_Stocks[[#This Row],[Fecha]]),DAY(T_Stocks[[#This Row],[Fecha]]))</f>
        <v>VTSAX-44208</v>
      </c>
    </row>
    <row r="7264" spans="1:4" ht="14.65" thickBot="1" x14ac:dyDescent="0.5">
      <c r="A7264" s="17">
        <v>44209.666666666664</v>
      </c>
      <c r="B7264" s="19">
        <v>96.82</v>
      </c>
      <c r="C7264" t="s">
        <v>32</v>
      </c>
      <c r="D7264" t="str">
        <f>T_Stocks[[#This Row],[Ticker]] &amp; "-" &amp; DATE(YEAR(T_Stocks[[#This Row],[Fecha]]),MONTH(T_Stocks[[#This Row],[Fecha]]),DAY(T_Stocks[[#This Row],[Fecha]]))</f>
        <v>VTSAX-44209</v>
      </c>
    </row>
    <row r="7265" spans="1:4" ht="14.65" thickBot="1" x14ac:dyDescent="0.5">
      <c r="A7265" s="17">
        <v>44210.666666666664</v>
      </c>
      <c r="B7265" s="19">
        <v>96.71</v>
      </c>
      <c r="C7265" t="s">
        <v>32</v>
      </c>
      <c r="D7265" t="str">
        <f>T_Stocks[[#This Row],[Ticker]] &amp; "-" &amp; DATE(YEAR(T_Stocks[[#This Row],[Fecha]]),MONTH(T_Stocks[[#This Row],[Fecha]]),DAY(T_Stocks[[#This Row],[Fecha]]))</f>
        <v>VTSAX-44210</v>
      </c>
    </row>
    <row r="7266" spans="1:4" ht="14.65" thickBot="1" x14ac:dyDescent="0.5">
      <c r="A7266" s="17">
        <v>44211.666666666664</v>
      </c>
      <c r="B7266" s="19">
        <v>95.95</v>
      </c>
      <c r="C7266" t="s">
        <v>32</v>
      </c>
      <c r="D7266" t="str">
        <f>T_Stocks[[#This Row],[Ticker]] &amp; "-" &amp; DATE(YEAR(T_Stocks[[#This Row],[Fecha]]),MONTH(T_Stocks[[#This Row],[Fecha]]),DAY(T_Stocks[[#This Row],[Fecha]]))</f>
        <v>VTSAX-44211</v>
      </c>
    </row>
    <row r="7267" spans="1:4" ht="14.65" thickBot="1" x14ac:dyDescent="0.5">
      <c r="A7267" s="17">
        <v>44215.666666666664</v>
      </c>
      <c r="B7267" s="19">
        <v>96.78</v>
      </c>
      <c r="C7267" t="s">
        <v>32</v>
      </c>
      <c r="D7267" t="str">
        <f>T_Stocks[[#This Row],[Ticker]] &amp; "-" &amp; DATE(YEAR(T_Stocks[[#This Row],[Fecha]]),MONTH(T_Stocks[[#This Row],[Fecha]]),DAY(T_Stocks[[#This Row],[Fecha]]))</f>
        <v>VTSAX-44215</v>
      </c>
    </row>
    <row r="7268" spans="1:4" ht="14.65" thickBot="1" x14ac:dyDescent="0.5">
      <c r="A7268" s="17">
        <v>44216.666666666664</v>
      </c>
      <c r="B7268" s="19">
        <v>98.02</v>
      </c>
      <c r="C7268" t="s">
        <v>32</v>
      </c>
      <c r="D7268" t="str">
        <f>T_Stocks[[#This Row],[Ticker]] &amp; "-" &amp; DATE(YEAR(T_Stocks[[#This Row],[Fecha]]),MONTH(T_Stocks[[#This Row],[Fecha]]),DAY(T_Stocks[[#This Row],[Fecha]]))</f>
        <v>VTSAX-44216</v>
      </c>
    </row>
    <row r="7269" spans="1:4" ht="14.65" thickBot="1" x14ac:dyDescent="0.5">
      <c r="A7269" s="17">
        <v>44217.666666666664</v>
      </c>
      <c r="B7269" s="19">
        <v>97.93</v>
      </c>
      <c r="C7269" t="s">
        <v>32</v>
      </c>
      <c r="D7269" t="str">
        <f>T_Stocks[[#This Row],[Ticker]] &amp; "-" &amp; DATE(YEAR(T_Stocks[[#This Row],[Fecha]]),MONTH(T_Stocks[[#This Row],[Fecha]]),DAY(T_Stocks[[#This Row],[Fecha]]))</f>
        <v>VTSAX-44217</v>
      </c>
    </row>
    <row r="7270" spans="1:4" ht="14.65" thickBot="1" x14ac:dyDescent="0.5">
      <c r="A7270" s="17">
        <v>44218.666666666664</v>
      </c>
      <c r="B7270" s="19">
        <v>97.79</v>
      </c>
      <c r="C7270" t="s">
        <v>32</v>
      </c>
      <c r="D7270" t="str">
        <f>T_Stocks[[#This Row],[Ticker]] &amp; "-" &amp; DATE(YEAR(T_Stocks[[#This Row],[Fecha]]),MONTH(T_Stocks[[#This Row],[Fecha]]),DAY(T_Stocks[[#This Row],[Fecha]]))</f>
        <v>VTSAX-44218</v>
      </c>
    </row>
    <row r="7271" spans="1:4" ht="14.65" thickBot="1" x14ac:dyDescent="0.5">
      <c r="A7271" s="17">
        <v>44221.666666666664</v>
      </c>
      <c r="B7271" s="19">
        <v>98.04</v>
      </c>
      <c r="C7271" t="s">
        <v>32</v>
      </c>
      <c r="D7271" t="str">
        <f>T_Stocks[[#This Row],[Ticker]] &amp; "-" &amp; DATE(YEAR(T_Stocks[[#This Row],[Fecha]]),MONTH(T_Stocks[[#This Row],[Fecha]]),DAY(T_Stocks[[#This Row],[Fecha]]))</f>
        <v>VTSAX-44221</v>
      </c>
    </row>
    <row r="7272" spans="1:4" ht="14.65" thickBot="1" x14ac:dyDescent="0.5">
      <c r="A7272" s="17">
        <v>44222.666666666664</v>
      </c>
      <c r="B7272" s="19">
        <v>97.74</v>
      </c>
      <c r="C7272" t="s">
        <v>32</v>
      </c>
      <c r="D7272" t="str">
        <f>T_Stocks[[#This Row],[Ticker]] &amp; "-" &amp; DATE(YEAR(T_Stocks[[#This Row],[Fecha]]),MONTH(T_Stocks[[#This Row],[Fecha]]),DAY(T_Stocks[[#This Row],[Fecha]]))</f>
        <v>VTSAX-44222</v>
      </c>
    </row>
    <row r="7273" spans="1:4" ht="14.65" thickBot="1" x14ac:dyDescent="0.5">
      <c r="A7273" s="17">
        <v>44223.666666666664</v>
      </c>
      <c r="B7273" s="19">
        <v>95.21</v>
      </c>
      <c r="C7273" t="s">
        <v>32</v>
      </c>
      <c r="D7273" t="str">
        <f>T_Stocks[[#This Row],[Ticker]] &amp; "-" &amp; DATE(YEAR(T_Stocks[[#This Row],[Fecha]]),MONTH(T_Stocks[[#This Row],[Fecha]]),DAY(T_Stocks[[#This Row],[Fecha]]))</f>
        <v>VTSAX-44223</v>
      </c>
    </row>
    <row r="7274" spans="1:4" ht="14.65" thickBot="1" x14ac:dyDescent="0.5">
      <c r="A7274" s="17">
        <v>44224.666666666664</v>
      </c>
      <c r="B7274" s="19">
        <v>96.18</v>
      </c>
      <c r="C7274" t="s">
        <v>32</v>
      </c>
      <c r="D7274" t="str">
        <f>T_Stocks[[#This Row],[Ticker]] &amp; "-" &amp; DATE(YEAR(T_Stocks[[#This Row],[Fecha]]),MONTH(T_Stocks[[#This Row],[Fecha]]),DAY(T_Stocks[[#This Row],[Fecha]]))</f>
        <v>VTSAX-44224</v>
      </c>
    </row>
    <row r="7275" spans="1:4" ht="14.65" thickBot="1" x14ac:dyDescent="0.5">
      <c r="A7275" s="17">
        <v>44225.666666666664</v>
      </c>
      <c r="B7275" s="19">
        <v>94.43</v>
      </c>
      <c r="C7275" t="s">
        <v>32</v>
      </c>
      <c r="D7275" t="str">
        <f>T_Stocks[[#This Row],[Ticker]] &amp; "-" &amp; DATE(YEAR(T_Stocks[[#This Row],[Fecha]]),MONTH(T_Stocks[[#This Row],[Fecha]]),DAY(T_Stocks[[#This Row],[Fecha]]))</f>
        <v>VTSAX-44225</v>
      </c>
    </row>
    <row r="7276" spans="1:4" ht="14.65" thickBot="1" x14ac:dyDescent="0.5">
      <c r="A7276" s="17">
        <v>44228.666666666664</v>
      </c>
      <c r="B7276" s="19">
        <v>96.05</v>
      </c>
      <c r="C7276" t="s">
        <v>32</v>
      </c>
      <c r="D7276" t="str">
        <f>T_Stocks[[#This Row],[Ticker]] &amp; "-" &amp; DATE(YEAR(T_Stocks[[#This Row],[Fecha]]),MONTH(T_Stocks[[#This Row],[Fecha]]),DAY(T_Stocks[[#This Row],[Fecha]]))</f>
        <v>VTSAX-44228</v>
      </c>
    </row>
    <row r="7277" spans="1:4" ht="14.65" thickBot="1" x14ac:dyDescent="0.5">
      <c r="A7277" s="17">
        <v>44229.666666666664</v>
      </c>
      <c r="B7277" s="19">
        <v>97.45</v>
      </c>
      <c r="C7277" t="s">
        <v>32</v>
      </c>
      <c r="D7277" t="str">
        <f>T_Stocks[[#This Row],[Ticker]] &amp; "-" &amp; DATE(YEAR(T_Stocks[[#This Row],[Fecha]]),MONTH(T_Stocks[[#This Row],[Fecha]]),DAY(T_Stocks[[#This Row],[Fecha]]))</f>
        <v>VTSAX-44229</v>
      </c>
    </row>
    <row r="7278" spans="1:4" ht="14.65" thickBot="1" x14ac:dyDescent="0.5">
      <c r="A7278" s="17">
        <v>44230.666666666664</v>
      </c>
      <c r="B7278" s="19">
        <v>97.58</v>
      </c>
      <c r="C7278" t="s">
        <v>32</v>
      </c>
      <c r="D7278" t="str">
        <f>T_Stocks[[#This Row],[Ticker]] &amp; "-" &amp; DATE(YEAR(T_Stocks[[#This Row],[Fecha]]),MONTH(T_Stocks[[#This Row],[Fecha]]),DAY(T_Stocks[[#This Row],[Fecha]]))</f>
        <v>VTSAX-44230</v>
      </c>
    </row>
    <row r="7279" spans="1:4" ht="14.65" thickBot="1" x14ac:dyDescent="0.5">
      <c r="A7279" s="17">
        <v>44231.666666666664</v>
      </c>
      <c r="B7279" s="19">
        <v>98.75</v>
      </c>
      <c r="C7279" t="s">
        <v>32</v>
      </c>
      <c r="D7279" t="str">
        <f>T_Stocks[[#This Row],[Ticker]] &amp; "-" &amp; DATE(YEAR(T_Stocks[[#This Row],[Fecha]]),MONTH(T_Stocks[[#This Row],[Fecha]]),DAY(T_Stocks[[#This Row],[Fecha]]))</f>
        <v>VTSAX-44231</v>
      </c>
    </row>
    <row r="7280" spans="1:4" ht="14.65" thickBot="1" x14ac:dyDescent="0.5">
      <c r="A7280" s="17">
        <v>44232.666666666664</v>
      </c>
      <c r="B7280" s="19">
        <v>99.32</v>
      </c>
      <c r="C7280" t="s">
        <v>32</v>
      </c>
      <c r="D7280" t="str">
        <f>T_Stocks[[#This Row],[Ticker]] &amp; "-" &amp; DATE(YEAR(T_Stocks[[#This Row],[Fecha]]),MONTH(T_Stocks[[#This Row],[Fecha]]),DAY(T_Stocks[[#This Row],[Fecha]]))</f>
        <v>VTSAX-44232</v>
      </c>
    </row>
    <row r="7281" spans="1:4" ht="14.65" thickBot="1" x14ac:dyDescent="0.5">
      <c r="A7281" s="17">
        <v>44235.666666666664</v>
      </c>
      <c r="B7281" s="19">
        <v>100.24</v>
      </c>
      <c r="C7281" t="s">
        <v>32</v>
      </c>
      <c r="D7281" t="str">
        <f>T_Stocks[[#This Row],[Ticker]] &amp; "-" &amp; DATE(YEAR(T_Stocks[[#This Row],[Fecha]]),MONTH(T_Stocks[[#This Row],[Fecha]]),DAY(T_Stocks[[#This Row],[Fecha]]))</f>
        <v>VTSAX-44235</v>
      </c>
    </row>
    <row r="7282" spans="1:4" ht="14.65" thickBot="1" x14ac:dyDescent="0.5">
      <c r="A7282" s="17">
        <v>44236.666666666664</v>
      </c>
      <c r="B7282" s="19">
        <v>100.26</v>
      </c>
      <c r="C7282" t="s">
        <v>32</v>
      </c>
      <c r="D7282" t="str">
        <f>T_Stocks[[#This Row],[Ticker]] &amp; "-" &amp; DATE(YEAR(T_Stocks[[#This Row],[Fecha]]),MONTH(T_Stocks[[#This Row],[Fecha]]),DAY(T_Stocks[[#This Row],[Fecha]]))</f>
        <v>VTSAX-44236</v>
      </c>
    </row>
    <row r="7283" spans="1:4" ht="14.65" thickBot="1" x14ac:dyDescent="0.5">
      <c r="A7283" s="17">
        <v>44237.666666666664</v>
      </c>
      <c r="B7283" s="19">
        <v>100.21</v>
      </c>
      <c r="C7283" t="s">
        <v>32</v>
      </c>
      <c r="D7283" t="str">
        <f>T_Stocks[[#This Row],[Ticker]] &amp; "-" &amp; DATE(YEAR(T_Stocks[[#This Row],[Fecha]]),MONTH(T_Stocks[[#This Row],[Fecha]]),DAY(T_Stocks[[#This Row],[Fecha]]))</f>
        <v>VTSAX-44237</v>
      </c>
    </row>
    <row r="7284" spans="1:4" ht="14.65" thickBot="1" x14ac:dyDescent="0.5">
      <c r="A7284" s="17">
        <v>44238.666666666664</v>
      </c>
      <c r="B7284" s="19">
        <v>100.45</v>
      </c>
      <c r="C7284" t="s">
        <v>32</v>
      </c>
      <c r="D7284" t="str">
        <f>T_Stocks[[#This Row],[Ticker]] &amp; "-" &amp; DATE(YEAR(T_Stocks[[#This Row],[Fecha]]),MONTH(T_Stocks[[#This Row],[Fecha]]),DAY(T_Stocks[[#This Row],[Fecha]]))</f>
        <v>VTSAX-44238</v>
      </c>
    </row>
    <row r="7285" spans="1:4" ht="14.65" thickBot="1" x14ac:dyDescent="0.5">
      <c r="A7285" s="17">
        <v>44239.666666666664</v>
      </c>
      <c r="B7285" s="19">
        <v>100.94</v>
      </c>
      <c r="C7285" t="s">
        <v>32</v>
      </c>
      <c r="D7285" t="str">
        <f>T_Stocks[[#This Row],[Ticker]] &amp; "-" &amp; DATE(YEAR(T_Stocks[[#This Row],[Fecha]]),MONTH(T_Stocks[[#This Row],[Fecha]]),DAY(T_Stocks[[#This Row],[Fecha]]))</f>
        <v>VTSAX-44239</v>
      </c>
    </row>
    <row r="7286" spans="1:4" ht="14.65" thickBot="1" x14ac:dyDescent="0.5">
      <c r="A7286" s="17">
        <v>44243.666666666664</v>
      </c>
      <c r="B7286" s="19">
        <v>100.8</v>
      </c>
      <c r="C7286" t="s">
        <v>32</v>
      </c>
      <c r="D7286" t="str">
        <f>T_Stocks[[#This Row],[Ticker]] &amp; "-" &amp; DATE(YEAR(T_Stocks[[#This Row],[Fecha]]),MONTH(T_Stocks[[#This Row],[Fecha]]),DAY(T_Stocks[[#This Row],[Fecha]]))</f>
        <v>VTSAX-44243</v>
      </c>
    </row>
    <row r="7287" spans="1:4" ht="14.65" thickBot="1" x14ac:dyDescent="0.5">
      <c r="A7287" s="17">
        <v>44244.666666666664</v>
      </c>
      <c r="B7287" s="19">
        <v>100.63</v>
      </c>
      <c r="C7287" t="s">
        <v>32</v>
      </c>
      <c r="D7287" t="str">
        <f>T_Stocks[[#This Row],[Ticker]] &amp; "-" &amp; DATE(YEAR(T_Stocks[[#This Row],[Fecha]]),MONTH(T_Stocks[[#This Row],[Fecha]]),DAY(T_Stocks[[#This Row],[Fecha]]))</f>
        <v>VTSAX-44244</v>
      </c>
    </row>
    <row r="7288" spans="1:4" ht="14.65" thickBot="1" x14ac:dyDescent="0.5">
      <c r="A7288" s="17">
        <v>44245.666666666664</v>
      </c>
      <c r="B7288" s="19">
        <v>100.05</v>
      </c>
      <c r="C7288" t="s">
        <v>32</v>
      </c>
      <c r="D7288" t="str">
        <f>T_Stocks[[#This Row],[Ticker]] &amp; "-" &amp; DATE(YEAR(T_Stocks[[#This Row],[Fecha]]),MONTH(T_Stocks[[#This Row],[Fecha]]),DAY(T_Stocks[[#This Row],[Fecha]]))</f>
        <v>VTSAX-44245</v>
      </c>
    </row>
    <row r="7289" spans="1:4" ht="14.65" thickBot="1" x14ac:dyDescent="0.5">
      <c r="A7289" s="17">
        <v>44246.666666666664</v>
      </c>
      <c r="B7289" s="19">
        <v>100.21</v>
      </c>
      <c r="C7289" t="s">
        <v>32</v>
      </c>
      <c r="D7289" t="str">
        <f>T_Stocks[[#This Row],[Ticker]] &amp; "-" &amp; DATE(YEAR(T_Stocks[[#This Row],[Fecha]]),MONTH(T_Stocks[[#This Row],[Fecha]]),DAY(T_Stocks[[#This Row],[Fecha]]))</f>
        <v>VTSAX-44246</v>
      </c>
    </row>
    <row r="7290" spans="1:4" ht="14.65" thickBot="1" x14ac:dyDescent="0.5">
      <c r="A7290" s="17">
        <v>44249.666666666664</v>
      </c>
      <c r="B7290" s="19">
        <v>99.26</v>
      </c>
      <c r="C7290" t="s">
        <v>32</v>
      </c>
      <c r="D7290" t="str">
        <f>T_Stocks[[#This Row],[Ticker]] &amp; "-" &amp; DATE(YEAR(T_Stocks[[#This Row],[Fecha]]),MONTH(T_Stocks[[#This Row],[Fecha]]),DAY(T_Stocks[[#This Row],[Fecha]]))</f>
        <v>VTSAX-44249</v>
      </c>
    </row>
    <row r="7291" spans="1:4" ht="14.65" thickBot="1" x14ac:dyDescent="0.5">
      <c r="A7291" s="17">
        <v>44250.666666666664</v>
      </c>
      <c r="B7291" s="19">
        <v>99.25</v>
      </c>
      <c r="C7291" t="s">
        <v>32</v>
      </c>
      <c r="D7291" t="str">
        <f>T_Stocks[[#This Row],[Ticker]] &amp; "-" &amp; DATE(YEAR(T_Stocks[[#This Row],[Fecha]]),MONTH(T_Stocks[[#This Row],[Fecha]]),DAY(T_Stocks[[#This Row],[Fecha]]))</f>
        <v>VTSAX-44250</v>
      </c>
    </row>
    <row r="7292" spans="1:4" ht="14.65" thickBot="1" x14ac:dyDescent="0.5">
      <c r="A7292" s="17">
        <v>44251.666666666664</v>
      </c>
      <c r="B7292" s="19">
        <v>100.41</v>
      </c>
      <c r="C7292" t="s">
        <v>32</v>
      </c>
      <c r="D7292" t="str">
        <f>T_Stocks[[#This Row],[Ticker]] &amp; "-" &amp; DATE(YEAR(T_Stocks[[#This Row],[Fecha]]),MONTH(T_Stocks[[#This Row],[Fecha]]),DAY(T_Stocks[[#This Row],[Fecha]]))</f>
        <v>VTSAX-44251</v>
      </c>
    </row>
    <row r="7293" spans="1:4" ht="14.65" thickBot="1" x14ac:dyDescent="0.5">
      <c r="A7293" s="17">
        <v>44252.666666666664</v>
      </c>
      <c r="B7293" s="19">
        <v>97.75</v>
      </c>
      <c r="C7293" t="s">
        <v>32</v>
      </c>
      <c r="D7293" t="str">
        <f>T_Stocks[[#This Row],[Ticker]] &amp; "-" &amp; DATE(YEAR(T_Stocks[[#This Row],[Fecha]]),MONTH(T_Stocks[[#This Row],[Fecha]]),DAY(T_Stocks[[#This Row],[Fecha]]))</f>
        <v>VTSAX-44252</v>
      </c>
    </row>
    <row r="7294" spans="1:4" ht="14.65" thickBot="1" x14ac:dyDescent="0.5">
      <c r="A7294" s="17">
        <v>44253.666666666664</v>
      </c>
      <c r="B7294" s="19">
        <v>97.44</v>
      </c>
      <c r="C7294" t="s">
        <v>32</v>
      </c>
      <c r="D7294" t="str">
        <f>T_Stocks[[#This Row],[Ticker]] &amp; "-" &amp; DATE(YEAR(T_Stocks[[#This Row],[Fecha]]),MONTH(T_Stocks[[#This Row],[Fecha]]),DAY(T_Stocks[[#This Row],[Fecha]]))</f>
        <v>VTSAX-44253</v>
      </c>
    </row>
    <row r="7295" spans="1:4" ht="14.65" thickBot="1" x14ac:dyDescent="0.5">
      <c r="A7295" s="17">
        <v>44256.666666666664</v>
      </c>
      <c r="B7295" s="19">
        <v>99.88</v>
      </c>
      <c r="C7295" t="s">
        <v>32</v>
      </c>
      <c r="D7295" t="str">
        <f>T_Stocks[[#This Row],[Ticker]] &amp; "-" &amp; DATE(YEAR(T_Stocks[[#This Row],[Fecha]]),MONTH(T_Stocks[[#This Row],[Fecha]]),DAY(T_Stocks[[#This Row],[Fecha]]))</f>
        <v>VTSAX-44256</v>
      </c>
    </row>
    <row r="7296" spans="1:4" ht="14.65" thickBot="1" x14ac:dyDescent="0.5">
      <c r="A7296" s="17">
        <v>44257.666666666664</v>
      </c>
      <c r="B7296" s="19">
        <v>98.92</v>
      </c>
      <c r="C7296" t="s">
        <v>32</v>
      </c>
      <c r="D7296" t="str">
        <f>T_Stocks[[#This Row],[Ticker]] &amp; "-" &amp; DATE(YEAR(T_Stocks[[#This Row],[Fecha]]),MONTH(T_Stocks[[#This Row],[Fecha]]),DAY(T_Stocks[[#This Row],[Fecha]]))</f>
        <v>VTSAX-44257</v>
      </c>
    </row>
    <row r="7297" spans="1:4" ht="14.65" thickBot="1" x14ac:dyDescent="0.5">
      <c r="A7297" s="17">
        <v>44258.666666666664</v>
      </c>
      <c r="B7297" s="19">
        <v>97.48</v>
      </c>
      <c r="C7297" t="s">
        <v>32</v>
      </c>
      <c r="D7297" t="str">
        <f>T_Stocks[[#This Row],[Ticker]] &amp; "-" &amp; DATE(YEAR(T_Stocks[[#This Row],[Fecha]]),MONTH(T_Stocks[[#This Row],[Fecha]]),DAY(T_Stocks[[#This Row],[Fecha]]))</f>
        <v>VTSAX-44258</v>
      </c>
    </row>
    <row r="7298" spans="1:4" ht="14.65" thickBot="1" x14ac:dyDescent="0.5">
      <c r="A7298" s="17">
        <v>44259.666666666664</v>
      </c>
      <c r="B7298" s="19">
        <v>95.91</v>
      </c>
      <c r="C7298" t="s">
        <v>32</v>
      </c>
      <c r="D7298" t="str">
        <f>T_Stocks[[#This Row],[Ticker]] &amp; "-" &amp; DATE(YEAR(T_Stocks[[#This Row],[Fecha]]),MONTH(T_Stocks[[#This Row],[Fecha]]),DAY(T_Stocks[[#This Row],[Fecha]]))</f>
        <v>VTSAX-44259</v>
      </c>
    </row>
    <row r="7299" spans="1:4" ht="14.65" thickBot="1" x14ac:dyDescent="0.5">
      <c r="A7299" s="17">
        <v>44260.666666666664</v>
      </c>
      <c r="B7299" s="19">
        <v>97.71</v>
      </c>
      <c r="C7299" t="s">
        <v>32</v>
      </c>
      <c r="D7299" t="str">
        <f>T_Stocks[[#This Row],[Ticker]] &amp; "-" &amp; DATE(YEAR(T_Stocks[[#This Row],[Fecha]]),MONTH(T_Stocks[[#This Row],[Fecha]]),DAY(T_Stocks[[#This Row],[Fecha]]))</f>
        <v>VTSAX-44260</v>
      </c>
    </row>
    <row r="7300" spans="1:4" ht="14.65" thickBot="1" x14ac:dyDescent="0.5">
      <c r="A7300" s="17">
        <v>44263.666666666664</v>
      </c>
      <c r="B7300" s="19">
        <v>97.19</v>
      </c>
      <c r="C7300" t="s">
        <v>32</v>
      </c>
      <c r="D7300" t="str">
        <f>T_Stocks[[#This Row],[Ticker]] &amp; "-" &amp; DATE(YEAR(T_Stocks[[#This Row],[Fecha]]),MONTH(T_Stocks[[#This Row],[Fecha]]),DAY(T_Stocks[[#This Row],[Fecha]]))</f>
        <v>VTSAX-44263</v>
      </c>
    </row>
    <row r="7301" spans="1:4" ht="14.65" thickBot="1" x14ac:dyDescent="0.5">
      <c r="A7301" s="17">
        <v>44264.666666666664</v>
      </c>
      <c r="B7301" s="19">
        <v>98.75</v>
      </c>
      <c r="C7301" t="s">
        <v>32</v>
      </c>
      <c r="D7301" t="str">
        <f>T_Stocks[[#This Row],[Ticker]] &amp; "-" &amp; DATE(YEAR(T_Stocks[[#This Row],[Fecha]]),MONTH(T_Stocks[[#This Row],[Fecha]]),DAY(T_Stocks[[#This Row],[Fecha]]))</f>
        <v>VTSAX-44264</v>
      </c>
    </row>
    <row r="7302" spans="1:4" ht="14.65" thickBot="1" x14ac:dyDescent="0.5">
      <c r="A7302" s="17">
        <v>44265.666666666664</v>
      </c>
      <c r="B7302" s="19">
        <v>99.42</v>
      </c>
      <c r="C7302" t="s">
        <v>32</v>
      </c>
      <c r="D7302" t="str">
        <f>T_Stocks[[#This Row],[Ticker]] &amp; "-" &amp; DATE(YEAR(T_Stocks[[#This Row],[Fecha]]),MONTH(T_Stocks[[#This Row],[Fecha]]),DAY(T_Stocks[[#This Row],[Fecha]]))</f>
        <v>VTSAX-44265</v>
      </c>
    </row>
    <row r="7303" spans="1:4" ht="14.65" thickBot="1" x14ac:dyDescent="0.5">
      <c r="A7303" s="17">
        <v>44266.666666666664</v>
      </c>
      <c r="B7303" s="19">
        <v>100.74</v>
      </c>
      <c r="C7303" t="s">
        <v>32</v>
      </c>
      <c r="D7303" t="str">
        <f>T_Stocks[[#This Row],[Ticker]] &amp; "-" &amp; DATE(YEAR(T_Stocks[[#This Row],[Fecha]]),MONTH(T_Stocks[[#This Row],[Fecha]]),DAY(T_Stocks[[#This Row],[Fecha]]))</f>
        <v>VTSAX-44266</v>
      </c>
    </row>
    <row r="7304" spans="1:4" ht="14.65" thickBot="1" x14ac:dyDescent="0.5">
      <c r="A7304" s="17">
        <v>44267.666666666664</v>
      </c>
      <c r="B7304" s="19">
        <v>100.92</v>
      </c>
      <c r="C7304" t="s">
        <v>32</v>
      </c>
      <c r="D7304" t="str">
        <f>T_Stocks[[#This Row],[Ticker]] &amp; "-" &amp; DATE(YEAR(T_Stocks[[#This Row],[Fecha]]),MONTH(T_Stocks[[#This Row],[Fecha]]),DAY(T_Stocks[[#This Row],[Fecha]]))</f>
        <v>VTSAX-44267</v>
      </c>
    </row>
    <row r="7305" spans="1:4" ht="14.65" thickBot="1" x14ac:dyDescent="0.5">
      <c r="A7305" s="17">
        <v>44270.666666666664</v>
      </c>
      <c r="B7305" s="19">
        <v>101.64</v>
      </c>
      <c r="C7305" t="s">
        <v>32</v>
      </c>
      <c r="D7305" t="str">
        <f>T_Stocks[[#This Row],[Ticker]] &amp; "-" &amp; DATE(YEAR(T_Stocks[[#This Row],[Fecha]]),MONTH(T_Stocks[[#This Row],[Fecha]]),DAY(T_Stocks[[#This Row],[Fecha]]))</f>
        <v>VTSAX-44270</v>
      </c>
    </row>
    <row r="7306" spans="1:4" ht="14.65" thickBot="1" x14ac:dyDescent="0.5">
      <c r="A7306" s="17">
        <v>44271.666666666664</v>
      </c>
      <c r="B7306" s="19">
        <v>101.25</v>
      </c>
      <c r="C7306" t="s">
        <v>32</v>
      </c>
      <c r="D7306" t="str">
        <f>T_Stocks[[#This Row],[Ticker]] &amp; "-" &amp; DATE(YEAR(T_Stocks[[#This Row],[Fecha]]),MONTH(T_Stocks[[#This Row],[Fecha]]),DAY(T_Stocks[[#This Row],[Fecha]]))</f>
        <v>VTSAX-44271</v>
      </c>
    </row>
    <row r="7307" spans="1:4" ht="14.65" thickBot="1" x14ac:dyDescent="0.5">
      <c r="A7307" s="17">
        <v>44272.666666666664</v>
      </c>
      <c r="B7307" s="19">
        <v>101.59</v>
      </c>
      <c r="C7307" t="s">
        <v>32</v>
      </c>
      <c r="D7307" t="str">
        <f>T_Stocks[[#This Row],[Ticker]] &amp; "-" &amp; DATE(YEAR(T_Stocks[[#This Row],[Fecha]]),MONTH(T_Stocks[[#This Row],[Fecha]]),DAY(T_Stocks[[#This Row],[Fecha]]))</f>
        <v>VTSAX-44272</v>
      </c>
    </row>
    <row r="7308" spans="1:4" ht="14.65" thickBot="1" x14ac:dyDescent="0.5">
      <c r="A7308" s="17">
        <v>44273.666666666664</v>
      </c>
      <c r="B7308" s="19">
        <v>99.82</v>
      </c>
      <c r="C7308" t="s">
        <v>32</v>
      </c>
      <c r="D7308" t="str">
        <f>T_Stocks[[#This Row],[Ticker]] &amp; "-" &amp; DATE(YEAR(T_Stocks[[#This Row],[Fecha]]),MONTH(T_Stocks[[#This Row],[Fecha]]),DAY(T_Stocks[[#This Row],[Fecha]]))</f>
        <v>VTSAX-44273</v>
      </c>
    </row>
    <row r="7309" spans="1:4" ht="14.65" thickBot="1" x14ac:dyDescent="0.5">
      <c r="A7309" s="17">
        <v>44274.666666666664</v>
      </c>
      <c r="B7309" s="19">
        <v>99.93</v>
      </c>
      <c r="C7309" t="s">
        <v>32</v>
      </c>
      <c r="D7309" t="str">
        <f>T_Stocks[[#This Row],[Ticker]] &amp; "-" &amp; DATE(YEAR(T_Stocks[[#This Row],[Fecha]]),MONTH(T_Stocks[[#This Row],[Fecha]]),DAY(T_Stocks[[#This Row],[Fecha]]))</f>
        <v>VTSAX-44274</v>
      </c>
    </row>
    <row r="7310" spans="1:4" ht="14.65" thickBot="1" x14ac:dyDescent="0.5">
      <c r="A7310" s="17">
        <v>44277.666666666664</v>
      </c>
      <c r="B7310" s="19">
        <v>100.48</v>
      </c>
      <c r="C7310" t="s">
        <v>32</v>
      </c>
      <c r="D7310" t="str">
        <f>T_Stocks[[#This Row],[Ticker]] &amp; "-" &amp; DATE(YEAR(T_Stocks[[#This Row],[Fecha]]),MONTH(T_Stocks[[#This Row],[Fecha]]),DAY(T_Stocks[[#This Row],[Fecha]]))</f>
        <v>VTSAX-44277</v>
      </c>
    </row>
    <row r="7311" spans="1:4" ht="14.65" thickBot="1" x14ac:dyDescent="0.5">
      <c r="A7311" s="17">
        <v>44278.666666666664</v>
      </c>
      <c r="B7311" s="19">
        <v>99.37</v>
      </c>
      <c r="C7311" t="s">
        <v>32</v>
      </c>
      <c r="D7311" t="str">
        <f>T_Stocks[[#This Row],[Ticker]] &amp; "-" &amp; DATE(YEAR(T_Stocks[[#This Row],[Fecha]]),MONTH(T_Stocks[[#This Row],[Fecha]]),DAY(T_Stocks[[#This Row],[Fecha]]))</f>
        <v>VTSAX-44278</v>
      </c>
    </row>
    <row r="7312" spans="1:4" ht="14.65" thickBot="1" x14ac:dyDescent="0.5">
      <c r="A7312" s="17">
        <v>44279.666666666664</v>
      </c>
      <c r="B7312" s="19">
        <v>98.19</v>
      </c>
      <c r="C7312" t="s">
        <v>32</v>
      </c>
      <c r="D7312" t="str">
        <f>T_Stocks[[#This Row],[Ticker]] &amp; "-" &amp; DATE(YEAR(T_Stocks[[#This Row],[Fecha]]),MONTH(T_Stocks[[#This Row],[Fecha]]),DAY(T_Stocks[[#This Row],[Fecha]]))</f>
        <v>VTSAX-44279</v>
      </c>
    </row>
    <row r="7313" spans="1:4" ht="14.65" thickBot="1" x14ac:dyDescent="0.5">
      <c r="A7313" s="17">
        <v>44280.666666666664</v>
      </c>
      <c r="B7313" s="19">
        <v>98.86</v>
      </c>
      <c r="C7313" t="s">
        <v>32</v>
      </c>
      <c r="D7313" t="str">
        <f>T_Stocks[[#This Row],[Ticker]] &amp; "-" &amp; DATE(YEAR(T_Stocks[[#This Row],[Fecha]]),MONTH(T_Stocks[[#This Row],[Fecha]]),DAY(T_Stocks[[#This Row],[Fecha]]))</f>
        <v>VTSAX-44280</v>
      </c>
    </row>
    <row r="7314" spans="1:4" ht="14.65" thickBot="1" x14ac:dyDescent="0.5">
      <c r="A7314" s="17">
        <v>44281.666666666664</v>
      </c>
      <c r="B7314" s="19">
        <v>100.48</v>
      </c>
      <c r="C7314" t="s">
        <v>32</v>
      </c>
      <c r="D7314" t="str">
        <f>T_Stocks[[#This Row],[Ticker]] &amp; "-" &amp; DATE(YEAR(T_Stocks[[#This Row],[Fecha]]),MONTH(T_Stocks[[#This Row],[Fecha]]),DAY(T_Stocks[[#This Row],[Fecha]]))</f>
        <v>VTSAX-44281</v>
      </c>
    </row>
    <row r="7315" spans="1:4" ht="14.65" thickBot="1" x14ac:dyDescent="0.5">
      <c r="A7315" s="17">
        <v>44284.666666666664</v>
      </c>
      <c r="B7315" s="19">
        <v>100.02</v>
      </c>
      <c r="C7315" t="s">
        <v>32</v>
      </c>
      <c r="D7315" t="str">
        <f>T_Stocks[[#This Row],[Ticker]] &amp; "-" &amp; DATE(YEAR(T_Stocks[[#This Row],[Fecha]]),MONTH(T_Stocks[[#This Row],[Fecha]]),DAY(T_Stocks[[#This Row],[Fecha]]))</f>
        <v>VTSAX-44284</v>
      </c>
    </row>
    <row r="7316" spans="1:4" ht="14.65" thickBot="1" x14ac:dyDescent="0.5">
      <c r="A7316" s="17">
        <v>44285.666666666664</v>
      </c>
      <c r="B7316" s="19">
        <v>99.97</v>
      </c>
      <c r="C7316" t="s">
        <v>32</v>
      </c>
      <c r="D7316" t="str">
        <f>T_Stocks[[#This Row],[Ticker]] &amp; "-" &amp; DATE(YEAR(T_Stocks[[#This Row],[Fecha]]),MONTH(T_Stocks[[#This Row],[Fecha]]),DAY(T_Stocks[[#This Row],[Fecha]]))</f>
        <v>VTSAX-44285</v>
      </c>
    </row>
    <row r="7317" spans="1:4" ht="14.65" thickBot="1" x14ac:dyDescent="0.5">
      <c r="A7317" s="17">
        <v>44286.666666666664</v>
      </c>
      <c r="B7317" s="19">
        <v>100.5</v>
      </c>
      <c r="C7317" t="s">
        <v>32</v>
      </c>
      <c r="D7317" t="str">
        <f>T_Stocks[[#This Row],[Ticker]] &amp; "-" &amp; DATE(YEAR(T_Stocks[[#This Row],[Fecha]]),MONTH(T_Stocks[[#This Row],[Fecha]]),DAY(T_Stocks[[#This Row],[Fecha]]))</f>
        <v>VTSAX-44286</v>
      </c>
    </row>
    <row r="7318" spans="1:4" ht="14.65" thickBot="1" x14ac:dyDescent="0.5">
      <c r="A7318" s="17">
        <v>44287.666666666664</v>
      </c>
      <c r="B7318" s="19">
        <v>101.79</v>
      </c>
      <c r="C7318" t="s">
        <v>32</v>
      </c>
      <c r="D7318" t="str">
        <f>T_Stocks[[#This Row],[Ticker]] &amp; "-" &amp; DATE(YEAR(T_Stocks[[#This Row],[Fecha]]),MONTH(T_Stocks[[#This Row],[Fecha]]),DAY(T_Stocks[[#This Row],[Fecha]]))</f>
        <v>VTSAX-44287</v>
      </c>
    </row>
    <row r="7319" spans="1:4" ht="14.65" thickBot="1" x14ac:dyDescent="0.5">
      <c r="A7319" s="17">
        <v>44291.666666666664</v>
      </c>
      <c r="B7319" s="19">
        <v>103.06</v>
      </c>
      <c r="C7319" t="s">
        <v>32</v>
      </c>
      <c r="D7319" t="str">
        <f>T_Stocks[[#This Row],[Ticker]] &amp; "-" &amp; DATE(YEAR(T_Stocks[[#This Row],[Fecha]]),MONTH(T_Stocks[[#This Row],[Fecha]]),DAY(T_Stocks[[#This Row],[Fecha]]))</f>
        <v>VTSAX-44291</v>
      </c>
    </row>
    <row r="7320" spans="1:4" ht="14.65" thickBot="1" x14ac:dyDescent="0.5">
      <c r="A7320" s="17">
        <v>44292.666666666664</v>
      </c>
      <c r="B7320" s="19">
        <v>103.06</v>
      </c>
      <c r="C7320" t="s">
        <v>32</v>
      </c>
      <c r="D7320" t="str">
        <f>T_Stocks[[#This Row],[Ticker]] &amp; "-" &amp; DATE(YEAR(T_Stocks[[#This Row],[Fecha]]),MONTH(T_Stocks[[#This Row],[Fecha]]),DAY(T_Stocks[[#This Row],[Fecha]]))</f>
        <v>VTSAX-44292</v>
      </c>
    </row>
    <row r="7321" spans="1:4" ht="14.65" thickBot="1" x14ac:dyDescent="0.5">
      <c r="A7321" s="17">
        <v>44293.666666666664</v>
      </c>
      <c r="B7321" s="19">
        <v>103</v>
      </c>
      <c r="C7321" t="s">
        <v>32</v>
      </c>
      <c r="D7321" t="str">
        <f>T_Stocks[[#This Row],[Ticker]] &amp; "-" &amp; DATE(YEAR(T_Stocks[[#This Row],[Fecha]]),MONTH(T_Stocks[[#This Row],[Fecha]]),DAY(T_Stocks[[#This Row],[Fecha]]))</f>
        <v>VTSAX-44293</v>
      </c>
    </row>
    <row r="7322" spans="1:4" ht="14.65" thickBot="1" x14ac:dyDescent="0.5">
      <c r="A7322" s="17">
        <v>44294.666666666664</v>
      </c>
      <c r="B7322" s="19">
        <v>103.57</v>
      </c>
      <c r="C7322" t="s">
        <v>32</v>
      </c>
      <c r="D7322" t="str">
        <f>T_Stocks[[#This Row],[Ticker]] &amp; "-" &amp; DATE(YEAR(T_Stocks[[#This Row],[Fecha]]),MONTH(T_Stocks[[#This Row],[Fecha]]),DAY(T_Stocks[[#This Row],[Fecha]]))</f>
        <v>VTSAX-44294</v>
      </c>
    </row>
    <row r="7323" spans="1:4" ht="14.65" thickBot="1" x14ac:dyDescent="0.5">
      <c r="A7323" s="17">
        <v>44295.666666666664</v>
      </c>
      <c r="B7323" s="19">
        <v>104.25</v>
      </c>
      <c r="C7323" t="s">
        <v>32</v>
      </c>
      <c r="D7323" t="str">
        <f>T_Stocks[[#This Row],[Ticker]] &amp; "-" &amp; DATE(YEAR(T_Stocks[[#This Row],[Fecha]]),MONTH(T_Stocks[[#This Row],[Fecha]]),DAY(T_Stocks[[#This Row],[Fecha]]))</f>
        <v>VTSAX-44295</v>
      </c>
    </row>
    <row r="7324" spans="1:4" ht="14.65" thickBot="1" x14ac:dyDescent="0.5">
      <c r="A7324" s="17">
        <v>44298.666666666664</v>
      </c>
      <c r="B7324" s="19">
        <v>104.23</v>
      </c>
      <c r="C7324" t="s">
        <v>32</v>
      </c>
      <c r="D7324" t="str">
        <f>T_Stocks[[#This Row],[Ticker]] &amp; "-" &amp; DATE(YEAR(T_Stocks[[#This Row],[Fecha]]),MONTH(T_Stocks[[#This Row],[Fecha]]),DAY(T_Stocks[[#This Row],[Fecha]]))</f>
        <v>VTSAX-44298</v>
      </c>
    </row>
    <row r="7325" spans="1:4" ht="14.65" thickBot="1" x14ac:dyDescent="0.5">
      <c r="A7325" s="17">
        <v>44299.666666666664</v>
      </c>
      <c r="B7325" s="19">
        <v>104.61</v>
      </c>
      <c r="C7325" t="s">
        <v>32</v>
      </c>
      <c r="D7325" t="str">
        <f>T_Stocks[[#This Row],[Ticker]] &amp; "-" &amp; DATE(YEAR(T_Stocks[[#This Row],[Fecha]]),MONTH(T_Stocks[[#This Row],[Fecha]]),DAY(T_Stocks[[#This Row],[Fecha]]))</f>
        <v>VTSAX-44299</v>
      </c>
    </row>
    <row r="7326" spans="1:4" ht="14.65" thickBot="1" x14ac:dyDescent="0.5">
      <c r="A7326" s="17">
        <v>44300.666666666664</v>
      </c>
      <c r="B7326" s="19">
        <v>104.28</v>
      </c>
      <c r="C7326" t="s">
        <v>32</v>
      </c>
      <c r="D7326" t="str">
        <f>T_Stocks[[#This Row],[Ticker]] &amp; "-" &amp; DATE(YEAR(T_Stocks[[#This Row],[Fecha]]),MONTH(T_Stocks[[#This Row],[Fecha]]),DAY(T_Stocks[[#This Row],[Fecha]]))</f>
        <v>VTSAX-44300</v>
      </c>
    </row>
    <row r="7327" spans="1:4" ht="14.65" thickBot="1" x14ac:dyDescent="0.5">
      <c r="A7327" s="17">
        <v>44301.666666666664</v>
      </c>
      <c r="B7327" s="19">
        <v>105.4</v>
      </c>
      <c r="C7327" t="s">
        <v>32</v>
      </c>
      <c r="D7327" t="str">
        <f>T_Stocks[[#This Row],[Ticker]] &amp; "-" &amp; DATE(YEAR(T_Stocks[[#This Row],[Fecha]]),MONTH(T_Stocks[[#This Row],[Fecha]]),DAY(T_Stocks[[#This Row],[Fecha]]))</f>
        <v>VTSAX-44301</v>
      </c>
    </row>
    <row r="7328" spans="1:4" ht="14.65" thickBot="1" x14ac:dyDescent="0.5">
      <c r="A7328" s="17">
        <v>44302.666666666664</v>
      </c>
      <c r="B7328" s="19">
        <v>105.7</v>
      </c>
      <c r="C7328" t="s">
        <v>32</v>
      </c>
      <c r="D7328" t="str">
        <f>T_Stocks[[#This Row],[Ticker]] &amp; "-" &amp; DATE(YEAR(T_Stocks[[#This Row],[Fecha]]),MONTH(T_Stocks[[#This Row],[Fecha]]),DAY(T_Stocks[[#This Row],[Fecha]]))</f>
        <v>VTSAX-44302</v>
      </c>
    </row>
    <row r="7329" spans="1:4" ht="14.65" thickBot="1" x14ac:dyDescent="0.5">
      <c r="A7329" s="17">
        <v>44305.666666666664</v>
      </c>
      <c r="B7329" s="19">
        <v>105</v>
      </c>
      <c r="C7329" t="s">
        <v>32</v>
      </c>
      <c r="D7329" t="str">
        <f>T_Stocks[[#This Row],[Ticker]] &amp; "-" &amp; DATE(YEAR(T_Stocks[[#This Row],[Fecha]]),MONTH(T_Stocks[[#This Row],[Fecha]]),DAY(T_Stocks[[#This Row],[Fecha]]))</f>
        <v>VTSAX-44305</v>
      </c>
    </row>
    <row r="7330" spans="1:4" ht="14.65" thickBot="1" x14ac:dyDescent="0.5">
      <c r="A7330" s="17">
        <v>44306.666666666664</v>
      </c>
      <c r="B7330" s="19">
        <v>104.13</v>
      </c>
      <c r="C7330" t="s">
        <v>32</v>
      </c>
      <c r="D7330" t="str">
        <f>T_Stocks[[#This Row],[Ticker]] &amp; "-" &amp; DATE(YEAR(T_Stocks[[#This Row],[Fecha]]),MONTH(T_Stocks[[#This Row],[Fecha]]),DAY(T_Stocks[[#This Row],[Fecha]]))</f>
        <v>VTSAX-44306</v>
      </c>
    </row>
    <row r="7331" spans="1:4" ht="14.65" thickBot="1" x14ac:dyDescent="0.5">
      <c r="A7331" s="17">
        <v>44307.666666666664</v>
      </c>
      <c r="B7331" s="19">
        <v>105.26</v>
      </c>
      <c r="C7331" t="s">
        <v>32</v>
      </c>
      <c r="D7331" t="str">
        <f>T_Stocks[[#This Row],[Ticker]] &amp; "-" &amp; DATE(YEAR(T_Stocks[[#This Row],[Fecha]]),MONTH(T_Stocks[[#This Row],[Fecha]]),DAY(T_Stocks[[#This Row],[Fecha]]))</f>
        <v>VTSAX-44307</v>
      </c>
    </row>
    <row r="7332" spans="1:4" ht="14.65" thickBot="1" x14ac:dyDescent="0.5">
      <c r="A7332" s="17">
        <v>44308.666666666664</v>
      </c>
      <c r="B7332" s="19">
        <v>104.44</v>
      </c>
      <c r="C7332" t="s">
        <v>32</v>
      </c>
      <c r="D7332" t="str">
        <f>T_Stocks[[#This Row],[Ticker]] &amp; "-" &amp; DATE(YEAR(T_Stocks[[#This Row],[Fecha]]),MONTH(T_Stocks[[#This Row],[Fecha]]),DAY(T_Stocks[[#This Row],[Fecha]]))</f>
        <v>VTSAX-44308</v>
      </c>
    </row>
    <row r="7333" spans="1:4" ht="14.65" thickBot="1" x14ac:dyDescent="0.5">
      <c r="A7333" s="17">
        <v>44309.666666666664</v>
      </c>
      <c r="B7333" s="19">
        <v>105.71</v>
      </c>
      <c r="C7333" t="s">
        <v>32</v>
      </c>
      <c r="D7333" t="str">
        <f>T_Stocks[[#This Row],[Ticker]] &amp; "-" &amp; DATE(YEAR(T_Stocks[[#This Row],[Fecha]]),MONTH(T_Stocks[[#This Row],[Fecha]]),DAY(T_Stocks[[#This Row],[Fecha]]))</f>
        <v>VTSAX-44309</v>
      </c>
    </row>
    <row r="7334" spans="1:4" ht="14.65" thickBot="1" x14ac:dyDescent="0.5">
      <c r="A7334" s="17">
        <v>44312.666666666664</v>
      </c>
      <c r="B7334" s="19">
        <v>106.09</v>
      </c>
      <c r="C7334" t="s">
        <v>32</v>
      </c>
      <c r="D7334" t="str">
        <f>T_Stocks[[#This Row],[Ticker]] &amp; "-" &amp; DATE(YEAR(T_Stocks[[#This Row],[Fecha]]),MONTH(T_Stocks[[#This Row],[Fecha]]),DAY(T_Stocks[[#This Row],[Fecha]]))</f>
        <v>VTSAX-44312</v>
      </c>
    </row>
    <row r="7335" spans="1:4" ht="14.65" thickBot="1" x14ac:dyDescent="0.5">
      <c r="A7335" s="17">
        <v>44313.666666666664</v>
      </c>
      <c r="B7335" s="19">
        <v>106.08</v>
      </c>
      <c r="C7335" t="s">
        <v>32</v>
      </c>
      <c r="D7335" t="str">
        <f>T_Stocks[[#This Row],[Ticker]] &amp; "-" &amp; DATE(YEAR(T_Stocks[[#This Row],[Fecha]]),MONTH(T_Stocks[[#This Row],[Fecha]]),DAY(T_Stocks[[#This Row],[Fecha]]))</f>
        <v>VTSAX-44313</v>
      </c>
    </row>
    <row r="7336" spans="1:4" ht="14.65" thickBot="1" x14ac:dyDescent="0.5">
      <c r="A7336" s="17">
        <v>44314.666666666664</v>
      </c>
      <c r="B7336" s="19">
        <v>106</v>
      </c>
      <c r="C7336" t="s">
        <v>32</v>
      </c>
      <c r="D7336" t="str">
        <f>T_Stocks[[#This Row],[Ticker]] &amp; "-" &amp; DATE(YEAR(T_Stocks[[#This Row],[Fecha]]),MONTH(T_Stocks[[#This Row],[Fecha]]),DAY(T_Stocks[[#This Row],[Fecha]]))</f>
        <v>VTSAX-44314</v>
      </c>
    </row>
    <row r="7337" spans="1:4" ht="14.65" thickBot="1" x14ac:dyDescent="0.5">
      <c r="A7337" s="17">
        <v>44315.666666666664</v>
      </c>
      <c r="B7337" s="19">
        <v>106.49</v>
      </c>
      <c r="C7337" t="s">
        <v>32</v>
      </c>
      <c r="D7337" t="str">
        <f>T_Stocks[[#This Row],[Ticker]] &amp; "-" &amp; DATE(YEAR(T_Stocks[[#This Row],[Fecha]]),MONTH(T_Stocks[[#This Row],[Fecha]]),DAY(T_Stocks[[#This Row],[Fecha]]))</f>
        <v>VTSAX-44315</v>
      </c>
    </row>
    <row r="7338" spans="1:4" ht="14.65" thickBot="1" x14ac:dyDescent="0.5">
      <c r="A7338" s="17">
        <v>44316.666666666664</v>
      </c>
      <c r="B7338" s="19">
        <v>105.66</v>
      </c>
      <c r="C7338" t="s">
        <v>32</v>
      </c>
      <c r="D7338" t="str">
        <f>T_Stocks[[#This Row],[Ticker]] &amp; "-" &amp; DATE(YEAR(T_Stocks[[#This Row],[Fecha]]),MONTH(T_Stocks[[#This Row],[Fecha]]),DAY(T_Stocks[[#This Row],[Fecha]]))</f>
        <v>VTSAX-44316</v>
      </c>
    </row>
    <row r="7339" spans="1:4" ht="14.65" thickBot="1" x14ac:dyDescent="0.5">
      <c r="A7339" s="17">
        <v>44319.666666666664</v>
      </c>
      <c r="B7339" s="19">
        <v>105.87</v>
      </c>
      <c r="C7339" t="s">
        <v>32</v>
      </c>
      <c r="D7339" t="str">
        <f>T_Stocks[[#This Row],[Ticker]] &amp; "-" &amp; DATE(YEAR(T_Stocks[[#This Row],[Fecha]]),MONTH(T_Stocks[[#This Row],[Fecha]]),DAY(T_Stocks[[#This Row],[Fecha]]))</f>
        <v>VTSAX-44319</v>
      </c>
    </row>
    <row r="7340" spans="1:4" ht="14.65" thickBot="1" x14ac:dyDescent="0.5">
      <c r="A7340" s="17">
        <v>44320.666666666664</v>
      </c>
      <c r="B7340" s="19">
        <v>105.02</v>
      </c>
      <c r="C7340" t="s">
        <v>32</v>
      </c>
      <c r="D7340" t="str">
        <f>T_Stocks[[#This Row],[Ticker]] &amp; "-" &amp; DATE(YEAR(T_Stocks[[#This Row],[Fecha]]),MONTH(T_Stocks[[#This Row],[Fecha]]),DAY(T_Stocks[[#This Row],[Fecha]]))</f>
        <v>VTSAX-44320</v>
      </c>
    </row>
    <row r="7341" spans="1:4" ht="14.65" thickBot="1" x14ac:dyDescent="0.5">
      <c r="A7341" s="17">
        <v>44321.666666666664</v>
      </c>
      <c r="B7341" s="19">
        <v>104.96</v>
      </c>
      <c r="C7341" t="s">
        <v>32</v>
      </c>
      <c r="D7341" t="str">
        <f>T_Stocks[[#This Row],[Ticker]] &amp; "-" &amp; DATE(YEAR(T_Stocks[[#This Row],[Fecha]]),MONTH(T_Stocks[[#This Row],[Fecha]]),DAY(T_Stocks[[#This Row],[Fecha]]))</f>
        <v>VTSAX-44321</v>
      </c>
    </row>
    <row r="7342" spans="1:4" ht="14.65" thickBot="1" x14ac:dyDescent="0.5">
      <c r="A7342" s="17">
        <v>44322.666666666664</v>
      </c>
      <c r="B7342" s="19">
        <v>105.56</v>
      </c>
      <c r="C7342" t="s">
        <v>32</v>
      </c>
      <c r="D7342" t="str">
        <f>T_Stocks[[#This Row],[Ticker]] &amp; "-" &amp; DATE(YEAR(T_Stocks[[#This Row],[Fecha]]),MONTH(T_Stocks[[#This Row],[Fecha]]),DAY(T_Stocks[[#This Row],[Fecha]]))</f>
        <v>VTSAX-44322</v>
      </c>
    </row>
    <row r="7343" spans="1:4" ht="14.65" thickBot="1" x14ac:dyDescent="0.5">
      <c r="A7343" s="17">
        <v>44323.666666666664</v>
      </c>
      <c r="B7343" s="19">
        <v>106.46</v>
      </c>
      <c r="C7343" t="s">
        <v>32</v>
      </c>
      <c r="D7343" t="str">
        <f>T_Stocks[[#This Row],[Ticker]] &amp; "-" &amp; DATE(YEAR(T_Stocks[[#This Row],[Fecha]]),MONTH(T_Stocks[[#This Row],[Fecha]]),DAY(T_Stocks[[#This Row],[Fecha]]))</f>
        <v>VTSAX-44323</v>
      </c>
    </row>
    <row r="7344" spans="1:4" ht="14.65" thickBot="1" x14ac:dyDescent="0.5">
      <c r="A7344" s="17">
        <v>44326.666666666664</v>
      </c>
      <c r="B7344" s="19">
        <v>105.16</v>
      </c>
      <c r="C7344" t="s">
        <v>32</v>
      </c>
      <c r="D7344" t="str">
        <f>T_Stocks[[#This Row],[Ticker]] &amp; "-" &amp; DATE(YEAR(T_Stocks[[#This Row],[Fecha]]),MONTH(T_Stocks[[#This Row],[Fecha]]),DAY(T_Stocks[[#This Row],[Fecha]]))</f>
        <v>VTSAX-44326</v>
      </c>
    </row>
    <row r="7345" spans="1:4" ht="14.65" thickBot="1" x14ac:dyDescent="0.5">
      <c r="A7345" s="17">
        <v>44327.666666666664</v>
      </c>
      <c r="B7345" s="19">
        <v>104.4</v>
      </c>
      <c r="C7345" t="s">
        <v>32</v>
      </c>
      <c r="D7345" t="str">
        <f>T_Stocks[[#This Row],[Ticker]] &amp; "-" &amp; DATE(YEAR(T_Stocks[[#This Row],[Fecha]]),MONTH(T_Stocks[[#This Row],[Fecha]]),DAY(T_Stocks[[#This Row],[Fecha]]))</f>
        <v>VTSAX-44327</v>
      </c>
    </row>
    <row r="7346" spans="1:4" ht="14.65" thickBot="1" x14ac:dyDescent="0.5">
      <c r="A7346" s="17">
        <v>44328.666666666664</v>
      </c>
      <c r="B7346" s="19">
        <v>101.98</v>
      </c>
      <c r="C7346" t="s">
        <v>32</v>
      </c>
      <c r="D7346" t="str">
        <f>T_Stocks[[#This Row],[Ticker]] &amp; "-" &amp; DATE(YEAR(T_Stocks[[#This Row],[Fecha]]),MONTH(T_Stocks[[#This Row],[Fecha]]),DAY(T_Stocks[[#This Row],[Fecha]]))</f>
        <v>VTSAX-44328</v>
      </c>
    </row>
    <row r="7347" spans="1:4" ht="14.65" thickBot="1" x14ac:dyDescent="0.5">
      <c r="A7347" s="17">
        <v>44329.666666666664</v>
      </c>
      <c r="B7347" s="19">
        <v>103.16</v>
      </c>
      <c r="C7347" t="s">
        <v>32</v>
      </c>
      <c r="D7347" t="str">
        <f>T_Stocks[[#This Row],[Ticker]] &amp; "-" &amp; DATE(YEAR(T_Stocks[[#This Row],[Fecha]]),MONTH(T_Stocks[[#This Row],[Fecha]]),DAY(T_Stocks[[#This Row],[Fecha]]))</f>
        <v>VTSAX-44329</v>
      </c>
    </row>
    <row r="7348" spans="1:4" ht="14.65" thickBot="1" x14ac:dyDescent="0.5">
      <c r="A7348" s="17">
        <v>44330.666666666664</v>
      </c>
      <c r="B7348" s="19">
        <v>104.89</v>
      </c>
      <c r="C7348" t="s">
        <v>32</v>
      </c>
      <c r="D7348" t="str">
        <f>T_Stocks[[#This Row],[Ticker]] &amp; "-" &amp; DATE(YEAR(T_Stocks[[#This Row],[Fecha]]),MONTH(T_Stocks[[#This Row],[Fecha]]),DAY(T_Stocks[[#This Row],[Fecha]]))</f>
        <v>VTSAX-44330</v>
      </c>
    </row>
    <row r="7349" spans="1:4" ht="14.65" thickBot="1" x14ac:dyDescent="0.5">
      <c r="A7349" s="17">
        <v>44333.666666666664</v>
      </c>
      <c r="B7349" s="19">
        <v>104.65</v>
      </c>
      <c r="C7349" t="s">
        <v>32</v>
      </c>
      <c r="D7349" t="str">
        <f>T_Stocks[[#This Row],[Ticker]] &amp; "-" &amp; DATE(YEAR(T_Stocks[[#This Row],[Fecha]]),MONTH(T_Stocks[[#This Row],[Fecha]]),DAY(T_Stocks[[#This Row],[Fecha]]))</f>
        <v>VTSAX-44333</v>
      </c>
    </row>
    <row r="7350" spans="1:4" ht="14.65" thickBot="1" x14ac:dyDescent="0.5">
      <c r="A7350" s="17">
        <v>44334.666666666664</v>
      </c>
      <c r="B7350" s="19">
        <v>103.87</v>
      </c>
      <c r="C7350" t="s">
        <v>32</v>
      </c>
      <c r="D7350" t="str">
        <f>T_Stocks[[#This Row],[Ticker]] &amp; "-" &amp; DATE(YEAR(T_Stocks[[#This Row],[Fecha]]),MONTH(T_Stocks[[#This Row],[Fecha]]),DAY(T_Stocks[[#This Row],[Fecha]]))</f>
        <v>VTSAX-44334</v>
      </c>
    </row>
    <row r="7351" spans="1:4" ht="14.65" thickBot="1" x14ac:dyDescent="0.5">
      <c r="A7351" s="17">
        <v>44335.666666666664</v>
      </c>
      <c r="B7351" s="19">
        <v>103.52</v>
      </c>
      <c r="C7351" t="s">
        <v>32</v>
      </c>
      <c r="D7351" t="str">
        <f>T_Stocks[[#This Row],[Ticker]] &amp; "-" &amp; DATE(YEAR(T_Stocks[[#This Row],[Fecha]]),MONTH(T_Stocks[[#This Row],[Fecha]]),DAY(T_Stocks[[#This Row],[Fecha]]))</f>
        <v>VTSAX-44335</v>
      </c>
    </row>
    <row r="7352" spans="1:4" ht="14.65" thickBot="1" x14ac:dyDescent="0.5">
      <c r="A7352" s="17">
        <v>44336.666666666664</v>
      </c>
      <c r="B7352" s="19">
        <v>104.66</v>
      </c>
      <c r="C7352" t="s">
        <v>32</v>
      </c>
      <c r="D7352" t="str">
        <f>T_Stocks[[#This Row],[Ticker]] &amp; "-" &amp; DATE(YEAR(T_Stocks[[#This Row],[Fecha]]),MONTH(T_Stocks[[#This Row],[Fecha]]),DAY(T_Stocks[[#This Row],[Fecha]]))</f>
        <v>VTSAX-44336</v>
      </c>
    </row>
    <row r="7353" spans="1:4" ht="14.65" thickBot="1" x14ac:dyDescent="0.5">
      <c r="A7353" s="17">
        <v>44337.666666666664</v>
      </c>
      <c r="B7353" s="19">
        <v>104.62</v>
      </c>
      <c r="C7353" t="s">
        <v>32</v>
      </c>
      <c r="D7353" t="str">
        <f>T_Stocks[[#This Row],[Ticker]] &amp; "-" &amp; DATE(YEAR(T_Stocks[[#This Row],[Fecha]]),MONTH(T_Stocks[[#This Row],[Fecha]]),DAY(T_Stocks[[#This Row],[Fecha]]))</f>
        <v>VTSAX-44337</v>
      </c>
    </row>
    <row r="7354" spans="1:4" ht="14.65" thickBot="1" x14ac:dyDescent="0.5">
      <c r="A7354" s="17">
        <v>44340.666666666664</v>
      </c>
      <c r="B7354" s="19">
        <v>105.64</v>
      </c>
      <c r="C7354" t="s">
        <v>32</v>
      </c>
      <c r="D7354" t="str">
        <f>T_Stocks[[#This Row],[Ticker]] &amp; "-" &amp; DATE(YEAR(T_Stocks[[#This Row],[Fecha]]),MONTH(T_Stocks[[#This Row],[Fecha]]),DAY(T_Stocks[[#This Row],[Fecha]]))</f>
        <v>VTSAX-44340</v>
      </c>
    </row>
    <row r="7355" spans="1:4" ht="14.65" thickBot="1" x14ac:dyDescent="0.5">
      <c r="A7355" s="17">
        <v>44341.666666666664</v>
      </c>
      <c r="B7355" s="19">
        <v>105.35</v>
      </c>
      <c r="C7355" t="s">
        <v>32</v>
      </c>
      <c r="D7355" t="str">
        <f>T_Stocks[[#This Row],[Ticker]] &amp; "-" &amp; DATE(YEAR(T_Stocks[[#This Row],[Fecha]]),MONTH(T_Stocks[[#This Row],[Fecha]]),DAY(T_Stocks[[#This Row],[Fecha]]))</f>
        <v>VTSAX-44341</v>
      </c>
    </row>
    <row r="7356" spans="1:4" ht="14.65" thickBot="1" x14ac:dyDescent="0.5">
      <c r="A7356" s="17">
        <v>44342.666666666664</v>
      </c>
      <c r="B7356" s="19">
        <v>105.77</v>
      </c>
      <c r="C7356" t="s">
        <v>32</v>
      </c>
      <c r="D7356" t="str">
        <f>T_Stocks[[#This Row],[Ticker]] &amp; "-" &amp; DATE(YEAR(T_Stocks[[#This Row],[Fecha]]),MONTH(T_Stocks[[#This Row],[Fecha]]),DAY(T_Stocks[[#This Row],[Fecha]]))</f>
        <v>VTSAX-44342</v>
      </c>
    </row>
    <row r="7357" spans="1:4" ht="14.65" thickBot="1" x14ac:dyDescent="0.5">
      <c r="A7357" s="17">
        <v>44343.666666666664</v>
      </c>
      <c r="B7357" s="19">
        <v>106.03</v>
      </c>
      <c r="C7357" t="s">
        <v>32</v>
      </c>
      <c r="D7357" t="str">
        <f>T_Stocks[[#This Row],[Ticker]] &amp; "-" &amp; DATE(YEAR(T_Stocks[[#This Row],[Fecha]]),MONTH(T_Stocks[[#This Row],[Fecha]]),DAY(T_Stocks[[#This Row],[Fecha]]))</f>
        <v>VTSAX-44343</v>
      </c>
    </row>
    <row r="7358" spans="1:4" ht="14.65" thickBot="1" x14ac:dyDescent="0.5">
      <c r="A7358" s="17">
        <v>44344.666666666664</v>
      </c>
      <c r="B7358" s="19">
        <v>106.12</v>
      </c>
      <c r="C7358" t="s">
        <v>32</v>
      </c>
      <c r="D7358" t="str">
        <f>T_Stocks[[#This Row],[Ticker]] &amp; "-" &amp; DATE(YEAR(T_Stocks[[#This Row],[Fecha]]),MONTH(T_Stocks[[#This Row],[Fecha]]),DAY(T_Stocks[[#This Row],[Fecha]]))</f>
        <v>VTSAX-44344</v>
      </c>
    </row>
    <row r="7359" spans="1:4" ht="14.65" thickBot="1" x14ac:dyDescent="0.5">
      <c r="A7359" s="17">
        <v>44348.666666666664</v>
      </c>
      <c r="B7359" s="19">
        <v>106.19</v>
      </c>
      <c r="C7359" t="s">
        <v>32</v>
      </c>
      <c r="D7359" t="str">
        <f>T_Stocks[[#This Row],[Ticker]] &amp; "-" &amp; DATE(YEAR(T_Stocks[[#This Row],[Fecha]]),MONTH(T_Stocks[[#This Row],[Fecha]]),DAY(T_Stocks[[#This Row],[Fecha]]))</f>
        <v>VTSAX-44348</v>
      </c>
    </row>
    <row r="7360" spans="1:4" ht="14.65" thickBot="1" x14ac:dyDescent="0.5">
      <c r="A7360" s="17">
        <v>44349.666666666664</v>
      </c>
      <c r="B7360" s="19">
        <v>106.33</v>
      </c>
      <c r="C7360" t="s">
        <v>32</v>
      </c>
      <c r="D7360" t="str">
        <f>T_Stocks[[#This Row],[Ticker]] &amp; "-" &amp; DATE(YEAR(T_Stocks[[#This Row],[Fecha]]),MONTH(T_Stocks[[#This Row],[Fecha]]),DAY(T_Stocks[[#This Row],[Fecha]]))</f>
        <v>VTSAX-44349</v>
      </c>
    </row>
    <row r="7361" spans="1:4" ht="14.65" thickBot="1" x14ac:dyDescent="0.5">
      <c r="A7361" s="17">
        <v>44350.666666666664</v>
      </c>
      <c r="B7361" s="19">
        <v>105.84</v>
      </c>
      <c r="C7361" t="s">
        <v>32</v>
      </c>
      <c r="D7361" t="str">
        <f>T_Stocks[[#This Row],[Ticker]] &amp; "-" &amp; DATE(YEAR(T_Stocks[[#This Row],[Fecha]]),MONTH(T_Stocks[[#This Row],[Fecha]]),DAY(T_Stocks[[#This Row],[Fecha]]))</f>
        <v>VTSAX-44350</v>
      </c>
    </row>
    <row r="7362" spans="1:4" ht="14.65" thickBot="1" x14ac:dyDescent="0.5">
      <c r="A7362" s="17">
        <v>44351.666666666664</v>
      </c>
      <c r="B7362" s="19">
        <v>106.74</v>
      </c>
      <c r="C7362" t="s">
        <v>32</v>
      </c>
      <c r="D7362" t="str">
        <f>T_Stocks[[#This Row],[Ticker]] &amp; "-" &amp; DATE(YEAR(T_Stocks[[#This Row],[Fecha]]),MONTH(T_Stocks[[#This Row],[Fecha]]),DAY(T_Stocks[[#This Row],[Fecha]]))</f>
        <v>VTSAX-44351</v>
      </c>
    </row>
    <row r="7363" spans="1:4" ht="14.65" thickBot="1" x14ac:dyDescent="0.5">
      <c r="A7363" s="17">
        <v>44354.666666666664</v>
      </c>
      <c r="B7363" s="19">
        <v>106.88</v>
      </c>
      <c r="C7363" t="s">
        <v>32</v>
      </c>
      <c r="D7363" t="str">
        <f>T_Stocks[[#This Row],[Ticker]] &amp; "-" &amp; DATE(YEAR(T_Stocks[[#This Row],[Fecha]]),MONTH(T_Stocks[[#This Row],[Fecha]]),DAY(T_Stocks[[#This Row],[Fecha]]))</f>
        <v>VTSAX-44354</v>
      </c>
    </row>
    <row r="7364" spans="1:4" ht="14.65" thickBot="1" x14ac:dyDescent="0.5">
      <c r="A7364" s="17">
        <v>44355.666666666664</v>
      </c>
      <c r="B7364" s="19">
        <v>107.06</v>
      </c>
      <c r="C7364" t="s">
        <v>32</v>
      </c>
      <c r="D7364" t="str">
        <f>T_Stocks[[#This Row],[Ticker]] &amp; "-" &amp; DATE(YEAR(T_Stocks[[#This Row],[Fecha]]),MONTH(T_Stocks[[#This Row],[Fecha]]),DAY(T_Stocks[[#This Row],[Fecha]]))</f>
        <v>VTSAX-44355</v>
      </c>
    </row>
    <row r="7365" spans="1:4" ht="14.65" thickBot="1" x14ac:dyDescent="0.5">
      <c r="A7365" s="17">
        <v>44356.666666666664</v>
      </c>
      <c r="B7365" s="19">
        <v>106.78</v>
      </c>
      <c r="C7365" t="s">
        <v>32</v>
      </c>
      <c r="D7365" t="str">
        <f>T_Stocks[[#This Row],[Ticker]] &amp; "-" &amp; DATE(YEAR(T_Stocks[[#This Row],[Fecha]]),MONTH(T_Stocks[[#This Row],[Fecha]]),DAY(T_Stocks[[#This Row],[Fecha]]))</f>
        <v>VTSAX-44356</v>
      </c>
    </row>
    <row r="7366" spans="1:4" ht="14.65" thickBot="1" x14ac:dyDescent="0.5">
      <c r="A7366" s="17">
        <v>44357.666666666664</v>
      </c>
      <c r="B7366" s="19">
        <v>107.22</v>
      </c>
      <c r="C7366" t="s">
        <v>32</v>
      </c>
      <c r="D7366" t="str">
        <f>T_Stocks[[#This Row],[Ticker]] &amp; "-" &amp; DATE(YEAR(T_Stocks[[#This Row],[Fecha]]),MONTH(T_Stocks[[#This Row],[Fecha]]),DAY(T_Stocks[[#This Row],[Fecha]]))</f>
        <v>VTSAX-44357</v>
      </c>
    </row>
    <row r="7367" spans="1:4" ht="14.65" thickBot="1" x14ac:dyDescent="0.5">
      <c r="A7367" s="17">
        <v>44358.666666666664</v>
      </c>
      <c r="B7367" s="19">
        <v>107.57</v>
      </c>
      <c r="C7367" t="s">
        <v>32</v>
      </c>
      <c r="D7367" t="str">
        <f>T_Stocks[[#This Row],[Ticker]] &amp; "-" &amp; DATE(YEAR(T_Stocks[[#This Row],[Fecha]]),MONTH(T_Stocks[[#This Row],[Fecha]]),DAY(T_Stocks[[#This Row],[Fecha]]))</f>
        <v>VTSAX-44358</v>
      </c>
    </row>
    <row r="7368" spans="1:4" ht="14.65" thickBot="1" x14ac:dyDescent="0.5">
      <c r="A7368" s="17">
        <v>44361.666666666664</v>
      </c>
      <c r="B7368" s="19">
        <v>107.72</v>
      </c>
      <c r="C7368" t="s">
        <v>32</v>
      </c>
      <c r="D7368" t="str">
        <f>T_Stocks[[#This Row],[Ticker]] &amp; "-" &amp; DATE(YEAR(T_Stocks[[#This Row],[Fecha]]),MONTH(T_Stocks[[#This Row],[Fecha]]),DAY(T_Stocks[[#This Row],[Fecha]]))</f>
        <v>VTSAX-44361</v>
      </c>
    </row>
    <row r="7369" spans="1:4" ht="14.65" thickBot="1" x14ac:dyDescent="0.5">
      <c r="A7369" s="17">
        <v>44362.666666666664</v>
      </c>
      <c r="B7369" s="19">
        <v>107.42</v>
      </c>
      <c r="C7369" t="s">
        <v>32</v>
      </c>
      <c r="D7369" t="str">
        <f>T_Stocks[[#This Row],[Ticker]] &amp; "-" &amp; DATE(YEAR(T_Stocks[[#This Row],[Fecha]]),MONTH(T_Stocks[[#This Row],[Fecha]]),DAY(T_Stocks[[#This Row],[Fecha]]))</f>
        <v>VTSAX-44362</v>
      </c>
    </row>
    <row r="7370" spans="1:4" ht="14.65" thickBot="1" x14ac:dyDescent="0.5">
      <c r="A7370" s="17">
        <v>44363.666666666664</v>
      </c>
      <c r="B7370" s="19">
        <v>106.9</v>
      </c>
      <c r="C7370" t="s">
        <v>32</v>
      </c>
      <c r="D7370" t="str">
        <f>T_Stocks[[#This Row],[Ticker]] &amp; "-" &amp; DATE(YEAR(T_Stocks[[#This Row],[Fecha]]),MONTH(T_Stocks[[#This Row],[Fecha]]),DAY(T_Stocks[[#This Row],[Fecha]]))</f>
        <v>VTSAX-44363</v>
      </c>
    </row>
    <row r="7371" spans="1:4" ht="14.65" thickBot="1" x14ac:dyDescent="0.5">
      <c r="A7371" s="17">
        <v>44364.666666666664</v>
      </c>
      <c r="B7371" s="19">
        <v>106.82</v>
      </c>
      <c r="C7371" t="s">
        <v>32</v>
      </c>
      <c r="D7371" t="str">
        <f>T_Stocks[[#This Row],[Ticker]] &amp; "-" &amp; DATE(YEAR(T_Stocks[[#This Row],[Fecha]]),MONTH(T_Stocks[[#This Row],[Fecha]]),DAY(T_Stocks[[#This Row],[Fecha]]))</f>
        <v>VTSAX-44364</v>
      </c>
    </row>
    <row r="7372" spans="1:4" ht="14.65" thickBot="1" x14ac:dyDescent="0.5">
      <c r="A7372" s="17">
        <v>44365.666666666664</v>
      </c>
      <c r="B7372" s="19">
        <v>105.44</v>
      </c>
      <c r="C7372" t="s">
        <v>32</v>
      </c>
      <c r="D7372" t="str">
        <f>T_Stocks[[#This Row],[Ticker]] &amp; "-" &amp; DATE(YEAR(T_Stocks[[#This Row],[Fecha]]),MONTH(T_Stocks[[#This Row],[Fecha]]),DAY(T_Stocks[[#This Row],[Fecha]]))</f>
        <v>VTSAX-44365</v>
      </c>
    </row>
    <row r="7373" spans="1:4" ht="14.65" thickBot="1" x14ac:dyDescent="0.5">
      <c r="A7373" s="17">
        <v>44368.666666666664</v>
      </c>
      <c r="B7373" s="19">
        <v>106.94</v>
      </c>
      <c r="C7373" t="s">
        <v>32</v>
      </c>
      <c r="D7373" t="str">
        <f>T_Stocks[[#This Row],[Ticker]] &amp; "-" &amp; DATE(YEAR(T_Stocks[[#This Row],[Fecha]]),MONTH(T_Stocks[[#This Row],[Fecha]]),DAY(T_Stocks[[#This Row],[Fecha]]))</f>
        <v>VTSAX-44368</v>
      </c>
    </row>
    <row r="7374" spans="1:4" ht="14.65" thickBot="1" x14ac:dyDescent="0.5">
      <c r="A7374" s="17">
        <v>44369.666666666664</v>
      </c>
      <c r="B7374" s="19">
        <v>107.51</v>
      </c>
      <c r="C7374" t="s">
        <v>32</v>
      </c>
      <c r="D7374" t="str">
        <f>T_Stocks[[#This Row],[Ticker]] &amp; "-" &amp; DATE(YEAR(T_Stocks[[#This Row],[Fecha]]),MONTH(T_Stocks[[#This Row],[Fecha]]),DAY(T_Stocks[[#This Row],[Fecha]]))</f>
        <v>VTSAX-44369</v>
      </c>
    </row>
    <row r="7375" spans="1:4" ht="14.65" thickBot="1" x14ac:dyDescent="0.5">
      <c r="A7375" s="17">
        <v>44370.666666666664</v>
      </c>
      <c r="B7375" s="19">
        <v>107.16</v>
      </c>
      <c r="C7375" t="s">
        <v>32</v>
      </c>
      <c r="D7375" t="str">
        <f>T_Stocks[[#This Row],[Ticker]] &amp; "-" &amp; DATE(YEAR(T_Stocks[[#This Row],[Fecha]]),MONTH(T_Stocks[[#This Row],[Fecha]]),DAY(T_Stocks[[#This Row],[Fecha]]))</f>
        <v>VTSAX-44370</v>
      </c>
    </row>
    <row r="7376" spans="1:4" ht="14.65" thickBot="1" x14ac:dyDescent="0.5">
      <c r="A7376" s="17">
        <v>44371.666666666664</v>
      </c>
      <c r="B7376" s="19">
        <v>107.88</v>
      </c>
      <c r="C7376" t="s">
        <v>32</v>
      </c>
      <c r="D7376" t="str">
        <f>T_Stocks[[#This Row],[Ticker]] &amp; "-" &amp; DATE(YEAR(T_Stocks[[#This Row],[Fecha]]),MONTH(T_Stocks[[#This Row],[Fecha]]),DAY(T_Stocks[[#This Row],[Fecha]]))</f>
        <v>VTSAX-44371</v>
      </c>
    </row>
    <row r="7377" spans="1:4" ht="14.65" thickBot="1" x14ac:dyDescent="0.5">
      <c r="A7377" s="17">
        <v>44372.666666666664</v>
      </c>
      <c r="B7377" s="19">
        <v>108.26</v>
      </c>
      <c r="C7377" t="s">
        <v>32</v>
      </c>
      <c r="D7377" t="str">
        <f>T_Stocks[[#This Row],[Ticker]] &amp; "-" &amp; DATE(YEAR(T_Stocks[[#This Row],[Fecha]]),MONTH(T_Stocks[[#This Row],[Fecha]]),DAY(T_Stocks[[#This Row],[Fecha]]))</f>
        <v>VTSAX-44372</v>
      </c>
    </row>
    <row r="7378" spans="1:4" ht="14.65" thickBot="1" x14ac:dyDescent="0.5">
      <c r="A7378" s="17">
        <v>44375.666666666664</v>
      </c>
      <c r="B7378" s="19">
        <v>108.43</v>
      </c>
      <c r="C7378" t="s">
        <v>32</v>
      </c>
      <c r="D7378" t="str">
        <f>T_Stocks[[#This Row],[Ticker]] &amp; "-" &amp; DATE(YEAR(T_Stocks[[#This Row],[Fecha]]),MONTH(T_Stocks[[#This Row],[Fecha]]),DAY(T_Stocks[[#This Row],[Fecha]]))</f>
        <v>VTSAX-44375</v>
      </c>
    </row>
    <row r="7379" spans="1:4" ht="14.65" thickBot="1" x14ac:dyDescent="0.5">
      <c r="A7379" s="17">
        <v>44376.666666666664</v>
      </c>
      <c r="B7379" s="19">
        <v>108.43</v>
      </c>
      <c r="C7379" t="s">
        <v>32</v>
      </c>
      <c r="D7379" t="str">
        <f>T_Stocks[[#This Row],[Ticker]] &amp; "-" &amp; DATE(YEAR(T_Stocks[[#This Row],[Fecha]]),MONTH(T_Stocks[[#This Row],[Fecha]]),DAY(T_Stocks[[#This Row],[Fecha]]))</f>
        <v>VTSAX-44376</v>
      </c>
    </row>
    <row r="7380" spans="1:4" ht="14.65" thickBot="1" x14ac:dyDescent="0.5">
      <c r="A7380" s="17">
        <v>44377.666666666664</v>
      </c>
      <c r="B7380" s="19">
        <v>108.49</v>
      </c>
      <c r="C7380" t="s">
        <v>32</v>
      </c>
      <c r="D7380" t="str">
        <f>T_Stocks[[#This Row],[Ticker]] &amp; "-" &amp; DATE(YEAR(T_Stocks[[#This Row],[Fecha]]),MONTH(T_Stocks[[#This Row],[Fecha]]),DAY(T_Stocks[[#This Row],[Fecha]]))</f>
        <v>VTSAX-44377</v>
      </c>
    </row>
    <row r="7381" spans="1:4" ht="14.65" thickBot="1" x14ac:dyDescent="0.5">
      <c r="A7381" s="17">
        <v>44378.666666666664</v>
      </c>
      <c r="B7381" s="19">
        <v>109.02</v>
      </c>
      <c r="C7381" t="s">
        <v>32</v>
      </c>
      <c r="D7381" t="str">
        <f>T_Stocks[[#This Row],[Ticker]] &amp; "-" &amp; DATE(YEAR(T_Stocks[[#This Row],[Fecha]]),MONTH(T_Stocks[[#This Row],[Fecha]]),DAY(T_Stocks[[#This Row],[Fecha]]))</f>
        <v>VTSAX-44378</v>
      </c>
    </row>
    <row r="7382" spans="1:4" ht="14.65" thickBot="1" x14ac:dyDescent="0.5">
      <c r="A7382" s="17">
        <v>44379.666666666664</v>
      </c>
      <c r="B7382" s="19">
        <v>109.64</v>
      </c>
      <c r="C7382" t="s">
        <v>32</v>
      </c>
      <c r="D7382" t="str">
        <f>T_Stocks[[#This Row],[Ticker]] &amp; "-" &amp; DATE(YEAR(T_Stocks[[#This Row],[Fecha]]),MONTH(T_Stocks[[#This Row],[Fecha]]),DAY(T_Stocks[[#This Row],[Fecha]]))</f>
        <v>VTSAX-44379</v>
      </c>
    </row>
    <row r="7383" spans="1:4" ht="14.65" thickBot="1" x14ac:dyDescent="0.5">
      <c r="A7383" s="17">
        <v>44383.666666666664</v>
      </c>
      <c r="B7383" s="19">
        <v>109.36</v>
      </c>
      <c r="C7383" t="s">
        <v>32</v>
      </c>
      <c r="D7383" t="str">
        <f>T_Stocks[[#This Row],[Ticker]] &amp; "-" &amp; DATE(YEAR(T_Stocks[[#This Row],[Fecha]]),MONTH(T_Stocks[[#This Row],[Fecha]]),DAY(T_Stocks[[#This Row],[Fecha]]))</f>
        <v>VTSAX-44383</v>
      </c>
    </row>
    <row r="7384" spans="1:4" ht="14.65" thickBot="1" x14ac:dyDescent="0.5">
      <c r="A7384" s="17">
        <v>44384.666666666664</v>
      </c>
      <c r="B7384" s="19">
        <v>109.53</v>
      </c>
      <c r="C7384" t="s">
        <v>32</v>
      </c>
      <c r="D7384" t="str">
        <f>T_Stocks[[#This Row],[Ticker]] &amp; "-" &amp; DATE(YEAR(T_Stocks[[#This Row],[Fecha]]),MONTH(T_Stocks[[#This Row],[Fecha]]),DAY(T_Stocks[[#This Row],[Fecha]]))</f>
        <v>VTSAX-44384</v>
      </c>
    </row>
    <row r="7385" spans="1:4" ht="14.65" thickBot="1" x14ac:dyDescent="0.5">
      <c r="A7385" s="17">
        <v>44385.666666666664</v>
      </c>
      <c r="B7385" s="19">
        <v>108.58</v>
      </c>
      <c r="C7385" t="s">
        <v>32</v>
      </c>
      <c r="D7385" t="str">
        <f>T_Stocks[[#This Row],[Ticker]] &amp; "-" &amp; DATE(YEAR(T_Stocks[[#This Row],[Fecha]]),MONTH(T_Stocks[[#This Row],[Fecha]]),DAY(T_Stocks[[#This Row],[Fecha]]))</f>
        <v>VTSAX-44385</v>
      </c>
    </row>
    <row r="7386" spans="1:4" ht="14.65" thickBot="1" x14ac:dyDescent="0.5">
      <c r="A7386" s="17">
        <v>44386.666666666664</v>
      </c>
      <c r="B7386" s="19">
        <v>109.96</v>
      </c>
      <c r="C7386" t="s">
        <v>32</v>
      </c>
      <c r="D7386" t="str">
        <f>T_Stocks[[#This Row],[Ticker]] &amp; "-" &amp; DATE(YEAR(T_Stocks[[#This Row],[Fecha]]),MONTH(T_Stocks[[#This Row],[Fecha]]),DAY(T_Stocks[[#This Row],[Fecha]]))</f>
        <v>VTSAX-44386</v>
      </c>
    </row>
    <row r="7387" spans="1:4" ht="14.65" thickBot="1" x14ac:dyDescent="0.5">
      <c r="A7387" s="17">
        <v>44389.666666666664</v>
      </c>
      <c r="B7387" s="19">
        <v>110.24</v>
      </c>
      <c r="C7387" t="s">
        <v>32</v>
      </c>
      <c r="D7387" t="str">
        <f>T_Stocks[[#This Row],[Ticker]] &amp; "-" &amp; DATE(YEAR(T_Stocks[[#This Row],[Fecha]]),MONTH(T_Stocks[[#This Row],[Fecha]]),DAY(T_Stocks[[#This Row],[Fecha]]))</f>
        <v>VTSAX-44389</v>
      </c>
    </row>
    <row r="7388" spans="1:4" ht="14.65" thickBot="1" x14ac:dyDescent="0.5">
      <c r="A7388" s="17">
        <v>44390.666666666664</v>
      </c>
      <c r="B7388" s="19">
        <v>109.61</v>
      </c>
      <c r="C7388" t="s">
        <v>32</v>
      </c>
      <c r="D7388" t="str">
        <f>T_Stocks[[#This Row],[Ticker]] &amp; "-" &amp; DATE(YEAR(T_Stocks[[#This Row],[Fecha]]),MONTH(T_Stocks[[#This Row],[Fecha]]),DAY(T_Stocks[[#This Row],[Fecha]]))</f>
        <v>VTSAX-44390</v>
      </c>
    </row>
    <row r="7389" spans="1:4" ht="14.65" thickBot="1" x14ac:dyDescent="0.5">
      <c r="A7389" s="17">
        <v>44391.666666666664</v>
      </c>
      <c r="B7389" s="19">
        <v>109.45</v>
      </c>
      <c r="C7389" t="s">
        <v>32</v>
      </c>
      <c r="D7389" t="str">
        <f>T_Stocks[[#This Row],[Ticker]] &amp; "-" &amp; DATE(YEAR(T_Stocks[[#This Row],[Fecha]]),MONTH(T_Stocks[[#This Row],[Fecha]]),DAY(T_Stocks[[#This Row],[Fecha]]))</f>
        <v>VTSAX-44391</v>
      </c>
    </row>
    <row r="7390" spans="1:4" ht="14.65" thickBot="1" x14ac:dyDescent="0.5">
      <c r="A7390" s="17">
        <v>44392.666666666664</v>
      </c>
      <c r="B7390" s="19">
        <v>109.08</v>
      </c>
      <c r="C7390" t="s">
        <v>32</v>
      </c>
      <c r="D7390" t="str">
        <f>T_Stocks[[#This Row],[Ticker]] &amp; "-" &amp; DATE(YEAR(T_Stocks[[#This Row],[Fecha]]),MONTH(T_Stocks[[#This Row],[Fecha]]),DAY(T_Stocks[[#This Row],[Fecha]]))</f>
        <v>VTSAX-44392</v>
      </c>
    </row>
    <row r="7391" spans="1:4" ht="14.65" thickBot="1" x14ac:dyDescent="0.5">
      <c r="A7391" s="17">
        <v>44393.666666666664</v>
      </c>
      <c r="B7391" s="19">
        <v>108.27</v>
      </c>
      <c r="C7391" t="s">
        <v>32</v>
      </c>
      <c r="D7391" t="str">
        <f>T_Stocks[[#This Row],[Ticker]] &amp; "-" &amp; DATE(YEAR(T_Stocks[[#This Row],[Fecha]]),MONTH(T_Stocks[[#This Row],[Fecha]]),DAY(T_Stocks[[#This Row],[Fecha]]))</f>
        <v>VTSAX-44393</v>
      </c>
    </row>
    <row r="7392" spans="1:4" ht="14.65" thickBot="1" x14ac:dyDescent="0.5">
      <c r="A7392" s="17">
        <v>44396.666666666664</v>
      </c>
      <c r="B7392" s="19">
        <v>106.66</v>
      </c>
      <c r="C7392" t="s">
        <v>32</v>
      </c>
      <c r="D7392" t="str">
        <f>T_Stocks[[#This Row],[Ticker]] &amp; "-" &amp; DATE(YEAR(T_Stocks[[#This Row],[Fecha]]),MONTH(T_Stocks[[#This Row],[Fecha]]),DAY(T_Stocks[[#This Row],[Fecha]]))</f>
        <v>VTSAX-44396</v>
      </c>
    </row>
    <row r="7393" spans="1:4" ht="14.65" thickBot="1" x14ac:dyDescent="0.5">
      <c r="A7393" s="17">
        <v>44397.666666666664</v>
      </c>
      <c r="B7393" s="19">
        <v>108.51</v>
      </c>
      <c r="C7393" t="s">
        <v>32</v>
      </c>
      <c r="D7393" t="str">
        <f>T_Stocks[[#This Row],[Ticker]] &amp; "-" &amp; DATE(YEAR(T_Stocks[[#This Row],[Fecha]]),MONTH(T_Stocks[[#This Row],[Fecha]]),DAY(T_Stocks[[#This Row],[Fecha]]))</f>
        <v>VTSAX-44397</v>
      </c>
    </row>
    <row r="7394" spans="1:4" ht="14.65" thickBot="1" x14ac:dyDescent="0.5">
      <c r="A7394" s="17">
        <v>44398.666666666664</v>
      </c>
      <c r="B7394" s="19">
        <v>109.51</v>
      </c>
      <c r="C7394" t="s">
        <v>32</v>
      </c>
      <c r="D7394" t="str">
        <f>T_Stocks[[#This Row],[Ticker]] &amp; "-" &amp; DATE(YEAR(T_Stocks[[#This Row],[Fecha]]),MONTH(T_Stocks[[#This Row],[Fecha]]),DAY(T_Stocks[[#This Row],[Fecha]]))</f>
        <v>VTSAX-44398</v>
      </c>
    </row>
    <row r="7395" spans="1:4" ht="14.65" thickBot="1" x14ac:dyDescent="0.5">
      <c r="A7395" s="17">
        <v>44399.666666666664</v>
      </c>
      <c r="B7395" s="19">
        <v>109.58</v>
      </c>
      <c r="C7395" t="s">
        <v>32</v>
      </c>
      <c r="D7395" t="str">
        <f>T_Stocks[[#This Row],[Ticker]] &amp; "-" &amp; DATE(YEAR(T_Stocks[[#This Row],[Fecha]]),MONTH(T_Stocks[[#This Row],[Fecha]]),DAY(T_Stocks[[#This Row],[Fecha]]))</f>
        <v>VTSAX-44399</v>
      </c>
    </row>
    <row r="7396" spans="1:4" ht="14.65" thickBot="1" x14ac:dyDescent="0.5">
      <c r="A7396" s="17">
        <v>44400.666666666664</v>
      </c>
      <c r="B7396" s="19">
        <v>110.69</v>
      </c>
      <c r="C7396" t="s">
        <v>32</v>
      </c>
      <c r="D7396" t="str">
        <f>T_Stocks[[#This Row],[Ticker]] &amp; "-" &amp; DATE(YEAR(T_Stocks[[#This Row],[Fecha]]),MONTH(T_Stocks[[#This Row],[Fecha]]),DAY(T_Stocks[[#This Row],[Fecha]]))</f>
        <v>VTSAX-44400</v>
      </c>
    </row>
    <row r="7397" spans="1:4" ht="14.65" thickBot="1" x14ac:dyDescent="0.5">
      <c r="A7397" s="17">
        <v>44403.666666666664</v>
      </c>
      <c r="B7397" s="19">
        <v>110.91</v>
      </c>
      <c r="C7397" t="s">
        <v>32</v>
      </c>
      <c r="D7397" t="str">
        <f>T_Stocks[[#This Row],[Ticker]] &amp; "-" &amp; DATE(YEAR(T_Stocks[[#This Row],[Fecha]]),MONTH(T_Stocks[[#This Row],[Fecha]]),DAY(T_Stocks[[#This Row],[Fecha]]))</f>
        <v>VTSAX-44403</v>
      </c>
    </row>
    <row r="7398" spans="1:4" ht="14.65" thickBot="1" x14ac:dyDescent="0.5">
      <c r="A7398" s="17">
        <v>44404.666666666664</v>
      </c>
      <c r="B7398" s="19">
        <v>110.29</v>
      </c>
      <c r="C7398" t="s">
        <v>32</v>
      </c>
      <c r="D7398" t="str">
        <f>T_Stocks[[#This Row],[Ticker]] &amp; "-" &amp; DATE(YEAR(T_Stocks[[#This Row],[Fecha]]),MONTH(T_Stocks[[#This Row],[Fecha]]),DAY(T_Stocks[[#This Row],[Fecha]]))</f>
        <v>VTSAX-44404</v>
      </c>
    </row>
    <row r="7399" spans="1:4" ht="14.65" thickBot="1" x14ac:dyDescent="0.5">
      <c r="A7399" s="17">
        <v>44405.666666666664</v>
      </c>
      <c r="B7399" s="19">
        <v>110.51</v>
      </c>
      <c r="C7399" t="s">
        <v>32</v>
      </c>
      <c r="D7399" t="str">
        <f>T_Stocks[[#This Row],[Ticker]] &amp; "-" &amp; DATE(YEAR(T_Stocks[[#This Row],[Fecha]]),MONTH(T_Stocks[[#This Row],[Fecha]]),DAY(T_Stocks[[#This Row],[Fecha]]))</f>
        <v>VTSAX-44405</v>
      </c>
    </row>
    <row r="7400" spans="1:4" ht="14.65" thickBot="1" x14ac:dyDescent="0.5">
      <c r="A7400" s="17">
        <v>44406.666666666664</v>
      </c>
      <c r="B7400" s="19">
        <v>110.97</v>
      </c>
      <c r="C7400" t="s">
        <v>32</v>
      </c>
      <c r="D7400" t="str">
        <f>T_Stocks[[#This Row],[Ticker]] &amp; "-" &amp; DATE(YEAR(T_Stocks[[#This Row],[Fecha]]),MONTH(T_Stocks[[#This Row],[Fecha]]),DAY(T_Stocks[[#This Row],[Fecha]]))</f>
        <v>VTSAX-44406</v>
      </c>
    </row>
    <row r="7401" spans="1:4" ht="14.65" thickBot="1" x14ac:dyDescent="0.5">
      <c r="A7401" s="17">
        <v>44407.666666666664</v>
      </c>
      <c r="B7401" s="19">
        <v>110.35</v>
      </c>
      <c r="C7401" t="s">
        <v>32</v>
      </c>
      <c r="D7401" t="str">
        <f>T_Stocks[[#This Row],[Ticker]] &amp; "-" &amp; DATE(YEAR(T_Stocks[[#This Row],[Fecha]]),MONTH(T_Stocks[[#This Row],[Fecha]]),DAY(T_Stocks[[#This Row],[Fecha]]))</f>
        <v>VTSAX-44407</v>
      </c>
    </row>
    <row r="7402" spans="1:4" ht="14.65" thickBot="1" x14ac:dyDescent="0.5">
      <c r="A7402" s="17">
        <v>44410.666666666664</v>
      </c>
      <c r="B7402" s="19">
        <v>110.15</v>
      </c>
      <c r="C7402" t="s">
        <v>32</v>
      </c>
      <c r="D7402" t="str">
        <f>T_Stocks[[#This Row],[Ticker]] &amp; "-" &amp; DATE(YEAR(T_Stocks[[#This Row],[Fecha]]),MONTH(T_Stocks[[#This Row],[Fecha]]),DAY(T_Stocks[[#This Row],[Fecha]]))</f>
        <v>VTSAX-44410</v>
      </c>
    </row>
    <row r="7403" spans="1:4" ht="14.65" thickBot="1" x14ac:dyDescent="0.5">
      <c r="A7403" s="17">
        <v>44411.666666666664</v>
      </c>
      <c r="B7403" s="19">
        <v>110.95</v>
      </c>
      <c r="C7403" t="s">
        <v>32</v>
      </c>
      <c r="D7403" t="str">
        <f>T_Stocks[[#This Row],[Ticker]] &amp; "-" &amp; DATE(YEAR(T_Stocks[[#This Row],[Fecha]]),MONTH(T_Stocks[[#This Row],[Fecha]]),DAY(T_Stocks[[#This Row],[Fecha]]))</f>
        <v>VTSAX-44411</v>
      </c>
    </row>
    <row r="7404" spans="1:4" ht="14.65" thickBot="1" x14ac:dyDescent="0.5">
      <c r="A7404" s="17">
        <v>44412.666666666664</v>
      </c>
      <c r="B7404" s="19">
        <v>110.44</v>
      </c>
      <c r="C7404" t="s">
        <v>32</v>
      </c>
      <c r="D7404" t="str">
        <f>T_Stocks[[#This Row],[Ticker]] &amp; "-" &amp; DATE(YEAR(T_Stocks[[#This Row],[Fecha]]),MONTH(T_Stocks[[#This Row],[Fecha]]),DAY(T_Stocks[[#This Row],[Fecha]]))</f>
        <v>VTSAX-44412</v>
      </c>
    </row>
    <row r="7405" spans="1:4" ht="14.65" thickBot="1" x14ac:dyDescent="0.5">
      <c r="A7405" s="17">
        <v>44413.666666666664</v>
      </c>
      <c r="B7405" s="19">
        <v>111.25</v>
      </c>
      <c r="C7405" t="s">
        <v>32</v>
      </c>
      <c r="D7405" t="str">
        <f>T_Stocks[[#This Row],[Ticker]] &amp; "-" &amp; DATE(YEAR(T_Stocks[[#This Row],[Fecha]]),MONTH(T_Stocks[[#This Row],[Fecha]]),DAY(T_Stocks[[#This Row],[Fecha]]))</f>
        <v>VTSAX-44413</v>
      </c>
    </row>
    <row r="7406" spans="1:4" ht="14.65" thickBot="1" x14ac:dyDescent="0.5">
      <c r="A7406" s="17">
        <v>44414.666666666664</v>
      </c>
      <c r="B7406" s="19">
        <v>111.37</v>
      </c>
      <c r="C7406" t="s">
        <v>32</v>
      </c>
      <c r="D7406" t="str">
        <f>T_Stocks[[#This Row],[Ticker]] &amp; "-" &amp; DATE(YEAR(T_Stocks[[#This Row],[Fecha]]),MONTH(T_Stocks[[#This Row],[Fecha]]),DAY(T_Stocks[[#This Row],[Fecha]]))</f>
        <v>VTSAX-44414</v>
      </c>
    </row>
    <row r="7407" spans="1:4" ht="14.65" thickBot="1" x14ac:dyDescent="0.5">
      <c r="A7407" s="17">
        <v>44417.666666666664</v>
      </c>
      <c r="B7407" s="19">
        <v>111.29</v>
      </c>
      <c r="C7407" t="s">
        <v>32</v>
      </c>
      <c r="D7407" t="str">
        <f>T_Stocks[[#This Row],[Ticker]] &amp; "-" &amp; DATE(YEAR(T_Stocks[[#This Row],[Fecha]]),MONTH(T_Stocks[[#This Row],[Fecha]]),DAY(T_Stocks[[#This Row],[Fecha]]))</f>
        <v>VTSAX-44417</v>
      </c>
    </row>
    <row r="7408" spans="1:4" ht="14.65" thickBot="1" x14ac:dyDescent="0.5">
      <c r="A7408" s="17">
        <v>44418.666666666664</v>
      </c>
      <c r="B7408" s="19">
        <v>111.33</v>
      </c>
      <c r="C7408" t="s">
        <v>32</v>
      </c>
      <c r="D7408" t="str">
        <f>T_Stocks[[#This Row],[Ticker]] &amp; "-" &amp; DATE(YEAR(T_Stocks[[#This Row],[Fecha]]),MONTH(T_Stocks[[#This Row],[Fecha]]),DAY(T_Stocks[[#This Row],[Fecha]]))</f>
        <v>VTSAX-44418</v>
      </c>
    </row>
    <row r="7409" spans="1:4" ht="14.65" thickBot="1" x14ac:dyDescent="0.5">
      <c r="A7409" s="17">
        <v>44419.666666666664</v>
      </c>
      <c r="B7409" s="19">
        <v>111.6</v>
      </c>
      <c r="C7409" t="s">
        <v>32</v>
      </c>
      <c r="D7409" t="str">
        <f>T_Stocks[[#This Row],[Ticker]] &amp; "-" &amp; DATE(YEAR(T_Stocks[[#This Row],[Fecha]]),MONTH(T_Stocks[[#This Row],[Fecha]]),DAY(T_Stocks[[#This Row],[Fecha]]))</f>
        <v>VTSAX-44419</v>
      </c>
    </row>
    <row r="7410" spans="1:4" ht="14.65" thickBot="1" x14ac:dyDescent="0.5">
      <c r="A7410" s="17">
        <v>44420.666666666664</v>
      </c>
      <c r="B7410" s="19">
        <v>111.92</v>
      </c>
      <c r="C7410" t="s">
        <v>32</v>
      </c>
      <c r="D7410" t="str">
        <f>T_Stocks[[#This Row],[Ticker]] &amp; "-" &amp; DATE(YEAR(T_Stocks[[#This Row],[Fecha]]),MONTH(T_Stocks[[#This Row],[Fecha]]),DAY(T_Stocks[[#This Row],[Fecha]]))</f>
        <v>VTSAX-44420</v>
      </c>
    </row>
    <row r="7411" spans="1:4" ht="14.65" thickBot="1" x14ac:dyDescent="0.5">
      <c r="A7411" s="17">
        <v>44421.666666666664</v>
      </c>
      <c r="B7411" s="19">
        <v>111.98</v>
      </c>
      <c r="C7411" t="s">
        <v>32</v>
      </c>
      <c r="D7411" t="str">
        <f>T_Stocks[[#This Row],[Ticker]] &amp; "-" &amp; DATE(YEAR(T_Stocks[[#This Row],[Fecha]]),MONTH(T_Stocks[[#This Row],[Fecha]]),DAY(T_Stocks[[#This Row],[Fecha]]))</f>
        <v>VTSAX-44421</v>
      </c>
    </row>
    <row r="7412" spans="1:4" ht="14.65" thickBot="1" x14ac:dyDescent="0.5">
      <c r="A7412" s="17">
        <v>44424.666666666664</v>
      </c>
      <c r="B7412" s="19">
        <v>112.04</v>
      </c>
      <c r="C7412" t="s">
        <v>32</v>
      </c>
      <c r="D7412" t="str">
        <f>T_Stocks[[#This Row],[Ticker]] &amp; "-" &amp; DATE(YEAR(T_Stocks[[#This Row],[Fecha]]),MONTH(T_Stocks[[#This Row],[Fecha]]),DAY(T_Stocks[[#This Row],[Fecha]]))</f>
        <v>VTSAX-44424</v>
      </c>
    </row>
    <row r="7413" spans="1:4" ht="14.65" thickBot="1" x14ac:dyDescent="0.5">
      <c r="A7413" s="17">
        <v>44425.666666666664</v>
      </c>
      <c r="B7413" s="19">
        <v>111.2</v>
      </c>
      <c r="C7413" t="s">
        <v>32</v>
      </c>
      <c r="D7413" t="str">
        <f>T_Stocks[[#This Row],[Ticker]] &amp; "-" &amp; DATE(YEAR(T_Stocks[[#This Row],[Fecha]]),MONTH(T_Stocks[[#This Row],[Fecha]]),DAY(T_Stocks[[#This Row],[Fecha]]))</f>
        <v>VTSAX-44425</v>
      </c>
    </row>
    <row r="7414" spans="1:4" ht="14.65" thickBot="1" x14ac:dyDescent="0.5">
      <c r="A7414" s="17">
        <v>44426.666666666664</v>
      </c>
      <c r="B7414" s="19">
        <v>110.09</v>
      </c>
      <c r="C7414" t="s">
        <v>32</v>
      </c>
      <c r="D7414" t="str">
        <f>T_Stocks[[#This Row],[Ticker]] &amp; "-" &amp; DATE(YEAR(T_Stocks[[#This Row],[Fecha]]),MONTH(T_Stocks[[#This Row],[Fecha]]),DAY(T_Stocks[[#This Row],[Fecha]]))</f>
        <v>VTSAX-44426</v>
      </c>
    </row>
    <row r="7415" spans="1:4" ht="14.65" thickBot="1" x14ac:dyDescent="0.5">
      <c r="A7415" s="17">
        <v>44427.666666666664</v>
      </c>
      <c r="B7415" s="19">
        <v>110.02</v>
      </c>
      <c r="C7415" t="s">
        <v>32</v>
      </c>
      <c r="D7415" t="str">
        <f>T_Stocks[[#This Row],[Ticker]] &amp; "-" &amp; DATE(YEAR(T_Stocks[[#This Row],[Fecha]]),MONTH(T_Stocks[[#This Row],[Fecha]]),DAY(T_Stocks[[#This Row],[Fecha]]))</f>
        <v>VTSAX-44427</v>
      </c>
    </row>
    <row r="7416" spans="1:4" ht="14.65" thickBot="1" x14ac:dyDescent="0.5">
      <c r="A7416" s="17">
        <v>44428.666666666664</v>
      </c>
      <c r="B7416" s="19">
        <v>111.02</v>
      </c>
      <c r="C7416" t="s">
        <v>32</v>
      </c>
      <c r="D7416" t="str">
        <f>T_Stocks[[#This Row],[Ticker]] &amp; "-" &amp; DATE(YEAR(T_Stocks[[#This Row],[Fecha]]),MONTH(T_Stocks[[#This Row],[Fecha]]),DAY(T_Stocks[[#This Row],[Fecha]]))</f>
        <v>VTSAX-44428</v>
      </c>
    </row>
    <row r="7417" spans="1:4" ht="14.65" thickBot="1" x14ac:dyDescent="0.5">
      <c r="A7417" s="17">
        <v>44431.666666666664</v>
      </c>
      <c r="B7417" s="19">
        <v>112.11</v>
      </c>
      <c r="C7417" t="s">
        <v>32</v>
      </c>
      <c r="D7417" t="str">
        <f>T_Stocks[[#This Row],[Ticker]] &amp; "-" &amp; DATE(YEAR(T_Stocks[[#This Row],[Fecha]]),MONTH(T_Stocks[[#This Row],[Fecha]]),DAY(T_Stocks[[#This Row],[Fecha]]))</f>
        <v>VTSAX-44431</v>
      </c>
    </row>
    <row r="7418" spans="1:4" ht="14.65" thickBot="1" x14ac:dyDescent="0.5">
      <c r="A7418" s="17">
        <v>44432.666666666664</v>
      </c>
      <c r="B7418" s="19">
        <v>112.47</v>
      </c>
      <c r="C7418" t="s">
        <v>32</v>
      </c>
      <c r="D7418" t="str">
        <f>T_Stocks[[#This Row],[Ticker]] &amp; "-" &amp; DATE(YEAR(T_Stocks[[#This Row],[Fecha]]),MONTH(T_Stocks[[#This Row],[Fecha]]),DAY(T_Stocks[[#This Row],[Fecha]]))</f>
        <v>VTSAX-44432</v>
      </c>
    </row>
    <row r="7419" spans="1:4" ht="14.65" thickBot="1" x14ac:dyDescent="0.5">
      <c r="A7419" s="17">
        <v>44433.666666666664</v>
      </c>
      <c r="B7419" s="19">
        <v>112.78</v>
      </c>
      <c r="C7419" t="s">
        <v>32</v>
      </c>
      <c r="D7419" t="str">
        <f>T_Stocks[[#This Row],[Ticker]] &amp; "-" &amp; DATE(YEAR(T_Stocks[[#This Row],[Fecha]]),MONTH(T_Stocks[[#This Row],[Fecha]]),DAY(T_Stocks[[#This Row],[Fecha]]))</f>
        <v>VTSAX-44433</v>
      </c>
    </row>
    <row r="7420" spans="1:4" ht="14.65" thickBot="1" x14ac:dyDescent="0.5">
      <c r="A7420" s="17">
        <v>44434.666666666664</v>
      </c>
      <c r="B7420" s="19">
        <v>112.07</v>
      </c>
      <c r="C7420" t="s">
        <v>32</v>
      </c>
      <c r="D7420" t="str">
        <f>T_Stocks[[#This Row],[Ticker]] &amp; "-" &amp; DATE(YEAR(T_Stocks[[#This Row],[Fecha]]),MONTH(T_Stocks[[#This Row],[Fecha]]),DAY(T_Stocks[[#This Row],[Fecha]]))</f>
        <v>VTSAX-44434</v>
      </c>
    </row>
    <row r="7421" spans="1:4" ht="14.65" thickBot="1" x14ac:dyDescent="0.5">
      <c r="A7421" s="17">
        <v>44435.666666666664</v>
      </c>
      <c r="B7421" s="19">
        <v>113.26</v>
      </c>
      <c r="C7421" t="s">
        <v>32</v>
      </c>
      <c r="D7421" t="str">
        <f>T_Stocks[[#This Row],[Ticker]] &amp; "-" &amp; DATE(YEAR(T_Stocks[[#This Row],[Fecha]]),MONTH(T_Stocks[[#This Row],[Fecha]]),DAY(T_Stocks[[#This Row],[Fecha]]))</f>
        <v>VTSAX-44435</v>
      </c>
    </row>
    <row r="7422" spans="1:4" ht="14.65" thickBot="1" x14ac:dyDescent="0.5">
      <c r="A7422" s="17">
        <v>44438.666666666664</v>
      </c>
      <c r="B7422" s="19">
        <v>113.66</v>
      </c>
      <c r="C7422" t="s">
        <v>32</v>
      </c>
      <c r="D7422" t="str">
        <f>T_Stocks[[#This Row],[Ticker]] &amp; "-" &amp; DATE(YEAR(T_Stocks[[#This Row],[Fecha]]),MONTH(T_Stocks[[#This Row],[Fecha]]),DAY(T_Stocks[[#This Row],[Fecha]]))</f>
        <v>VTSAX-44438</v>
      </c>
    </row>
    <row r="7423" spans="1:4" ht="14.65" thickBot="1" x14ac:dyDescent="0.5">
      <c r="A7423" s="17">
        <v>44439.666666666664</v>
      </c>
      <c r="B7423" s="19">
        <v>113.51</v>
      </c>
      <c r="C7423" t="s">
        <v>32</v>
      </c>
      <c r="D7423" t="str">
        <f>T_Stocks[[#This Row],[Ticker]] &amp; "-" &amp; DATE(YEAR(T_Stocks[[#This Row],[Fecha]]),MONTH(T_Stocks[[#This Row],[Fecha]]),DAY(T_Stocks[[#This Row],[Fecha]]))</f>
        <v>VTSAX-44439</v>
      </c>
    </row>
    <row r="7424" spans="1:4" ht="14.65" thickBot="1" x14ac:dyDescent="0.5">
      <c r="A7424" s="17">
        <v>44440.666666666664</v>
      </c>
      <c r="B7424" s="19">
        <v>113.65</v>
      </c>
      <c r="C7424" t="s">
        <v>32</v>
      </c>
      <c r="D7424" t="str">
        <f>T_Stocks[[#This Row],[Ticker]] &amp; "-" &amp; DATE(YEAR(T_Stocks[[#This Row],[Fecha]]),MONTH(T_Stocks[[#This Row],[Fecha]]),DAY(T_Stocks[[#This Row],[Fecha]]))</f>
        <v>VTSAX-44440</v>
      </c>
    </row>
    <row r="7425" spans="1:4" ht="14.65" thickBot="1" x14ac:dyDescent="0.5">
      <c r="A7425" s="17">
        <v>44441.666666666664</v>
      </c>
      <c r="B7425" s="19">
        <v>114.05</v>
      </c>
      <c r="C7425" t="s">
        <v>32</v>
      </c>
      <c r="D7425" t="str">
        <f>T_Stocks[[#This Row],[Ticker]] &amp; "-" &amp; DATE(YEAR(T_Stocks[[#This Row],[Fecha]]),MONTH(T_Stocks[[#This Row],[Fecha]]),DAY(T_Stocks[[#This Row],[Fecha]]))</f>
        <v>VTSAX-44441</v>
      </c>
    </row>
    <row r="7426" spans="1:4" ht="14.65" thickBot="1" x14ac:dyDescent="0.5">
      <c r="A7426" s="17">
        <v>44442.666666666664</v>
      </c>
      <c r="B7426" s="19">
        <v>114.01</v>
      </c>
      <c r="C7426" t="s">
        <v>32</v>
      </c>
      <c r="D7426" t="str">
        <f>T_Stocks[[#This Row],[Ticker]] &amp; "-" &amp; DATE(YEAR(T_Stocks[[#This Row],[Fecha]]),MONTH(T_Stocks[[#This Row],[Fecha]]),DAY(T_Stocks[[#This Row],[Fecha]]))</f>
        <v>VTSAX-44442</v>
      </c>
    </row>
    <row r="7427" spans="1:4" ht="14.65" thickBot="1" x14ac:dyDescent="0.5">
      <c r="A7427" s="17">
        <v>44446.666666666664</v>
      </c>
      <c r="B7427" s="19">
        <v>113.54</v>
      </c>
      <c r="C7427" t="s">
        <v>32</v>
      </c>
      <c r="D7427" t="str">
        <f>T_Stocks[[#This Row],[Ticker]] &amp; "-" &amp; DATE(YEAR(T_Stocks[[#This Row],[Fecha]]),MONTH(T_Stocks[[#This Row],[Fecha]]),DAY(T_Stocks[[#This Row],[Fecha]]))</f>
        <v>VTSAX-44446</v>
      </c>
    </row>
    <row r="7428" spans="1:4" ht="14.65" thickBot="1" x14ac:dyDescent="0.5">
      <c r="A7428" s="17">
        <v>44447.666666666664</v>
      </c>
      <c r="B7428" s="19">
        <v>113.24</v>
      </c>
      <c r="C7428" t="s">
        <v>32</v>
      </c>
      <c r="D7428" t="str">
        <f>T_Stocks[[#This Row],[Ticker]] &amp; "-" &amp; DATE(YEAR(T_Stocks[[#This Row],[Fecha]]),MONTH(T_Stocks[[#This Row],[Fecha]]),DAY(T_Stocks[[#This Row],[Fecha]]))</f>
        <v>VTSAX-44447</v>
      </c>
    </row>
    <row r="7429" spans="1:4" ht="14.65" thickBot="1" x14ac:dyDescent="0.5">
      <c r="A7429" s="17">
        <v>44448.666666666664</v>
      </c>
      <c r="B7429" s="19">
        <v>112.83</v>
      </c>
      <c r="C7429" t="s">
        <v>32</v>
      </c>
      <c r="D7429" t="str">
        <f>T_Stocks[[#This Row],[Ticker]] &amp; "-" &amp; DATE(YEAR(T_Stocks[[#This Row],[Fecha]]),MONTH(T_Stocks[[#This Row],[Fecha]]),DAY(T_Stocks[[#This Row],[Fecha]]))</f>
        <v>VTSAX-44448</v>
      </c>
    </row>
    <row r="7430" spans="1:4" ht="14.65" thickBot="1" x14ac:dyDescent="0.5">
      <c r="A7430" s="17">
        <v>44449.666666666664</v>
      </c>
      <c r="B7430" s="19">
        <v>111.95</v>
      </c>
      <c r="C7430" t="s">
        <v>32</v>
      </c>
      <c r="D7430" t="str">
        <f>T_Stocks[[#This Row],[Ticker]] &amp; "-" &amp; DATE(YEAR(T_Stocks[[#This Row],[Fecha]]),MONTH(T_Stocks[[#This Row],[Fecha]]),DAY(T_Stocks[[#This Row],[Fecha]]))</f>
        <v>VTSAX-44449</v>
      </c>
    </row>
    <row r="7431" spans="1:4" ht="14.65" thickBot="1" x14ac:dyDescent="0.5">
      <c r="A7431" s="17">
        <v>44452.666666666664</v>
      </c>
      <c r="B7431" s="19">
        <v>112.18</v>
      </c>
      <c r="C7431" t="s">
        <v>32</v>
      </c>
      <c r="D7431" t="str">
        <f>T_Stocks[[#This Row],[Ticker]] &amp; "-" &amp; DATE(YEAR(T_Stocks[[#This Row],[Fecha]]),MONTH(T_Stocks[[#This Row],[Fecha]]),DAY(T_Stocks[[#This Row],[Fecha]]))</f>
        <v>VTSAX-44452</v>
      </c>
    </row>
    <row r="7432" spans="1:4" ht="14.65" thickBot="1" x14ac:dyDescent="0.5">
      <c r="A7432" s="17">
        <v>44453.666666666664</v>
      </c>
      <c r="B7432" s="19">
        <v>111.48</v>
      </c>
      <c r="C7432" t="s">
        <v>32</v>
      </c>
      <c r="D7432" t="str">
        <f>T_Stocks[[#This Row],[Ticker]] &amp; "-" &amp; DATE(YEAR(T_Stocks[[#This Row],[Fecha]]),MONTH(T_Stocks[[#This Row],[Fecha]]),DAY(T_Stocks[[#This Row],[Fecha]]))</f>
        <v>VTSAX-44453</v>
      </c>
    </row>
    <row r="7433" spans="1:4" ht="14.65" thickBot="1" x14ac:dyDescent="0.5">
      <c r="A7433" s="17">
        <v>44454.666666666664</v>
      </c>
      <c r="B7433" s="19">
        <v>112.45</v>
      </c>
      <c r="C7433" t="s">
        <v>32</v>
      </c>
      <c r="D7433" t="str">
        <f>T_Stocks[[#This Row],[Ticker]] &amp; "-" &amp; DATE(YEAR(T_Stocks[[#This Row],[Fecha]]),MONTH(T_Stocks[[#This Row],[Fecha]]),DAY(T_Stocks[[#This Row],[Fecha]]))</f>
        <v>VTSAX-44454</v>
      </c>
    </row>
    <row r="7434" spans="1:4" ht="14.65" thickBot="1" x14ac:dyDescent="0.5">
      <c r="A7434" s="17">
        <v>44455.666666666664</v>
      </c>
      <c r="B7434" s="19">
        <v>112.37</v>
      </c>
      <c r="C7434" t="s">
        <v>32</v>
      </c>
      <c r="D7434" t="str">
        <f>T_Stocks[[#This Row],[Ticker]] &amp; "-" &amp; DATE(YEAR(T_Stocks[[#This Row],[Fecha]]),MONTH(T_Stocks[[#This Row],[Fecha]]),DAY(T_Stocks[[#This Row],[Fecha]]))</f>
        <v>VTSAX-44455</v>
      </c>
    </row>
    <row r="7435" spans="1:4" ht="14.65" thickBot="1" x14ac:dyDescent="0.5">
      <c r="A7435" s="17">
        <v>44456.666666666664</v>
      </c>
      <c r="B7435" s="19">
        <v>111.51</v>
      </c>
      <c r="C7435" t="s">
        <v>32</v>
      </c>
      <c r="D7435" t="str">
        <f>T_Stocks[[#This Row],[Ticker]] &amp; "-" &amp; DATE(YEAR(T_Stocks[[#This Row],[Fecha]]),MONTH(T_Stocks[[#This Row],[Fecha]]),DAY(T_Stocks[[#This Row],[Fecha]]))</f>
        <v>VTSAX-44456</v>
      </c>
    </row>
    <row r="7436" spans="1:4" ht="14.65" thickBot="1" x14ac:dyDescent="0.5">
      <c r="A7436" s="17">
        <v>44459.666666666664</v>
      </c>
      <c r="B7436" s="19">
        <v>109.53</v>
      </c>
      <c r="C7436" t="s">
        <v>32</v>
      </c>
      <c r="D7436" t="str">
        <f>T_Stocks[[#This Row],[Ticker]] &amp; "-" &amp; DATE(YEAR(T_Stocks[[#This Row],[Fecha]]),MONTH(T_Stocks[[#This Row],[Fecha]]),DAY(T_Stocks[[#This Row],[Fecha]]))</f>
        <v>VTSAX-44459</v>
      </c>
    </row>
    <row r="7437" spans="1:4" ht="14.65" thickBot="1" x14ac:dyDescent="0.5">
      <c r="A7437" s="17">
        <v>44460.666666666664</v>
      </c>
      <c r="B7437" s="19">
        <v>109.53</v>
      </c>
      <c r="C7437" t="s">
        <v>32</v>
      </c>
      <c r="D7437" t="str">
        <f>T_Stocks[[#This Row],[Ticker]] &amp; "-" &amp; DATE(YEAR(T_Stocks[[#This Row],[Fecha]]),MONTH(T_Stocks[[#This Row],[Fecha]]),DAY(T_Stocks[[#This Row],[Fecha]]))</f>
        <v>VTSAX-44460</v>
      </c>
    </row>
    <row r="7438" spans="1:4" ht="14.65" thickBot="1" x14ac:dyDescent="0.5">
      <c r="A7438" s="17">
        <v>44461.666666666664</v>
      </c>
      <c r="B7438" s="19">
        <v>110.63</v>
      </c>
      <c r="C7438" t="s">
        <v>32</v>
      </c>
      <c r="D7438" t="str">
        <f>T_Stocks[[#This Row],[Ticker]] &amp; "-" &amp; DATE(YEAR(T_Stocks[[#This Row],[Fecha]]),MONTH(T_Stocks[[#This Row],[Fecha]]),DAY(T_Stocks[[#This Row],[Fecha]]))</f>
        <v>VTSAX-44461</v>
      </c>
    </row>
    <row r="7439" spans="1:4" ht="14.65" thickBot="1" x14ac:dyDescent="0.5">
      <c r="A7439" s="17">
        <v>44462.666666666664</v>
      </c>
      <c r="B7439" s="19">
        <v>111.66</v>
      </c>
      <c r="C7439" t="s">
        <v>32</v>
      </c>
      <c r="D7439" t="str">
        <f>T_Stocks[[#This Row],[Ticker]] &amp; "-" &amp; DATE(YEAR(T_Stocks[[#This Row],[Fecha]]),MONTH(T_Stocks[[#This Row],[Fecha]]),DAY(T_Stocks[[#This Row],[Fecha]]))</f>
        <v>VTSAX-44462</v>
      </c>
    </row>
    <row r="7440" spans="1:4" ht="14.65" thickBot="1" x14ac:dyDescent="0.5">
      <c r="A7440" s="17">
        <v>44463.666666666664</v>
      </c>
      <c r="B7440" s="19">
        <v>111.72</v>
      </c>
      <c r="C7440" t="s">
        <v>32</v>
      </c>
      <c r="D7440" t="str">
        <f>T_Stocks[[#This Row],[Ticker]] &amp; "-" &amp; DATE(YEAR(T_Stocks[[#This Row],[Fecha]]),MONTH(T_Stocks[[#This Row],[Fecha]]),DAY(T_Stocks[[#This Row],[Fecha]]))</f>
        <v>VTSAX-44463</v>
      </c>
    </row>
    <row r="7441" spans="1:4" ht="14.65" thickBot="1" x14ac:dyDescent="0.5">
      <c r="A7441" s="17">
        <v>44466.666666666664</v>
      </c>
      <c r="B7441" s="19">
        <v>111.53</v>
      </c>
      <c r="C7441" t="s">
        <v>32</v>
      </c>
      <c r="D7441" t="str">
        <f>T_Stocks[[#This Row],[Ticker]] &amp; "-" &amp; DATE(YEAR(T_Stocks[[#This Row],[Fecha]]),MONTH(T_Stocks[[#This Row],[Fecha]]),DAY(T_Stocks[[#This Row],[Fecha]]))</f>
        <v>VTSAX-44466</v>
      </c>
    </row>
    <row r="7442" spans="1:4" ht="14.65" thickBot="1" x14ac:dyDescent="0.5">
      <c r="A7442" s="17">
        <v>44467.666666666664</v>
      </c>
      <c r="B7442" s="19">
        <v>109.17</v>
      </c>
      <c r="C7442" t="s">
        <v>32</v>
      </c>
      <c r="D7442" t="str">
        <f>T_Stocks[[#This Row],[Ticker]] &amp; "-" &amp; DATE(YEAR(T_Stocks[[#This Row],[Fecha]]),MONTH(T_Stocks[[#This Row],[Fecha]]),DAY(T_Stocks[[#This Row],[Fecha]]))</f>
        <v>VTSAX-44467</v>
      </c>
    </row>
    <row r="7443" spans="1:4" ht="14.65" thickBot="1" x14ac:dyDescent="0.5">
      <c r="A7443" s="17">
        <v>44468.666666666664</v>
      </c>
      <c r="B7443" s="19">
        <v>109.26</v>
      </c>
      <c r="C7443" t="s">
        <v>32</v>
      </c>
      <c r="D7443" t="str">
        <f>T_Stocks[[#This Row],[Ticker]] &amp; "-" &amp; DATE(YEAR(T_Stocks[[#This Row],[Fecha]]),MONTH(T_Stocks[[#This Row],[Fecha]]),DAY(T_Stocks[[#This Row],[Fecha]]))</f>
        <v>VTSAX-44468</v>
      </c>
    </row>
    <row r="7444" spans="1:4" ht="14.65" thickBot="1" x14ac:dyDescent="0.5">
      <c r="A7444" s="17">
        <v>44469.666666666664</v>
      </c>
      <c r="B7444" s="19">
        <v>108.08</v>
      </c>
      <c r="C7444" t="s">
        <v>32</v>
      </c>
      <c r="D7444" t="str">
        <f>T_Stocks[[#This Row],[Ticker]] &amp; "-" &amp; DATE(YEAR(T_Stocks[[#This Row],[Fecha]]),MONTH(T_Stocks[[#This Row],[Fecha]]),DAY(T_Stocks[[#This Row],[Fecha]]))</f>
        <v>VTSAX-44469</v>
      </c>
    </row>
    <row r="7445" spans="1:4" ht="14.65" thickBot="1" x14ac:dyDescent="0.5">
      <c r="A7445" s="17">
        <v>44470.666666666664</v>
      </c>
      <c r="B7445" s="19">
        <v>109.36</v>
      </c>
      <c r="C7445" t="s">
        <v>32</v>
      </c>
      <c r="D7445" t="str">
        <f>T_Stocks[[#This Row],[Ticker]] &amp; "-" &amp; DATE(YEAR(T_Stocks[[#This Row],[Fecha]]),MONTH(T_Stocks[[#This Row],[Fecha]]),DAY(T_Stocks[[#This Row],[Fecha]]))</f>
        <v>VTSAX-44470</v>
      </c>
    </row>
    <row r="7446" spans="1:4" ht="14.65" thickBot="1" x14ac:dyDescent="0.5">
      <c r="A7446" s="17">
        <v>44473.666666666664</v>
      </c>
      <c r="B7446" s="19">
        <v>107.88</v>
      </c>
      <c r="C7446" t="s">
        <v>32</v>
      </c>
      <c r="D7446" t="str">
        <f>T_Stocks[[#This Row],[Ticker]] &amp; "-" &amp; DATE(YEAR(T_Stocks[[#This Row],[Fecha]]),MONTH(T_Stocks[[#This Row],[Fecha]]),DAY(T_Stocks[[#This Row],[Fecha]]))</f>
        <v>VTSAX-44473</v>
      </c>
    </row>
    <row r="7447" spans="1:4" ht="14.65" thickBot="1" x14ac:dyDescent="0.5">
      <c r="A7447" s="17">
        <v>44474.666666666664</v>
      </c>
      <c r="B7447" s="19">
        <v>108.96</v>
      </c>
      <c r="C7447" t="s">
        <v>32</v>
      </c>
      <c r="D7447" t="str">
        <f>T_Stocks[[#This Row],[Ticker]] &amp; "-" &amp; DATE(YEAR(T_Stocks[[#This Row],[Fecha]]),MONTH(T_Stocks[[#This Row],[Fecha]]),DAY(T_Stocks[[#This Row],[Fecha]]))</f>
        <v>VTSAX-44474</v>
      </c>
    </row>
    <row r="7448" spans="1:4" ht="14.65" thickBot="1" x14ac:dyDescent="0.5">
      <c r="A7448" s="17">
        <v>44475.666666666664</v>
      </c>
      <c r="B7448" s="19">
        <v>109.36</v>
      </c>
      <c r="C7448" t="s">
        <v>32</v>
      </c>
      <c r="D7448" t="str">
        <f>T_Stocks[[#This Row],[Ticker]] &amp; "-" &amp; DATE(YEAR(T_Stocks[[#This Row],[Fecha]]),MONTH(T_Stocks[[#This Row],[Fecha]]),DAY(T_Stocks[[#This Row],[Fecha]]))</f>
        <v>VTSAX-44475</v>
      </c>
    </row>
    <row r="7449" spans="1:4" ht="14.65" thickBot="1" x14ac:dyDescent="0.5">
      <c r="A7449" s="17">
        <v>44476.666666666664</v>
      </c>
      <c r="B7449" s="19">
        <v>110.43</v>
      </c>
      <c r="C7449" t="s">
        <v>32</v>
      </c>
      <c r="D7449" t="str">
        <f>T_Stocks[[#This Row],[Ticker]] &amp; "-" &amp; DATE(YEAR(T_Stocks[[#This Row],[Fecha]]),MONTH(T_Stocks[[#This Row],[Fecha]]),DAY(T_Stocks[[#This Row],[Fecha]]))</f>
        <v>VTSAX-44476</v>
      </c>
    </row>
    <row r="7450" spans="1:4" ht="14.65" thickBot="1" x14ac:dyDescent="0.5">
      <c r="A7450" s="17">
        <v>44477.666666666664</v>
      </c>
      <c r="B7450" s="19">
        <v>110.12</v>
      </c>
      <c r="C7450" t="s">
        <v>32</v>
      </c>
      <c r="D7450" t="str">
        <f>T_Stocks[[#This Row],[Ticker]] &amp; "-" &amp; DATE(YEAR(T_Stocks[[#This Row],[Fecha]]),MONTH(T_Stocks[[#This Row],[Fecha]]),DAY(T_Stocks[[#This Row],[Fecha]]))</f>
        <v>VTSAX-44477</v>
      </c>
    </row>
    <row r="7451" spans="1:4" ht="14.65" thickBot="1" x14ac:dyDescent="0.5">
      <c r="A7451" s="17">
        <v>44480.666666666664</v>
      </c>
      <c r="B7451" s="19">
        <v>109.38</v>
      </c>
      <c r="C7451" t="s">
        <v>32</v>
      </c>
      <c r="D7451" t="str">
        <f>T_Stocks[[#This Row],[Ticker]] &amp; "-" &amp; DATE(YEAR(T_Stocks[[#This Row],[Fecha]]),MONTH(T_Stocks[[#This Row],[Fecha]]),DAY(T_Stocks[[#This Row],[Fecha]]))</f>
        <v>VTSAX-44480</v>
      </c>
    </row>
    <row r="7452" spans="1:4" ht="14.65" thickBot="1" x14ac:dyDescent="0.5">
      <c r="A7452" s="17">
        <v>44481.666666666664</v>
      </c>
      <c r="B7452" s="19">
        <v>109.33</v>
      </c>
      <c r="C7452" t="s">
        <v>32</v>
      </c>
      <c r="D7452" t="str">
        <f>T_Stocks[[#This Row],[Ticker]] &amp; "-" &amp; DATE(YEAR(T_Stocks[[#This Row],[Fecha]]),MONTH(T_Stocks[[#This Row],[Fecha]]),DAY(T_Stocks[[#This Row],[Fecha]]))</f>
        <v>VTSAX-44481</v>
      </c>
    </row>
    <row r="7453" spans="1:4" ht="14.65" thickBot="1" x14ac:dyDescent="0.5">
      <c r="A7453" s="17">
        <v>44482.666666666664</v>
      </c>
      <c r="B7453" s="19">
        <v>109.79</v>
      </c>
      <c r="C7453" t="s">
        <v>32</v>
      </c>
      <c r="D7453" t="str">
        <f>T_Stocks[[#This Row],[Ticker]] &amp; "-" &amp; DATE(YEAR(T_Stocks[[#This Row],[Fecha]]),MONTH(T_Stocks[[#This Row],[Fecha]]),DAY(T_Stocks[[#This Row],[Fecha]]))</f>
        <v>VTSAX-44482</v>
      </c>
    </row>
    <row r="7454" spans="1:4" ht="14.65" thickBot="1" x14ac:dyDescent="0.5">
      <c r="A7454" s="17">
        <v>44483.666666666664</v>
      </c>
      <c r="B7454" s="19">
        <v>111.63</v>
      </c>
      <c r="C7454" t="s">
        <v>32</v>
      </c>
      <c r="D7454" t="str">
        <f>T_Stocks[[#This Row],[Ticker]] &amp; "-" &amp; DATE(YEAR(T_Stocks[[#This Row],[Fecha]]),MONTH(T_Stocks[[#This Row],[Fecha]]),DAY(T_Stocks[[#This Row],[Fecha]]))</f>
        <v>VTSAX-44483</v>
      </c>
    </row>
    <row r="7455" spans="1:4" ht="14.65" thickBot="1" x14ac:dyDescent="0.5">
      <c r="A7455" s="17">
        <v>44484.666666666664</v>
      </c>
      <c r="B7455" s="19">
        <v>112.31</v>
      </c>
      <c r="C7455" t="s">
        <v>32</v>
      </c>
      <c r="D7455" t="str">
        <f>T_Stocks[[#This Row],[Ticker]] &amp; "-" &amp; DATE(YEAR(T_Stocks[[#This Row],[Fecha]]),MONTH(T_Stocks[[#This Row],[Fecha]]),DAY(T_Stocks[[#This Row],[Fecha]]))</f>
        <v>VTSAX-44484</v>
      </c>
    </row>
    <row r="7456" spans="1:4" ht="14.65" thickBot="1" x14ac:dyDescent="0.5">
      <c r="A7456" s="17">
        <v>44487.666666666664</v>
      </c>
      <c r="B7456" s="19">
        <v>112.71</v>
      </c>
      <c r="C7456" t="s">
        <v>32</v>
      </c>
      <c r="D7456" t="str">
        <f>T_Stocks[[#This Row],[Ticker]] &amp; "-" &amp; DATE(YEAR(T_Stocks[[#This Row],[Fecha]]),MONTH(T_Stocks[[#This Row],[Fecha]]),DAY(T_Stocks[[#This Row],[Fecha]]))</f>
        <v>VTSAX-44487</v>
      </c>
    </row>
    <row r="7457" spans="1:4" ht="14.65" thickBot="1" x14ac:dyDescent="0.5">
      <c r="A7457" s="17">
        <v>44488.666666666664</v>
      </c>
      <c r="B7457" s="19">
        <v>113.49</v>
      </c>
      <c r="C7457" t="s">
        <v>32</v>
      </c>
      <c r="D7457" t="str">
        <f>T_Stocks[[#This Row],[Ticker]] &amp; "-" &amp; DATE(YEAR(T_Stocks[[#This Row],[Fecha]]),MONTH(T_Stocks[[#This Row],[Fecha]]),DAY(T_Stocks[[#This Row],[Fecha]]))</f>
        <v>VTSAX-44488</v>
      </c>
    </row>
    <row r="7458" spans="1:4" ht="14.65" thickBot="1" x14ac:dyDescent="0.5">
      <c r="A7458" s="17">
        <v>44489.666666666664</v>
      </c>
      <c r="B7458" s="19">
        <v>113.92</v>
      </c>
      <c r="C7458" t="s">
        <v>32</v>
      </c>
      <c r="D7458" t="str">
        <f>T_Stocks[[#This Row],[Ticker]] &amp; "-" &amp; DATE(YEAR(T_Stocks[[#This Row],[Fecha]]),MONTH(T_Stocks[[#This Row],[Fecha]]),DAY(T_Stocks[[#This Row],[Fecha]]))</f>
        <v>VTSAX-44489</v>
      </c>
    </row>
    <row r="7459" spans="1:4" ht="14.65" thickBot="1" x14ac:dyDescent="0.5">
      <c r="A7459" s="17">
        <v>44490.666666666664</v>
      </c>
      <c r="B7459" s="19">
        <v>114.33</v>
      </c>
      <c r="C7459" t="s">
        <v>32</v>
      </c>
      <c r="D7459" t="str">
        <f>T_Stocks[[#This Row],[Ticker]] &amp; "-" &amp; DATE(YEAR(T_Stocks[[#This Row],[Fecha]]),MONTH(T_Stocks[[#This Row],[Fecha]]),DAY(T_Stocks[[#This Row],[Fecha]]))</f>
        <v>VTSAX-44490</v>
      </c>
    </row>
    <row r="7460" spans="1:4" ht="14.65" thickBot="1" x14ac:dyDescent="0.5">
      <c r="A7460" s="17">
        <v>44491.666666666664</v>
      </c>
      <c r="B7460" s="19">
        <v>114.11</v>
      </c>
      <c r="C7460" t="s">
        <v>32</v>
      </c>
      <c r="D7460" t="str">
        <f>T_Stocks[[#This Row],[Ticker]] &amp; "-" &amp; DATE(YEAR(T_Stocks[[#This Row],[Fecha]]),MONTH(T_Stocks[[#This Row],[Fecha]]),DAY(T_Stocks[[#This Row],[Fecha]]))</f>
        <v>VTSAX-44491</v>
      </c>
    </row>
    <row r="7461" spans="1:4" ht="14.65" thickBot="1" x14ac:dyDescent="0.5">
      <c r="A7461" s="17">
        <v>44494.666666666664</v>
      </c>
      <c r="B7461" s="19">
        <v>114.69</v>
      </c>
      <c r="C7461" t="s">
        <v>32</v>
      </c>
      <c r="D7461" t="str">
        <f>T_Stocks[[#This Row],[Ticker]] &amp; "-" &amp; DATE(YEAR(T_Stocks[[#This Row],[Fecha]]),MONTH(T_Stocks[[#This Row],[Fecha]]),DAY(T_Stocks[[#This Row],[Fecha]]))</f>
        <v>VTSAX-44494</v>
      </c>
    </row>
    <row r="7462" spans="1:4" ht="14.65" thickBot="1" x14ac:dyDescent="0.5">
      <c r="A7462" s="17">
        <v>44495.666666666664</v>
      </c>
      <c r="B7462" s="19">
        <v>114.75</v>
      </c>
      <c r="C7462" t="s">
        <v>32</v>
      </c>
      <c r="D7462" t="str">
        <f>T_Stocks[[#This Row],[Ticker]] &amp; "-" &amp; DATE(YEAR(T_Stocks[[#This Row],[Fecha]]),MONTH(T_Stocks[[#This Row],[Fecha]]),DAY(T_Stocks[[#This Row],[Fecha]]))</f>
        <v>VTSAX-44495</v>
      </c>
    </row>
    <row r="7463" spans="1:4" ht="14.65" thickBot="1" x14ac:dyDescent="0.5">
      <c r="A7463" s="17">
        <v>44496.666666666664</v>
      </c>
      <c r="B7463" s="19">
        <v>113.89</v>
      </c>
      <c r="C7463" t="s">
        <v>32</v>
      </c>
      <c r="D7463" t="str">
        <f>T_Stocks[[#This Row],[Ticker]] &amp; "-" &amp; DATE(YEAR(T_Stocks[[#This Row],[Fecha]]),MONTH(T_Stocks[[#This Row],[Fecha]]),DAY(T_Stocks[[#This Row],[Fecha]]))</f>
        <v>VTSAX-44496</v>
      </c>
    </row>
    <row r="7464" spans="1:4" ht="14.65" thickBot="1" x14ac:dyDescent="0.5">
      <c r="A7464" s="17">
        <v>44497.666666666664</v>
      </c>
      <c r="B7464" s="19">
        <v>115.14</v>
      </c>
      <c r="C7464" t="s">
        <v>32</v>
      </c>
      <c r="D7464" t="str">
        <f>T_Stocks[[#This Row],[Ticker]] &amp; "-" &amp; DATE(YEAR(T_Stocks[[#This Row],[Fecha]]),MONTH(T_Stocks[[#This Row],[Fecha]]),DAY(T_Stocks[[#This Row],[Fecha]]))</f>
        <v>VTSAX-44497</v>
      </c>
    </row>
    <row r="7465" spans="1:4" ht="14.65" thickBot="1" x14ac:dyDescent="0.5">
      <c r="A7465" s="17">
        <v>44498.666666666664</v>
      </c>
      <c r="B7465" s="19">
        <v>115.35</v>
      </c>
      <c r="C7465" t="s">
        <v>32</v>
      </c>
      <c r="D7465" t="str">
        <f>T_Stocks[[#This Row],[Ticker]] &amp; "-" &amp; DATE(YEAR(T_Stocks[[#This Row],[Fecha]]),MONTH(T_Stocks[[#This Row],[Fecha]]),DAY(T_Stocks[[#This Row],[Fecha]]))</f>
        <v>VTSAX-44498</v>
      </c>
    </row>
    <row r="7466" spans="1:4" ht="14.65" thickBot="1" x14ac:dyDescent="0.5">
      <c r="A7466" s="17">
        <v>44501.666666666664</v>
      </c>
      <c r="B7466" s="19">
        <v>115.88</v>
      </c>
      <c r="C7466" t="s">
        <v>32</v>
      </c>
      <c r="D7466" t="str">
        <f>T_Stocks[[#This Row],[Ticker]] &amp; "-" &amp; DATE(YEAR(T_Stocks[[#This Row],[Fecha]]),MONTH(T_Stocks[[#This Row],[Fecha]]),DAY(T_Stocks[[#This Row],[Fecha]]))</f>
        <v>VTSAX-44501</v>
      </c>
    </row>
    <row r="7467" spans="1:4" ht="14.65" thickBot="1" x14ac:dyDescent="0.5">
      <c r="A7467" s="17">
        <v>44502.666666666664</v>
      </c>
      <c r="B7467" s="19">
        <v>116.21</v>
      </c>
      <c r="C7467" t="s">
        <v>32</v>
      </c>
      <c r="D7467" t="str">
        <f>T_Stocks[[#This Row],[Ticker]] &amp; "-" &amp; DATE(YEAR(T_Stocks[[#This Row],[Fecha]]),MONTH(T_Stocks[[#This Row],[Fecha]]),DAY(T_Stocks[[#This Row],[Fecha]]))</f>
        <v>VTSAX-44502</v>
      </c>
    </row>
    <row r="7468" spans="1:4" ht="14.65" thickBot="1" x14ac:dyDescent="0.5">
      <c r="A7468" s="17">
        <v>44503.666666666664</v>
      </c>
      <c r="B7468" s="19">
        <v>117.07</v>
      </c>
      <c r="C7468" t="s">
        <v>32</v>
      </c>
      <c r="D7468" t="str">
        <f>T_Stocks[[#This Row],[Ticker]] &amp; "-" &amp; DATE(YEAR(T_Stocks[[#This Row],[Fecha]]),MONTH(T_Stocks[[#This Row],[Fecha]]),DAY(T_Stocks[[#This Row],[Fecha]]))</f>
        <v>VTSAX-44503</v>
      </c>
    </row>
    <row r="7469" spans="1:4" ht="14.65" thickBot="1" x14ac:dyDescent="0.5">
      <c r="A7469" s="17">
        <v>44504.666666666664</v>
      </c>
      <c r="B7469" s="19">
        <v>117.46</v>
      </c>
      <c r="C7469" t="s">
        <v>32</v>
      </c>
      <c r="D7469" t="str">
        <f>T_Stocks[[#This Row],[Ticker]] &amp; "-" &amp; DATE(YEAR(T_Stocks[[#This Row],[Fecha]]),MONTH(T_Stocks[[#This Row],[Fecha]]),DAY(T_Stocks[[#This Row],[Fecha]]))</f>
        <v>VTSAX-44504</v>
      </c>
    </row>
    <row r="7470" spans="1:4" ht="14.65" thickBot="1" x14ac:dyDescent="0.5">
      <c r="A7470" s="17">
        <v>44505.666666666664</v>
      </c>
      <c r="B7470" s="19">
        <v>117.94</v>
      </c>
      <c r="C7470" t="s">
        <v>32</v>
      </c>
      <c r="D7470" t="str">
        <f>T_Stocks[[#This Row],[Ticker]] &amp; "-" &amp; DATE(YEAR(T_Stocks[[#This Row],[Fecha]]),MONTH(T_Stocks[[#This Row],[Fecha]]),DAY(T_Stocks[[#This Row],[Fecha]]))</f>
        <v>VTSAX-44505</v>
      </c>
    </row>
    <row r="7471" spans="1:4" ht="14.65" thickBot="1" x14ac:dyDescent="0.5">
      <c r="A7471" s="17">
        <v>44508.666666666664</v>
      </c>
      <c r="B7471" s="19">
        <v>118.14</v>
      </c>
      <c r="C7471" t="s">
        <v>32</v>
      </c>
      <c r="D7471" t="str">
        <f>T_Stocks[[#This Row],[Ticker]] &amp; "-" &amp; DATE(YEAR(T_Stocks[[#This Row],[Fecha]]),MONTH(T_Stocks[[#This Row],[Fecha]]),DAY(T_Stocks[[#This Row],[Fecha]]))</f>
        <v>VTSAX-44508</v>
      </c>
    </row>
    <row r="7472" spans="1:4" ht="14.65" thickBot="1" x14ac:dyDescent="0.5">
      <c r="A7472" s="17">
        <v>44509.666666666664</v>
      </c>
      <c r="B7472" s="19">
        <v>117.8</v>
      </c>
      <c r="C7472" t="s">
        <v>32</v>
      </c>
      <c r="D7472" t="str">
        <f>T_Stocks[[#This Row],[Ticker]] &amp; "-" &amp; DATE(YEAR(T_Stocks[[#This Row],[Fecha]]),MONTH(T_Stocks[[#This Row],[Fecha]]),DAY(T_Stocks[[#This Row],[Fecha]]))</f>
        <v>VTSAX-44509</v>
      </c>
    </row>
    <row r="7473" spans="1:4" ht="14.65" thickBot="1" x14ac:dyDescent="0.5">
      <c r="A7473" s="17">
        <v>44510.666666666664</v>
      </c>
      <c r="B7473" s="19">
        <v>116.63</v>
      </c>
      <c r="C7473" t="s">
        <v>32</v>
      </c>
      <c r="D7473" t="str">
        <f>T_Stocks[[#This Row],[Ticker]] &amp; "-" &amp; DATE(YEAR(T_Stocks[[#This Row],[Fecha]]),MONTH(T_Stocks[[#This Row],[Fecha]]),DAY(T_Stocks[[#This Row],[Fecha]]))</f>
        <v>VTSAX-44510</v>
      </c>
    </row>
    <row r="7474" spans="1:4" ht="14.65" thickBot="1" x14ac:dyDescent="0.5">
      <c r="A7474" s="17">
        <v>44511.666666666664</v>
      </c>
      <c r="B7474" s="19">
        <v>116.82</v>
      </c>
      <c r="C7474" t="s">
        <v>32</v>
      </c>
      <c r="D7474" t="str">
        <f>T_Stocks[[#This Row],[Ticker]] &amp; "-" &amp; DATE(YEAR(T_Stocks[[#This Row],[Fecha]]),MONTH(T_Stocks[[#This Row],[Fecha]]),DAY(T_Stocks[[#This Row],[Fecha]]))</f>
        <v>VTSAX-44511</v>
      </c>
    </row>
    <row r="7475" spans="1:4" ht="14.65" thickBot="1" x14ac:dyDescent="0.5">
      <c r="A7475" s="17">
        <v>44512.666666666664</v>
      </c>
      <c r="B7475" s="19">
        <v>117.67</v>
      </c>
      <c r="C7475" t="s">
        <v>32</v>
      </c>
      <c r="D7475" t="str">
        <f>T_Stocks[[#This Row],[Ticker]] &amp; "-" &amp; DATE(YEAR(T_Stocks[[#This Row],[Fecha]]),MONTH(T_Stocks[[#This Row],[Fecha]]),DAY(T_Stocks[[#This Row],[Fecha]]))</f>
        <v>VTSAX-44512</v>
      </c>
    </row>
    <row r="7476" spans="1:4" ht="14.65" thickBot="1" x14ac:dyDescent="0.5">
      <c r="A7476" s="17">
        <v>44515.666666666664</v>
      </c>
      <c r="B7476" s="19">
        <v>117.64</v>
      </c>
      <c r="C7476" t="s">
        <v>32</v>
      </c>
      <c r="D7476" t="str">
        <f>T_Stocks[[#This Row],[Ticker]] &amp; "-" &amp; DATE(YEAR(T_Stocks[[#This Row],[Fecha]]),MONTH(T_Stocks[[#This Row],[Fecha]]),DAY(T_Stocks[[#This Row],[Fecha]]))</f>
        <v>VTSAX-44515</v>
      </c>
    </row>
    <row r="7477" spans="1:4" ht="14.65" thickBot="1" x14ac:dyDescent="0.5">
      <c r="A7477" s="17">
        <v>44516.666666666664</v>
      </c>
      <c r="B7477" s="19">
        <v>118.13</v>
      </c>
      <c r="C7477" t="s">
        <v>32</v>
      </c>
      <c r="D7477" t="str">
        <f>T_Stocks[[#This Row],[Ticker]] &amp; "-" &amp; DATE(YEAR(T_Stocks[[#This Row],[Fecha]]),MONTH(T_Stocks[[#This Row],[Fecha]]),DAY(T_Stocks[[#This Row],[Fecha]]))</f>
        <v>VTSAX-44516</v>
      </c>
    </row>
    <row r="7478" spans="1:4" ht="14.65" thickBot="1" x14ac:dyDescent="0.5">
      <c r="A7478" s="17">
        <v>44517.666666666664</v>
      </c>
      <c r="B7478" s="19">
        <v>117.66</v>
      </c>
      <c r="C7478" t="s">
        <v>32</v>
      </c>
      <c r="D7478" t="str">
        <f>T_Stocks[[#This Row],[Ticker]] &amp; "-" &amp; DATE(YEAR(T_Stocks[[#This Row],[Fecha]]),MONTH(T_Stocks[[#This Row],[Fecha]]),DAY(T_Stocks[[#This Row],[Fecha]]))</f>
        <v>VTSAX-44517</v>
      </c>
    </row>
    <row r="7479" spans="1:4" ht="14.65" thickBot="1" x14ac:dyDescent="0.5">
      <c r="A7479" s="17">
        <v>44518.666666666664</v>
      </c>
      <c r="B7479" s="19">
        <v>117.84</v>
      </c>
      <c r="C7479" t="s">
        <v>32</v>
      </c>
      <c r="D7479" t="str">
        <f>T_Stocks[[#This Row],[Ticker]] &amp; "-" &amp; DATE(YEAR(T_Stocks[[#This Row],[Fecha]]),MONTH(T_Stocks[[#This Row],[Fecha]]),DAY(T_Stocks[[#This Row],[Fecha]]))</f>
        <v>VTSAX-44518</v>
      </c>
    </row>
    <row r="7480" spans="1:4" ht="14.65" thickBot="1" x14ac:dyDescent="0.5">
      <c r="A7480" s="17">
        <v>44519.666666666664</v>
      </c>
      <c r="B7480" s="19">
        <v>117.54</v>
      </c>
      <c r="C7480" t="s">
        <v>32</v>
      </c>
      <c r="D7480" t="str">
        <f>T_Stocks[[#This Row],[Ticker]] &amp; "-" &amp; DATE(YEAR(T_Stocks[[#This Row],[Fecha]]),MONTH(T_Stocks[[#This Row],[Fecha]]),DAY(T_Stocks[[#This Row],[Fecha]]))</f>
        <v>VTSAX-44519</v>
      </c>
    </row>
    <row r="7481" spans="1:4" ht="14.65" thickBot="1" x14ac:dyDescent="0.5">
      <c r="A7481" s="17">
        <v>44522.666666666664</v>
      </c>
      <c r="B7481" s="19">
        <v>116.94</v>
      </c>
      <c r="C7481" t="s">
        <v>32</v>
      </c>
      <c r="D7481" t="str">
        <f>T_Stocks[[#This Row],[Ticker]] &amp; "-" &amp; DATE(YEAR(T_Stocks[[#This Row],[Fecha]]),MONTH(T_Stocks[[#This Row],[Fecha]]),DAY(T_Stocks[[#This Row],[Fecha]]))</f>
        <v>VTSAX-44522</v>
      </c>
    </row>
    <row r="7482" spans="1:4" ht="14.65" thickBot="1" x14ac:dyDescent="0.5">
      <c r="A7482" s="17">
        <v>44523.666666666664</v>
      </c>
      <c r="B7482" s="19">
        <v>116.99</v>
      </c>
      <c r="C7482" t="s">
        <v>32</v>
      </c>
      <c r="D7482" t="str">
        <f>T_Stocks[[#This Row],[Ticker]] &amp; "-" &amp; DATE(YEAR(T_Stocks[[#This Row],[Fecha]]),MONTH(T_Stocks[[#This Row],[Fecha]]),DAY(T_Stocks[[#This Row],[Fecha]]))</f>
        <v>VTSAX-44523</v>
      </c>
    </row>
    <row r="7483" spans="1:4" ht="14.65" thickBot="1" x14ac:dyDescent="0.5">
      <c r="A7483" s="17">
        <v>44524.666666666664</v>
      </c>
      <c r="B7483" s="19">
        <v>117.33</v>
      </c>
      <c r="C7483" t="s">
        <v>32</v>
      </c>
      <c r="D7483" t="str">
        <f>T_Stocks[[#This Row],[Ticker]] &amp; "-" &amp; DATE(YEAR(T_Stocks[[#This Row],[Fecha]]),MONTH(T_Stocks[[#This Row],[Fecha]]),DAY(T_Stocks[[#This Row],[Fecha]]))</f>
        <v>VTSAX-44524</v>
      </c>
    </row>
    <row r="7484" spans="1:4" ht="14.65" thickBot="1" x14ac:dyDescent="0.5">
      <c r="A7484" s="17">
        <v>44526.541666666664</v>
      </c>
      <c r="B7484" s="19">
        <v>114.65</v>
      </c>
      <c r="C7484" t="s">
        <v>32</v>
      </c>
      <c r="D7484" t="str">
        <f>T_Stocks[[#This Row],[Ticker]] &amp; "-" &amp; DATE(YEAR(T_Stocks[[#This Row],[Fecha]]),MONTH(T_Stocks[[#This Row],[Fecha]]),DAY(T_Stocks[[#This Row],[Fecha]]))</f>
        <v>VTSAX-44526</v>
      </c>
    </row>
    <row r="7485" spans="1:4" ht="14.65" thickBot="1" x14ac:dyDescent="0.5">
      <c r="A7485" s="17">
        <v>44529.666666666664</v>
      </c>
      <c r="B7485" s="19">
        <v>115.92</v>
      </c>
      <c r="C7485" t="s">
        <v>32</v>
      </c>
      <c r="D7485" t="str">
        <f>T_Stocks[[#This Row],[Ticker]] &amp; "-" &amp; DATE(YEAR(T_Stocks[[#This Row],[Fecha]]),MONTH(T_Stocks[[#This Row],[Fecha]]),DAY(T_Stocks[[#This Row],[Fecha]]))</f>
        <v>VTSAX-44529</v>
      </c>
    </row>
    <row r="7486" spans="1:4" ht="14.65" thickBot="1" x14ac:dyDescent="0.5">
      <c r="A7486" s="17">
        <v>44530.666666666664</v>
      </c>
      <c r="B7486" s="19">
        <v>113.64</v>
      </c>
      <c r="C7486" t="s">
        <v>32</v>
      </c>
      <c r="D7486" t="str">
        <f>T_Stocks[[#This Row],[Ticker]] &amp; "-" &amp; DATE(YEAR(T_Stocks[[#This Row],[Fecha]]),MONTH(T_Stocks[[#This Row],[Fecha]]),DAY(T_Stocks[[#This Row],[Fecha]]))</f>
        <v>VTSAX-44530</v>
      </c>
    </row>
    <row r="7487" spans="1:4" ht="14.65" thickBot="1" x14ac:dyDescent="0.5">
      <c r="A7487" s="17">
        <v>44531.666666666664</v>
      </c>
      <c r="B7487" s="19">
        <v>111.97</v>
      </c>
      <c r="C7487" t="s">
        <v>32</v>
      </c>
      <c r="D7487" t="str">
        <f>T_Stocks[[#This Row],[Ticker]] &amp; "-" &amp; DATE(YEAR(T_Stocks[[#This Row],[Fecha]]),MONTH(T_Stocks[[#This Row],[Fecha]]),DAY(T_Stocks[[#This Row],[Fecha]]))</f>
        <v>VTSAX-44531</v>
      </c>
    </row>
    <row r="7488" spans="1:4" ht="14.65" thickBot="1" x14ac:dyDescent="0.5">
      <c r="A7488" s="17">
        <v>44532.666666666664</v>
      </c>
      <c r="B7488" s="19">
        <v>113.78</v>
      </c>
      <c r="C7488" t="s">
        <v>32</v>
      </c>
      <c r="D7488" t="str">
        <f>T_Stocks[[#This Row],[Ticker]] &amp; "-" &amp; DATE(YEAR(T_Stocks[[#This Row],[Fecha]]),MONTH(T_Stocks[[#This Row],[Fecha]]),DAY(T_Stocks[[#This Row],[Fecha]]))</f>
        <v>VTSAX-44532</v>
      </c>
    </row>
    <row r="7489" spans="1:4" ht="14.65" thickBot="1" x14ac:dyDescent="0.5">
      <c r="A7489" s="17">
        <v>44533.666666666664</v>
      </c>
      <c r="B7489" s="19">
        <v>112.54</v>
      </c>
      <c r="C7489" t="s">
        <v>32</v>
      </c>
      <c r="D7489" t="str">
        <f>T_Stocks[[#This Row],[Ticker]] &amp; "-" &amp; DATE(YEAR(T_Stocks[[#This Row],[Fecha]]),MONTH(T_Stocks[[#This Row],[Fecha]]),DAY(T_Stocks[[#This Row],[Fecha]]))</f>
        <v>VTSAX-44533</v>
      </c>
    </row>
    <row r="7490" spans="1:4" ht="14.65" thickBot="1" x14ac:dyDescent="0.5">
      <c r="A7490" s="17">
        <v>44536.666666666664</v>
      </c>
      <c r="B7490" s="19">
        <v>113.92</v>
      </c>
      <c r="C7490" t="s">
        <v>32</v>
      </c>
      <c r="D7490" t="str">
        <f>T_Stocks[[#This Row],[Ticker]] &amp; "-" &amp; DATE(YEAR(T_Stocks[[#This Row],[Fecha]]),MONTH(T_Stocks[[#This Row],[Fecha]]),DAY(T_Stocks[[#This Row],[Fecha]]))</f>
        <v>VTSAX-44536</v>
      </c>
    </row>
    <row r="7491" spans="1:4" ht="14.65" thickBot="1" x14ac:dyDescent="0.5">
      <c r="A7491" s="17">
        <v>44537.666666666664</v>
      </c>
      <c r="B7491" s="19">
        <v>116.37</v>
      </c>
      <c r="C7491" t="s">
        <v>32</v>
      </c>
      <c r="D7491" t="str">
        <f>T_Stocks[[#This Row],[Ticker]] &amp; "-" &amp; DATE(YEAR(T_Stocks[[#This Row],[Fecha]]),MONTH(T_Stocks[[#This Row],[Fecha]]),DAY(T_Stocks[[#This Row],[Fecha]]))</f>
        <v>VTSAX-44537</v>
      </c>
    </row>
    <row r="7492" spans="1:4" ht="14.65" thickBot="1" x14ac:dyDescent="0.5">
      <c r="A7492" s="17">
        <v>44538.666666666664</v>
      </c>
      <c r="B7492" s="19">
        <v>116.9</v>
      </c>
      <c r="C7492" t="s">
        <v>32</v>
      </c>
      <c r="D7492" t="str">
        <f>T_Stocks[[#This Row],[Ticker]] &amp; "-" &amp; DATE(YEAR(T_Stocks[[#This Row],[Fecha]]),MONTH(T_Stocks[[#This Row],[Fecha]]),DAY(T_Stocks[[#This Row],[Fecha]]))</f>
        <v>VTSAX-44538</v>
      </c>
    </row>
    <row r="7493" spans="1:4" ht="14.65" thickBot="1" x14ac:dyDescent="0.5">
      <c r="A7493" s="17">
        <v>44539.666666666664</v>
      </c>
      <c r="B7493" s="19">
        <v>115.76</v>
      </c>
      <c r="C7493" t="s">
        <v>32</v>
      </c>
      <c r="D7493" t="str">
        <f>T_Stocks[[#This Row],[Ticker]] &amp; "-" &amp; DATE(YEAR(T_Stocks[[#This Row],[Fecha]]),MONTH(T_Stocks[[#This Row],[Fecha]]),DAY(T_Stocks[[#This Row],[Fecha]]))</f>
        <v>VTSAX-44539</v>
      </c>
    </row>
    <row r="7494" spans="1:4" ht="14.65" thickBot="1" x14ac:dyDescent="0.5">
      <c r="A7494" s="17">
        <v>44540.666666666664</v>
      </c>
      <c r="B7494" s="19">
        <v>116.58</v>
      </c>
      <c r="C7494" t="s">
        <v>32</v>
      </c>
      <c r="D7494" t="str">
        <f>T_Stocks[[#This Row],[Ticker]] &amp; "-" &amp; DATE(YEAR(T_Stocks[[#This Row],[Fecha]]),MONTH(T_Stocks[[#This Row],[Fecha]]),DAY(T_Stocks[[#This Row],[Fecha]]))</f>
        <v>VTSAX-44540</v>
      </c>
    </row>
    <row r="7495" spans="1:4" ht="14.65" thickBot="1" x14ac:dyDescent="0.5">
      <c r="A7495" s="17">
        <v>44543.666666666664</v>
      </c>
      <c r="B7495" s="19">
        <v>115.46</v>
      </c>
      <c r="C7495" t="s">
        <v>32</v>
      </c>
      <c r="D7495" t="str">
        <f>T_Stocks[[#This Row],[Ticker]] &amp; "-" &amp; DATE(YEAR(T_Stocks[[#This Row],[Fecha]]),MONTH(T_Stocks[[#This Row],[Fecha]]),DAY(T_Stocks[[#This Row],[Fecha]]))</f>
        <v>VTSAX-44543</v>
      </c>
    </row>
    <row r="7496" spans="1:4" ht="14.65" thickBot="1" x14ac:dyDescent="0.5">
      <c r="A7496" s="17">
        <v>44544.666666666664</v>
      </c>
      <c r="B7496" s="19">
        <v>114.56</v>
      </c>
      <c r="C7496" t="s">
        <v>32</v>
      </c>
      <c r="D7496" t="str">
        <f>T_Stocks[[#This Row],[Ticker]] &amp; "-" &amp; DATE(YEAR(T_Stocks[[#This Row],[Fecha]]),MONTH(T_Stocks[[#This Row],[Fecha]]),DAY(T_Stocks[[#This Row],[Fecha]]))</f>
        <v>VTSAX-44544</v>
      </c>
    </row>
    <row r="7497" spans="1:4" ht="14.65" thickBot="1" x14ac:dyDescent="0.5">
      <c r="A7497" s="17">
        <v>44545.666666666664</v>
      </c>
      <c r="B7497" s="19">
        <v>116.39</v>
      </c>
      <c r="C7497" t="s">
        <v>32</v>
      </c>
      <c r="D7497" t="str">
        <f>T_Stocks[[#This Row],[Ticker]] &amp; "-" &amp; DATE(YEAR(T_Stocks[[#This Row],[Fecha]]),MONTH(T_Stocks[[#This Row],[Fecha]]),DAY(T_Stocks[[#This Row],[Fecha]]))</f>
        <v>VTSAX-44545</v>
      </c>
    </row>
    <row r="7498" spans="1:4" ht="14.65" thickBot="1" x14ac:dyDescent="0.5">
      <c r="A7498" s="17">
        <v>44546.666666666664</v>
      </c>
      <c r="B7498" s="19">
        <v>115.16</v>
      </c>
      <c r="C7498" t="s">
        <v>32</v>
      </c>
      <c r="D7498" t="str">
        <f>T_Stocks[[#This Row],[Ticker]] &amp; "-" &amp; DATE(YEAR(T_Stocks[[#This Row],[Fecha]]),MONTH(T_Stocks[[#This Row],[Fecha]]),DAY(T_Stocks[[#This Row],[Fecha]]))</f>
        <v>VTSAX-44546</v>
      </c>
    </row>
    <row r="7499" spans="1:4" ht="14.65" thickBot="1" x14ac:dyDescent="0.5">
      <c r="A7499" s="17">
        <v>44547.666666666664</v>
      </c>
      <c r="B7499" s="19">
        <v>114.36</v>
      </c>
      <c r="C7499" t="s">
        <v>32</v>
      </c>
      <c r="D7499" t="str">
        <f>T_Stocks[[#This Row],[Ticker]] &amp; "-" &amp; DATE(YEAR(T_Stocks[[#This Row],[Fecha]]),MONTH(T_Stocks[[#This Row],[Fecha]]),DAY(T_Stocks[[#This Row],[Fecha]]))</f>
        <v>VTSAX-44547</v>
      </c>
    </row>
    <row r="7500" spans="1:4" ht="14.65" thickBot="1" x14ac:dyDescent="0.5">
      <c r="A7500" s="17">
        <v>44550.666666666664</v>
      </c>
      <c r="B7500" s="19">
        <v>112.96</v>
      </c>
      <c r="C7500" t="s">
        <v>32</v>
      </c>
      <c r="D7500" t="str">
        <f>T_Stocks[[#This Row],[Ticker]] &amp; "-" &amp; DATE(YEAR(T_Stocks[[#This Row],[Fecha]]),MONTH(T_Stocks[[#This Row],[Fecha]]),DAY(T_Stocks[[#This Row],[Fecha]]))</f>
        <v>VTSAX-44550</v>
      </c>
    </row>
    <row r="7501" spans="1:4" ht="14.65" thickBot="1" x14ac:dyDescent="0.5">
      <c r="A7501" s="17">
        <v>44551.666666666664</v>
      </c>
      <c r="B7501" s="19">
        <v>115.23</v>
      </c>
      <c r="C7501" t="s">
        <v>32</v>
      </c>
      <c r="D7501" t="str">
        <f>T_Stocks[[#This Row],[Ticker]] &amp; "-" &amp; DATE(YEAR(T_Stocks[[#This Row],[Fecha]]),MONTH(T_Stocks[[#This Row],[Fecha]]),DAY(T_Stocks[[#This Row],[Fecha]]))</f>
        <v>VTSAX-44551</v>
      </c>
    </row>
    <row r="7502" spans="1:4" ht="14.65" thickBot="1" x14ac:dyDescent="0.5">
      <c r="A7502" s="17">
        <v>44552.666666666664</v>
      </c>
      <c r="B7502" s="19">
        <v>116.36</v>
      </c>
      <c r="C7502" t="s">
        <v>32</v>
      </c>
      <c r="D7502" t="str">
        <f>T_Stocks[[#This Row],[Ticker]] &amp; "-" &amp; DATE(YEAR(T_Stocks[[#This Row],[Fecha]]),MONTH(T_Stocks[[#This Row],[Fecha]]),DAY(T_Stocks[[#This Row],[Fecha]]))</f>
        <v>VTSAX-44552</v>
      </c>
    </row>
    <row r="7503" spans="1:4" ht="14.65" thickBot="1" x14ac:dyDescent="0.5">
      <c r="A7503" s="17">
        <v>44553.666666666664</v>
      </c>
      <c r="B7503" s="19">
        <v>116.71</v>
      </c>
      <c r="C7503" t="s">
        <v>32</v>
      </c>
      <c r="D7503" t="str">
        <f>T_Stocks[[#This Row],[Ticker]] &amp; "-" &amp; DATE(YEAR(T_Stocks[[#This Row],[Fecha]]),MONTH(T_Stocks[[#This Row],[Fecha]]),DAY(T_Stocks[[#This Row],[Fecha]]))</f>
        <v>VTSAX-44553</v>
      </c>
    </row>
    <row r="7504" spans="1:4" ht="14.65" thickBot="1" x14ac:dyDescent="0.5">
      <c r="A7504" s="17">
        <v>44557.666666666664</v>
      </c>
      <c r="B7504" s="19">
        <v>118.22</v>
      </c>
      <c r="C7504" t="s">
        <v>32</v>
      </c>
      <c r="D7504" t="str">
        <f>T_Stocks[[#This Row],[Ticker]] &amp; "-" &amp; DATE(YEAR(T_Stocks[[#This Row],[Fecha]]),MONTH(T_Stocks[[#This Row],[Fecha]]),DAY(T_Stocks[[#This Row],[Fecha]]))</f>
        <v>VTSAX-44557</v>
      </c>
    </row>
    <row r="7505" spans="1:4" ht="14.65" thickBot="1" x14ac:dyDescent="0.5">
      <c r="A7505" s="17">
        <v>44558.666666666664</v>
      </c>
      <c r="B7505" s="19">
        <v>117.96</v>
      </c>
      <c r="C7505" t="s">
        <v>32</v>
      </c>
      <c r="D7505" t="str">
        <f>T_Stocks[[#This Row],[Ticker]] &amp; "-" &amp; DATE(YEAR(T_Stocks[[#This Row],[Fecha]]),MONTH(T_Stocks[[#This Row],[Fecha]]),DAY(T_Stocks[[#This Row],[Fecha]]))</f>
        <v>VTSAX-44558</v>
      </c>
    </row>
    <row r="7506" spans="1:4" ht="14.65" thickBot="1" x14ac:dyDescent="0.5">
      <c r="A7506" s="17">
        <v>44559.666666666664</v>
      </c>
      <c r="B7506" s="19">
        <v>118.1</v>
      </c>
      <c r="C7506" t="s">
        <v>32</v>
      </c>
      <c r="D7506" t="str">
        <f>T_Stocks[[#This Row],[Ticker]] &amp; "-" &amp; DATE(YEAR(T_Stocks[[#This Row],[Fecha]]),MONTH(T_Stocks[[#This Row],[Fecha]]),DAY(T_Stocks[[#This Row],[Fecha]]))</f>
        <v>VTSAX-44559</v>
      </c>
    </row>
    <row r="7507" spans="1:4" ht="14.65" thickBot="1" x14ac:dyDescent="0.5">
      <c r="A7507" s="17">
        <v>44560.666666666664</v>
      </c>
      <c r="B7507" s="19">
        <v>117.88</v>
      </c>
      <c r="C7507" t="s">
        <v>32</v>
      </c>
      <c r="D7507" t="str">
        <f>T_Stocks[[#This Row],[Ticker]] &amp; "-" &amp; DATE(YEAR(T_Stocks[[#This Row],[Fecha]]),MONTH(T_Stocks[[#This Row],[Fecha]]),DAY(T_Stocks[[#This Row],[Fecha]]))</f>
        <v>VTSAX-44560</v>
      </c>
    </row>
    <row r="7508" spans="1:4" ht="14.65" thickBot="1" x14ac:dyDescent="0.5">
      <c r="A7508" s="17">
        <v>44561.666666666664</v>
      </c>
      <c r="B7508" s="19">
        <v>117.56</v>
      </c>
      <c r="C7508" t="s">
        <v>32</v>
      </c>
      <c r="D7508" t="str">
        <f>T_Stocks[[#This Row],[Ticker]] &amp; "-" &amp; DATE(YEAR(T_Stocks[[#This Row],[Fecha]]),MONTH(T_Stocks[[#This Row],[Fecha]]),DAY(T_Stocks[[#This Row],[Fecha]]))</f>
        <v>VTSAX-44561</v>
      </c>
    </row>
    <row r="7509" spans="1:4" ht="14.65" thickBot="1" x14ac:dyDescent="0.5">
      <c r="A7509" s="17">
        <v>44564.666666666664</v>
      </c>
      <c r="B7509" s="19">
        <v>118.25</v>
      </c>
      <c r="C7509" t="s">
        <v>32</v>
      </c>
      <c r="D7509" t="str">
        <f>T_Stocks[[#This Row],[Ticker]] &amp; "-" &amp; DATE(YEAR(T_Stocks[[#This Row],[Fecha]]),MONTH(T_Stocks[[#This Row],[Fecha]]),DAY(T_Stocks[[#This Row],[Fecha]]))</f>
        <v>VTSAX-44564</v>
      </c>
    </row>
    <row r="7510" spans="1:4" ht="14.65" thickBot="1" x14ac:dyDescent="0.5">
      <c r="A7510" s="17">
        <v>44565.666666666664</v>
      </c>
      <c r="B7510" s="19">
        <v>118.05</v>
      </c>
      <c r="C7510" t="s">
        <v>32</v>
      </c>
      <c r="D7510" t="str">
        <f>T_Stocks[[#This Row],[Ticker]] &amp; "-" &amp; DATE(YEAR(T_Stocks[[#This Row],[Fecha]]),MONTH(T_Stocks[[#This Row],[Fecha]]),DAY(T_Stocks[[#This Row],[Fecha]]))</f>
        <v>VTSAX-44565</v>
      </c>
    </row>
    <row r="7511" spans="1:4" ht="14.65" thickBot="1" x14ac:dyDescent="0.5">
      <c r="A7511" s="17">
        <v>44566.666666666664</v>
      </c>
      <c r="B7511" s="19">
        <v>115.46</v>
      </c>
      <c r="C7511" t="s">
        <v>32</v>
      </c>
      <c r="D7511" t="str">
        <f>T_Stocks[[#This Row],[Ticker]] &amp; "-" &amp; DATE(YEAR(T_Stocks[[#This Row],[Fecha]]),MONTH(T_Stocks[[#This Row],[Fecha]]),DAY(T_Stocks[[#This Row],[Fecha]]))</f>
        <v>VTSAX-44566</v>
      </c>
    </row>
    <row r="7512" spans="1:4" ht="14.65" thickBot="1" x14ac:dyDescent="0.5">
      <c r="A7512" s="17">
        <v>44567.666666666664</v>
      </c>
      <c r="B7512" s="19">
        <v>115.45</v>
      </c>
      <c r="C7512" t="s">
        <v>32</v>
      </c>
      <c r="D7512" t="str">
        <f>T_Stocks[[#This Row],[Ticker]] &amp; "-" &amp; DATE(YEAR(T_Stocks[[#This Row],[Fecha]]),MONTH(T_Stocks[[#This Row],[Fecha]]),DAY(T_Stocks[[#This Row],[Fecha]]))</f>
        <v>VTSAX-44567</v>
      </c>
    </row>
    <row r="7513" spans="1:4" ht="14.65" thickBot="1" x14ac:dyDescent="0.5">
      <c r="A7513" s="17">
        <v>44568.666666666664</v>
      </c>
      <c r="B7513" s="19">
        <v>114.89</v>
      </c>
      <c r="C7513" t="s">
        <v>32</v>
      </c>
      <c r="D7513" t="str">
        <f>T_Stocks[[#This Row],[Ticker]] &amp; "-" &amp; DATE(YEAR(T_Stocks[[#This Row],[Fecha]]),MONTH(T_Stocks[[#This Row],[Fecha]]),DAY(T_Stocks[[#This Row],[Fecha]]))</f>
        <v>VTSAX-44568</v>
      </c>
    </row>
    <row r="7514" spans="1:4" ht="14.65" thickBot="1" x14ac:dyDescent="0.5">
      <c r="A7514" s="17">
        <v>44571.666666666664</v>
      </c>
      <c r="B7514" s="19">
        <v>114.71</v>
      </c>
      <c r="C7514" t="s">
        <v>32</v>
      </c>
      <c r="D7514" t="str">
        <f>T_Stocks[[#This Row],[Ticker]] &amp; "-" &amp; DATE(YEAR(T_Stocks[[#This Row],[Fecha]]),MONTH(T_Stocks[[#This Row],[Fecha]]),DAY(T_Stocks[[#This Row],[Fecha]]))</f>
        <v>VTSAX-44571</v>
      </c>
    </row>
    <row r="7515" spans="1:4" ht="14.65" thickBot="1" x14ac:dyDescent="0.5">
      <c r="A7515" s="17">
        <v>44572.666666666664</v>
      </c>
      <c r="B7515" s="19">
        <v>115.87</v>
      </c>
      <c r="C7515" t="s">
        <v>32</v>
      </c>
      <c r="D7515" t="str">
        <f>T_Stocks[[#This Row],[Ticker]] &amp; "-" &amp; DATE(YEAR(T_Stocks[[#This Row],[Fecha]]),MONTH(T_Stocks[[#This Row],[Fecha]]),DAY(T_Stocks[[#This Row],[Fecha]]))</f>
        <v>VTSAX-44572</v>
      </c>
    </row>
    <row r="7516" spans="1:4" ht="14.65" thickBot="1" x14ac:dyDescent="0.5">
      <c r="A7516" s="17">
        <v>44573.666666666664</v>
      </c>
      <c r="B7516" s="19">
        <v>116.04</v>
      </c>
      <c r="C7516" t="s">
        <v>32</v>
      </c>
      <c r="D7516" t="str">
        <f>T_Stocks[[#This Row],[Ticker]] &amp; "-" &amp; DATE(YEAR(T_Stocks[[#This Row],[Fecha]]),MONTH(T_Stocks[[#This Row],[Fecha]]),DAY(T_Stocks[[#This Row],[Fecha]]))</f>
        <v>VTSAX-44573</v>
      </c>
    </row>
    <row r="7517" spans="1:4" ht="14.65" thickBot="1" x14ac:dyDescent="0.5">
      <c r="A7517" s="17">
        <v>44574.666666666664</v>
      </c>
      <c r="B7517" s="19">
        <v>114.34</v>
      </c>
      <c r="C7517" t="s">
        <v>32</v>
      </c>
      <c r="D7517" t="str">
        <f>T_Stocks[[#This Row],[Ticker]] &amp; "-" &amp; DATE(YEAR(T_Stocks[[#This Row],[Fecha]]),MONTH(T_Stocks[[#This Row],[Fecha]]),DAY(T_Stocks[[#This Row],[Fecha]]))</f>
        <v>VTSAX-44574</v>
      </c>
    </row>
    <row r="7518" spans="1:4" ht="14.65" thickBot="1" x14ac:dyDescent="0.5">
      <c r="A7518" s="17">
        <v>44575.666666666664</v>
      </c>
      <c r="B7518" s="19">
        <v>114.39</v>
      </c>
      <c r="C7518" t="s">
        <v>32</v>
      </c>
      <c r="D7518" t="str">
        <f>T_Stocks[[#This Row],[Ticker]] &amp; "-" &amp; DATE(YEAR(T_Stocks[[#This Row],[Fecha]]),MONTH(T_Stocks[[#This Row],[Fecha]]),DAY(T_Stocks[[#This Row],[Fecha]]))</f>
        <v>VTSAX-44575</v>
      </c>
    </row>
    <row r="7519" spans="1:4" ht="14.65" thickBot="1" x14ac:dyDescent="0.5">
      <c r="A7519" s="17">
        <v>44579.666666666664</v>
      </c>
      <c r="B7519" s="19">
        <v>112.12</v>
      </c>
      <c r="C7519" t="s">
        <v>32</v>
      </c>
      <c r="D7519" t="str">
        <f>T_Stocks[[#This Row],[Ticker]] &amp; "-" &amp; DATE(YEAR(T_Stocks[[#This Row],[Fecha]]),MONTH(T_Stocks[[#This Row],[Fecha]]),DAY(T_Stocks[[#This Row],[Fecha]]))</f>
        <v>VTSAX-44579</v>
      </c>
    </row>
    <row r="7520" spans="1:4" ht="14.65" thickBot="1" x14ac:dyDescent="0.5">
      <c r="A7520" s="17">
        <v>44580.666666666664</v>
      </c>
      <c r="B7520" s="19">
        <v>110.99</v>
      </c>
      <c r="C7520" t="s">
        <v>32</v>
      </c>
      <c r="D7520" t="str">
        <f>T_Stocks[[#This Row],[Ticker]] &amp; "-" &amp; DATE(YEAR(T_Stocks[[#This Row],[Fecha]]),MONTH(T_Stocks[[#This Row],[Fecha]]),DAY(T_Stocks[[#This Row],[Fecha]]))</f>
        <v>VTSAX-44580</v>
      </c>
    </row>
    <row r="7521" spans="1:4" ht="14.65" thickBot="1" x14ac:dyDescent="0.5">
      <c r="A7521" s="17">
        <v>44581.666666666664</v>
      </c>
      <c r="B7521" s="19">
        <v>109.72</v>
      </c>
      <c r="C7521" t="s">
        <v>32</v>
      </c>
      <c r="D7521" t="str">
        <f>T_Stocks[[#This Row],[Ticker]] &amp; "-" &amp; DATE(YEAR(T_Stocks[[#This Row],[Fecha]]),MONTH(T_Stocks[[#This Row],[Fecha]]),DAY(T_Stocks[[#This Row],[Fecha]]))</f>
        <v>VTSAX-44581</v>
      </c>
    </row>
    <row r="7522" spans="1:4" ht="14.65" thickBot="1" x14ac:dyDescent="0.5">
      <c r="A7522" s="17">
        <v>44582.666666666664</v>
      </c>
      <c r="B7522" s="19">
        <v>107.56</v>
      </c>
      <c r="C7522" t="s">
        <v>32</v>
      </c>
      <c r="D7522" t="str">
        <f>T_Stocks[[#This Row],[Ticker]] &amp; "-" &amp; DATE(YEAR(T_Stocks[[#This Row],[Fecha]]),MONTH(T_Stocks[[#This Row],[Fecha]]),DAY(T_Stocks[[#This Row],[Fecha]]))</f>
        <v>VTSAX-44582</v>
      </c>
    </row>
    <row r="7523" spans="1:4" ht="14.65" thickBot="1" x14ac:dyDescent="0.5">
      <c r="A7523" s="17">
        <v>44585.666666666664</v>
      </c>
      <c r="B7523" s="19">
        <v>108.11</v>
      </c>
      <c r="C7523" t="s">
        <v>32</v>
      </c>
      <c r="D7523" t="str">
        <f>T_Stocks[[#This Row],[Ticker]] &amp; "-" &amp; DATE(YEAR(T_Stocks[[#This Row],[Fecha]]),MONTH(T_Stocks[[#This Row],[Fecha]]),DAY(T_Stocks[[#This Row],[Fecha]]))</f>
        <v>VTSAX-44585</v>
      </c>
    </row>
    <row r="7524" spans="1:4" ht="14.65" thickBot="1" x14ac:dyDescent="0.5">
      <c r="A7524" s="17">
        <v>44586.666666666664</v>
      </c>
      <c r="B7524" s="19">
        <v>106.65</v>
      </c>
      <c r="C7524" t="s">
        <v>32</v>
      </c>
      <c r="D7524" t="str">
        <f>T_Stocks[[#This Row],[Ticker]] &amp; "-" &amp; DATE(YEAR(T_Stocks[[#This Row],[Fecha]]),MONTH(T_Stocks[[#This Row],[Fecha]]),DAY(T_Stocks[[#This Row],[Fecha]]))</f>
        <v>VTSAX-44586</v>
      </c>
    </row>
    <row r="7525" spans="1:4" ht="14.65" thickBot="1" x14ac:dyDescent="0.5">
      <c r="A7525" s="17">
        <v>44587.666666666664</v>
      </c>
      <c r="B7525" s="19">
        <v>106.29</v>
      </c>
      <c r="C7525" t="s">
        <v>32</v>
      </c>
      <c r="D7525" t="str">
        <f>T_Stocks[[#This Row],[Ticker]] &amp; "-" &amp; DATE(YEAR(T_Stocks[[#This Row],[Fecha]]),MONTH(T_Stocks[[#This Row],[Fecha]]),DAY(T_Stocks[[#This Row],[Fecha]]))</f>
        <v>VTSAX-44587</v>
      </c>
    </row>
    <row r="7526" spans="1:4" ht="14.65" thickBot="1" x14ac:dyDescent="0.5">
      <c r="A7526" s="17">
        <v>44588.666666666664</v>
      </c>
      <c r="B7526" s="19">
        <v>105.53</v>
      </c>
      <c r="C7526" t="s">
        <v>32</v>
      </c>
      <c r="D7526" t="str">
        <f>T_Stocks[[#This Row],[Ticker]] &amp; "-" &amp; DATE(YEAR(T_Stocks[[#This Row],[Fecha]]),MONTH(T_Stocks[[#This Row],[Fecha]]),DAY(T_Stocks[[#This Row],[Fecha]]))</f>
        <v>VTSAX-44588</v>
      </c>
    </row>
    <row r="7527" spans="1:4" ht="14.65" thickBot="1" x14ac:dyDescent="0.5">
      <c r="A7527" s="17">
        <v>44589.666666666664</v>
      </c>
      <c r="B7527" s="19">
        <v>108.12</v>
      </c>
      <c r="C7527" t="s">
        <v>32</v>
      </c>
      <c r="D7527" t="str">
        <f>T_Stocks[[#This Row],[Ticker]] &amp; "-" &amp; DATE(YEAR(T_Stocks[[#This Row],[Fecha]]),MONTH(T_Stocks[[#This Row],[Fecha]]),DAY(T_Stocks[[#This Row],[Fecha]]))</f>
        <v>VTSAX-44589</v>
      </c>
    </row>
    <row r="7528" spans="1:4" ht="14.65" thickBot="1" x14ac:dyDescent="0.5">
      <c r="A7528" s="17">
        <v>44592.666666666664</v>
      </c>
      <c r="B7528" s="19">
        <v>110.47</v>
      </c>
      <c r="C7528" t="s">
        <v>32</v>
      </c>
      <c r="D7528" t="str">
        <f>T_Stocks[[#This Row],[Ticker]] &amp; "-" &amp; DATE(YEAR(T_Stocks[[#This Row],[Fecha]]),MONTH(T_Stocks[[#This Row],[Fecha]]),DAY(T_Stocks[[#This Row],[Fecha]]))</f>
        <v>VTSAX-44592</v>
      </c>
    </row>
    <row r="7529" spans="1:4" ht="14.65" thickBot="1" x14ac:dyDescent="0.5">
      <c r="A7529" s="17">
        <v>44593.666666666664</v>
      </c>
      <c r="B7529" s="19">
        <v>111.34</v>
      </c>
      <c r="C7529" t="s">
        <v>32</v>
      </c>
      <c r="D7529" t="str">
        <f>T_Stocks[[#This Row],[Ticker]] &amp; "-" &amp; DATE(YEAR(T_Stocks[[#This Row],[Fecha]]),MONTH(T_Stocks[[#This Row],[Fecha]]),DAY(T_Stocks[[#This Row],[Fecha]]))</f>
        <v>VTSAX-44593</v>
      </c>
    </row>
    <row r="7530" spans="1:4" ht="14.65" thickBot="1" x14ac:dyDescent="0.5">
      <c r="A7530" s="17">
        <v>44594.666666666664</v>
      </c>
      <c r="B7530" s="19">
        <v>112.03</v>
      </c>
      <c r="C7530" t="s">
        <v>32</v>
      </c>
      <c r="D7530" t="str">
        <f>T_Stocks[[#This Row],[Ticker]] &amp; "-" &amp; DATE(YEAR(T_Stocks[[#This Row],[Fecha]]),MONTH(T_Stocks[[#This Row],[Fecha]]),DAY(T_Stocks[[#This Row],[Fecha]]))</f>
        <v>VTSAX-44594</v>
      </c>
    </row>
    <row r="7531" spans="1:4" ht="14.65" thickBot="1" x14ac:dyDescent="0.5">
      <c r="A7531" s="17">
        <v>44595.666666666664</v>
      </c>
      <c r="B7531" s="19">
        <v>109.27</v>
      </c>
      <c r="C7531" t="s">
        <v>32</v>
      </c>
      <c r="D7531" t="str">
        <f>T_Stocks[[#This Row],[Ticker]] &amp; "-" &amp; DATE(YEAR(T_Stocks[[#This Row],[Fecha]]),MONTH(T_Stocks[[#This Row],[Fecha]]),DAY(T_Stocks[[#This Row],[Fecha]]))</f>
        <v>VTSAX-44595</v>
      </c>
    </row>
    <row r="7532" spans="1:4" ht="14.65" thickBot="1" x14ac:dyDescent="0.5">
      <c r="A7532" s="17">
        <v>44596.666666666664</v>
      </c>
      <c r="B7532" s="19">
        <v>110.02</v>
      </c>
      <c r="C7532" t="s">
        <v>32</v>
      </c>
      <c r="D7532" t="str">
        <f>T_Stocks[[#This Row],[Ticker]] &amp; "-" &amp; DATE(YEAR(T_Stocks[[#This Row],[Fecha]]),MONTH(T_Stocks[[#This Row],[Fecha]]),DAY(T_Stocks[[#This Row],[Fecha]]))</f>
        <v>VTSAX-44596</v>
      </c>
    </row>
    <row r="7533" spans="1:4" ht="14.65" thickBot="1" x14ac:dyDescent="0.5">
      <c r="A7533" s="17">
        <v>44599.666666666664</v>
      </c>
      <c r="B7533" s="19">
        <v>109.74</v>
      </c>
      <c r="C7533" t="s">
        <v>32</v>
      </c>
      <c r="D7533" t="str">
        <f>T_Stocks[[#This Row],[Ticker]] &amp; "-" &amp; DATE(YEAR(T_Stocks[[#This Row],[Fecha]]),MONTH(T_Stocks[[#This Row],[Fecha]]),DAY(T_Stocks[[#This Row],[Fecha]]))</f>
        <v>VTSAX-44599</v>
      </c>
    </row>
    <row r="7534" spans="1:4" ht="14.65" thickBot="1" x14ac:dyDescent="0.5">
      <c r="A7534" s="17">
        <v>44600.666666666664</v>
      </c>
      <c r="B7534" s="19">
        <v>110.76</v>
      </c>
      <c r="C7534" t="s">
        <v>32</v>
      </c>
      <c r="D7534" t="str">
        <f>T_Stocks[[#This Row],[Ticker]] &amp; "-" &amp; DATE(YEAR(T_Stocks[[#This Row],[Fecha]]),MONTH(T_Stocks[[#This Row],[Fecha]]),DAY(T_Stocks[[#This Row],[Fecha]]))</f>
        <v>VTSAX-44600</v>
      </c>
    </row>
    <row r="7535" spans="1:4" ht="14.65" thickBot="1" x14ac:dyDescent="0.5">
      <c r="A7535" s="17">
        <v>44601.666666666664</v>
      </c>
      <c r="B7535" s="19">
        <v>112.55</v>
      </c>
      <c r="C7535" t="s">
        <v>32</v>
      </c>
      <c r="D7535" t="str">
        <f>T_Stocks[[#This Row],[Ticker]] &amp; "-" &amp; DATE(YEAR(T_Stocks[[#This Row],[Fecha]]),MONTH(T_Stocks[[#This Row],[Fecha]]),DAY(T_Stocks[[#This Row],[Fecha]]))</f>
        <v>VTSAX-44601</v>
      </c>
    </row>
    <row r="7536" spans="1:4" ht="14.65" thickBot="1" x14ac:dyDescent="0.5">
      <c r="A7536" s="17">
        <v>44602.666666666664</v>
      </c>
      <c r="B7536" s="19">
        <v>110.6</v>
      </c>
      <c r="C7536" t="s">
        <v>32</v>
      </c>
      <c r="D7536" t="str">
        <f>T_Stocks[[#This Row],[Ticker]] &amp; "-" &amp; DATE(YEAR(T_Stocks[[#This Row],[Fecha]]),MONTH(T_Stocks[[#This Row],[Fecha]]),DAY(T_Stocks[[#This Row],[Fecha]]))</f>
        <v>VTSAX-44602</v>
      </c>
    </row>
    <row r="7537" spans="1:4" ht="14.65" thickBot="1" x14ac:dyDescent="0.5">
      <c r="A7537" s="17">
        <v>44603.666666666664</v>
      </c>
      <c r="B7537" s="19">
        <v>108.53</v>
      </c>
      <c r="C7537" t="s">
        <v>32</v>
      </c>
      <c r="D7537" t="str">
        <f>T_Stocks[[#This Row],[Ticker]] &amp; "-" &amp; DATE(YEAR(T_Stocks[[#This Row],[Fecha]]),MONTH(T_Stocks[[#This Row],[Fecha]]),DAY(T_Stocks[[#This Row],[Fecha]]))</f>
        <v>VTSAX-44603</v>
      </c>
    </row>
    <row r="7538" spans="1:4" ht="14.65" thickBot="1" x14ac:dyDescent="0.5">
      <c r="A7538" s="17">
        <v>44606.666666666664</v>
      </c>
      <c r="B7538" s="19">
        <v>108.1</v>
      </c>
      <c r="C7538" t="s">
        <v>32</v>
      </c>
      <c r="D7538" t="str">
        <f>T_Stocks[[#This Row],[Ticker]] &amp; "-" &amp; DATE(YEAR(T_Stocks[[#This Row],[Fecha]]),MONTH(T_Stocks[[#This Row],[Fecha]]),DAY(T_Stocks[[#This Row],[Fecha]]))</f>
        <v>VTSAX-44606</v>
      </c>
    </row>
    <row r="7539" spans="1:4" ht="14.65" thickBot="1" x14ac:dyDescent="0.5">
      <c r="A7539" s="17">
        <v>44607.666666666664</v>
      </c>
      <c r="B7539" s="19">
        <v>110.02</v>
      </c>
      <c r="C7539" t="s">
        <v>32</v>
      </c>
      <c r="D7539" t="str">
        <f>T_Stocks[[#This Row],[Ticker]] &amp; "-" &amp; DATE(YEAR(T_Stocks[[#This Row],[Fecha]]),MONTH(T_Stocks[[#This Row],[Fecha]]),DAY(T_Stocks[[#This Row],[Fecha]]))</f>
        <v>VTSAX-44607</v>
      </c>
    </row>
    <row r="7540" spans="1:4" ht="14.65" thickBot="1" x14ac:dyDescent="0.5">
      <c r="A7540" s="17">
        <v>44608.666666666664</v>
      </c>
      <c r="B7540" s="19">
        <v>110.06</v>
      </c>
      <c r="C7540" t="s">
        <v>32</v>
      </c>
      <c r="D7540" t="str">
        <f>T_Stocks[[#This Row],[Ticker]] &amp; "-" &amp; DATE(YEAR(T_Stocks[[#This Row],[Fecha]]),MONTH(T_Stocks[[#This Row],[Fecha]]),DAY(T_Stocks[[#This Row],[Fecha]]))</f>
        <v>VTSAX-44608</v>
      </c>
    </row>
    <row r="7541" spans="1:4" ht="14.65" thickBot="1" x14ac:dyDescent="0.5">
      <c r="A7541" s="17">
        <v>44609.666666666664</v>
      </c>
      <c r="B7541" s="19">
        <v>107.6</v>
      </c>
      <c r="C7541" t="s">
        <v>32</v>
      </c>
      <c r="D7541" t="str">
        <f>T_Stocks[[#This Row],[Ticker]] &amp; "-" &amp; DATE(YEAR(T_Stocks[[#This Row],[Fecha]]),MONTH(T_Stocks[[#This Row],[Fecha]]),DAY(T_Stocks[[#This Row],[Fecha]]))</f>
        <v>VTSAX-44609</v>
      </c>
    </row>
    <row r="7542" spans="1:4" ht="14.65" thickBot="1" x14ac:dyDescent="0.5">
      <c r="A7542" s="17">
        <v>44610.666666666664</v>
      </c>
      <c r="B7542" s="19">
        <v>106.75</v>
      </c>
      <c r="C7542" t="s">
        <v>32</v>
      </c>
      <c r="D7542" t="str">
        <f>T_Stocks[[#This Row],[Ticker]] &amp; "-" &amp; DATE(YEAR(T_Stocks[[#This Row],[Fecha]]),MONTH(T_Stocks[[#This Row],[Fecha]]),DAY(T_Stocks[[#This Row],[Fecha]]))</f>
        <v>VTSAX-44610</v>
      </c>
    </row>
    <row r="7543" spans="1:4" ht="14.65" thickBot="1" x14ac:dyDescent="0.5">
      <c r="A7543" s="17">
        <v>44614.666666666664</v>
      </c>
      <c r="B7543" s="19">
        <v>105.58</v>
      </c>
      <c r="C7543" t="s">
        <v>32</v>
      </c>
      <c r="D7543" t="str">
        <f>T_Stocks[[#This Row],[Ticker]] &amp; "-" &amp; DATE(YEAR(T_Stocks[[#This Row],[Fecha]]),MONTH(T_Stocks[[#This Row],[Fecha]]),DAY(T_Stocks[[#This Row],[Fecha]]))</f>
        <v>VTSAX-44614</v>
      </c>
    </row>
    <row r="7544" spans="1:4" ht="14.65" thickBot="1" x14ac:dyDescent="0.5">
      <c r="A7544" s="17">
        <v>44615.666666666664</v>
      </c>
      <c r="B7544" s="19">
        <v>103.58</v>
      </c>
      <c r="C7544" t="s">
        <v>32</v>
      </c>
      <c r="D7544" t="str">
        <f>T_Stocks[[#This Row],[Ticker]] &amp; "-" &amp; DATE(YEAR(T_Stocks[[#This Row],[Fecha]]),MONTH(T_Stocks[[#This Row],[Fecha]]),DAY(T_Stocks[[#This Row],[Fecha]]))</f>
        <v>VTSAX-44615</v>
      </c>
    </row>
    <row r="7545" spans="1:4" ht="14.65" thickBot="1" x14ac:dyDescent="0.5">
      <c r="A7545" s="17">
        <v>44616.666666666664</v>
      </c>
      <c r="B7545" s="19">
        <v>105.38</v>
      </c>
      <c r="C7545" t="s">
        <v>32</v>
      </c>
      <c r="D7545" t="str">
        <f>T_Stocks[[#This Row],[Ticker]] &amp; "-" &amp; DATE(YEAR(T_Stocks[[#This Row],[Fecha]]),MONTH(T_Stocks[[#This Row],[Fecha]]),DAY(T_Stocks[[#This Row],[Fecha]]))</f>
        <v>VTSAX-44616</v>
      </c>
    </row>
    <row r="7546" spans="1:4" ht="14.65" thickBot="1" x14ac:dyDescent="0.5">
      <c r="A7546" s="17">
        <v>44617.666666666664</v>
      </c>
      <c r="B7546" s="19">
        <v>107.77</v>
      </c>
      <c r="C7546" t="s">
        <v>32</v>
      </c>
      <c r="D7546" t="str">
        <f>T_Stocks[[#This Row],[Ticker]] &amp; "-" &amp; DATE(YEAR(T_Stocks[[#This Row],[Fecha]]),MONTH(T_Stocks[[#This Row],[Fecha]]),DAY(T_Stocks[[#This Row],[Fecha]]))</f>
        <v>VTSAX-44617</v>
      </c>
    </row>
    <row r="7547" spans="1:4" ht="14.65" thickBot="1" x14ac:dyDescent="0.5">
      <c r="A7547" s="17">
        <v>44620.666666666664</v>
      </c>
      <c r="B7547" s="19">
        <v>107.65</v>
      </c>
      <c r="C7547" t="s">
        <v>32</v>
      </c>
      <c r="D7547" t="str">
        <f>T_Stocks[[#This Row],[Ticker]] &amp; "-" &amp; DATE(YEAR(T_Stocks[[#This Row],[Fecha]]),MONTH(T_Stocks[[#This Row],[Fecha]]),DAY(T_Stocks[[#This Row],[Fecha]]))</f>
        <v>VTSAX-44620</v>
      </c>
    </row>
    <row r="7548" spans="1:4" ht="14.65" thickBot="1" x14ac:dyDescent="0.5">
      <c r="A7548" s="17">
        <v>44621.666666666664</v>
      </c>
      <c r="B7548" s="19">
        <v>105.96</v>
      </c>
      <c r="C7548" t="s">
        <v>32</v>
      </c>
      <c r="D7548" t="str">
        <f>T_Stocks[[#This Row],[Ticker]] &amp; "-" &amp; DATE(YEAR(T_Stocks[[#This Row],[Fecha]]),MONTH(T_Stocks[[#This Row],[Fecha]]),DAY(T_Stocks[[#This Row],[Fecha]]))</f>
        <v>VTSAX-44621</v>
      </c>
    </row>
    <row r="7549" spans="1:4" ht="14.65" thickBot="1" x14ac:dyDescent="0.5">
      <c r="A7549" s="17">
        <v>44622.666666666664</v>
      </c>
      <c r="B7549" s="19">
        <v>107.98</v>
      </c>
      <c r="C7549" t="s">
        <v>32</v>
      </c>
      <c r="D7549" t="str">
        <f>T_Stocks[[#This Row],[Ticker]] &amp; "-" &amp; DATE(YEAR(T_Stocks[[#This Row],[Fecha]]),MONTH(T_Stocks[[#This Row],[Fecha]]),DAY(T_Stocks[[#This Row],[Fecha]]))</f>
        <v>VTSAX-44622</v>
      </c>
    </row>
    <row r="7550" spans="1:4" ht="14.65" thickBot="1" x14ac:dyDescent="0.5">
      <c r="A7550" s="17">
        <v>44623.666666666664</v>
      </c>
      <c r="B7550" s="19">
        <v>107.17</v>
      </c>
      <c r="C7550" t="s">
        <v>32</v>
      </c>
      <c r="D7550" t="str">
        <f>T_Stocks[[#This Row],[Ticker]] &amp; "-" &amp; DATE(YEAR(T_Stocks[[#This Row],[Fecha]]),MONTH(T_Stocks[[#This Row],[Fecha]]),DAY(T_Stocks[[#This Row],[Fecha]]))</f>
        <v>VTSAX-44623</v>
      </c>
    </row>
    <row r="7551" spans="1:4" ht="14.65" thickBot="1" x14ac:dyDescent="0.5">
      <c r="A7551" s="17">
        <v>44624.666666666664</v>
      </c>
      <c r="B7551" s="19">
        <v>106.1</v>
      </c>
      <c r="C7551" t="s">
        <v>32</v>
      </c>
      <c r="D7551" t="str">
        <f>T_Stocks[[#This Row],[Ticker]] &amp; "-" &amp; DATE(YEAR(T_Stocks[[#This Row],[Fecha]]),MONTH(T_Stocks[[#This Row],[Fecha]]),DAY(T_Stocks[[#This Row],[Fecha]]))</f>
        <v>VTSAX-44624</v>
      </c>
    </row>
    <row r="7552" spans="1:4" ht="14.65" thickBot="1" x14ac:dyDescent="0.5">
      <c r="A7552" s="17">
        <v>44627.666666666664</v>
      </c>
      <c r="B7552" s="19">
        <v>102.85</v>
      </c>
      <c r="C7552" t="s">
        <v>32</v>
      </c>
      <c r="D7552" t="str">
        <f>T_Stocks[[#This Row],[Ticker]] &amp; "-" &amp; DATE(YEAR(T_Stocks[[#This Row],[Fecha]]),MONTH(T_Stocks[[#This Row],[Fecha]]),DAY(T_Stocks[[#This Row],[Fecha]]))</f>
        <v>VTSAX-44627</v>
      </c>
    </row>
    <row r="7553" spans="1:4" ht="14.65" thickBot="1" x14ac:dyDescent="0.5">
      <c r="A7553" s="17">
        <v>44628.666666666664</v>
      </c>
      <c r="B7553" s="19">
        <v>102.3</v>
      </c>
      <c r="C7553" t="s">
        <v>32</v>
      </c>
      <c r="D7553" t="str">
        <f>T_Stocks[[#This Row],[Ticker]] &amp; "-" &amp; DATE(YEAR(T_Stocks[[#This Row],[Fecha]]),MONTH(T_Stocks[[#This Row],[Fecha]]),DAY(T_Stocks[[#This Row],[Fecha]]))</f>
        <v>VTSAX-44628</v>
      </c>
    </row>
    <row r="7554" spans="1:4" ht="14.65" thickBot="1" x14ac:dyDescent="0.5">
      <c r="A7554" s="17">
        <v>44629.666666666664</v>
      </c>
      <c r="B7554" s="19">
        <v>105.06</v>
      </c>
      <c r="C7554" t="s">
        <v>32</v>
      </c>
      <c r="D7554" t="str">
        <f>T_Stocks[[#This Row],[Ticker]] &amp; "-" &amp; DATE(YEAR(T_Stocks[[#This Row],[Fecha]]),MONTH(T_Stocks[[#This Row],[Fecha]]),DAY(T_Stocks[[#This Row],[Fecha]]))</f>
        <v>VTSAX-44629</v>
      </c>
    </row>
    <row r="7555" spans="1:4" ht="14.65" thickBot="1" x14ac:dyDescent="0.5">
      <c r="A7555" s="17">
        <v>44630.666666666664</v>
      </c>
      <c r="B7555" s="19">
        <v>104.61</v>
      </c>
      <c r="C7555" t="s">
        <v>32</v>
      </c>
      <c r="D7555" t="str">
        <f>T_Stocks[[#This Row],[Ticker]] &amp; "-" &amp; DATE(YEAR(T_Stocks[[#This Row],[Fecha]]),MONTH(T_Stocks[[#This Row],[Fecha]]),DAY(T_Stocks[[#This Row],[Fecha]]))</f>
        <v>VTSAX-44630</v>
      </c>
    </row>
    <row r="7556" spans="1:4" ht="14.65" thickBot="1" x14ac:dyDescent="0.5">
      <c r="A7556" s="17">
        <v>44631.666666666664</v>
      </c>
      <c r="B7556" s="19">
        <v>103.14</v>
      </c>
      <c r="C7556" t="s">
        <v>32</v>
      </c>
      <c r="D7556" t="str">
        <f>T_Stocks[[#This Row],[Ticker]] &amp; "-" &amp; DATE(YEAR(T_Stocks[[#This Row],[Fecha]]),MONTH(T_Stocks[[#This Row],[Fecha]]),DAY(T_Stocks[[#This Row],[Fecha]]))</f>
        <v>VTSAX-44631</v>
      </c>
    </row>
    <row r="7557" spans="1:4" ht="14.65" thickBot="1" x14ac:dyDescent="0.5">
      <c r="A7557" s="17">
        <v>44634.666666666664</v>
      </c>
      <c r="B7557" s="19">
        <v>102.16</v>
      </c>
      <c r="C7557" t="s">
        <v>32</v>
      </c>
      <c r="D7557" t="str">
        <f>T_Stocks[[#This Row],[Ticker]] &amp; "-" &amp; DATE(YEAR(T_Stocks[[#This Row],[Fecha]]),MONTH(T_Stocks[[#This Row],[Fecha]]),DAY(T_Stocks[[#This Row],[Fecha]]))</f>
        <v>VTSAX-44634</v>
      </c>
    </row>
    <row r="7558" spans="1:4" ht="14.65" thickBot="1" x14ac:dyDescent="0.5">
      <c r="A7558" s="17">
        <v>44635.666666666664</v>
      </c>
      <c r="B7558" s="19">
        <v>104.28</v>
      </c>
      <c r="C7558" t="s">
        <v>32</v>
      </c>
      <c r="D7558" t="str">
        <f>T_Stocks[[#This Row],[Ticker]] &amp; "-" &amp; DATE(YEAR(T_Stocks[[#This Row],[Fecha]]),MONTH(T_Stocks[[#This Row],[Fecha]]),DAY(T_Stocks[[#This Row],[Fecha]]))</f>
        <v>VTSAX-44635</v>
      </c>
    </row>
    <row r="7559" spans="1:4" ht="14.65" thickBot="1" x14ac:dyDescent="0.5">
      <c r="A7559" s="17">
        <v>44636.666666666664</v>
      </c>
      <c r="B7559" s="19">
        <v>106.86</v>
      </c>
      <c r="C7559" t="s">
        <v>32</v>
      </c>
      <c r="D7559" t="str">
        <f>T_Stocks[[#This Row],[Ticker]] &amp; "-" &amp; DATE(YEAR(T_Stocks[[#This Row],[Fecha]]),MONTH(T_Stocks[[#This Row],[Fecha]]),DAY(T_Stocks[[#This Row],[Fecha]]))</f>
        <v>VTSAX-44636</v>
      </c>
    </row>
    <row r="7560" spans="1:4" ht="14.65" thickBot="1" x14ac:dyDescent="0.5">
      <c r="A7560" s="17">
        <v>44637.666666666664</v>
      </c>
      <c r="B7560" s="19">
        <v>108.31</v>
      </c>
      <c r="C7560" t="s">
        <v>32</v>
      </c>
      <c r="D7560" t="str">
        <f>T_Stocks[[#This Row],[Ticker]] &amp; "-" &amp; DATE(YEAR(T_Stocks[[#This Row],[Fecha]]),MONTH(T_Stocks[[#This Row],[Fecha]]),DAY(T_Stocks[[#This Row],[Fecha]]))</f>
        <v>VTSAX-44637</v>
      </c>
    </row>
    <row r="7561" spans="1:4" ht="14.65" thickBot="1" x14ac:dyDescent="0.5">
      <c r="A7561" s="17">
        <v>44638.666666666664</v>
      </c>
      <c r="B7561" s="19">
        <v>109.67</v>
      </c>
      <c r="C7561" t="s">
        <v>32</v>
      </c>
      <c r="D7561" t="str">
        <f>T_Stocks[[#This Row],[Ticker]] &amp; "-" &amp; DATE(YEAR(T_Stocks[[#This Row],[Fecha]]),MONTH(T_Stocks[[#This Row],[Fecha]]),DAY(T_Stocks[[#This Row],[Fecha]]))</f>
        <v>VTSAX-44638</v>
      </c>
    </row>
    <row r="7562" spans="1:4" ht="14.65" thickBot="1" x14ac:dyDescent="0.5">
      <c r="A7562" s="17">
        <v>44641.666666666664</v>
      </c>
      <c r="B7562" s="19">
        <v>109.48</v>
      </c>
      <c r="C7562" t="s">
        <v>32</v>
      </c>
      <c r="D7562" t="str">
        <f>T_Stocks[[#This Row],[Ticker]] &amp; "-" &amp; DATE(YEAR(T_Stocks[[#This Row],[Fecha]]),MONTH(T_Stocks[[#This Row],[Fecha]]),DAY(T_Stocks[[#This Row],[Fecha]]))</f>
        <v>VTSAX-44641</v>
      </c>
    </row>
    <row r="7563" spans="1:4" ht="14.65" thickBot="1" x14ac:dyDescent="0.5">
      <c r="A7563" s="17">
        <v>44642.666666666664</v>
      </c>
      <c r="B7563" s="19">
        <v>110.44</v>
      </c>
      <c r="C7563" t="s">
        <v>32</v>
      </c>
      <c r="D7563" t="str">
        <f>T_Stocks[[#This Row],[Ticker]] &amp; "-" &amp; DATE(YEAR(T_Stocks[[#This Row],[Fecha]]),MONTH(T_Stocks[[#This Row],[Fecha]]),DAY(T_Stocks[[#This Row],[Fecha]]))</f>
        <v>VTSAX-44642</v>
      </c>
    </row>
    <row r="7564" spans="1:4" ht="14.65" thickBot="1" x14ac:dyDescent="0.5">
      <c r="A7564" s="17">
        <v>44643.666666666664</v>
      </c>
      <c r="B7564" s="19">
        <v>109.04</v>
      </c>
      <c r="C7564" t="s">
        <v>32</v>
      </c>
      <c r="D7564" t="str">
        <f>T_Stocks[[#This Row],[Ticker]] &amp; "-" &amp; DATE(YEAR(T_Stocks[[#This Row],[Fecha]]),MONTH(T_Stocks[[#This Row],[Fecha]]),DAY(T_Stocks[[#This Row],[Fecha]]))</f>
        <v>VTSAX-44643</v>
      </c>
    </row>
    <row r="7565" spans="1:4" ht="14.65" thickBot="1" x14ac:dyDescent="0.5">
      <c r="A7565" s="17">
        <v>44644.666666666664</v>
      </c>
      <c r="B7565" s="19">
        <v>110.57</v>
      </c>
      <c r="C7565" t="s">
        <v>32</v>
      </c>
      <c r="D7565" t="str">
        <f>T_Stocks[[#This Row],[Ticker]] &amp; "-" &amp; DATE(YEAR(T_Stocks[[#This Row],[Fecha]]),MONTH(T_Stocks[[#This Row],[Fecha]]),DAY(T_Stocks[[#This Row],[Fecha]]))</f>
        <v>VTSAX-44644</v>
      </c>
    </row>
    <row r="7566" spans="1:4" ht="14.65" thickBot="1" x14ac:dyDescent="0.5">
      <c r="A7566" s="17">
        <v>44645.666666666664</v>
      </c>
      <c r="B7566" s="19">
        <v>110.99</v>
      </c>
      <c r="C7566" t="s">
        <v>32</v>
      </c>
      <c r="D7566" t="str">
        <f>T_Stocks[[#This Row],[Ticker]] &amp; "-" &amp; DATE(YEAR(T_Stocks[[#This Row],[Fecha]]),MONTH(T_Stocks[[#This Row],[Fecha]]),DAY(T_Stocks[[#This Row],[Fecha]]))</f>
        <v>VTSAX-44645</v>
      </c>
    </row>
    <row r="7567" spans="1:4" ht="14.65" thickBot="1" x14ac:dyDescent="0.5">
      <c r="A7567" s="17">
        <v>44648.666666666664</v>
      </c>
      <c r="B7567" s="19">
        <v>111.76</v>
      </c>
      <c r="C7567" t="s">
        <v>32</v>
      </c>
      <c r="D7567" t="str">
        <f>T_Stocks[[#This Row],[Ticker]] &amp; "-" &amp; DATE(YEAR(T_Stocks[[#This Row],[Fecha]]),MONTH(T_Stocks[[#This Row],[Fecha]]),DAY(T_Stocks[[#This Row],[Fecha]]))</f>
        <v>VTSAX-44648</v>
      </c>
    </row>
    <row r="7568" spans="1:4" ht="14.65" thickBot="1" x14ac:dyDescent="0.5">
      <c r="A7568" s="17">
        <v>44649.666666666664</v>
      </c>
      <c r="B7568" s="19">
        <v>113.41</v>
      </c>
      <c r="C7568" t="s">
        <v>32</v>
      </c>
      <c r="D7568" t="str">
        <f>T_Stocks[[#This Row],[Ticker]] &amp; "-" &amp; DATE(YEAR(T_Stocks[[#This Row],[Fecha]]),MONTH(T_Stocks[[#This Row],[Fecha]]),DAY(T_Stocks[[#This Row],[Fecha]]))</f>
        <v>VTSAX-44649</v>
      </c>
    </row>
    <row r="7569" spans="1:4" ht="14.65" thickBot="1" x14ac:dyDescent="0.5">
      <c r="A7569" s="17">
        <v>44650.666666666664</v>
      </c>
      <c r="B7569" s="19">
        <v>112.51</v>
      </c>
      <c r="C7569" t="s">
        <v>32</v>
      </c>
      <c r="D7569" t="str">
        <f>T_Stocks[[#This Row],[Ticker]] &amp; "-" &amp; DATE(YEAR(T_Stocks[[#This Row],[Fecha]]),MONTH(T_Stocks[[#This Row],[Fecha]]),DAY(T_Stocks[[#This Row],[Fecha]]))</f>
        <v>VTSAX-44650</v>
      </c>
    </row>
    <row r="7570" spans="1:4" ht="14.65" thickBot="1" x14ac:dyDescent="0.5">
      <c r="A7570" s="17">
        <v>44651.666666666664</v>
      </c>
      <c r="B7570" s="19">
        <v>110.8</v>
      </c>
      <c r="C7570" t="s">
        <v>32</v>
      </c>
      <c r="D7570" t="str">
        <f>T_Stocks[[#This Row],[Ticker]] &amp; "-" &amp; DATE(YEAR(T_Stocks[[#This Row],[Fecha]]),MONTH(T_Stocks[[#This Row],[Fecha]]),DAY(T_Stocks[[#This Row],[Fecha]]))</f>
        <v>VTSAX-44651</v>
      </c>
    </row>
    <row r="7571" spans="1:4" ht="14.65" thickBot="1" x14ac:dyDescent="0.5">
      <c r="A7571" s="17">
        <v>44652.666666666664</v>
      </c>
      <c r="B7571" s="19">
        <v>111.28</v>
      </c>
      <c r="C7571" t="s">
        <v>32</v>
      </c>
      <c r="D7571" t="str">
        <f>T_Stocks[[#This Row],[Ticker]] &amp; "-" &amp; DATE(YEAR(T_Stocks[[#This Row],[Fecha]]),MONTH(T_Stocks[[#This Row],[Fecha]]),DAY(T_Stocks[[#This Row],[Fecha]]))</f>
        <v>VTSAX-44652</v>
      </c>
    </row>
    <row r="7572" spans="1:4" ht="14.65" thickBot="1" x14ac:dyDescent="0.5">
      <c r="A7572" s="17">
        <v>44655.666666666664</v>
      </c>
      <c r="B7572" s="19">
        <v>112.17</v>
      </c>
      <c r="C7572" t="s">
        <v>32</v>
      </c>
      <c r="D7572" t="str">
        <f>T_Stocks[[#This Row],[Ticker]] &amp; "-" &amp; DATE(YEAR(T_Stocks[[#This Row],[Fecha]]),MONTH(T_Stocks[[#This Row],[Fecha]]),DAY(T_Stocks[[#This Row],[Fecha]]))</f>
        <v>VTSAX-44655</v>
      </c>
    </row>
    <row r="7573" spans="1:4" ht="14.65" thickBot="1" x14ac:dyDescent="0.5">
      <c r="A7573" s="17">
        <v>44656.666666666664</v>
      </c>
      <c r="B7573" s="19">
        <v>110.57</v>
      </c>
      <c r="C7573" t="s">
        <v>32</v>
      </c>
      <c r="D7573" t="str">
        <f>T_Stocks[[#This Row],[Ticker]] &amp; "-" &amp; DATE(YEAR(T_Stocks[[#This Row],[Fecha]]),MONTH(T_Stocks[[#This Row],[Fecha]]),DAY(T_Stocks[[#This Row],[Fecha]]))</f>
        <v>VTSAX-44656</v>
      </c>
    </row>
    <row r="7574" spans="1:4" ht="14.65" thickBot="1" x14ac:dyDescent="0.5">
      <c r="A7574" s="17">
        <v>44657.666666666664</v>
      </c>
      <c r="B7574" s="19">
        <v>109.35</v>
      </c>
      <c r="C7574" t="s">
        <v>32</v>
      </c>
      <c r="D7574" t="str">
        <f>T_Stocks[[#This Row],[Ticker]] &amp; "-" &amp; DATE(YEAR(T_Stocks[[#This Row],[Fecha]]),MONTH(T_Stocks[[#This Row],[Fecha]]),DAY(T_Stocks[[#This Row],[Fecha]]))</f>
        <v>VTSAX-44657</v>
      </c>
    </row>
    <row r="7575" spans="1:4" ht="14.65" thickBot="1" x14ac:dyDescent="0.5">
      <c r="A7575" s="17">
        <v>44658.666666666664</v>
      </c>
      <c r="B7575" s="19">
        <v>109.7</v>
      </c>
      <c r="C7575" t="s">
        <v>32</v>
      </c>
      <c r="D7575" t="str">
        <f>T_Stocks[[#This Row],[Ticker]] &amp; "-" &amp; DATE(YEAR(T_Stocks[[#This Row],[Fecha]]),MONTH(T_Stocks[[#This Row],[Fecha]]),DAY(T_Stocks[[#This Row],[Fecha]]))</f>
        <v>VTSAX-44658</v>
      </c>
    </row>
    <row r="7576" spans="1:4" ht="14.65" thickBot="1" x14ac:dyDescent="0.5">
      <c r="A7576" s="17">
        <v>44659.666666666664</v>
      </c>
      <c r="B7576" s="19">
        <v>109.34</v>
      </c>
      <c r="C7576" t="s">
        <v>32</v>
      </c>
      <c r="D7576" t="str">
        <f>T_Stocks[[#This Row],[Ticker]] &amp; "-" &amp; DATE(YEAR(T_Stocks[[#This Row],[Fecha]]),MONTH(T_Stocks[[#This Row],[Fecha]]),DAY(T_Stocks[[#This Row],[Fecha]]))</f>
        <v>VTSAX-44659</v>
      </c>
    </row>
    <row r="7577" spans="1:4" ht="14.65" thickBot="1" x14ac:dyDescent="0.5">
      <c r="A7577" s="17">
        <v>44662.666666666664</v>
      </c>
      <c r="B7577" s="19">
        <v>107.67</v>
      </c>
      <c r="C7577" t="s">
        <v>32</v>
      </c>
      <c r="D7577" t="str">
        <f>T_Stocks[[#This Row],[Ticker]] &amp; "-" &amp; DATE(YEAR(T_Stocks[[#This Row],[Fecha]]),MONTH(T_Stocks[[#This Row],[Fecha]]),DAY(T_Stocks[[#This Row],[Fecha]]))</f>
        <v>VTSAX-44662</v>
      </c>
    </row>
    <row r="7578" spans="1:4" ht="14.65" thickBot="1" x14ac:dyDescent="0.5">
      <c r="A7578" s="17">
        <v>44663.666666666664</v>
      </c>
      <c r="B7578" s="19">
        <v>107.36</v>
      </c>
      <c r="C7578" t="s">
        <v>32</v>
      </c>
      <c r="D7578" t="str">
        <f>T_Stocks[[#This Row],[Ticker]] &amp; "-" &amp; DATE(YEAR(T_Stocks[[#This Row],[Fecha]]),MONTH(T_Stocks[[#This Row],[Fecha]]),DAY(T_Stocks[[#This Row],[Fecha]]))</f>
        <v>VTSAX-44663</v>
      </c>
    </row>
    <row r="7579" spans="1:4" ht="14.65" thickBot="1" x14ac:dyDescent="0.5">
      <c r="A7579" s="17">
        <v>44664.666666666664</v>
      </c>
      <c r="B7579" s="19">
        <v>108.76</v>
      </c>
      <c r="C7579" t="s">
        <v>32</v>
      </c>
      <c r="D7579" t="str">
        <f>T_Stocks[[#This Row],[Ticker]] &amp; "-" &amp; DATE(YEAR(T_Stocks[[#This Row],[Fecha]]),MONTH(T_Stocks[[#This Row],[Fecha]]),DAY(T_Stocks[[#This Row],[Fecha]]))</f>
        <v>VTSAX-44664</v>
      </c>
    </row>
    <row r="7580" spans="1:4" ht="14.65" thickBot="1" x14ac:dyDescent="0.5">
      <c r="A7580" s="17">
        <v>44665.666666666664</v>
      </c>
      <c r="B7580" s="19">
        <v>107.43</v>
      </c>
      <c r="C7580" t="s">
        <v>32</v>
      </c>
      <c r="D7580" t="str">
        <f>T_Stocks[[#This Row],[Ticker]] &amp; "-" &amp; DATE(YEAR(T_Stocks[[#This Row],[Fecha]]),MONTH(T_Stocks[[#This Row],[Fecha]]),DAY(T_Stocks[[#This Row],[Fecha]]))</f>
        <v>VTSAX-44665</v>
      </c>
    </row>
    <row r="7581" spans="1:4" ht="14.65" thickBot="1" x14ac:dyDescent="0.5">
      <c r="A7581" s="17">
        <v>44669.666666666664</v>
      </c>
      <c r="B7581" s="19">
        <v>107.24</v>
      </c>
      <c r="C7581" t="s">
        <v>32</v>
      </c>
      <c r="D7581" t="str">
        <f>T_Stocks[[#This Row],[Ticker]] &amp; "-" &amp; DATE(YEAR(T_Stocks[[#This Row],[Fecha]]),MONTH(T_Stocks[[#This Row],[Fecha]]),DAY(T_Stocks[[#This Row],[Fecha]]))</f>
        <v>VTSAX-44669</v>
      </c>
    </row>
    <row r="7582" spans="1:4" ht="14.65" thickBot="1" x14ac:dyDescent="0.5">
      <c r="A7582" s="17">
        <v>44670.666666666664</v>
      </c>
      <c r="B7582" s="19">
        <v>109.11</v>
      </c>
      <c r="C7582" t="s">
        <v>32</v>
      </c>
      <c r="D7582" t="str">
        <f>T_Stocks[[#This Row],[Ticker]] &amp; "-" &amp; DATE(YEAR(T_Stocks[[#This Row],[Fecha]]),MONTH(T_Stocks[[#This Row],[Fecha]]),DAY(T_Stocks[[#This Row],[Fecha]]))</f>
        <v>VTSAX-44670</v>
      </c>
    </row>
    <row r="7583" spans="1:4" ht="14.65" thickBot="1" x14ac:dyDescent="0.5">
      <c r="A7583" s="17">
        <v>44671.666666666664</v>
      </c>
      <c r="B7583" s="19">
        <v>108.99</v>
      </c>
      <c r="C7583" t="s">
        <v>32</v>
      </c>
      <c r="D7583" t="str">
        <f>T_Stocks[[#This Row],[Ticker]] &amp; "-" &amp; DATE(YEAR(T_Stocks[[#This Row],[Fecha]]),MONTH(T_Stocks[[#This Row],[Fecha]]),DAY(T_Stocks[[#This Row],[Fecha]]))</f>
        <v>VTSAX-44671</v>
      </c>
    </row>
    <row r="7584" spans="1:4" ht="14.65" thickBot="1" x14ac:dyDescent="0.5">
      <c r="A7584" s="17">
        <v>44672.666666666664</v>
      </c>
      <c r="B7584" s="19">
        <v>107.19</v>
      </c>
      <c r="C7584" t="s">
        <v>32</v>
      </c>
      <c r="D7584" t="str">
        <f>T_Stocks[[#This Row],[Ticker]] &amp; "-" &amp; DATE(YEAR(T_Stocks[[#This Row],[Fecha]]),MONTH(T_Stocks[[#This Row],[Fecha]]),DAY(T_Stocks[[#This Row],[Fecha]]))</f>
        <v>VTSAX-44672</v>
      </c>
    </row>
    <row r="7585" spans="1:4" ht="14.65" thickBot="1" x14ac:dyDescent="0.5">
      <c r="A7585" s="17">
        <v>44673.666666666664</v>
      </c>
      <c r="B7585" s="19">
        <v>104.26</v>
      </c>
      <c r="C7585" t="s">
        <v>32</v>
      </c>
      <c r="D7585" t="str">
        <f>T_Stocks[[#This Row],[Ticker]] &amp; "-" &amp; DATE(YEAR(T_Stocks[[#This Row],[Fecha]]),MONTH(T_Stocks[[#This Row],[Fecha]]),DAY(T_Stocks[[#This Row],[Fecha]]))</f>
        <v>VTSAX-44673</v>
      </c>
    </row>
    <row r="7586" spans="1:4" ht="14.65" thickBot="1" x14ac:dyDescent="0.5">
      <c r="A7586" s="17">
        <v>44676.666666666664</v>
      </c>
      <c r="B7586" s="19">
        <v>104.94</v>
      </c>
      <c r="C7586" t="s">
        <v>32</v>
      </c>
      <c r="D7586" t="str">
        <f>T_Stocks[[#This Row],[Ticker]] &amp; "-" &amp; DATE(YEAR(T_Stocks[[#This Row],[Fecha]]),MONTH(T_Stocks[[#This Row],[Fecha]]),DAY(T_Stocks[[#This Row],[Fecha]]))</f>
        <v>VTSAX-44676</v>
      </c>
    </row>
    <row r="7587" spans="1:4" ht="14.65" thickBot="1" x14ac:dyDescent="0.5">
      <c r="A7587" s="17">
        <v>44677.666666666664</v>
      </c>
      <c r="B7587" s="19">
        <v>101.9</v>
      </c>
      <c r="C7587" t="s">
        <v>32</v>
      </c>
      <c r="D7587" t="str">
        <f>T_Stocks[[#This Row],[Ticker]] &amp; "-" &amp; DATE(YEAR(T_Stocks[[#This Row],[Fecha]]),MONTH(T_Stocks[[#This Row],[Fecha]]),DAY(T_Stocks[[#This Row],[Fecha]]))</f>
        <v>VTSAX-44677</v>
      </c>
    </row>
    <row r="7588" spans="1:4" ht="14.65" thickBot="1" x14ac:dyDescent="0.5">
      <c r="A7588" s="17">
        <v>44678.666666666664</v>
      </c>
      <c r="B7588" s="19">
        <v>102.04</v>
      </c>
      <c r="C7588" t="s">
        <v>32</v>
      </c>
      <c r="D7588" t="str">
        <f>T_Stocks[[#This Row],[Ticker]] &amp; "-" &amp; DATE(YEAR(T_Stocks[[#This Row],[Fecha]]),MONTH(T_Stocks[[#This Row],[Fecha]]),DAY(T_Stocks[[#This Row],[Fecha]]))</f>
        <v>VTSAX-44678</v>
      </c>
    </row>
    <row r="7589" spans="1:4" ht="14.65" thickBot="1" x14ac:dyDescent="0.5">
      <c r="A7589" s="17">
        <v>44679.666666666664</v>
      </c>
      <c r="B7589" s="19">
        <v>104.5</v>
      </c>
      <c r="C7589" t="s">
        <v>32</v>
      </c>
      <c r="D7589" t="str">
        <f>T_Stocks[[#This Row],[Ticker]] &amp; "-" &amp; DATE(YEAR(T_Stocks[[#This Row],[Fecha]]),MONTH(T_Stocks[[#This Row],[Fecha]]),DAY(T_Stocks[[#This Row],[Fecha]]))</f>
        <v>VTSAX-44679</v>
      </c>
    </row>
    <row r="7590" spans="1:4" ht="14.65" thickBot="1" x14ac:dyDescent="0.5">
      <c r="A7590" s="17">
        <v>44680.666666666664</v>
      </c>
      <c r="B7590" s="19">
        <v>100.81</v>
      </c>
      <c r="C7590" t="s">
        <v>32</v>
      </c>
      <c r="D7590" t="str">
        <f>T_Stocks[[#This Row],[Ticker]] &amp; "-" &amp; DATE(YEAR(T_Stocks[[#This Row],[Fecha]]),MONTH(T_Stocks[[#This Row],[Fecha]]),DAY(T_Stocks[[#This Row],[Fecha]]))</f>
        <v>VTSAX-44680</v>
      </c>
    </row>
    <row r="7591" spans="1:4" ht="14.65" thickBot="1" x14ac:dyDescent="0.5">
      <c r="A7591" s="17">
        <v>44683.666666666664</v>
      </c>
      <c r="B7591" s="19">
        <v>101.47</v>
      </c>
      <c r="C7591" t="s">
        <v>32</v>
      </c>
      <c r="D7591" t="str">
        <f>T_Stocks[[#This Row],[Ticker]] &amp; "-" &amp; DATE(YEAR(T_Stocks[[#This Row],[Fecha]]),MONTH(T_Stocks[[#This Row],[Fecha]]),DAY(T_Stocks[[#This Row],[Fecha]]))</f>
        <v>VTSAX-44683</v>
      </c>
    </row>
    <row r="7592" spans="1:4" ht="14.65" thickBot="1" x14ac:dyDescent="0.5">
      <c r="A7592" s="17">
        <v>44684.666666666664</v>
      </c>
      <c r="B7592" s="19">
        <v>101.94</v>
      </c>
      <c r="C7592" t="s">
        <v>32</v>
      </c>
      <c r="D7592" t="str">
        <f>T_Stocks[[#This Row],[Ticker]] &amp; "-" &amp; DATE(YEAR(T_Stocks[[#This Row],[Fecha]]),MONTH(T_Stocks[[#This Row],[Fecha]]),DAY(T_Stocks[[#This Row],[Fecha]]))</f>
        <v>VTSAX-44684</v>
      </c>
    </row>
    <row r="7593" spans="1:4" ht="14.65" thickBot="1" x14ac:dyDescent="0.5">
      <c r="A7593" s="17">
        <v>44685.666666666664</v>
      </c>
      <c r="B7593" s="19">
        <v>104.92</v>
      </c>
      <c r="C7593" t="s">
        <v>32</v>
      </c>
      <c r="D7593" t="str">
        <f>T_Stocks[[#This Row],[Ticker]] &amp; "-" &amp; DATE(YEAR(T_Stocks[[#This Row],[Fecha]]),MONTH(T_Stocks[[#This Row],[Fecha]]),DAY(T_Stocks[[#This Row],[Fecha]]))</f>
        <v>VTSAX-44685</v>
      </c>
    </row>
    <row r="7594" spans="1:4" ht="14.65" thickBot="1" x14ac:dyDescent="0.5">
      <c r="A7594" s="17">
        <v>44686.666666666664</v>
      </c>
      <c r="B7594" s="19">
        <v>101.04</v>
      </c>
      <c r="C7594" t="s">
        <v>32</v>
      </c>
      <c r="D7594" t="str">
        <f>T_Stocks[[#This Row],[Ticker]] &amp; "-" &amp; DATE(YEAR(T_Stocks[[#This Row],[Fecha]]),MONTH(T_Stocks[[#This Row],[Fecha]]),DAY(T_Stocks[[#This Row],[Fecha]]))</f>
        <v>VTSAX-44686</v>
      </c>
    </row>
    <row r="7595" spans="1:4" ht="14.65" thickBot="1" x14ac:dyDescent="0.5">
      <c r="A7595" s="17">
        <v>44687.666666666664</v>
      </c>
      <c r="B7595" s="19">
        <v>100.22</v>
      </c>
      <c r="C7595" t="s">
        <v>32</v>
      </c>
      <c r="D7595" t="str">
        <f>T_Stocks[[#This Row],[Ticker]] &amp; "-" &amp; DATE(YEAR(T_Stocks[[#This Row],[Fecha]]),MONTH(T_Stocks[[#This Row],[Fecha]]),DAY(T_Stocks[[#This Row],[Fecha]]))</f>
        <v>VTSAX-44687</v>
      </c>
    </row>
    <row r="7596" spans="1:4" ht="14.65" thickBot="1" x14ac:dyDescent="0.5">
      <c r="A7596" s="17">
        <v>44690.666666666664</v>
      </c>
      <c r="B7596" s="19">
        <v>96.72</v>
      </c>
      <c r="C7596" t="s">
        <v>32</v>
      </c>
      <c r="D7596" t="str">
        <f>T_Stocks[[#This Row],[Ticker]] &amp; "-" &amp; DATE(YEAR(T_Stocks[[#This Row],[Fecha]]),MONTH(T_Stocks[[#This Row],[Fecha]]),DAY(T_Stocks[[#This Row],[Fecha]]))</f>
        <v>VTSAX-44690</v>
      </c>
    </row>
    <row r="7597" spans="1:4" ht="14.65" thickBot="1" x14ac:dyDescent="0.5">
      <c r="A7597" s="17">
        <v>44691.666666666664</v>
      </c>
      <c r="B7597" s="19">
        <v>96.88</v>
      </c>
      <c r="C7597" t="s">
        <v>32</v>
      </c>
      <c r="D7597" t="str">
        <f>T_Stocks[[#This Row],[Ticker]] &amp; "-" &amp; DATE(YEAR(T_Stocks[[#This Row],[Fecha]]),MONTH(T_Stocks[[#This Row],[Fecha]]),DAY(T_Stocks[[#This Row],[Fecha]]))</f>
        <v>VTSAX-44691</v>
      </c>
    </row>
    <row r="7598" spans="1:4" ht="14.65" thickBot="1" x14ac:dyDescent="0.5">
      <c r="A7598" s="17">
        <v>44692.666666666664</v>
      </c>
      <c r="B7598" s="19">
        <v>95.14</v>
      </c>
      <c r="C7598" t="s">
        <v>32</v>
      </c>
      <c r="D7598" t="str">
        <f>T_Stocks[[#This Row],[Ticker]] &amp; "-" &amp; DATE(YEAR(T_Stocks[[#This Row],[Fecha]]),MONTH(T_Stocks[[#This Row],[Fecha]]),DAY(T_Stocks[[#This Row],[Fecha]]))</f>
        <v>VTSAX-44692</v>
      </c>
    </row>
    <row r="7599" spans="1:4" ht="14.65" thickBot="1" x14ac:dyDescent="0.5">
      <c r="A7599" s="17">
        <v>44693.666666666664</v>
      </c>
      <c r="B7599" s="19">
        <v>95.28</v>
      </c>
      <c r="C7599" t="s">
        <v>32</v>
      </c>
      <c r="D7599" t="str">
        <f>T_Stocks[[#This Row],[Ticker]] &amp; "-" &amp; DATE(YEAR(T_Stocks[[#This Row],[Fecha]]),MONTH(T_Stocks[[#This Row],[Fecha]]),DAY(T_Stocks[[#This Row],[Fecha]]))</f>
        <v>VTSAX-44693</v>
      </c>
    </row>
    <row r="7600" spans="1:4" ht="14.65" thickBot="1" x14ac:dyDescent="0.5">
      <c r="A7600" s="17">
        <v>44694.666666666664</v>
      </c>
      <c r="B7600" s="19">
        <v>97.82</v>
      </c>
      <c r="C7600" t="s">
        <v>32</v>
      </c>
      <c r="D7600" t="str">
        <f>T_Stocks[[#This Row],[Ticker]] &amp; "-" &amp; DATE(YEAR(T_Stocks[[#This Row],[Fecha]]),MONTH(T_Stocks[[#This Row],[Fecha]]),DAY(T_Stocks[[#This Row],[Fecha]]))</f>
        <v>VTSAX-44694</v>
      </c>
    </row>
    <row r="7601" spans="1:4" ht="14.65" thickBot="1" x14ac:dyDescent="0.5">
      <c r="A7601" s="17">
        <v>44697.666666666664</v>
      </c>
      <c r="B7601" s="19">
        <v>97.31</v>
      </c>
      <c r="C7601" t="s">
        <v>32</v>
      </c>
      <c r="D7601" t="str">
        <f>T_Stocks[[#This Row],[Ticker]] &amp; "-" &amp; DATE(YEAR(T_Stocks[[#This Row],[Fecha]]),MONTH(T_Stocks[[#This Row],[Fecha]]),DAY(T_Stocks[[#This Row],[Fecha]]))</f>
        <v>VTSAX-44697</v>
      </c>
    </row>
    <row r="7602" spans="1:4" ht="14.65" thickBot="1" x14ac:dyDescent="0.5">
      <c r="A7602" s="17">
        <v>44698.666666666664</v>
      </c>
      <c r="B7602" s="19">
        <v>99.4</v>
      </c>
      <c r="C7602" t="s">
        <v>32</v>
      </c>
      <c r="D7602" t="str">
        <f>T_Stocks[[#This Row],[Ticker]] &amp; "-" &amp; DATE(YEAR(T_Stocks[[#This Row],[Fecha]]),MONTH(T_Stocks[[#This Row],[Fecha]]),DAY(T_Stocks[[#This Row],[Fecha]]))</f>
        <v>VTSAX-44698</v>
      </c>
    </row>
    <row r="7603" spans="1:4" ht="14.65" thickBot="1" x14ac:dyDescent="0.5">
      <c r="A7603" s="17">
        <v>44699.666666666664</v>
      </c>
      <c r="B7603" s="19">
        <v>95.44</v>
      </c>
      <c r="C7603" t="s">
        <v>32</v>
      </c>
      <c r="D7603" t="str">
        <f>T_Stocks[[#This Row],[Ticker]] &amp; "-" &amp; DATE(YEAR(T_Stocks[[#This Row],[Fecha]]),MONTH(T_Stocks[[#This Row],[Fecha]]),DAY(T_Stocks[[#This Row],[Fecha]]))</f>
        <v>VTSAX-44699</v>
      </c>
    </row>
    <row r="7604" spans="1:4" ht="14.65" thickBot="1" x14ac:dyDescent="0.5">
      <c r="A7604" s="17">
        <v>44700.666666666664</v>
      </c>
      <c r="B7604" s="19">
        <v>95.08</v>
      </c>
      <c r="C7604" t="s">
        <v>32</v>
      </c>
      <c r="D7604" t="str">
        <f>T_Stocks[[#This Row],[Ticker]] &amp; "-" &amp; DATE(YEAR(T_Stocks[[#This Row],[Fecha]]),MONTH(T_Stocks[[#This Row],[Fecha]]),DAY(T_Stocks[[#This Row],[Fecha]]))</f>
        <v>VTSAX-44700</v>
      </c>
    </row>
    <row r="7605" spans="1:4" ht="14.65" thickBot="1" x14ac:dyDescent="0.5">
      <c r="A7605" s="17">
        <v>44701.666666666664</v>
      </c>
      <c r="B7605" s="19">
        <v>95.07</v>
      </c>
      <c r="C7605" t="s">
        <v>32</v>
      </c>
      <c r="D7605" t="str">
        <f>T_Stocks[[#This Row],[Ticker]] &amp; "-" &amp; DATE(YEAR(T_Stocks[[#This Row],[Fecha]]),MONTH(T_Stocks[[#This Row],[Fecha]]),DAY(T_Stocks[[#This Row],[Fecha]]))</f>
        <v>VTSAX-44701</v>
      </c>
    </row>
    <row r="7606" spans="1:4" ht="14.65" thickBot="1" x14ac:dyDescent="0.5">
      <c r="A7606" s="17">
        <v>44704.666666666664</v>
      </c>
      <c r="B7606" s="19">
        <v>96.72</v>
      </c>
      <c r="C7606" t="s">
        <v>32</v>
      </c>
      <c r="D7606" t="str">
        <f>T_Stocks[[#This Row],[Ticker]] &amp; "-" &amp; DATE(YEAR(T_Stocks[[#This Row],[Fecha]]),MONTH(T_Stocks[[#This Row],[Fecha]]),DAY(T_Stocks[[#This Row],[Fecha]]))</f>
        <v>VTSAX-44704</v>
      </c>
    </row>
    <row r="7607" spans="1:4" ht="14.65" thickBot="1" x14ac:dyDescent="0.5">
      <c r="A7607" s="17">
        <v>44705.666666666664</v>
      </c>
      <c r="B7607" s="19">
        <v>95.69</v>
      </c>
      <c r="C7607" t="s">
        <v>32</v>
      </c>
      <c r="D7607" t="str">
        <f>T_Stocks[[#This Row],[Ticker]] &amp; "-" &amp; DATE(YEAR(T_Stocks[[#This Row],[Fecha]]),MONTH(T_Stocks[[#This Row],[Fecha]]),DAY(T_Stocks[[#This Row],[Fecha]]))</f>
        <v>VTSAX-44705</v>
      </c>
    </row>
    <row r="7608" spans="1:4" ht="14.65" thickBot="1" x14ac:dyDescent="0.5">
      <c r="A7608" s="17">
        <v>44706.666666666664</v>
      </c>
      <c r="B7608" s="19">
        <v>96.78</v>
      </c>
      <c r="C7608" t="s">
        <v>32</v>
      </c>
      <c r="D7608" t="str">
        <f>T_Stocks[[#This Row],[Ticker]] &amp; "-" &amp; DATE(YEAR(T_Stocks[[#This Row],[Fecha]]),MONTH(T_Stocks[[#This Row],[Fecha]]),DAY(T_Stocks[[#This Row],[Fecha]]))</f>
        <v>VTSAX-44706</v>
      </c>
    </row>
    <row r="7609" spans="1:4" ht="14.65" thickBot="1" x14ac:dyDescent="0.5">
      <c r="A7609" s="17">
        <v>44707.666666666664</v>
      </c>
      <c r="B7609" s="19">
        <v>98.78</v>
      </c>
      <c r="C7609" t="s">
        <v>32</v>
      </c>
      <c r="D7609" t="str">
        <f>T_Stocks[[#This Row],[Ticker]] &amp; "-" &amp; DATE(YEAR(T_Stocks[[#This Row],[Fecha]]),MONTH(T_Stocks[[#This Row],[Fecha]]),DAY(T_Stocks[[#This Row],[Fecha]]))</f>
        <v>VTSAX-44707</v>
      </c>
    </row>
    <row r="7610" spans="1:4" ht="14.65" thickBot="1" x14ac:dyDescent="0.5">
      <c r="A7610" s="17">
        <v>44708.666666666664</v>
      </c>
      <c r="B7610" s="19">
        <v>101.3</v>
      </c>
      <c r="C7610" t="s">
        <v>32</v>
      </c>
      <c r="D7610" t="str">
        <f>T_Stocks[[#This Row],[Ticker]] &amp; "-" &amp; DATE(YEAR(T_Stocks[[#This Row],[Fecha]]),MONTH(T_Stocks[[#This Row],[Fecha]]),DAY(T_Stocks[[#This Row],[Fecha]]))</f>
        <v>VTSAX-44708</v>
      </c>
    </row>
    <row r="7611" spans="1:4" ht="14.65" thickBot="1" x14ac:dyDescent="0.5">
      <c r="A7611" s="17">
        <v>44712.666666666664</v>
      </c>
      <c r="B7611" s="19">
        <v>100.54</v>
      </c>
      <c r="C7611" t="s">
        <v>32</v>
      </c>
      <c r="D7611" t="str">
        <f>T_Stocks[[#This Row],[Ticker]] &amp; "-" &amp; DATE(YEAR(T_Stocks[[#This Row],[Fecha]]),MONTH(T_Stocks[[#This Row],[Fecha]]),DAY(T_Stocks[[#This Row],[Fecha]]))</f>
        <v>VTSAX-44712</v>
      </c>
    </row>
    <row r="7612" spans="1:4" ht="14.65" thickBot="1" x14ac:dyDescent="0.5">
      <c r="A7612" s="17">
        <v>44713.666666666664</v>
      </c>
      <c r="B7612" s="19">
        <v>99.79</v>
      </c>
      <c r="C7612" t="s">
        <v>32</v>
      </c>
      <c r="D7612" t="str">
        <f>T_Stocks[[#This Row],[Ticker]] &amp; "-" &amp; DATE(YEAR(T_Stocks[[#This Row],[Fecha]]),MONTH(T_Stocks[[#This Row],[Fecha]]),DAY(T_Stocks[[#This Row],[Fecha]]))</f>
        <v>VTSAX-44713</v>
      </c>
    </row>
    <row r="7613" spans="1:4" ht="14.65" thickBot="1" x14ac:dyDescent="0.5">
      <c r="A7613" s="17">
        <v>44714.666666666664</v>
      </c>
      <c r="B7613" s="19">
        <v>101.82</v>
      </c>
      <c r="C7613" t="s">
        <v>32</v>
      </c>
      <c r="D7613" t="str">
        <f>T_Stocks[[#This Row],[Ticker]] &amp; "-" &amp; DATE(YEAR(T_Stocks[[#This Row],[Fecha]]),MONTH(T_Stocks[[#This Row],[Fecha]]),DAY(T_Stocks[[#This Row],[Fecha]]))</f>
        <v>VTSAX-44714</v>
      </c>
    </row>
    <row r="7614" spans="1:4" ht="14.65" thickBot="1" x14ac:dyDescent="0.5">
      <c r="A7614" s="17">
        <v>44715.666666666664</v>
      </c>
      <c r="B7614" s="19">
        <v>100.21</v>
      </c>
      <c r="C7614" t="s">
        <v>32</v>
      </c>
      <c r="D7614" t="str">
        <f>T_Stocks[[#This Row],[Ticker]] &amp; "-" &amp; DATE(YEAR(T_Stocks[[#This Row],[Fecha]]),MONTH(T_Stocks[[#This Row],[Fecha]]),DAY(T_Stocks[[#This Row],[Fecha]]))</f>
        <v>VTSAX-44715</v>
      </c>
    </row>
    <row r="7615" spans="1:4" ht="14.65" thickBot="1" x14ac:dyDescent="0.5">
      <c r="A7615" s="17">
        <v>44718.666666666664</v>
      </c>
      <c r="B7615" s="19">
        <v>100.54</v>
      </c>
      <c r="C7615" t="s">
        <v>32</v>
      </c>
      <c r="D7615" t="str">
        <f>T_Stocks[[#This Row],[Ticker]] &amp; "-" &amp; DATE(YEAR(T_Stocks[[#This Row],[Fecha]]),MONTH(T_Stocks[[#This Row],[Fecha]]),DAY(T_Stocks[[#This Row],[Fecha]]))</f>
        <v>VTSAX-44718</v>
      </c>
    </row>
    <row r="7616" spans="1:4" ht="14.65" thickBot="1" x14ac:dyDescent="0.5">
      <c r="A7616" s="17">
        <v>44719.666666666664</v>
      </c>
      <c r="B7616" s="19">
        <v>101.58</v>
      </c>
      <c r="C7616" t="s">
        <v>32</v>
      </c>
      <c r="D7616" t="str">
        <f>T_Stocks[[#This Row],[Ticker]] &amp; "-" &amp; DATE(YEAR(T_Stocks[[#This Row],[Fecha]]),MONTH(T_Stocks[[#This Row],[Fecha]]),DAY(T_Stocks[[#This Row],[Fecha]]))</f>
        <v>VTSAX-44719</v>
      </c>
    </row>
    <row r="7617" spans="1:4" ht="14.65" thickBot="1" x14ac:dyDescent="0.5">
      <c r="A7617" s="17">
        <v>44720.666666666664</v>
      </c>
      <c r="B7617" s="19">
        <v>100.47</v>
      </c>
      <c r="C7617" t="s">
        <v>32</v>
      </c>
      <c r="D7617" t="str">
        <f>T_Stocks[[#This Row],[Ticker]] &amp; "-" &amp; DATE(YEAR(T_Stocks[[#This Row],[Fecha]]),MONTH(T_Stocks[[#This Row],[Fecha]]),DAY(T_Stocks[[#This Row],[Fecha]]))</f>
        <v>VTSAX-44720</v>
      </c>
    </row>
    <row r="7618" spans="1:4" ht="14.65" thickBot="1" x14ac:dyDescent="0.5">
      <c r="A7618" s="17">
        <v>44721.666666666664</v>
      </c>
      <c r="B7618" s="19">
        <v>98.04</v>
      </c>
      <c r="C7618" t="s">
        <v>32</v>
      </c>
      <c r="D7618" t="str">
        <f>T_Stocks[[#This Row],[Ticker]] &amp; "-" &amp; DATE(YEAR(T_Stocks[[#This Row],[Fecha]]),MONTH(T_Stocks[[#This Row],[Fecha]]),DAY(T_Stocks[[#This Row],[Fecha]]))</f>
        <v>VTSAX-44721</v>
      </c>
    </row>
    <row r="7619" spans="1:4" ht="14.65" thickBot="1" x14ac:dyDescent="0.5">
      <c r="A7619" s="17">
        <v>44722.666666666664</v>
      </c>
      <c r="B7619" s="19">
        <v>95.15</v>
      </c>
      <c r="C7619" t="s">
        <v>32</v>
      </c>
      <c r="D7619" t="str">
        <f>T_Stocks[[#This Row],[Ticker]] &amp; "-" &amp; DATE(YEAR(T_Stocks[[#This Row],[Fecha]]),MONTH(T_Stocks[[#This Row],[Fecha]]),DAY(T_Stocks[[#This Row],[Fecha]]))</f>
        <v>VTSAX-44722</v>
      </c>
    </row>
    <row r="7620" spans="1:4" ht="14.65" thickBot="1" x14ac:dyDescent="0.5">
      <c r="A7620" s="17">
        <v>44725.666666666664</v>
      </c>
      <c r="B7620" s="19">
        <v>91.25</v>
      </c>
      <c r="C7620" t="s">
        <v>32</v>
      </c>
      <c r="D7620" t="str">
        <f>T_Stocks[[#This Row],[Ticker]] &amp; "-" &amp; DATE(YEAR(T_Stocks[[#This Row],[Fecha]]),MONTH(T_Stocks[[#This Row],[Fecha]]),DAY(T_Stocks[[#This Row],[Fecha]]))</f>
        <v>VTSAX-44725</v>
      </c>
    </row>
    <row r="7621" spans="1:4" ht="14.65" thickBot="1" x14ac:dyDescent="0.5">
      <c r="A7621" s="17">
        <v>44726.666666666664</v>
      </c>
      <c r="B7621" s="19">
        <v>90.94</v>
      </c>
      <c r="C7621" t="s">
        <v>32</v>
      </c>
      <c r="D7621" t="str">
        <f>T_Stocks[[#This Row],[Ticker]] &amp; "-" &amp; DATE(YEAR(T_Stocks[[#This Row],[Fecha]]),MONTH(T_Stocks[[#This Row],[Fecha]]),DAY(T_Stocks[[#This Row],[Fecha]]))</f>
        <v>VTSAX-44726</v>
      </c>
    </row>
    <row r="7622" spans="1:4" ht="14.65" thickBot="1" x14ac:dyDescent="0.5">
      <c r="A7622" s="17">
        <v>44727.666666666664</v>
      </c>
      <c r="B7622" s="19">
        <v>92.32</v>
      </c>
      <c r="C7622" t="s">
        <v>32</v>
      </c>
      <c r="D7622" t="str">
        <f>T_Stocks[[#This Row],[Ticker]] &amp; "-" &amp; DATE(YEAR(T_Stocks[[#This Row],[Fecha]]),MONTH(T_Stocks[[#This Row],[Fecha]]),DAY(T_Stocks[[#This Row],[Fecha]]))</f>
        <v>VTSAX-44727</v>
      </c>
    </row>
    <row r="7623" spans="1:4" ht="14.65" thickBot="1" x14ac:dyDescent="0.5">
      <c r="A7623" s="17">
        <v>44728.666666666664</v>
      </c>
      <c r="B7623" s="19">
        <v>89.1</v>
      </c>
      <c r="C7623" t="s">
        <v>32</v>
      </c>
      <c r="D7623" t="str">
        <f>T_Stocks[[#This Row],[Ticker]] &amp; "-" &amp; DATE(YEAR(T_Stocks[[#This Row],[Fecha]]),MONTH(T_Stocks[[#This Row],[Fecha]]),DAY(T_Stocks[[#This Row],[Fecha]]))</f>
        <v>VTSAX-44728</v>
      </c>
    </row>
    <row r="7624" spans="1:4" ht="14.65" thickBot="1" x14ac:dyDescent="0.5">
      <c r="A7624" s="17">
        <v>44729.666666666664</v>
      </c>
      <c r="B7624" s="19">
        <v>89.48</v>
      </c>
      <c r="C7624" t="s">
        <v>32</v>
      </c>
      <c r="D7624" t="str">
        <f>T_Stocks[[#This Row],[Ticker]] &amp; "-" &amp; DATE(YEAR(T_Stocks[[#This Row],[Fecha]]),MONTH(T_Stocks[[#This Row],[Fecha]]),DAY(T_Stocks[[#This Row],[Fecha]]))</f>
        <v>VTSAX-44729</v>
      </c>
    </row>
    <row r="7625" spans="1:4" ht="14.65" thickBot="1" x14ac:dyDescent="0.5">
      <c r="A7625" s="17">
        <v>44733.666666666664</v>
      </c>
      <c r="B7625" s="19">
        <v>91.57</v>
      </c>
      <c r="C7625" t="s">
        <v>32</v>
      </c>
      <c r="D7625" t="str">
        <f>T_Stocks[[#This Row],[Ticker]] &amp; "-" &amp; DATE(YEAR(T_Stocks[[#This Row],[Fecha]]),MONTH(T_Stocks[[#This Row],[Fecha]]),DAY(T_Stocks[[#This Row],[Fecha]]))</f>
        <v>VTSAX-44733</v>
      </c>
    </row>
    <row r="7626" spans="1:4" ht="14.65" thickBot="1" x14ac:dyDescent="0.5">
      <c r="A7626" s="17">
        <v>44734.666666666664</v>
      </c>
      <c r="B7626" s="19">
        <v>91.1</v>
      </c>
      <c r="C7626" t="s">
        <v>32</v>
      </c>
      <c r="D7626" t="str">
        <f>T_Stocks[[#This Row],[Ticker]] &amp; "-" &amp; DATE(YEAR(T_Stocks[[#This Row],[Fecha]]),MONTH(T_Stocks[[#This Row],[Fecha]]),DAY(T_Stocks[[#This Row],[Fecha]]))</f>
        <v>VTSAX-44734</v>
      </c>
    </row>
    <row r="7627" spans="1:4" ht="14.65" thickBot="1" x14ac:dyDescent="0.5">
      <c r="A7627" s="17">
        <v>44735.666666666664</v>
      </c>
      <c r="B7627" s="19">
        <v>92.1</v>
      </c>
      <c r="C7627" t="s">
        <v>32</v>
      </c>
      <c r="D7627" t="str">
        <f>T_Stocks[[#This Row],[Ticker]] &amp; "-" &amp; DATE(YEAR(T_Stocks[[#This Row],[Fecha]]),MONTH(T_Stocks[[#This Row],[Fecha]]),DAY(T_Stocks[[#This Row],[Fecha]]))</f>
        <v>VTSAX-44735</v>
      </c>
    </row>
    <row r="7628" spans="1:4" ht="14.65" thickBot="1" x14ac:dyDescent="0.5">
      <c r="A7628" s="17">
        <v>44736.666666666664</v>
      </c>
      <c r="B7628" s="19">
        <v>94.97</v>
      </c>
      <c r="C7628" t="s">
        <v>32</v>
      </c>
      <c r="D7628" t="str">
        <f>T_Stocks[[#This Row],[Ticker]] &amp; "-" &amp; DATE(YEAR(T_Stocks[[#This Row],[Fecha]]),MONTH(T_Stocks[[#This Row],[Fecha]]),DAY(T_Stocks[[#This Row],[Fecha]]))</f>
        <v>VTSAX-44736</v>
      </c>
    </row>
    <row r="7629" spans="1:4" ht="14.65" thickBot="1" x14ac:dyDescent="0.5">
      <c r="A7629" s="17">
        <v>44739.666666666664</v>
      </c>
      <c r="B7629" s="19">
        <v>94.71</v>
      </c>
      <c r="C7629" t="s">
        <v>32</v>
      </c>
      <c r="D7629" t="str">
        <f>T_Stocks[[#This Row],[Ticker]] &amp; "-" &amp; DATE(YEAR(T_Stocks[[#This Row],[Fecha]]),MONTH(T_Stocks[[#This Row],[Fecha]]),DAY(T_Stocks[[#This Row],[Fecha]]))</f>
        <v>VTSAX-44739</v>
      </c>
    </row>
    <row r="7630" spans="1:4" ht="14.65" thickBot="1" x14ac:dyDescent="0.5">
      <c r="A7630" s="17">
        <v>44740.666666666664</v>
      </c>
      <c r="B7630" s="19">
        <v>92.8</v>
      </c>
      <c r="C7630" t="s">
        <v>32</v>
      </c>
      <c r="D7630" t="str">
        <f>T_Stocks[[#This Row],[Ticker]] &amp; "-" &amp; DATE(YEAR(T_Stocks[[#This Row],[Fecha]]),MONTH(T_Stocks[[#This Row],[Fecha]]),DAY(T_Stocks[[#This Row],[Fecha]]))</f>
        <v>VTSAX-44740</v>
      </c>
    </row>
    <row r="7631" spans="1:4" ht="14.65" thickBot="1" x14ac:dyDescent="0.5">
      <c r="A7631" s="17">
        <v>44741.666666666664</v>
      </c>
      <c r="B7631" s="19">
        <v>92.61</v>
      </c>
      <c r="C7631" t="s">
        <v>32</v>
      </c>
      <c r="D7631" t="str">
        <f>T_Stocks[[#This Row],[Ticker]] &amp; "-" &amp; DATE(YEAR(T_Stocks[[#This Row],[Fecha]]),MONTH(T_Stocks[[#This Row],[Fecha]]),DAY(T_Stocks[[#This Row],[Fecha]]))</f>
        <v>VTSAX-44741</v>
      </c>
    </row>
    <row r="7632" spans="1:4" ht="14.65" thickBot="1" x14ac:dyDescent="0.5">
      <c r="A7632" s="17">
        <v>44742.666666666664</v>
      </c>
      <c r="B7632" s="19">
        <v>91.77</v>
      </c>
      <c r="C7632" t="s">
        <v>32</v>
      </c>
      <c r="D7632" t="str">
        <f>T_Stocks[[#This Row],[Ticker]] &amp; "-" &amp; DATE(YEAR(T_Stocks[[#This Row],[Fecha]]),MONTH(T_Stocks[[#This Row],[Fecha]]),DAY(T_Stocks[[#This Row],[Fecha]]))</f>
        <v>VTSAX-44742</v>
      </c>
    </row>
    <row r="7633" spans="1:4" ht="14.65" thickBot="1" x14ac:dyDescent="0.5">
      <c r="A7633" s="17">
        <v>44743.666666666664</v>
      </c>
      <c r="B7633" s="19">
        <v>92.8</v>
      </c>
      <c r="C7633" t="s">
        <v>32</v>
      </c>
      <c r="D7633" t="str">
        <f>T_Stocks[[#This Row],[Ticker]] &amp; "-" &amp; DATE(YEAR(T_Stocks[[#This Row],[Fecha]]),MONTH(T_Stocks[[#This Row],[Fecha]]),DAY(T_Stocks[[#This Row],[Fecha]]))</f>
        <v>VTSAX-44743</v>
      </c>
    </row>
    <row r="7634" spans="1:4" ht="14.65" thickBot="1" x14ac:dyDescent="0.5">
      <c r="A7634" s="17">
        <v>44747.666666666664</v>
      </c>
      <c r="B7634" s="19">
        <v>93.11</v>
      </c>
      <c r="C7634" t="s">
        <v>32</v>
      </c>
      <c r="D7634" t="str">
        <f>T_Stocks[[#This Row],[Ticker]] &amp; "-" &amp; DATE(YEAR(T_Stocks[[#This Row],[Fecha]]),MONTH(T_Stocks[[#This Row],[Fecha]]),DAY(T_Stocks[[#This Row],[Fecha]]))</f>
        <v>VTSAX-44747</v>
      </c>
    </row>
    <row r="7635" spans="1:4" ht="14.65" thickBot="1" x14ac:dyDescent="0.5">
      <c r="A7635" s="17">
        <v>44748.666666666664</v>
      </c>
      <c r="B7635" s="19">
        <v>93.28</v>
      </c>
      <c r="C7635" t="s">
        <v>32</v>
      </c>
      <c r="D7635" t="str">
        <f>T_Stocks[[#This Row],[Ticker]] &amp; "-" &amp; DATE(YEAR(T_Stocks[[#This Row],[Fecha]]),MONTH(T_Stocks[[#This Row],[Fecha]]),DAY(T_Stocks[[#This Row],[Fecha]]))</f>
        <v>VTSAX-44748</v>
      </c>
    </row>
    <row r="7636" spans="1:4" ht="14.65" thickBot="1" x14ac:dyDescent="0.5">
      <c r="A7636" s="17">
        <v>44749.666666666664</v>
      </c>
      <c r="B7636" s="19">
        <v>94.84</v>
      </c>
      <c r="C7636" t="s">
        <v>32</v>
      </c>
      <c r="D7636" t="str">
        <f>T_Stocks[[#This Row],[Ticker]] &amp; "-" &amp; DATE(YEAR(T_Stocks[[#This Row],[Fecha]]),MONTH(T_Stocks[[#This Row],[Fecha]]),DAY(T_Stocks[[#This Row],[Fecha]]))</f>
        <v>VTSAX-44749</v>
      </c>
    </row>
    <row r="7637" spans="1:4" ht="14.65" thickBot="1" x14ac:dyDescent="0.5">
      <c r="A7637" s="17">
        <v>44750.666666666664</v>
      </c>
      <c r="B7637" s="19">
        <v>94.74</v>
      </c>
      <c r="C7637" t="s">
        <v>32</v>
      </c>
      <c r="D7637" t="str">
        <f>T_Stocks[[#This Row],[Ticker]] &amp; "-" &amp; DATE(YEAR(T_Stocks[[#This Row],[Fecha]]),MONTH(T_Stocks[[#This Row],[Fecha]]),DAY(T_Stocks[[#This Row],[Fecha]]))</f>
        <v>VTSAX-44750</v>
      </c>
    </row>
    <row r="7638" spans="1:4" ht="14.65" thickBot="1" x14ac:dyDescent="0.5">
      <c r="A7638" s="17">
        <v>44753.666666666664</v>
      </c>
      <c r="B7638" s="19">
        <v>93.53</v>
      </c>
      <c r="C7638" t="s">
        <v>32</v>
      </c>
      <c r="D7638" t="str">
        <f>T_Stocks[[#This Row],[Ticker]] &amp; "-" &amp; DATE(YEAR(T_Stocks[[#This Row],[Fecha]]),MONTH(T_Stocks[[#This Row],[Fecha]]),DAY(T_Stocks[[#This Row],[Fecha]]))</f>
        <v>VTSAX-44753</v>
      </c>
    </row>
    <row r="7639" spans="1:4" ht="14.65" thickBot="1" x14ac:dyDescent="0.5">
      <c r="A7639" s="17">
        <v>44754.666666666664</v>
      </c>
      <c r="B7639" s="19">
        <v>92.72</v>
      </c>
      <c r="C7639" t="s">
        <v>32</v>
      </c>
      <c r="D7639" t="str">
        <f>T_Stocks[[#This Row],[Ticker]] &amp; "-" &amp; DATE(YEAR(T_Stocks[[#This Row],[Fecha]]),MONTH(T_Stocks[[#This Row],[Fecha]]),DAY(T_Stocks[[#This Row],[Fecha]]))</f>
        <v>VTSAX-44754</v>
      </c>
    </row>
    <row r="7640" spans="1:4" ht="14.65" thickBot="1" x14ac:dyDescent="0.5">
      <c r="A7640" s="17">
        <v>44755.666666666664</v>
      </c>
      <c r="B7640" s="19">
        <v>92.34</v>
      </c>
      <c r="C7640" t="s">
        <v>32</v>
      </c>
      <c r="D7640" t="str">
        <f>T_Stocks[[#This Row],[Ticker]] &amp; "-" &amp; DATE(YEAR(T_Stocks[[#This Row],[Fecha]]),MONTH(T_Stocks[[#This Row],[Fecha]]),DAY(T_Stocks[[#This Row],[Fecha]]))</f>
        <v>VTSAX-44755</v>
      </c>
    </row>
    <row r="7641" spans="1:4" ht="14.65" thickBot="1" x14ac:dyDescent="0.5">
      <c r="A7641" s="17">
        <v>44756.666666666664</v>
      </c>
      <c r="B7641" s="19">
        <v>91.93</v>
      </c>
      <c r="C7641" t="s">
        <v>32</v>
      </c>
      <c r="D7641" t="str">
        <f>T_Stocks[[#This Row],[Ticker]] &amp; "-" &amp; DATE(YEAR(T_Stocks[[#This Row],[Fecha]]),MONTH(T_Stocks[[#This Row],[Fecha]]),DAY(T_Stocks[[#This Row],[Fecha]]))</f>
        <v>VTSAX-44756</v>
      </c>
    </row>
    <row r="7642" spans="1:4" ht="14.65" thickBot="1" x14ac:dyDescent="0.5">
      <c r="A7642" s="17">
        <v>44757.666666666664</v>
      </c>
      <c r="B7642" s="19">
        <v>93.73</v>
      </c>
      <c r="C7642" t="s">
        <v>32</v>
      </c>
      <c r="D7642" t="str">
        <f>T_Stocks[[#This Row],[Ticker]] &amp; "-" &amp; DATE(YEAR(T_Stocks[[#This Row],[Fecha]]),MONTH(T_Stocks[[#This Row],[Fecha]]),DAY(T_Stocks[[#This Row],[Fecha]]))</f>
        <v>VTSAX-44757</v>
      </c>
    </row>
    <row r="7643" spans="1:4" ht="14.65" thickBot="1" x14ac:dyDescent="0.5">
      <c r="A7643" s="17">
        <v>44760.666666666664</v>
      </c>
      <c r="B7643" s="19">
        <v>93.05</v>
      </c>
      <c r="C7643" t="s">
        <v>32</v>
      </c>
      <c r="D7643" t="str">
        <f>T_Stocks[[#This Row],[Ticker]] &amp; "-" &amp; DATE(YEAR(T_Stocks[[#This Row],[Fecha]]),MONTH(T_Stocks[[#This Row],[Fecha]]),DAY(T_Stocks[[#This Row],[Fecha]]))</f>
        <v>VTSAX-44760</v>
      </c>
    </row>
    <row r="7644" spans="1:4" ht="14.65" thickBot="1" x14ac:dyDescent="0.5">
      <c r="A7644" s="17">
        <v>44761.666666666664</v>
      </c>
      <c r="B7644" s="19">
        <v>95.68</v>
      </c>
      <c r="C7644" t="s">
        <v>32</v>
      </c>
      <c r="D7644" t="str">
        <f>T_Stocks[[#This Row],[Ticker]] &amp; "-" &amp; DATE(YEAR(T_Stocks[[#This Row],[Fecha]]),MONTH(T_Stocks[[#This Row],[Fecha]]),DAY(T_Stocks[[#This Row],[Fecha]]))</f>
        <v>VTSAX-44761</v>
      </c>
    </row>
    <row r="7645" spans="1:4" ht="14.65" thickBot="1" x14ac:dyDescent="0.5">
      <c r="A7645" s="17">
        <v>44762.666666666664</v>
      </c>
      <c r="B7645" s="19">
        <v>96.44</v>
      </c>
      <c r="C7645" t="s">
        <v>32</v>
      </c>
      <c r="D7645" t="str">
        <f>T_Stocks[[#This Row],[Ticker]] &amp; "-" &amp; DATE(YEAR(T_Stocks[[#This Row],[Fecha]]),MONTH(T_Stocks[[#This Row],[Fecha]]),DAY(T_Stocks[[#This Row],[Fecha]]))</f>
        <v>VTSAX-44762</v>
      </c>
    </row>
    <row r="7646" spans="1:4" ht="14.65" thickBot="1" x14ac:dyDescent="0.5">
      <c r="A7646" s="17">
        <v>44763.666666666664</v>
      </c>
      <c r="B7646" s="19">
        <v>97.37</v>
      </c>
      <c r="C7646" t="s">
        <v>32</v>
      </c>
      <c r="D7646" t="str">
        <f>T_Stocks[[#This Row],[Ticker]] &amp; "-" &amp; DATE(YEAR(T_Stocks[[#This Row],[Fecha]]),MONTH(T_Stocks[[#This Row],[Fecha]]),DAY(T_Stocks[[#This Row],[Fecha]]))</f>
        <v>VTSAX-44763</v>
      </c>
    </row>
    <row r="7647" spans="1:4" ht="14.65" thickBot="1" x14ac:dyDescent="0.5">
      <c r="A7647" s="17">
        <v>44764.666666666664</v>
      </c>
      <c r="B7647" s="19">
        <v>96.33</v>
      </c>
      <c r="C7647" t="s">
        <v>32</v>
      </c>
      <c r="D7647" t="str">
        <f>T_Stocks[[#This Row],[Ticker]] &amp; "-" &amp; DATE(YEAR(T_Stocks[[#This Row],[Fecha]]),MONTH(T_Stocks[[#This Row],[Fecha]]),DAY(T_Stocks[[#This Row],[Fecha]]))</f>
        <v>VTSAX-44764</v>
      </c>
    </row>
    <row r="7648" spans="1:4" ht="14.65" thickBot="1" x14ac:dyDescent="0.5">
      <c r="A7648" s="17">
        <v>44767.666666666664</v>
      </c>
      <c r="B7648" s="19">
        <v>96.46</v>
      </c>
      <c r="C7648" t="s">
        <v>32</v>
      </c>
      <c r="D7648" t="str">
        <f>T_Stocks[[#This Row],[Ticker]] &amp; "-" &amp; DATE(YEAR(T_Stocks[[#This Row],[Fecha]]),MONTH(T_Stocks[[#This Row],[Fecha]]),DAY(T_Stocks[[#This Row],[Fecha]]))</f>
        <v>VTSAX-44767</v>
      </c>
    </row>
    <row r="7649" spans="1:4" ht="14.65" thickBot="1" x14ac:dyDescent="0.5">
      <c r="A7649" s="17">
        <v>44768.666666666664</v>
      </c>
      <c r="B7649" s="19">
        <v>95.31</v>
      </c>
      <c r="C7649" t="s">
        <v>32</v>
      </c>
      <c r="D7649" t="str">
        <f>T_Stocks[[#This Row],[Ticker]] &amp; "-" &amp; DATE(YEAR(T_Stocks[[#This Row],[Fecha]]),MONTH(T_Stocks[[#This Row],[Fecha]]),DAY(T_Stocks[[#This Row],[Fecha]]))</f>
        <v>VTSAX-44768</v>
      </c>
    </row>
    <row r="7650" spans="1:4" ht="14.65" thickBot="1" x14ac:dyDescent="0.5">
      <c r="A7650" s="17">
        <v>44769.666666666664</v>
      </c>
      <c r="B7650" s="19">
        <v>97.8</v>
      </c>
      <c r="C7650" t="s">
        <v>32</v>
      </c>
      <c r="D7650" t="str">
        <f>T_Stocks[[#This Row],[Ticker]] &amp; "-" &amp; DATE(YEAR(T_Stocks[[#This Row],[Fecha]]),MONTH(T_Stocks[[#This Row],[Fecha]]),DAY(T_Stocks[[#This Row],[Fecha]]))</f>
        <v>VTSAX-44769</v>
      </c>
    </row>
    <row r="7651" spans="1:4" ht="14.65" thickBot="1" x14ac:dyDescent="0.5">
      <c r="A7651" s="17">
        <v>44770.666666666664</v>
      </c>
      <c r="B7651" s="19">
        <v>99.05</v>
      </c>
      <c r="C7651" t="s">
        <v>32</v>
      </c>
      <c r="D7651" t="str">
        <f>T_Stocks[[#This Row],[Ticker]] &amp; "-" &amp; DATE(YEAR(T_Stocks[[#This Row],[Fecha]]),MONTH(T_Stocks[[#This Row],[Fecha]]),DAY(T_Stocks[[#This Row],[Fecha]]))</f>
        <v>VTSAX-44770</v>
      </c>
    </row>
    <row r="7652" spans="1:4" ht="14.65" thickBot="1" x14ac:dyDescent="0.5">
      <c r="A7652" s="17">
        <v>44771.666666666664</v>
      </c>
      <c r="B7652" s="19">
        <v>100.39</v>
      </c>
      <c r="C7652" t="s">
        <v>32</v>
      </c>
      <c r="D7652" t="str">
        <f>T_Stocks[[#This Row],[Ticker]] &amp; "-" &amp; DATE(YEAR(T_Stocks[[#This Row],[Fecha]]),MONTH(T_Stocks[[#This Row],[Fecha]]),DAY(T_Stocks[[#This Row],[Fecha]]))</f>
        <v>VTSAX-44771</v>
      </c>
    </row>
    <row r="7653" spans="1:4" ht="14.65" thickBot="1" x14ac:dyDescent="0.5">
      <c r="A7653" s="17">
        <v>44774.666666666664</v>
      </c>
      <c r="B7653" s="19">
        <v>100.16</v>
      </c>
      <c r="C7653" t="s">
        <v>32</v>
      </c>
      <c r="D7653" t="str">
        <f>T_Stocks[[#This Row],[Ticker]] &amp; "-" &amp; DATE(YEAR(T_Stocks[[#This Row],[Fecha]]),MONTH(T_Stocks[[#This Row],[Fecha]]),DAY(T_Stocks[[#This Row],[Fecha]]))</f>
        <v>VTSAX-44774</v>
      </c>
    </row>
    <row r="7654" spans="1:4" ht="14.65" thickBot="1" x14ac:dyDescent="0.5">
      <c r="A7654" s="17">
        <v>44775.666666666664</v>
      </c>
      <c r="B7654" s="19">
        <v>99.61</v>
      </c>
      <c r="C7654" t="s">
        <v>32</v>
      </c>
      <c r="D7654" t="str">
        <f>T_Stocks[[#This Row],[Ticker]] &amp; "-" &amp; DATE(YEAR(T_Stocks[[#This Row],[Fecha]]),MONTH(T_Stocks[[#This Row],[Fecha]]),DAY(T_Stocks[[#This Row],[Fecha]]))</f>
        <v>VTSAX-44775</v>
      </c>
    </row>
    <row r="7655" spans="1:4" ht="14.65" thickBot="1" x14ac:dyDescent="0.5">
      <c r="A7655" s="17">
        <v>44776.666666666664</v>
      </c>
      <c r="B7655" s="19">
        <v>101.21</v>
      </c>
      <c r="C7655" t="s">
        <v>32</v>
      </c>
      <c r="D7655" t="str">
        <f>T_Stocks[[#This Row],[Ticker]] &amp; "-" &amp; DATE(YEAR(T_Stocks[[#This Row],[Fecha]]),MONTH(T_Stocks[[#This Row],[Fecha]]),DAY(T_Stocks[[#This Row],[Fecha]]))</f>
        <v>VTSAX-44776</v>
      </c>
    </row>
    <row r="7656" spans="1:4" ht="14.65" thickBot="1" x14ac:dyDescent="0.5">
      <c r="A7656" s="17">
        <v>44777.666666666664</v>
      </c>
      <c r="B7656" s="19">
        <v>101.14</v>
      </c>
      <c r="C7656" t="s">
        <v>32</v>
      </c>
      <c r="D7656" t="str">
        <f>T_Stocks[[#This Row],[Ticker]] &amp; "-" &amp; DATE(YEAR(T_Stocks[[#This Row],[Fecha]]),MONTH(T_Stocks[[#This Row],[Fecha]]),DAY(T_Stocks[[#This Row],[Fecha]]))</f>
        <v>VTSAX-44777</v>
      </c>
    </row>
    <row r="7657" spans="1:4" ht="14.65" thickBot="1" x14ac:dyDescent="0.5">
      <c r="A7657" s="17">
        <v>44778.666666666664</v>
      </c>
      <c r="B7657" s="19">
        <v>101.12</v>
      </c>
      <c r="C7657" t="s">
        <v>32</v>
      </c>
      <c r="D7657" t="str">
        <f>T_Stocks[[#This Row],[Ticker]] &amp; "-" &amp; DATE(YEAR(T_Stocks[[#This Row],[Fecha]]),MONTH(T_Stocks[[#This Row],[Fecha]]),DAY(T_Stocks[[#This Row],[Fecha]]))</f>
        <v>VTSAX-44778</v>
      </c>
    </row>
    <row r="7658" spans="1:4" ht="14.65" thickBot="1" x14ac:dyDescent="0.5">
      <c r="A7658" s="17">
        <v>44781.666666666664</v>
      </c>
      <c r="B7658" s="19">
        <v>101.16</v>
      </c>
      <c r="C7658" t="s">
        <v>32</v>
      </c>
      <c r="D7658" t="str">
        <f>T_Stocks[[#This Row],[Ticker]] &amp; "-" &amp; DATE(YEAR(T_Stocks[[#This Row],[Fecha]]),MONTH(T_Stocks[[#This Row],[Fecha]]),DAY(T_Stocks[[#This Row],[Fecha]]))</f>
        <v>VTSAX-44781</v>
      </c>
    </row>
    <row r="7659" spans="1:4" ht="14.65" thickBot="1" x14ac:dyDescent="0.5">
      <c r="A7659" s="17">
        <v>44782.666666666664</v>
      </c>
      <c r="B7659" s="19">
        <v>100.54</v>
      </c>
      <c r="C7659" t="s">
        <v>32</v>
      </c>
      <c r="D7659" t="str">
        <f>T_Stocks[[#This Row],[Ticker]] &amp; "-" &amp; DATE(YEAR(T_Stocks[[#This Row],[Fecha]]),MONTH(T_Stocks[[#This Row],[Fecha]]),DAY(T_Stocks[[#This Row],[Fecha]]))</f>
        <v>VTSAX-44782</v>
      </c>
    </row>
    <row r="7660" spans="1:4" ht="14.65" thickBot="1" x14ac:dyDescent="0.5">
      <c r="A7660" s="17">
        <v>44783.666666666664</v>
      </c>
      <c r="B7660" s="19">
        <v>102.87</v>
      </c>
      <c r="C7660" t="s">
        <v>32</v>
      </c>
      <c r="D7660" t="str">
        <f>T_Stocks[[#This Row],[Ticker]] &amp; "-" &amp; DATE(YEAR(T_Stocks[[#This Row],[Fecha]]),MONTH(T_Stocks[[#This Row],[Fecha]]),DAY(T_Stocks[[#This Row],[Fecha]]))</f>
        <v>VTSAX-44783</v>
      </c>
    </row>
    <row r="7661" spans="1:4" ht="14.65" thickBot="1" x14ac:dyDescent="0.5">
      <c r="A7661" s="17">
        <v>44784.666666666664</v>
      </c>
      <c r="B7661" s="19">
        <v>102.83</v>
      </c>
      <c r="C7661" t="s">
        <v>32</v>
      </c>
      <c r="D7661" t="str">
        <f>T_Stocks[[#This Row],[Ticker]] &amp; "-" &amp; DATE(YEAR(T_Stocks[[#This Row],[Fecha]]),MONTH(T_Stocks[[#This Row],[Fecha]]),DAY(T_Stocks[[#This Row],[Fecha]]))</f>
        <v>VTSAX-44784</v>
      </c>
    </row>
    <row r="7662" spans="1:4" ht="14.65" thickBot="1" x14ac:dyDescent="0.5">
      <c r="A7662" s="17">
        <v>44785.666666666664</v>
      </c>
      <c r="B7662" s="19">
        <v>104.64</v>
      </c>
      <c r="C7662" t="s">
        <v>32</v>
      </c>
      <c r="D7662" t="str">
        <f>T_Stocks[[#This Row],[Ticker]] &amp; "-" &amp; DATE(YEAR(T_Stocks[[#This Row],[Fecha]]),MONTH(T_Stocks[[#This Row],[Fecha]]),DAY(T_Stocks[[#This Row],[Fecha]]))</f>
        <v>VTSAX-44785</v>
      </c>
    </row>
    <row r="7663" spans="1:4" ht="14.65" thickBot="1" x14ac:dyDescent="0.5">
      <c r="A7663" s="17">
        <v>44788.666666666664</v>
      </c>
      <c r="B7663" s="19">
        <v>105.04</v>
      </c>
      <c r="C7663" t="s">
        <v>32</v>
      </c>
      <c r="D7663" t="str">
        <f>T_Stocks[[#This Row],[Ticker]] &amp; "-" &amp; DATE(YEAR(T_Stocks[[#This Row],[Fecha]]),MONTH(T_Stocks[[#This Row],[Fecha]]),DAY(T_Stocks[[#This Row],[Fecha]]))</f>
        <v>VTSAX-44788</v>
      </c>
    </row>
    <row r="7664" spans="1:4" ht="14.65" thickBot="1" x14ac:dyDescent="0.5">
      <c r="A7664" s="17">
        <v>44789.666666666664</v>
      </c>
      <c r="B7664" s="19">
        <v>105.22</v>
      </c>
      <c r="C7664" t="s">
        <v>32</v>
      </c>
      <c r="D7664" t="str">
        <f>T_Stocks[[#This Row],[Ticker]] &amp; "-" &amp; DATE(YEAR(T_Stocks[[#This Row],[Fecha]]),MONTH(T_Stocks[[#This Row],[Fecha]]),DAY(T_Stocks[[#This Row],[Fecha]]))</f>
        <v>VTSAX-44789</v>
      </c>
    </row>
    <row r="7665" spans="1:4" ht="14.65" thickBot="1" x14ac:dyDescent="0.5">
      <c r="A7665" s="17">
        <v>44790.666666666664</v>
      </c>
      <c r="B7665" s="19">
        <v>104.3</v>
      </c>
      <c r="C7665" t="s">
        <v>32</v>
      </c>
      <c r="D7665" t="str">
        <f>T_Stocks[[#This Row],[Ticker]] &amp; "-" &amp; DATE(YEAR(T_Stocks[[#This Row],[Fecha]]),MONTH(T_Stocks[[#This Row],[Fecha]]),DAY(T_Stocks[[#This Row],[Fecha]]))</f>
        <v>VTSAX-44790</v>
      </c>
    </row>
    <row r="7666" spans="1:4" ht="14.65" thickBot="1" x14ac:dyDescent="0.5">
      <c r="A7666" s="17">
        <v>44791.666666666664</v>
      </c>
      <c r="B7666" s="19">
        <v>104.58</v>
      </c>
      <c r="C7666" t="s">
        <v>32</v>
      </c>
      <c r="D7666" t="str">
        <f>T_Stocks[[#This Row],[Ticker]] &amp; "-" &amp; DATE(YEAR(T_Stocks[[#This Row],[Fecha]]),MONTH(T_Stocks[[#This Row],[Fecha]]),DAY(T_Stocks[[#This Row],[Fecha]]))</f>
        <v>VTSAX-44791</v>
      </c>
    </row>
    <row r="7667" spans="1:4" ht="14.65" thickBot="1" x14ac:dyDescent="0.5">
      <c r="A7667" s="17">
        <v>44792.666666666664</v>
      </c>
      <c r="B7667" s="19">
        <v>103.08</v>
      </c>
      <c r="C7667" t="s">
        <v>32</v>
      </c>
      <c r="D7667" t="str">
        <f>T_Stocks[[#This Row],[Ticker]] &amp; "-" &amp; DATE(YEAR(T_Stocks[[#This Row],[Fecha]]),MONTH(T_Stocks[[#This Row],[Fecha]]),DAY(T_Stocks[[#This Row],[Fecha]]))</f>
        <v>VTSAX-44792</v>
      </c>
    </row>
    <row r="7668" spans="1:4" ht="14.65" thickBot="1" x14ac:dyDescent="0.5">
      <c r="A7668" s="17">
        <v>44795.666666666664</v>
      </c>
      <c r="B7668" s="19">
        <v>100.88</v>
      </c>
      <c r="C7668" t="s">
        <v>32</v>
      </c>
      <c r="D7668" t="str">
        <f>T_Stocks[[#This Row],[Ticker]] &amp; "-" &amp; DATE(YEAR(T_Stocks[[#This Row],[Fecha]]),MONTH(T_Stocks[[#This Row],[Fecha]]),DAY(T_Stocks[[#This Row],[Fecha]]))</f>
        <v>VTSAX-44795</v>
      </c>
    </row>
    <row r="7669" spans="1:4" ht="14.65" thickBot="1" x14ac:dyDescent="0.5">
      <c r="A7669" s="17">
        <v>44796.666666666664</v>
      </c>
      <c r="B7669" s="19">
        <v>100.71</v>
      </c>
      <c r="C7669" t="s">
        <v>32</v>
      </c>
      <c r="D7669" t="str">
        <f>T_Stocks[[#This Row],[Ticker]] &amp; "-" &amp; DATE(YEAR(T_Stocks[[#This Row],[Fecha]]),MONTH(T_Stocks[[#This Row],[Fecha]]),DAY(T_Stocks[[#This Row],[Fecha]]))</f>
        <v>VTSAX-44796</v>
      </c>
    </row>
    <row r="7670" spans="1:4" ht="14.65" thickBot="1" x14ac:dyDescent="0.5">
      <c r="A7670" s="17">
        <v>44797.666666666664</v>
      </c>
      <c r="B7670" s="19">
        <v>101.09</v>
      </c>
      <c r="C7670" t="s">
        <v>32</v>
      </c>
      <c r="D7670" t="str">
        <f>T_Stocks[[#This Row],[Ticker]] &amp; "-" &amp; DATE(YEAR(T_Stocks[[#This Row],[Fecha]]),MONTH(T_Stocks[[#This Row],[Fecha]]),DAY(T_Stocks[[#This Row],[Fecha]]))</f>
        <v>VTSAX-44797</v>
      </c>
    </row>
    <row r="7671" spans="1:4" ht="14.65" thickBot="1" x14ac:dyDescent="0.5">
      <c r="A7671" s="17">
        <v>44798.666666666664</v>
      </c>
      <c r="B7671" s="19">
        <v>102.58</v>
      </c>
      <c r="C7671" t="s">
        <v>32</v>
      </c>
      <c r="D7671" t="str">
        <f>T_Stocks[[#This Row],[Ticker]] &amp; "-" &amp; DATE(YEAR(T_Stocks[[#This Row],[Fecha]]),MONTH(T_Stocks[[#This Row],[Fecha]]),DAY(T_Stocks[[#This Row],[Fecha]]))</f>
        <v>VTSAX-44798</v>
      </c>
    </row>
    <row r="7672" spans="1:4" ht="14.65" thickBot="1" x14ac:dyDescent="0.5">
      <c r="A7672" s="17">
        <v>44799.666666666664</v>
      </c>
      <c r="B7672" s="19">
        <v>99.14</v>
      </c>
      <c r="C7672" t="s">
        <v>32</v>
      </c>
      <c r="D7672" t="str">
        <f>T_Stocks[[#This Row],[Ticker]] &amp; "-" &amp; DATE(YEAR(T_Stocks[[#This Row],[Fecha]]),MONTH(T_Stocks[[#This Row],[Fecha]]),DAY(T_Stocks[[#This Row],[Fecha]]))</f>
        <v>VTSAX-44799</v>
      </c>
    </row>
    <row r="7673" spans="1:4" ht="14.65" thickBot="1" x14ac:dyDescent="0.5">
      <c r="A7673" s="17">
        <v>44802.666666666664</v>
      </c>
      <c r="B7673" s="19">
        <v>98.45</v>
      </c>
      <c r="C7673" t="s">
        <v>32</v>
      </c>
      <c r="D7673" t="str">
        <f>T_Stocks[[#This Row],[Ticker]] &amp; "-" &amp; DATE(YEAR(T_Stocks[[#This Row],[Fecha]]),MONTH(T_Stocks[[#This Row],[Fecha]]),DAY(T_Stocks[[#This Row],[Fecha]]))</f>
        <v>VTSAX-44802</v>
      </c>
    </row>
    <row r="7674" spans="1:4" ht="14.65" thickBot="1" x14ac:dyDescent="0.5">
      <c r="A7674" s="17">
        <v>44803.666666666664</v>
      </c>
      <c r="B7674" s="19">
        <v>97.35</v>
      </c>
      <c r="C7674" t="s">
        <v>32</v>
      </c>
      <c r="D7674" t="str">
        <f>T_Stocks[[#This Row],[Ticker]] &amp; "-" &amp; DATE(YEAR(T_Stocks[[#This Row],[Fecha]]),MONTH(T_Stocks[[#This Row],[Fecha]]),DAY(T_Stocks[[#This Row],[Fecha]]))</f>
        <v>VTSAX-44803</v>
      </c>
    </row>
    <row r="7675" spans="1:4" ht="14.65" thickBot="1" x14ac:dyDescent="0.5">
      <c r="A7675" s="17">
        <v>44804.666666666664</v>
      </c>
      <c r="B7675" s="19">
        <v>96.64</v>
      </c>
      <c r="C7675" t="s">
        <v>32</v>
      </c>
      <c r="D7675" t="str">
        <f>T_Stocks[[#This Row],[Ticker]] &amp; "-" &amp; DATE(YEAR(T_Stocks[[#This Row],[Fecha]]),MONTH(T_Stocks[[#This Row],[Fecha]]),DAY(T_Stocks[[#This Row],[Fecha]]))</f>
        <v>VTSAX-44804</v>
      </c>
    </row>
    <row r="7676" spans="1:4" ht="14.65" thickBot="1" x14ac:dyDescent="0.5">
      <c r="A7676" s="17">
        <v>44805.666666666664</v>
      </c>
      <c r="B7676" s="19">
        <v>96.72</v>
      </c>
      <c r="C7676" t="s">
        <v>32</v>
      </c>
      <c r="D7676" t="str">
        <f>T_Stocks[[#This Row],[Ticker]] &amp; "-" &amp; DATE(YEAR(T_Stocks[[#This Row],[Fecha]]),MONTH(T_Stocks[[#This Row],[Fecha]]),DAY(T_Stocks[[#This Row],[Fecha]]))</f>
        <v>VTSAX-44805</v>
      </c>
    </row>
    <row r="7677" spans="1:4" ht="14.65" thickBot="1" x14ac:dyDescent="0.5">
      <c r="A7677" s="17">
        <v>44806.666666666664</v>
      </c>
      <c r="B7677" s="19">
        <v>95.75</v>
      </c>
      <c r="C7677" t="s">
        <v>32</v>
      </c>
      <c r="D7677" t="str">
        <f>T_Stocks[[#This Row],[Ticker]] &amp; "-" &amp; DATE(YEAR(T_Stocks[[#This Row],[Fecha]]),MONTH(T_Stocks[[#This Row],[Fecha]]),DAY(T_Stocks[[#This Row],[Fecha]]))</f>
        <v>VTSAX-44806</v>
      </c>
    </row>
    <row r="7678" spans="1:4" ht="14.65" thickBot="1" x14ac:dyDescent="0.5">
      <c r="A7678" s="17">
        <v>44810.666666666664</v>
      </c>
      <c r="B7678" s="19">
        <v>95.32</v>
      </c>
      <c r="C7678" t="s">
        <v>32</v>
      </c>
      <c r="D7678" t="str">
        <f>T_Stocks[[#This Row],[Ticker]] &amp; "-" &amp; DATE(YEAR(T_Stocks[[#This Row],[Fecha]]),MONTH(T_Stocks[[#This Row],[Fecha]]),DAY(T_Stocks[[#This Row],[Fecha]]))</f>
        <v>VTSAX-44810</v>
      </c>
    </row>
    <row r="7679" spans="1:4" ht="14.65" thickBot="1" x14ac:dyDescent="0.5">
      <c r="A7679" s="17">
        <v>44811.666666666664</v>
      </c>
      <c r="B7679" s="19">
        <v>97.14</v>
      </c>
      <c r="C7679" t="s">
        <v>32</v>
      </c>
      <c r="D7679" t="str">
        <f>T_Stocks[[#This Row],[Ticker]] &amp; "-" &amp; DATE(YEAR(T_Stocks[[#This Row],[Fecha]]),MONTH(T_Stocks[[#This Row],[Fecha]]),DAY(T_Stocks[[#This Row],[Fecha]]))</f>
        <v>VTSAX-44811</v>
      </c>
    </row>
    <row r="7680" spans="1:4" ht="14.65" thickBot="1" x14ac:dyDescent="0.5">
      <c r="A7680" s="17">
        <v>44812.666666666664</v>
      </c>
      <c r="B7680" s="19">
        <v>97.88</v>
      </c>
      <c r="C7680" t="s">
        <v>32</v>
      </c>
      <c r="D7680" t="str">
        <f>T_Stocks[[#This Row],[Ticker]] &amp; "-" &amp; DATE(YEAR(T_Stocks[[#This Row],[Fecha]]),MONTH(T_Stocks[[#This Row],[Fecha]]),DAY(T_Stocks[[#This Row],[Fecha]]))</f>
        <v>VTSAX-44812</v>
      </c>
    </row>
    <row r="7681" spans="1:4" ht="14.65" thickBot="1" x14ac:dyDescent="0.5">
      <c r="A7681" s="17">
        <v>44813.666666666664</v>
      </c>
      <c r="B7681" s="19">
        <v>99.48</v>
      </c>
      <c r="C7681" t="s">
        <v>32</v>
      </c>
      <c r="D7681" t="str">
        <f>T_Stocks[[#This Row],[Ticker]] &amp; "-" &amp; DATE(YEAR(T_Stocks[[#This Row],[Fecha]]),MONTH(T_Stocks[[#This Row],[Fecha]]),DAY(T_Stocks[[#This Row],[Fecha]]))</f>
        <v>VTSAX-44813</v>
      </c>
    </row>
    <row r="7682" spans="1:4" ht="14.65" thickBot="1" x14ac:dyDescent="0.5">
      <c r="A7682" s="17">
        <v>44816.666666666664</v>
      </c>
      <c r="B7682" s="19">
        <v>100.55</v>
      </c>
      <c r="C7682" t="s">
        <v>32</v>
      </c>
      <c r="D7682" t="str">
        <f>T_Stocks[[#This Row],[Ticker]] &amp; "-" &amp; DATE(YEAR(T_Stocks[[#This Row],[Fecha]]),MONTH(T_Stocks[[#This Row],[Fecha]]),DAY(T_Stocks[[#This Row],[Fecha]]))</f>
        <v>VTSAX-44816</v>
      </c>
    </row>
    <row r="7683" spans="1:4" ht="14.65" thickBot="1" x14ac:dyDescent="0.5">
      <c r="A7683" s="17">
        <v>44817.666666666664</v>
      </c>
      <c r="B7683" s="19">
        <v>96.27</v>
      </c>
      <c r="C7683" t="s">
        <v>32</v>
      </c>
      <c r="D7683" t="str">
        <f>T_Stocks[[#This Row],[Ticker]] &amp; "-" &amp; DATE(YEAR(T_Stocks[[#This Row],[Fecha]]),MONTH(T_Stocks[[#This Row],[Fecha]]),DAY(T_Stocks[[#This Row],[Fecha]]))</f>
        <v>VTSAX-44817</v>
      </c>
    </row>
    <row r="7684" spans="1:4" ht="14.65" thickBot="1" x14ac:dyDescent="0.5">
      <c r="A7684" s="17">
        <v>44818.666666666664</v>
      </c>
      <c r="B7684" s="19">
        <v>96.62</v>
      </c>
      <c r="C7684" t="s">
        <v>32</v>
      </c>
      <c r="D7684" t="str">
        <f>T_Stocks[[#This Row],[Ticker]] &amp; "-" &amp; DATE(YEAR(T_Stocks[[#This Row],[Fecha]]),MONTH(T_Stocks[[#This Row],[Fecha]]),DAY(T_Stocks[[#This Row],[Fecha]]))</f>
        <v>VTSAX-44818</v>
      </c>
    </row>
    <row r="7685" spans="1:4" ht="14.65" thickBot="1" x14ac:dyDescent="0.5">
      <c r="A7685" s="17">
        <v>44819.666666666664</v>
      </c>
      <c r="B7685" s="19">
        <v>95.6</v>
      </c>
      <c r="C7685" t="s">
        <v>32</v>
      </c>
      <c r="D7685" t="str">
        <f>T_Stocks[[#This Row],[Ticker]] &amp; "-" &amp; DATE(YEAR(T_Stocks[[#This Row],[Fecha]]),MONTH(T_Stocks[[#This Row],[Fecha]]),DAY(T_Stocks[[#This Row],[Fecha]]))</f>
        <v>VTSAX-44819</v>
      </c>
    </row>
    <row r="7686" spans="1:4" ht="14.65" thickBot="1" x14ac:dyDescent="0.5">
      <c r="A7686" s="17">
        <v>44820.666666666664</v>
      </c>
      <c r="B7686" s="19">
        <v>94.75</v>
      </c>
      <c r="C7686" t="s">
        <v>32</v>
      </c>
      <c r="D7686" t="str">
        <f>T_Stocks[[#This Row],[Ticker]] &amp; "-" &amp; DATE(YEAR(T_Stocks[[#This Row],[Fecha]]),MONTH(T_Stocks[[#This Row],[Fecha]]),DAY(T_Stocks[[#This Row],[Fecha]]))</f>
        <v>VTSAX-44820</v>
      </c>
    </row>
    <row r="7687" spans="1:4" ht="14.65" thickBot="1" x14ac:dyDescent="0.5">
      <c r="A7687" s="17">
        <v>44823.666666666664</v>
      </c>
      <c r="B7687" s="19">
        <v>95.41</v>
      </c>
      <c r="C7687" t="s">
        <v>32</v>
      </c>
      <c r="D7687" t="str">
        <f>T_Stocks[[#This Row],[Ticker]] &amp; "-" &amp; DATE(YEAR(T_Stocks[[#This Row],[Fecha]]),MONTH(T_Stocks[[#This Row],[Fecha]]),DAY(T_Stocks[[#This Row],[Fecha]]))</f>
        <v>VTSAX-44823</v>
      </c>
    </row>
    <row r="7688" spans="1:4" ht="14.65" thickBot="1" x14ac:dyDescent="0.5">
      <c r="A7688" s="17">
        <v>44824.666666666664</v>
      </c>
      <c r="B7688" s="19">
        <v>94.26</v>
      </c>
      <c r="C7688" t="s">
        <v>32</v>
      </c>
      <c r="D7688" t="str">
        <f>T_Stocks[[#This Row],[Ticker]] &amp; "-" &amp; DATE(YEAR(T_Stocks[[#This Row],[Fecha]]),MONTH(T_Stocks[[#This Row],[Fecha]]),DAY(T_Stocks[[#This Row],[Fecha]]))</f>
        <v>VTSAX-44824</v>
      </c>
    </row>
    <row r="7689" spans="1:4" ht="14.65" thickBot="1" x14ac:dyDescent="0.5">
      <c r="A7689" s="17">
        <v>44825.666666666664</v>
      </c>
      <c r="B7689" s="19">
        <v>92.68</v>
      </c>
      <c r="C7689" t="s">
        <v>32</v>
      </c>
      <c r="D7689" t="str">
        <f>T_Stocks[[#This Row],[Ticker]] &amp; "-" &amp; DATE(YEAR(T_Stocks[[#This Row],[Fecha]]),MONTH(T_Stocks[[#This Row],[Fecha]]),DAY(T_Stocks[[#This Row],[Fecha]]))</f>
        <v>VTSAX-44825</v>
      </c>
    </row>
    <row r="7690" spans="1:4" ht="14.65" thickBot="1" x14ac:dyDescent="0.5">
      <c r="A7690" s="17">
        <v>44826.666666666664</v>
      </c>
      <c r="B7690" s="19">
        <v>91.29</v>
      </c>
      <c r="C7690" t="s">
        <v>32</v>
      </c>
      <c r="D7690" t="str">
        <f>T_Stocks[[#This Row],[Ticker]] &amp; "-" &amp; DATE(YEAR(T_Stocks[[#This Row],[Fecha]]),MONTH(T_Stocks[[#This Row],[Fecha]]),DAY(T_Stocks[[#This Row],[Fecha]]))</f>
        <v>VTSAX-44826</v>
      </c>
    </row>
    <row r="7691" spans="1:4" ht="14.65" thickBot="1" x14ac:dyDescent="0.5">
      <c r="A7691" s="17">
        <v>44827.666666666664</v>
      </c>
      <c r="B7691" s="19">
        <v>89.65</v>
      </c>
      <c r="C7691" t="s">
        <v>32</v>
      </c>
      <c r="D7691" t="str">
        <f>T_Stocks[[#This Row],[Ticker]] &amp; "-" &amp; DATE(YEAR(T_Stocks[[#This Row],[Fecha]]),MONTH(T_Stocks[[#This Row],[Fecha]]),DAY(T_Stocks[[#This Row],[Fecha]]))</f>
        <v>VTSAX-44827</v>
      </c>
    </row>
    <row r="7692" spans="1:4" ht="14.65" thickBot="1" x14ac:dyDescent="0.5">
      <c r="A7692" s="17">
        <v>44830.666666666664</v>
      </c>
      <c r="B7692" s="19">
        <v>88.65</v>
      </c>
      <c r="C7692" t="s">
        <v>32</v>
      </c>
      <c r="D7692" t="str">
        <f>T_Stocks[[#This Row],[Ticker]] &amp; "-" &amp; DATE(YEAR(T_Stocks[[#This Row],[Fecha]]),MONTH(T_Stocks[[#This Row],[Fecha]]),DAY(T_Stocks[[#This Row],[Fecha]]))</f>
        <v>VTSAX-44830</v>
      </c>
    </row>
    <row r="7693" spans="1:4" ht="14.65" thickBot="1" x14ac:dyDescent="0.5">
      <c r="A7693" s="17">
        <v>44831.666666666664</v>
      </c>
      <c r="B7693" s="19">
        <v>88.55</v>
      </c>
      <c r="C7693" t="s">
        <v>32</v>
      </c>
      <c r="D7693" t="str">
        <f>T_Stocks[[#This Row],[Ticker]] &amp; "-" &amp; DATE(YEAR(T_Stocks[[#This Row],[Fecha]]),MONTH(T_Stocks[[#This Row],[Fecha]]),DAY(T_Stocks[[#This Row],[Fecha]]))</f>
        <v>VTSAX-44831</v>
      </c>
    </row>
    <row r="7694" spans="1:4" ht="14.65" thickBot="1" x14ac:dyDescent="0.5">
      <c r="A7694" s="17">
        <v>44832.666666666664</v>
      </c>
      <c r="B7694" s="19">
        <v>90.44</v>
      </c>
      <c r="C7694" t="s">
        <v>32</v>
      </c>
      <c r="D7694" t="str">
        <f>T_Stocks[[#This Row],[Ticker]] &amp; "-" &amp; DATE(YEAR(T_Stocks[[#This Row],[Fecha]]),MONTH(T_Stocks[[#This Row],[Fecha]]),DAY(T_Stocks[[#This Row],[Fecha]]))</f>
        <v>VTSAX-44832</v>
      </c>
    </row>
    <row r="7695" spans="1:4" ht="14.65" thickBot="1" x14ac:dyDescent="0.5">
      <c r="A7695" s="17">
        <v>44833.666666666664</v>
      </c>
      <c r="B7695" s="19">
        <v>88.52</v>
      </c>
      <c r="C7695" t="s">
        <v>32</v>
      </c>
      <c r="D7695" t="str">
        <f>T_Stocks[[#This Row],[Ticker]] &amp; "-" &amp; DATE(YEAR(T_Stocks[[#This Row],[Fecha]]),MONTH(T_Stocks[[#This Row],[Fecha]]),DAY(T_Stocks[[#This Row],[Fecha]]))</f>
        <v>VTSAX-44833</v>
      </c>
    </row>
    <row r="7696" spans="1:4" ht="14.65" thickBot="1" x14ac:dyDescent="0.5">
      <c r="A7696" s="17">
        <v>44834.666666666664</v>
      </c>
      <c r="B7696" s="19">
        <v>87.31</v>
      </c>
      <c r="C7696" t="s">
        <v>32</v>
      </c>
      <c r="D7696" t="str">
        <f>T_Stocks[[#This Row],[Ticker]] &amp; "-" &amp; DATE(YEAR(T_Stocks[[#This Row],[Fecha]]),MONTH(T_Stocks[[#This Row],[Fecha]]),DAY(T_Stocks[[#This Row],[Fecha]]))</f>
        <v>VTSAX-44834</v>
      </c>
    </row>
    <row r="7697" spans="1:4" ht="14.65" thickBot="1" x14ac:dyDescent="0.5">
      <c r="A7697" s="17">
        <v>44837.666666666664</v>
      </c>
      <c r="B7697" s="19">
        <v>89.57</v>
      </c>
      <c r="C7697" t="s">
        <v>32</v>
      </c>
      <c r="D7697" t="str">
        <f>T_Stocks[[#This Row],[Ticker]] &amp; "-" &amp; DATE(YEAR(T_Stocks[[#This Row],[Fecha]]),MONTH(T_Stocks[[#This Row],[Fecha]]),DAY(T_Stocks[[#This Row],[Fecha]]))</f>
        <v>VTSAX-44837</v>
      </c>
    </row>
    <row r="7698" spans="1:4" ht="14.65" thickBot="1" x14ac:dyDescent="0.5">
      <c r="A7698" s="17">
        <v>44838.666666666664</v>
      </c>
      <c r="B7698" s="19">
        <v>92.48</v>
      </c>
      <c r="C7698" t="s">
        <v>32</v>
      </c>
      <c r="D7698" t="str">
        <f>T_Stocks[[#This Row],[Ticker]] &amp; "-" &amp; DATE(YEAR(T_Stocks[[#This Row],[Fecha]]),MONTH(T_Stocks[[#This Row],[Fecha]]),DAY(T_Stocks[[#This Row],[Fecha]]))</f>
        <v>VTSAX-44838</v>
      </c>
    </row>
    <row r="7699" spans="1:4" ht="14.65" thickBot="1" x14ac:dyDescent="0.5">
      <c r="A7699" s="17">
        <v>44839.666666666664</v>
      </c>
      <c r="B7699" s="19">
        <v>92.25</v>
      </c>
      <c r="C7699" t="s">
        <v>32</v>
      </c>
      <c r="D7699" t="str">
        <f>T_Stocks[[#This Row],[Ticker]] &amp; "-" &amp; DATE(YEAR(T_Stocks[[#This Row],[Fecha]]),MONTH(T_Stocks[[#This Row],[Fecha]]),DAY(T_Stocks[[#This Row],[Fecha]]))</f>
        <v>VTSAX-44839</v>
      </c>
    </row>
    <row r="7700" spans="1:4" ht="14.65" thickBot="1" x14ac:dyDescent="0.5">
      <c r="A7700" s="17">
        <v>44840.666666666664</v>
      </c>
      <c r="B7700" s="19">
        <v>91.4</v>
      </c>
      <c r="C7700" t="s">
        <v>32</v>
      </c>
      <c r="D7700" t="str">
        <f>T_Stocks[[#This Row],[Ticker]] &amp; "-" &amp; DATE(YEAR(T_Stocks[[#This Row],[Fecha]]),MONTH(T_Stocks[[#This Row],[Fecha]]),DAY(T_Stocks[[#This Row],[Fecha]]))</f>
        <v>VTSAX-44840</v>
      </c>
    </row>
    <row r="7701" spans="1:4" ht="14.65" thickBot="1" x14ac:dyDescent="0.5">
      <c r="A7701" s="17">
        <v>44841.666666666664</v>
      </c>
      <c r="B7701" s="19">
        <v>88.79</v>
      </c>
      <c r="C7701" t="s">
        <v>32</v>
      </c>
      <c r="D7701" t="str">
        <f>T_Stocks[[#This Row],[Ticker]] &amp; "-" &amp; DATE(YEAR(T_Stocks[[#This Row],[Fecha]]),MONTH(T_Stocks[[#This Row],[Fecha]]),DAY(T_Stocks[[#This Row],[Fecha]]))</f>
        <v>VTSAX-44841</v>
      </c>
    </row>
    <row r="7702" spans="1:4" ht="14.65" thickBot="1" x14ac:dyDescent="0.5">
      <c r="A7702" s="17">
        <v>44844.666666666664</v>
      </c>
      <c r="B7702" s="19">
        <v>88.08</v>
      </c>
      <c r="C7702" t="s">
        <v>32</v>
      </c>
      <c r="D7702" t="str">
        <f>T_Stocks[[#This Row],[Ticker]] &amp; "-" &amp; DATE(YEAR(T_Stocks[[#This Row],[Fecha]]),MONTH(T_Stocks[[#This Row],[Fecha]]),DAY(T_Stocks[[#This Row],[Fecha]]))</f>
        <v>VTSAX-44844</v>
      </c>
    </row>
    <row r="7703" spans="1:4" ht="14.65" thickBot="1" x14ac:dyDescent="0.5">
      <c r="A7703" s="17">
        <v>44845.666666666664</v>
      </c>
      <c r="B7703" s="19">
        <v>87.54</v>
      </c>
      <c r="C7703" t="s">
        <v>32</v>
      </c>
      <c r="D7703" t="str">
        <f>T_Stocks[[#This Row],[Ticker]] &amp; "-" &amp; DATE(YEAR(T_Stocks[[#This Row],[Fecha]]),MONTH(T_Stocks[[#This Row],[Fecha]]),DAY(T_Stocks[[#This Row],[Fecha]]))</f>
        <v>VTSAX-44845</v>
      </c>
    </row>
    <row r="7704" spans="1:4" ht="14.65" thickBot="1" x14ac:dyDescent="0.5">
      <c r="A7704" s="17">
        <v>44846.666666666664</v>
      </c>
      <c r="B7704" s="19">
        <v>87.27</v>
      </c>
      <c r="C7704" t="s">
        <v>32</v>
      </c>
      <c r="D7704" t="str">
        <f>T_Stocks[[#This Row],[Ticker]] &amp; "-" &amp; DATE(YEAR(T_Stocks[[#This Row],[Fecha]]),MONTH(T_Stocks[[#This Row],[Fecha]]),DAY(T_Stocks[[#This Row],[Fecha]]))</f>
        <v>VTSAX-44846</v>
      </c>
    </row>
    <row r="7705" spans="1:4" ht="14.65" thickBot="1" x14ac:dyDescent="0.5">
      <c r="A7705" s="17">
        <v>44847.666666666664</v>
      </c>
      <c r="B7705" s="19">
        <v>89.43</v>
      </c>
      <c r="C7705" t="s">
        <v>32</v>
      </c>
      <c r="D7705" t="str">
        <f>T_Stocks[[#This Row],[Ticker]] &amp; "-" &amp; DATE(YEAR(T_Stocks[[#This Row],[Fecha]]),MONTH(T_Stocks[[#This Row],[Fecha]]),DAY(T_Stocks[[#This Row],[Fecha]]))</f>
        <v>VTSAX-44847</v>
      </c>
    </row>
    <row r="7706" spans="1:4" ht="14.65" thickBot="1" x14ac:dyDescent="0.5">
      <c r="A7706" s="17">
        <v>44848.666666666664</v>
      </c>
      <c r="B7706" s="19">
        <v>87.27</v>
      </c>
      <c r="C7706" t="s">
        <v>32</v>
      </c>
      <c r="D7706" t="str">
        <f>T_Stocks[[#This Row],[Ticker]] &amp; "-" &amp; DATE(YEAR(T_Stocks[[#This Row],[Fecha]]),MONTH(T_Stocks[[#This Row],[Fecha]]),DAY(T_Stocks[[#This Row],[Fecha]]))</f>
        <v>VTSAX-44848</v>
      </c>
    </row>
    <row r="7707" spans="1:4" ht="14.65" thickBot="1" x14ac:dyDescent="0.5">
      <c r="A7707" s="17">
        <v>44851.666666666664</v>
      </c>
      <c r="B7707" s="19">
        <v>89.66</v>
      </c>
      <c r="C7707" t="s">
        <v>32</v>
      </c>
      <c r="D7707" t="str">
        <f>T_Stocks[[#This Row],[Ticker]] &amp; "-" &amp; DATE(YEAR(T_Stocks[[#This Row],[Fecha]]),MONTH(T_Stocks[[#This Row],[Fecha]]),DAY(T_Stocks[[#This Row],[Fecha]]))</f>
        <v>VTSAX-44851</v>
      </c>
    </row>
    <row r="7708" spans="1:4" ht="14.65" thickBot="1" x14ac:dyDescent="0.5">
      <c r="A7708" s="17">
        <v>44852.666666666664</v>
      </c>
      <c r="B7708" s="19">
        <v>90.73</v>
      </c>
      <c r="C7708" t="s">
        <v>32</v>
      </c>
      <c r="D7708" t="str">
        <f>T_Stocks[[#This Row],[Ticker]] &amp; "-" &amp; DATE(YEAR(T_Stocks[[#This Row],[Fecha]]),MONTH(T_Stocks[[#This Row],[Fecha]]),DAY(T_Stocks[[#This Row],[Fecha]]))</f>
        <v>VTSAX-44852</v>
      </c>
    </row>
    <row r="7709" spans="1:4" ht="14.65" thickBot="1" x14ac:dyDescent="0.5">
      <c r="A7709" s="17">
        <v>44853.666666666664</v>
      </c>
      <c r="B7709" s="19">
        <v>89.95</v>
      </c>
      <c r="C7709" t="s">
        <v>32</v>
      </c>
      <c r="D7709" t="str">
        <f>T_Stocks[[#This Row],[Ticker]] &amp; "-" &amp; DATE(YEAR(T_Stocks[[#This Row],[Fecha]]),MONTH(T_Stocks[[#This Row],[Fecha]]),DAY(T_Stocks[[#This Row],[Fecha]]))</f>
        <v>VTSAX-44853</v>
      </c>
    </row>
    <row r="7710" spans="1:4" ht="14.65" thickBot="1" x14ac:dyDescent="0.5">
      <c r="A7710" s="17">
        <v>44854.666666666664</v>
      </c>
      <c r="B7710" s="19">
        <v>89.22</v>
      </c>
      <c r="C7710" t="s">
        <v>32</v>
      </c>
      <c r="D7710" t="str">
        <f>T_Stocks[[#This Row],[Ticker]] &amp; "-" &amp; DATE(YEAR(T_Stocks[[#This Row],[Fecha]]),MONTH(T_Stocks[[#This Row],[Fecha]]),DAY(T_Stocks[[#This Row],[Fecha]]))</f>
        <v>VTSAX-44854</v>
      </c>
    </row>
    <row r="7711" spans="1:4" ht="14.65" thickBot="1" x14ac:dyDescent="0.5">
      <c r="A7711" s="17">
        <v>44855.666666666664</v>
      </c>
      <c r="B7711" s="19">
        <v>91.27</v>
      </c>
      <c r="C7711" t="s">
        <v>32</v>
      </c>
      <c r="D7711" t="str">
        <f>T_Stocks[[#This Row],[Ticker]] &amp; "-" &amp; DATE(YEAR(T_Stocks[[#This Row],[Fecha]]),MONTH(T_Stocks[[#This Row],[Fecha]]),DAY(T_Stocks[[#This Row],[Fecha]]))</f>
        <v>VTSAX-44855</v>
      </c>
    </row>
    <row r="7712" spans="1:4" ht="14.65" thickBot="1" x14ac:dyDescent="0.5">
      <c r="A7712" s="17">
        <v>44858.666666666664</v>
      </c>
      <c r="B7712" s="19">
        <v>92.23</v>
      </c>
      <c r="C7712" t="s">
        <v>32</v>
      </c>
      <c r="D7712" t="str">
        <f>T_Stocks[[#This Row],[Ticker]] &amp; "-" &amp; DATE(YEAR(T_Stocks[[#This Row],[Fecha]]),MONTH(T_Stocks[[#This Row],[Fecha]]),DAY(T_Stocks[[#This Row],[Fecha]]))</f>
        <v>VTSAX-44858</v>
      </c>
    </row>
    <row r="7713" spans="1:4" ht="14.65" thickBot="1" x14ac:dyDescent="0.5">
      <c r="A7713" s="17">
        <v>44859.666666666664</v>
      </c>
      <c r="B7713" s="19">
        <v>93.92</v>
      </c>
      <c r="C7713" t="s">
        <v>32</v>
      </c>
      <c r="D7713" t="str">
        <f>T_Stocks[[#This Row],[Ticker]] &amp; "-" &amp; DATE(YEAR(T_Stocks[[#This Row],[Fecha]]),MONTH(T_Stocks[[#This Row],[Fecha]]),DAY(T_Stocks[[#This Row],[Fecha]]))</f>
        <v>VTSAX-44859</v>
      </c>
    </row>
    <row r="7714" spans="1:4" ht="14.65" thickBot="1" x14ac:dyDescent="0.5">
      <c r="A7714" s="17">
        <v>44860.666666666664</v>
      </c>
      <c r="B7714" s="19">
        <v>93.33</v>
      </c>
      <c r="C7714" t="s">
        <v>32</v>
      </c>
      <c r="D7714" t="str">
        <f>T_Stocks[[#This Row],[Ticker]] &amp; "-" &amp; DATE(YEAR(T_Stocks[[#This Row],[Fecha]]),MONTH(T_Stocks[[#This Row],[Fecha]]),DAY(T_Stocks[[#This Row],[Fecha]]))</f>
        <v>VTSAX-44860</v>
      </c>
    </row>
    <row r="7715" spans="1:4" ht="14.65" thickBot="1" x14ac:dyDescent="0.5">
      <c r="A7715" s="17">
        <v>44861.666666666664</v>
      </c>
      <c r="B7715" s="19">
        <v>92.87</v>
      </c>
      <c r="C7715" t="s">
        <v>32</v>
      </c>
      <c r="D7715" t="str">
        <f>T_Stocks[[#This Row],[Ticker]] &amp; "-" &amp; DATE(YEAR(T_Stocks[[#This Row],[Fecha]]),MONTH(T_Stocks[[#This Row],[Fecha]]),DAY(T_Stocks[[#This Row],[Fecha]]))</f>
        <v>VTSAX-44861</v>
      </c>
    </row>
    <row r="7716" spans="1:4" ht="14.65" thickBot="1" x14ac:dyDescent="0.5">
      <c r="A7716" s="17">
        <v>44862.666666666664</v>
      </c>
      <c r="B7716" s="19">
        <v>95.08</v>
      </c>
      <c r="C7716" t="s">
        <v>32</v>
      </c>
      <c r="D7716" t="str">
        <f>T_Stocks[[#This Row],[Ticker]] &amp; "-" &amp; DATE(YEAR(T_Stocks[[#This Row],[Fecha]]),MONTH(T_Stocks[[#This Row],[Fecha]]),DAY(T_Stocks[[#This Row],[Fecha]]))</f>
        <v>VTSAX-44862</v>
      </c>
    </row>
    <row r="7717" spans="1:4" ht="14.65" thickBot="1" x14ac:dyDescent="0.5">
      <c r="A7717" s="17">
        <v>44865.666666666664</v>
      </c>
      <c r="B7717" s="19">
        <v>94.44</v>
      </c>
      <c r="C7717" t="s">
        <v>32</v>
      </c>
      <c r="D7717" t="str">
        <f>T_Stocks[[#This Row],[Ticker]] &amp; "-" &amp; DATE(YEAR(T_Stocks[[#This Row],[Fecha]]),MONTH(T_Stocks[[#This Row],[Fecha]]),DAY(T_Stocks[[#This Row],[Fecha]]))</f>
        <v>VTSAX-44865</v>
      </c>
    </row>
    <row r="7718" spans="1:4" ht="14.65" thickBot="1" x14ac:dyDescent="0.5">
      <c r="A7718" s="17">
        <v>44866.666666666664</v>
      </c>
      <c r="B7718" s="19">
        <v>94.16</v>
      </c>
      <c r="C7718" t="s">
        <v>32</v>
      </c>
      <c r="D7718" t="str">
        <f>T_Stocks[[#This Row],[Ticker]] &amp; "-" &amp; DATE(YEAR(T_Stocks[[#This Row],[Fecha]]),MONTH(T_Stocks[[#This Row],[Fecha]]),DAY(T_Stocks[[#This Row],[Fecha]]))</f>
        <v>VTSAX-44866</v>
      </c>
    </row>
    <row r="7719" spans="1:4" ht="14.65" thickBot="1" x14ac:dyDescent="0.5">
      <c r="A7719" s="17">
        <v>44867.666666666664</v>
      </c>
      <c r="B7719" s="19">
        <v>91.68</v>
      </c>
      <c r="C7719" t="s">
        <v>32</v>
      </c>
      <c r="D7719" t="str">
        <f>T_Stocks[[#This Row],[Ticker]] &amp; "-" &amp; DATE(YEAR(T_Stocks[[#This Row],[Fecha]]),MONTH(T_Stocks[[#This Row],[Fecha]]),DAY(T_Stocks[[#This Row],[Fecha]]))</f>
        <v>VTSAX-44867</v>
      </c>
    </row>
    <row r="7720" spans="1:4" ht="14.65" thickBot="1" x14ac:dyDescent="0.5">
      <c r="A7720" s="17">
        <v>44868.666666666664</v>
      </c>
      <c r="B7720" s="19">
        <v>90.79</v>
      </c>
      <c r="C7720" t="s">
        <v>32</v>
      </c>
      <c r="D7720" t="str">
        <f>T_Stocks[[#This Row],[Ticker]] &amp; "-" &amp; DATE(YEAR(T_Stocks[[#This Row],[Fecha]]),MONTH(T_Stocks[[#This Row],[Fecha]]),DAY(T_Stocks[[#This Row],[Fecha]]))</f>
        <v>VTSAX-44868</v>
      </c>
    </row>
    <row r="7721" spans="1:4" ht="14.65" thickBot="1" x14ac:dyDescent="0.5">
      <c r="A7721" s="17">
        <v>44869.666666666664</v>
      </c>
      <c r="B7721" s="19">
        <v>91.93</v>
      </c>
      <c r="C7721" t="s">
        <v>32</v>
      </c>
      <c r="D7721" t="str">
        <f>T_Stocks[[#This Row],[Ticker]] &amp; "-" &amp; DATE(YEAR(T_Stocks[[#This Row],[Fecha]]),MONTH(T_Stocks[[#This Row],[Fecha]]),DAY(T_Stocks[[#This Row],[Fecha]]))</f>
        <v>VTSAX-44869</v>
      </c>
    </row>
    <row r="7722" spans="1:4" ht="14.65" thickBot="1" x14ac:dyDescent="0.5">
      <c r="A7722" s="17">
        <v>44872.666666666664</v>
      </c>
      <c r="B7722" s="19">
        <v>92.77</v>
      </c>
      <c r="C7722" t="s">
        <v>32</v>
      </c>
      <c r="D7722" t="str">
        <f>T_Stocks[[#This Row],[Ticker]] &amp; "-" &amp; DATE(YEAR(T_Stocks[[#This Row],[Fecha]]),MONTH(T_Stocks[[#This Row],[Fecha]]),DAY(T_Stocks[[#This Row],[Fecha]]))</f>
        <v>VTSAX-44872</v>
      </c>
    </row>
    <row r="7723" spans="1:4" ht="14.65" thickBot="1" x14ac:dyDescent="0.5">
      <c r="A7723" s="17">
        <v>44873.666666666664</v>
      </c>
      <c r="B7723" s="19">
        <v>93.25</v>
      </c>
      <c r="C7723" t="s">
        <v>32</v>
      </c>
      <c r="D7723" t="str">
        <f>T_Stocks[[#This Row],[Ticker]] &amp; "-" &amp; DATE(YEAR(T_Stocks[[#This Row],[Fecha]]),MONTH(T_Stocks[[#This Row],[Fecha]]),DAY(T_Stocks[[#This Row],[Fecha]]))</f>
        <v>VTSAX-44873</v>
      </c>
    </row>
    <row r="7724" spans="1:4" ht="14.65" thickBot="1" x14ac:dyDescent="0.5">
      <c r="A7724" s="17">
        <v>44874.666666666664</v>
      </c>
      <c r="B7724" s="19">
        <v>91.25</v>
      </c>
      <c r="C7724" t="s">
        <v>32</v>
      </c>
      <c r="D7724" t="str">
        <f>T_Stocks[[#This Row],[Ticker]] &amp; "-" &amp; DATE(YEAR(T_Stocks[[#This Row],[Fecha]]),MONTH(T_Stocks[[#This Row],[Fecha]]),DAY(T_Stocks[[#This Row],[Fecha]]))</f>
        <v>VTSAX-44874</v>
      </c>
    </row>
    <row r="7725" spans="1:4" ht="14.65" thickBot="1" x14ac:dyDescent="0.5">
      <c r="A7725" s="17">
        <v>44875.666666666664</v>
      </c>
      <c r="B7725" s="19">
        <v>96.48</v>
      </c>
      <c r="C7725" t="s">
        <v>32</v>
      </c>
      <c r="D7725" t="str">
        <f>T_Stocks[[#This Row],[Ticker]] &amp; "-" &amp; DATE(YEAR(T_Stocks[[#This Row],[Fecha]]),MONTH(T_Stocks[[#This Row],[Fecha]]),DAY(T_Stocks[[#This Row],[Fecha]]))</f>
        <v>VTSAX-44875</v>
      </c>
    </row>
    <row r="7726" spans="1:4" ht="14.65" thickBot="1" x14ac:dyDescent="0.5">
      <c r="A7726" s="17">
        <v>44876.666666666664</v>
      </c>
      <c r="B7726" s="19">
        <v>97.44</v>
      </c>
      <c r="C7726" t="s">
        <v>32</v>
      </c>
      <c r="D7726" t="str">
        <f>T_Stocks[[#This Row],[Ticker]] &amp; "-" &amp; DATE(YEAR(T_Stocks[[#This Row],[Fecha]]),MONTH(T_Stocks[[#This Row],[Fecha]]),DAY(T_Stocks[[#This Row],[Fecha]]))</f>
        <v>VTSAX-44876</v>
      </c>
    </row>
    <row r="7727" spans="1:4" ht="14.65" thickBot="1" x14ac:dyDescent="0.5">
      <c r="A7727" s="17">
        <v>44879.666666666664</v>
      </c>
      <c r="B7727" s="19">
        <v>96.51</v>
      </c>
      <c r="C7727" t="s">
        <v>32</v>
      </c>
      <c r="D7727" t="str">
        <f>T_Stocks[[#This Row],[Ticker]] &amp; "-" &amp; DATE(YEAR(T_Stocks[[#This Row],[Fecha]]),MONTH(T_Stocks[[#This Row],[Fecha]]),DAY(T_Stocks[[#This Row],[Fecha]]))</f>
        <v>VTSAX-44879</v>
      </c>
    </row>
    <row r="7728" spans="1:4" ht="14.65" thickBot="1" x14ac:dyDescent="0.5">
      <c r="A7728" s="17">
        <v>44880.666666666664</v>
      </c>
      <c r="B7728" s="19">
        <v>97.48</v>
      </c>
      <c r="C7728" t="s">
        <v>32</v>
      </c>
      <c r="D7728" t="str">
        <f>T_Stocks[[#This Row],[Ticker]] &amp; "-" &amp; DATE(YEAR(T_Stocks[[#This Row],[Fecha]]),MONTH(T_Stocks[[#This Row],[Fecha]]),DAY(T_Stocks[[#This Row],[Fecha]]))</f>
        <v>VTSAX-44880</v>
      </c>
    </row>
    <row r="7729" spans="1:4" ht="14.65" thickBot="1" x14ac:dyDescent="0.5">
      <c r="A7729" s="17">
        <v>44881.666666666664</v>
      </c>
      <c r="B7729" s="19">
        <v>96.51</v>
      </c>
      <c r="C7729" t="s">
        <v>32</v>
      </c>
      <c r="D7729" t="str">
        <f>T_Stocks[[#This Row],[Ticker]] &amp; "-" &amp; DATE(YEAR(T_Stocks[[#This Row],[Fecha]]),MONTH(T_Stocks[[#This Row],[Fecha]]),DAY(T_Stocks[[#This Row],[Fecha]]))</f>
        <v>VTSAX-44881</v>
      </c>
    </row>
    <row r="7730" spans="1:4" ht="14.65" thickBot="1" x14ac:dyDescent="0.5">
      <c r="A7730" s="17">
        <v>44882.666666666664</v>
      </c>
      <c r="B7730" s="19">
        <v>96.12</v>
      </c>
      <c r="C7730" t="s">
        <v>32</v>
      </c>
      <c r="D7730" t="str">
        <f>T_Stocks[[#This Row],[Ticker]] &amp; "-" &amp; DATE(YEAR(T_Stocks[[#This Row],[Fecha]]),MONTH(T_Stocks[[#This Row],[Fecha]]),DAY(T_Stocks[[#This Row],[Fecha]]))</f>
        <v>VTSAX-44882</v>
      </c>
    </row>
    <row r="7731" spans="1:4" ht="14.65" thickBot="1" x14ac:dyDescent="0.5">
      <c r="A7731" s="17">
        <v>44883.666666666664</v>
      </c>
      <c r="B7731" s="19">
        <v>96.57</v>
      </c>
      <c r="C7731" t="s">
        <v>32</v>
      </c>
      <c r="D7731" t="str">
        <f>T_Stocks[[#This Row],[Ticker]] &amp; "-" &amp; DATE(YEAR(T_Stocks[[#This Row],[Fecha]]),MONTH(T_Stocks[[#This Row],[Fecha]]),DAY(T_Stocks[[#This Row],[Fecha]]))</f>
        <v>VTSAX-44883</v>
      </c>
    </row>
    <row r="7732" spans="1:4" ht="14.65" thickBot="1" x14ac:dyDescent="0.5">
      <c r="A7732" s="17">
        <v>44886.666666666664</v>
      </c>
      <c r="B7732" s="19">
        <v>96.15</v>
      </c>
      <c r="C7732" t="s">
        <v>32</v>
      </c>
      <c r="D7732" t="str">
        <f>T_Stocks[[#This Row],[Ticker]] &amp; "-" &amp; DATE(YEAR(T_Stocks[[#This Row],[Fecha]]),MONTH(T_Stocks[[#This Row],[Fecha]]),DAY(T_Stocks[[#This Row],[Fecha]]))</f>
        <v>VTSAX-44886</v>
      </c>
    </row>
    <row r="7733" spans="1:4" ht="14.65" thickBot="1" x14ac:dyDescent="0.5">
      <c r="A7733" s="17">
        <v>44887.666666666664</v>
      </c>
      <c r="B7733" s="19">
        <v>97.45</v>
      </c>
      <c r="C7733" t="s">
        <v>32</v>
      </c>
      <c r="D7733" t="str">
        <f>T_Stocks[[#This Row],[Ticker]] &amp; "-" &amp; DATE(YEAR(T_Stocks[[#This Row],[Fecha]]),MONTH(T_Stocks[[#This Row],[Fecha]]),DAY(T_Stocks[[#This Row],[Fecha]]))</f>
        <v>VTSAX-44887</v>
      </c>
    </row>
    <row r="7734" spans="1:4" ht="14.65" thickBot="1" x14ac:dyDescent="0.5">
      <c r="A7734" s="17">
        <v>44888.666666666664</v>
      </c>
      <c r="B7734" s="19">
        <v>98.03</v>
      </c>
      <c r="C7734" t="s">
        <v>32</v>
      </c>
      <c r="D7734" t="str">
        <f>T_Stocks[[#This Row],[Ticker]] &amp; "-" &amp; DATE(YEAR(T_Stocks[[#This Row],[Fecha]]),MONTH(T_Stocks[[#This Row],[Fecha]]),DAY(T_Stocks[[#This Row],[Fecha]]))</f>
        <v>VTSAX-44888</v>
      </c>
    </row>
    <row r="7735" spans="1:4" ht="14.65" thickBot="1" x14ac:dyDescent="0.5">
      <c r="A7735" s="17">
        <v>44890.541666666664</v>
      </c>
      <c r="B7735" s="19">
        <v>98.05</v>
      </c>
      <c r="C7735" t="s">
        <v>32</v>
      </c>
      <c r="D7735" t="str">
        <f>T_Stocks[[#This Row],[Ticker]] &amp; "-" &amp; DATE(YEAR(T_Stocks[[#This Row],[Fecha]]),MONTH(T_Stocks[[#This Row],[Fecha]]),DAY(T_Stocks[[#This Row],[Fecha]]))</f>
        <v>VTSAX-44890</v>
      </c>
    </row>
    <row r="7736" spans="1:4" ht="14.65" thickBot="1" x14ac:dyDescent="0.5">
      <c r="A7736" s="17">
        <v>44893.666666666664</v>
      </c>
      <c r="B7736" s="19">
        <v>96.49</v>
      </c>
      <c r="C7736" t="s">
        <v>32</v>
      </c>
      <c r="D7736" t="str">
        <f>T_Stocks[[#This Row],[Ticker]] &amp; "-" &amp; DATE(YEAR(T_Stocks[[#This Row],[Fecha]]),MONTH(T_Stocks[[#This Row],[Fecha]]),DAY(T_Stocks[[#This Row],[Fecha]]))</f>
        <v>VTSAX-44893</v>
      </c>
    </row>
    <row r="7737" spans="1:4" ht="14.65" thickBot="1" x14ac:dyDescent="0.5">
      <c r="A7737" s="17">
        <v>44894.666666666664</v>
      </c>
      <c r="B7737" s="19">
        <v>96.39</v>
      </c>
      <c r="C7737" t="s">
        <v>32</v>
      </c>
      <c r="D7737" t="str">
        <f>T_Stocks[[#This Row],[Ticker]] &amp; "-" &amp; DATE(YEAR(T_Stocks[[#This Row],[Fecha]]),MONTH(T_Stocks[[#This Row],[Fecha]]),DAY(T_Stocks[[#This Row],[Fecha]]))</f>
        <v>VTSAX-44894</v>
      </c>
    </row>
    <row r="7738" spans="1:4" ht="14.65" thickBot="1" x14ac:dyDescent="0.5">
      <c r="A7738" s="17">
        <v>44895.666666666664</v>
      </c>
      <c r="B7738" s="19">
        <v>99.38</v>
      </c>
      <c r="C7738" t="s">
        <v>32</v>
      </c>
      <c r="D7738" t="str">
        <f>T_Stocks[[#This Row],[Ticker]] &amp; "-" &amp; DATE(YEAR(T_Stocks[[#This Row],[Fecha]]),MONTH(T_Stocks[[#This Row],[Fecha]]),DAY(T_Stocks[[#This Row],[Fecha]]))</f>
        <v>VTSAX-44895</v>
      </c>
    </row>
    <row r="7739" spans="1:4" ht="14.65" thickBot="1" x14ac:dyDescent="0.5">
      <c r="A7739" s="17">
        <v>44896.666666666664</v>
      </c>
      <c r="B7739" s="19">
        <v>99.35</v>
      </c>
      <c r="C7739" t="s">
        <v>32</v>
      </c>
      <c r="D7739" t="str">
        <f>T_Stocks[[#This Row],[Ticker]] &amp; "-" &amp; DATE(YEAR(T_Stocks[[#This Row],[Fecha]]),MONTH(T_Stocks[[#This Row],[Fecha]]),DAY(T_Stocks[[#This Row],[Fecha]]))</f>
        <v>VTSAX-44896</v>
      </c>
    </row>
    <row r="7740" spans="1:4" ht="14.65" thickBot="1" x14ac:dyDescent="0.5">
      <c r="A7740" s="17">
        <v>44897.666666666664</v>
      </c>
      <c r="B7740" s="19">
        <v>99.28</v>
      </c>
      <c r="C7740" t="s">
        <v>32</v>
      </c>
      <c r="D7740" t="str">
        <f>T_Stocks[[#This Row],[Ticker]] &amp; "-" &amp; DATE(YEAR(T_Stocks[[#This Row],[Fecha]]),MONTH(T_Stocks[[#This Row],[Fecha]]),DAY(T_Stocks[[#This Row],[Fecha]]))</f>
        <v>VTSAX-44897</v>
      </c>
    </row>
    <row r="7741" spans="1:4" ht="14.65" thickBot="1" x14ac:dyDescent="0.5">
      <c r="A7741" s="17">
        <v>44900.666666666664</v>
      </c>
      <c r="B7741" s="19">
        <v>97.34</v>
      </c>
      <c r="C7741" t="s">
        <v>32</v>
      </c>
      <c r="D7741" t="str">
        <f>T_Stocks[[#This Row],[Ticker]] &amp; "-" &amp; DATE(YEAR(T_Stocks[[#This Row],[Fecha]]),MONTH(T_Stocks[[#This Row],[Fecha]]),DAY(T_Stocks[[#This Row],[Fecha]]))</f>
        <v>VTSAX-44900</v>
      </c>
    </row>
    <row r="7742" spans="1:4" ht="14.65" thickBot="1" x14ac:dyDescent="0.5">
      <c r="A7742" s="17">
        <v>44901.666666666664</v>
      </c>
      <c r="B7742" s="19">
        <v>95.92</v>
      </c>
      <c r="C7742" t="s">
        <v>32</v>
      </c>
      <c r="D7742" t="str">
        <f>T_Stocks[[#This Row],[Ticker]] &amp; "-" &amp; DATE(YEAR(T_Stocks[[#This Row],[Fecha]]),MONTH(T_Stocks[[#This Row],[Fecha]]),DAY(T_Stocks[[#This Row],[Fecha]]))</f>
        <v>VTSAX-44901</v>
      </c>
    </row>
    <row r="7743" spans="1:4" ht="14.65" thickBot="1" x14ac:dyDescent="0.5">
      <c r="A7743" s="17">
        <v>44902.666666666664</v>
      </c>
      <c r="B7743" s="19">
        <v>95.73</v>
      </c>
      <c r="C7743" t="s">
        <v>32</v>
      </c>
      <c r="D7743" t="str">
        <f>T_Stocks[[#This Row],[Ticker]] &amp; "-" &amp; DATE(YEAR(T_Stocks[[#This Row],[Fecha]]),MONTH(T_Stocks[[#This Row],[Fecha]]),DAY(T_Stocks[[#This Row],[Fecha]]))</f>
        <v>VTSAX-44902</v>
      </c>
    </row>
    <row r="7744" spans="1:4" ht="14.65" thickBot="1" x14ac:dyDescent="0.5">
      <c r="A7744" s="17">
        <v>44903.666666666664</v>
      </c>
      <c r="B7744" s="19">
        <v>96.48</v>
      </c>
      <c r="C7744" t="s">
        <v>32</v>
      </c>
      <c r="D7744" t="str">
        <f>T_Stocks[[#This Row],[Ticker]] &amp; "-" &amp; DATE(YEAR(T_Stocks[[#This Row],[Fecha]]),MONTH(T_Stocks[[#This Row],[Fecha]]),DAY(T_Stocks[[#This Row],[Fecha]]))</f>
        <v>VTSAX-44903</v>
      </c>
    </row>
    <row r="7745" spans="1:4" ht="14.65" thickBot="1" x14ac:dyDescent="0.5">
      <c r="A7745" s="17">
        <v>44904.666666666664</v>
      </c>
      <c r="B7745" s="19">
        <v>95.74</v>
      </c>
      <c r="C7745" t="s">
        <v>32</v>
      </c>
      <c r="D7745" t="str">
        <f>T_Stocks[[#This Row],[Ticker]] &amp; "-" &amp; DATE(YEAR(T_Stocks[[#This Row],[Fecha]]),MONTH(T_Stocks[[#This Row],[Fecha]]),DAY(T_Stocks[[#This Row],[Fecha]]))</f>
        <v>VTSAX-44904</v>
      </c>
    </row>
    <row r="7746" spans="1:4" ht="14.65" thickBot="1" x14ac:dyDescent="0.5">
      <c r="A7746" s="17">
        <v>44907.666666666664</v>
      </c>
      <c r="B7746" s="19">
        <v>97.11</v>
      </c>
      <c r="C7746" t="s">
        <v>32</v>
      </c>
      <c r="D7746" t="str">
        <f>T_Stocks[[#This Row],[Ticker]] &amp; "-" &amp; DATE(YEAR(T_Stocks[[#This Row],[Fecha]]),MONTH(T_Stocks[[#This Row],[Fecha]]),DAY(T_Stocks[[#This Row],[Fecha]]))</f>
        <v>VTSAX-44907</v>
      </c>
    </row>
    <row r="7747" spans="1:4" ht="14.65" thickBot="1" x14ac:dyDescent="0.5">
      <c r="A7747" s="17">
        <v>44908.666666666664</v>
      </c>
      <c r="B7747" s="19">
        <v>97.84</v>
      </c>
      <c r="C7747" t="s">
        <v>32</v>
      </c>
      <c r="D7747" t="str">
        <f>T_Stocks[[#This Row],[Ticker]] &amp; "-" &amp; DATE(YEAR(T_Stocks[[#This Row],[Fecha]]),MONTH(T_Stocks[[#This Row],[Fecha]]),DAY(T_Stocks[[#This Row],[Fecha]]))</f>
        <v>VTSAX-44908</v>
      </c>
    </row>
    <row r="7748" spans="1:4" ht="14.65" thickBot="1" x14ac:dyDescent="0.5">
      <c r="A7748" s="17">
        <v>44909.666666666664</v>
      </c>
      <c r="B7748" s="19">
        <v>97.29</v>
      </c>
      <c r="C7748" t="s">
        <v>32</v>
      </c>
      <c r="D7748" t="str">
        <f>T_Stocks[[#This Row],[Ticker]] &amp; "-" &amp; DATE(YEAR(T_Stocks[[#This Row],[Fecha]]),MONTH(T_Stocks[[#This Row],[Fecha]]),DAY(T_Stocks[[#This Row],[Fecha]]))</f>
        <v>VTSAX-44909</v>
      </c>
    </row>
    <row r="7749" spans="1:4" ht="14.65" thickBot="1" x14ac:dyDescent="0.5">
      <c r="A7749" s="17">
        <v>44910.666666666664</v>
      </c>
      <c r="B7749" s="19">
        <v>94.84</v>
      </c>
      <c r="C7749" t="s">
        <v>32</v>
      </c>
      <c r="D7749" t="str">
        <f>T_Stocks[[#This Row],[Ticker]] &amp; "-" &amp; DATE(YEAR(T_Stocks[[#This Row],[Fecha]]),MONTH(T_Stocks[[#This Row],[Fecha]]),DAY(T_Stocks[[#This Row],[Fecha]]))</f>
        <v>VTSAX-44910</v>
      </c>
    </row>
    <row r="7750" spans="1:4" ht="14.65" thickBot="1" x14ac:dyDescent="0.5">
      <c r="A7750" s="17">
        <v>44911.666666666664</v>
      </c>
      <c r="B7750" s="19">
        <v>93.82</v>
      </c>
      <c r="C7750" t="s">
        <v>32</v>
      </c>
      <c r="D7750" t="str">
        <f>T_Stocks[[#This Row],[Ticker]] &amp; "-" &amp; DATE(YEAR(T_Stocks[[#This Row],[Fecha]]),MONTH(T_Stocks[[#This Row],[Fecha]]),DAY(T_Stocks[[#This Row],[Fecha]]))</f>
        <v>VTSAX-44911</v>
      </c>
    </row>
    <row r="7751" spans="1:4" ht="14.65" thickBot="1" x14ac:dyDescent="0.5">
      <c r="A7751" s="17">
        <v>44914.666666666664</v>
      </c>
      <c r="B7751" s="19">
        <v>92.88</v>
      </c>
      <c r="C7751" t="s">
        <v>32</v>
      </c>
      <c r="D7751" t="str">
        <f>T_Stocks[[#This Row],[Ticker]] &amp; "-" &amp; DATE(YEAR(T_Stocks[[#This Row],[Fecha]]),MONTH(T_Stocks[[#This Row],[Fecha]]),DAY(T_Stocks[[#This Row],[Fecha]]))</f>
        <v>VTSAX-44914</v>
      </c>
    </row>
    <row r="7752" spans="1:4" ht="14.65" thickBot="1" x14ac:dyDescent="0.5">
      <c r="A7752" s="17">
        <v>44915.666666666664</v>
      </c>
      <c r="B7752" s="19">
        <v>93.03</v>
      </c>
      <c r="C7752" t="s">
        <v>32</v>
      </c>
      <c r="D7752" t="str">
        <f>T_Stocks[[#This Row],[Ticker]] &amp; "-" &amp; DATE(YEAR(T_Stocks[[#This Row],[Fecha]]),MONTH(T_Stocks[[#This Row],[Fecha]]),DAY(T_Stocks[[#This Row],[Fecha]]))</f>
        <v>VTSAX-44915</v>
      </c>
    </row>
    <row r="7753" spans="1:4" ht="14.65" thickBot="1" x14ac:dyDescent="0.5">
      <c r="A7753" s="17">
        <v>44916.666666666664</v>
      </c>
      <c r="B7753" s="19">
        <v>94</v>
      </c>
      <c r="C7753" t="s">
        <v>32</v>
      </c>
      <c r="D7753" t="str">
        <f>T_Stocks[[#This Row],[Ticker]] &amp; "-" &amp; DATE(YEAR(T_Stocks[[#This Row],[Fecha]]),MONTH(T_Stocks[[#This Row],[Fecha]]),DAY(T_Stocks[[#This Row],[Fecha]]))</f>
        <v>VTSAX-44916</v>
      </c>
    </row>
    <row r="7754" spans="1:4" ht="14.65" thickBot="1" x14ac:dyDescent="0.5">
      <c r="A7754" s="17">
        <v>44917.666666666664</v>
      </c>
      <c r="B7754" s="19">
        <v>92.65</v>
      </c>
      <c r="C7754" t="s">
        <v>32</v>
      </c>
      <c r="D7754" t="str">
        <f>T_Stocks[[#This Row],[Ticker]] &amp; "-" &amp; DATE(YEAR(T_Stocks[[#This Row],[Fecha]]),MONTH(T_Stocks[[#This Row],[Fecha]]),DAY(T_Stocks[[#This Row],[Fecha]]))</f>
        <v>VTSAX-44917</v>
      </c>
    </row>
    <row r="7755" spans="1:4" ht="14.65" thickBot="1" x14ac:dyDescent="0.5">
      <c r="A7755" s="17">
        <v>44918.666666666664</v>
      </c>
      <c r="B7755" s="19">
        <v>93.16</v>
      </c>
      <c r="C7755" t="s">
        <v>32</v>
      </c>
      <c r="D7755" t="str">
        <f>T_Stocks[[#This Row],[Ticker]] &amp; "-" &amp; DATE(YEAR(T_Stocks[[#This Row],[Fecha]]),MONTH(T_Stocks[[#This Row],[Fecha]]),DAY(T_Stocks[[#This Row],[Fecha]]))</f>
        <v>VTSAX-44918</v>
      </c>
    </row>
    <row r="7756" spans="1:4" ht="14.65" thickBot="1" x14ac:dyDescent="0.5">
      <c r="A7756" s="17">
        <v>44922.666666666664</v>
      </c>
      <c r="B7756" s="19">
        <v>92.76</v>
      </c>
      <c r="C7756" t="s">
        <v>32</v>
      </c>
      <c r="D7756" t="str">
        <f>T_Stocks[[#This Row],[Ticker]] &amp; "-" &amp; DATE(YEAR(T_Stocks[[#This Row],[Fecha]]),MONTH(T_Stocks[[#This Row],[Fecha]]),DAY(T_Stocks[[#This Row],[Fecha]]))</f>
        <v>VTSAX-44922</v>
      </c>
    </row>
    <row r="7757" spans="1:4" ht="14.65" thickBot="1" x14ac:dyDescent="0.5">
      <c r="A7757" s="17">
        <v>44923.666666666664</v>
      </c>
      <c r="B7757" s="19">
        <v>91.61</v>
      </c>
      <c r="C7757" t="s">
        <v>32</v>
      </c>
      <c r="D7757" t="str">
        <f>T_Stocks[[#This Row],[Ticker]] &amp; "-" &amp; DATE(YEAR(T_Stocks[[#This Row],[Fecha]]),MONTH(T_Stocks[[#This Row],[Fecha]]),DAY(T_Stocks[[#This Row],[Fecha]]))</f>
        <v>VTSAX-44923</v>
      </c>
    </row>
    <row r="7758" spans="1:4" ht="14.65" thickBot="1" x14ac:dyDescent="0.5">
      <c r="A7758" s="17">
        <v>44924.666666666664</v>
      </c>
      <c r="B7758" s="19">
        <v>93.33</v>
      </c>
      <c r="C7758" t="s">
        <v>32</v>
      </c>
      <c r="D7758" t="str">
        <f>T_Stocks[[#This Row],[Ticker]] &amp; "-" &amp; DATE(YEAR(T_Stocks[[#This Row],[Fecha]]),MONTH(T_Stocks[[#This Row],[Fecha]]),DAY(T_Stocks[[#This Row],[Fecha]]))</f>
        <v>VTSAX-44924</v>
      </c>
    </row>
    <row r="7759" spans="1:4" ht="14.65" thickBot="1" x14ac:dyDescent="0.5">
      <c r="A7759" s="17">
        <v>44925.666666666664</v>
      </c>
      <c r="B7759" s="19">
        <v>93.1</v>
      </c>
      <c r="C7759" t="s">
        <v>32</v>
      </c>
      <c r="D7759" t="str">
        <f>T_Stocks[[#This Row],[Ticker]] &amp; "-" &amp; DATE(YEAR(T_Stocks[[#This Row],[Fecha]]),MONTH(T_Stocks[[#This Row],[Fecha]]),DAY(T_Stocks[[#This Row],[Fecha]]))</f>
        <v>VTSAX-44925</v>
      </c>
    </row>
    <row r="7760" spans="1:4" ht="14.65" thickBot="1" x14ac:dyDescent="0.5">
      <c r="A7760" s="17">
        <v>44929.666666666664</v>
      </c>
      <c r="B7760" s="19">
        <v>92.7</v>
      </c>
      <c r="C7760" t="s">
        <v>32</v>
      </c>
      <c r="D7760" t="str">
        <f>T_Stocks[[#This Row],[Ticker]] &amp; "-" &amp; DATE(YEAR(T_Stocks[[#This Row],[Fecha]]),MONTH(T_Stocks[[#This Row],[Fecha]]),DAY(T_Stocks[[#This Row],[Fecha]]))</f>
        <v>VTSAX-44929</v>
      </c>
    </row>
    <row r="7761" spans="1:4" ht="14.65" thickBot="1" x14ac:dyDescent="0.5">
      <c r="A7761" s="17">
        <v>44930.666666666664</v>
      </c>
      <c r="B7761" s="19">
        <v>93.5</v>
      </c>
      <c r="C7761" t="s">
        <v>32</v>
      </c>
      <c r="D7761" t="str">
        <f>T_Stocks[[#This Row],[Ticker]] &amp; "-" &amp; DATE(YEAR(T_Stocks[[#This Row],[Fecha]]),MONTH(T_Stocks[[#This Row],[Fecha]]),DAY(T_Stocks[[#This Row],[Fecha]]))</f>
        <v>VTSAX-44930</v>
      </c>
    </row>
    <row r="7762" spans="1:4" ht="14.65" thickBot="1" x14ac:dyDescent="0.5">
      <c r="A7762" s="17">
        <v>44931.666666666664</v>
      </c>
      <c r="B7762" s="19">
        <v>92.39</v>
      </c>
      <c r="C7762" t="s">
        <v>32</v>
      </c>
      <c r="D7762" t="str">
        <f>T_Stocks[[#This Row],[Ticker]] &amp; "-" &amp; DATE(YEAR(T_Stocks[[#This Row],[Fecha]]),MONTH(T_Stocks[[#This Row],[Fecha]]),DAY(T_Stocks[[#This Row],[Fecha]]))</f>
        <v>VTSAX-44931</v>
      </c>
    </row>
    <row r="7763" spans="1:4" ht="14.65" thickBot="1" x14ac:dyDescent="0.5">
      <c r="A7763" s="17">
        <v>44932.666666666664</v>
      </c>
      <c r="B7763" s="19">
        <v>94.48</v>
      </c>
      <c r="C7763" t="s">
        <v>32</v>
      </c>
      <c r="D7763" t="str">
        <f>T_Stocks[[#This Row],[Ticker]] &amp; "-" &amp; DATE(YEAR(T_Stocks[[#This Row],[Fecha]]),MONTH(T_Stocks[[#This Row],[Fecha]]),DAY(T_Stocks[[#This Row],[Fecha]]))</f>
        <v>VTSAX-44932</v>
      </c>
    </row>
    <row r="7764" spans="1:4" ht="14.65" thickBot="1" x14ac:dyDescent="0.5">
      <c r="A7764" s="17">
        <v>44935.666666666664</v>
      </c>
      <c r="B7764" s="19">
        <v>94.49</v>
      </c>
      <c r="C7764" t="s">
        <v>32</v>
      </c>
      <c r="D7764" t="str">
        <f>T_Stocks[[#This Row],[Ticker]] &amp; "-" &amp; DATE(YEAR(T_Stocks[[#This Row],[Fecha]]),MONTH(T_Stocks[[#This Row],[Fecha]]),DAY(T_Stocks[[#This Row],[Fecha]]))</f>
        <v>VTSAX-44935</v>
      </c>
    </row>
    <row r="7765" spans="1:4" ht="14.65" thickBot="1" x14ac:dyDescent="0.5">
      <c r="A7765" s="17">
        <v>44936.666666666664</v>
      </c>
      <c r="B7765" s="19">
        <v>95.22</v>
      </c>
      <c r="C7765" t="s">
        <v>32</v>
      </c>
      <c r="D7765" t="str">
        <f>T_Stocks[[#This Row],[Ticker]] &amp; "-" &amp; DATE(YEAR(T_Stocks[[#This Row],[Fecha]]),MONTH(T_Stocks[[#This Row],[Fecha]]),DAY(T_Stocks[[#This Row],[Fecha]]))</f>
        <v>VTSAX-44936</v>
      </c>
    </row>
    <row r="7766" spans="1:4" ht="14.65" thickBot="1" x14ac:dyDescent="0.5">
      <c r="A7766" s="17">
        <v>44937.666666666664</v>
      </c>
      <c r="B7766" s="19">
        <v>96.48</v>
      </c>
      <c r="C7766" t="s">
        <v>32</v>
      </c>
      <c r="D7766" t="str">
        <f>T_Stocks[[#This Row],[Ticker]] &amp; "-" &amp; DATE(YEAR(T_Stocks[[#This Row],[Fecha]]),MONTH(T_Stocks[[#This Row],[Fecha]]),DAY(T_Stocks[[#This Row],[Fecha]]))</f>
        <v>VTSAX-44937</v>
      </c>
    </row>
    <row r="7767" spans="1:4" ht="14.65" thickBot="1" x14ac:dyDescent="0.5">
      <c r="A7767" s="17">
        <v>44938.666666666664</v>
      </c>
      <c r="B7767" s="19">
        <v>96.95</v>
      </c>
      <c r="C7767" t="s">
        <v>32</v>
      </c>
      <c r="D7767" t="str">
        <f>T_Stocks[[#This Row],[Ticker]] &amp; "-" &amp; DATE(YEAR(T_Stocks[[#This Row],[Fecha]]),MONTH(T_Stocks[[#This Row],[Fecha]]),DAY(T_Stocks[[#This Row],[Fecha]]))</f>
        <v>VTSAX-44938</v>
      </c>
    </row>
    <row r="7768" spans="1:4" ht="14.65" thickBot="1" x14ac:dyDescent="0.5">
      <c r="A7768" s="17">
        <v>44939.666666666664</v>
      </c>
      <c r="B7768" s="19">
        <v>97.37</v>
      </c>
      <c r="C7768" t="s">
        <v>32</v>
      </c>
      <c r="D7768" t="str">
        <f>T_Stocks[[#This Row],[Ticker]] &amp; "-" &amp; DATE(YEAR(T_Stocks[[#This Row],[Fecha]]),MONTH(T_Stocks[[#This Row],[Fecha]]),DAY(T_Stocks[[#This Row],[Fecha]]))</f>
        <v>VTSAX-44939</v>
      </c>
    </row>
    <row r="7769" spans="1:4" ht="14.65" thickBot="1" x14ac:dyDescent="0.5">
      <c r="A7769" s="17">
        <v>44943.666666666664</v>
      </c>
      <c r="B7769" s="19">
        <v>97.22</v>
      </c>
      <c r="C7769" t="s">
        <v>32</v>
      </c>
      <c r="D7769" t="str">
        <f>T_Stocks[[#This Row],[Ticker]] &amp; "-" &amp; DATE(YEAR(T_Stocks[[#This Row],[Fecha]]),MONTH(T_Stocks[[#This Row],[Fecha]]),DAY(T_Stocks[[#This Row],[Fecha]]))</f>
        <v>VTSAX-44943</v>
      </c>
    </row>
    <row r="7770" spans="1:4" ht="14.65" thickBot="1" x14ac:dyDescent="0.5">
      <c r="A7770" s="17">
        <v>44944.666666666664</v>
      </c>
      <c r="B7770" s="19">
        <v>95.72</v>
      </c>
      <c r="C7770" t="s">
        <v>32</v>
      </c>
      <c r="D7770" t="str">
        <f>T_Stocks[[#This Row],[Ticker]] &amp; "-" &amp; DATE(YEAR(T_Stocks[[#This Row],[Fecha]]),MONTH(T_Stocks[[#This Row],[Fecha]]),DAY(T_Stocks[[#This Row],[Fecha]]))</f>
        <v>VTSAX-44944</v>
      </c>
    </row>
    <row r="7771" spans="1:4" ht="14.65" thickBot="1" x14ac:dyDescent="0.5">
      <c r="A7771" s="17">
        <v>44945.666666666664</v>
      </c>
      <c r="B7771" s="19">
        <v>94.94</v>
      </c>
      <c r="C7771" t="s">
        <v>32</v>
      </c>
      <c r="D7771" t="str">
        <f>T_Stocks[[#This Row],[Ticker]] &amp; "-" &amp; DATE(YEAR(T_Stocks[[#This Row],[Fecha]]),MONTH(T_Stocks[[#This Row],[Fecha]]),DAY(T_Stocks[[#This Row],[Fecha]]))</f>
        <v>VTSAX-44945</v>
      </c>
    </row>
    <row r="7772" spans="1:4" ht="14.65" thickBot="1" x14ac:dyDescent="0.5">
      <c r="A7772" s="17">
        <v>44946.666666666664</v>
      </c>
      <c r="B7772" s="19">
        <v>96.77</v>
      </c>
      <c r="C7772" t="s">
        <v>32</v>
      </c>
      <c r="D7772" t="str">
        <f>T_Stocks[[#This Row],[Ticker]] &amp; "-" &amp; DATE(YEAR(T_Stocks[[#This Row],[Fecha]]),MONTH(T_Stocks[[#This Row],[Fecha]]),DAY(T_Stocks[[#This Row],[Fecha]]))</f>
        <v>VTSAX-44946</v>
      </c>
    </row>
    <row r="7773" spans="1:4" ht="14.65" thickBot="1" x14ac:dyDescent="0.5">
      <c r="A7773" s="17">
        <v>44949.666666666664</v>
      </c>
      <c r="B7773" s="19">
        <v>97.98</v>
      </c>
      <c r="C7773" t="s">
        <v>32</v>
      </c>
      <c r="D7773" t="str">
        <f>T_Stocks[[#This Row],[Ticker]] &amp; "-" &amp; DATE(YEAR(T_Stocks[[#This Row],[Fecha]]),MONTH(T_Stocks[[#This Row],[Fecha]]),DAY(T_Stocks[[#This Row],[Fecha]]))</f>
        <v>VTSAX-44949</v>
      </c>
    </row>
    <row r="7774" spans="1:4" ht="14.65" thickBot="1" x14ac:dyDescent="0.5">
      <c r="A7774" s="17">
        <v>44950.666666666664</v>
      </c>
      <c r="B7774" s="19">
        <v>97.85</v>
      </c>
      <c r="C7774" t="s">
        <v>32</v>
      </c>
      <c r="D7774" t="str">
        <f>T_Stocks[[#This Row],[Ticker]] &amp; "-" &amp; DATE(YEAR(T_Stocks[[#This Row],[Fecha]]),MONTH(T_Stocks[[#This Row],[Fecha]]),DAY(T_Stocks[[#This Row],[Fecha]]))</f>
        <v>VTSAX-44950</v>
      </c>
    </row>
    <row r="7775" spans="1:4" ht="14.65" thickBot="1" x14ac:dyDescent="0.5">
      <c r="A7775" s="17">
        <v>44951.666666666664</v>
      </c>
      <c r="B7775" s="19">
        <v>97.86</v>
      </c>
      <c r="C7775" t="s">
        <v>32</v>
      </c>
      <c r="D7775" t="str">
        <f>T_Stocks[[#This Row],[Ticker]] &amp; "-" &amp; DATE(YEAR(T_Stocks[[#This Row],[Fecha]]),MONTH(T_Stocks[[#This Row],[Fecha]]),DAY(T_Stocks[[#This Row],[Fecha]]))</f>
        <v>VTSAX-44951</v>
      </c>
    </row>
    <row r="7776" spans="1:4" ht="14.65" thickBot="1" x14ac:dyDescent="0.5">
      <c r="A7776" s="17">
        <v>44952.666666666664</v>
      </c>
      <c r="B7776" s="19">
        <v>98.93</v>
      </c>
      <c r="C7776" t="s">
        <v>32</v>
      </c>
      <c r="D7776" t="str">
        <f>T_Stocks[[#This Row],[Ticker]] &amp; "-" &amp; DATE(YEAR(T_Stocks[[#This Row],[Fecha]]),MONTH(T_Stocks[[#This Row],[Fecha]]),DAY(T_Stocks[[#This Row],[Fecha]]))</f>
        <v>VTSAX-44952</v>
      </c>
    </row>
    <row r="7777" spans="1:4" ht="14.65" thickBot="1" x14ac:dyDescent="0.5">
      <c r="A7777" s="17">
        <v>44953.666666666664</v>
      </c>
      <c r="B7777" s="19">
        <v>99.27</v>
      </c>
      <c r="C7777" t="s">
        <v>32</v>
      </c>
      <c r="D7777" t="str">
        <f>T_Stocks[[#This Row],[Ticker]] &amp; "-" &amp; DATE(YEAR(T_Stocks[[#This Row],[Fecha]]),MONTH(T_Stocks[[#This Row],[Fecha]]),DAY(T_Stocks[[#This Row],[Fecha]]))</f>
        <v>VTSAX-44953</v>
      </c>
    </row>
    <row r="7778" spans="1:4" ht="14.65" thickBot="1" x14ac:dyDescent="0.5">
      <c r="A7778" s="17">
        <v>44956.666666666664</v>
      </c>
      <c r="B7778" s="19">
        <v>97.95</v>
      </c>
      <c r="C7778" t="s">
        <v>32</v>
      </c>
      <c r="D7778" t="str">
        <f>T_Stocks[[#This Row],[Ticker]] &amp; "-" &amp; DATE(YEAR(T_Stocks[[#This Row],[Fecha]]),MONTH(T_Stocks[[#This Row],[Fecha]]),DAY(T_Stocks[[#This Row],[Fecha]]))</f>
        <v>VTSAX-44956</v>
      </c>
    </row>
    <row r="7779" spans="1:4" ht="14.65" thickBot="1" x14ac:dyDescent="0.5">
      <c r="A7779" s="17">
        <v>44957.666666666664</v>
      </c>
      <c r="B7779" s="19">
        <v>99.52</v>
      </c>
      <c r="C7779" t="s">
        <v>32</v>
      </c>
      <c r="D7779" t="str">
        <f>T_Stocks[[#This Row],[Ticker]] &amp; "-" &amp; DATE(YEAR(T_Stocks[[#This Row],[Fecha]]),MONTH(T_Stocks[[#This Row],[Fecha]]),DAY(T_Stocks[[#This Row],[Fecha]]))</f>
        <v>VTSAX-44957</v>
      </c>
    </row>
    <row r="7780" spans="1:4" ht="14.65" thickBot="1" x14ac:dyDescent="0.5">
      <c r="A7780" s="17">
        <v>44958.666666666664</v>
      </c>
      <c r="B7780" s="19">
        <v>100.67</v>
      </c>
      <c r="C7780" t="s">
        <v>32</v>
      </c>
      <c r="D7780" t="str">
        <f>T_Stocks[[#This Row],[Ticker]] &amp; "-" &amp; DATE(YEAR(T_Stocks[[#This Row],[Fecha]]),MONTH(T_Stocks[[#This Row],[Fecha]]),DAY(T_Stocks[[#This Row],[Fecha]]))</f>
        <v>VTSAX-44958</v>
      </c>
    </row>
    <row r="7781" spans="1:4" ht="14.65" thickBot="1" x14ac:dyDescent="0.5">
      <c r="A7781" s="17">
        <v>44959.666666666664</v>
      </c>
      <c r="B7781" s="19">
        <v>102.25</v>
      </c>
      <c r="C7781" t="s">
        <v>32</v>
      </c>
      <c r="D7781" t="str">
        <f>T_Stocks[[#This Row],[Ticker]] &amp; "-" &amp; DATE(YEAR(T_Stocks[[#This Row],[Fecha]]),MONTH(T_Stocks[[#This Row],[Fecha]]),DAY(T_Stocks[[#This Row],[Fecha]]))</f>
        <v>VTSAX-44959</v>
      </c>
    </row>
    <row r="7782" spans="1:4" ht="14.65" thickBot="1" x14ac:dyDescent="0.5">
      <c r="A7782" s="17">
        <v>44960.666666666664</v>
      </c>
      <c r="B7782" s="19">
        <v>101.16</v>
      </c>
      <c r="C7782" t="s">
        <v>32</v>
      </c>
      <c r="D7782" t="str">
        <f>T_Stocks[[#This Row],[Ticker]] &amp; "-" &amp; DATE(YEAR(T_Stocks[[#This Row],[Fecha]]),MONTH(T_Stocks[[#This Row],[Fecha]]),DAY(T_Stocks[[#This Row],[Fecha]]))</f>
        <v>VTSAX-44960</v>
      </c>
    </row>
    <row r="7783" spans="1:4" ht="14.65" thickBot="1" x14ac:dyDescent="0.5">
      <c r="A7783" s="17">
        <v>44963.666666666664</v>
      </c>
      <c r="B7783" s="19">
        <v>100.45</v>
      </c>
      <c r="C7783" t="s">
        <v>32</v>
      </c>
      <c r="D7783" t="str">
        <f>T_Stocks[[#This Row],[Ticker]] &amp; "-" &amp; DATE(YEAR(T_Stocks[[#This Row],[Fecha]]),MONTH(T_Stocks[[#This Row],[Fecha]]),DAY(T_Stocks[[#This Row],[Fecha]]))</f>
        <v>VTSAX-44963</v>
      </c>
    </row>
    <row r="7784" spans="1:4" ht="14.65" thickBot="1" x14ac:dyDescent="0.5">
      <c r="A7784" s="17">
        <v>44964.666666666664</v>
      </c>
      <c r="B7784" s="19">
        <v>101.7</v>
      </c>
      <c r="C7784" t="s">
        <v>32</v>
      </c>
      <c r="D7784" t="str">
        <f>T_Stocks[[#This Row],[Ticker]] &amp; "-" &amp; DATE(YEAR(T_Stocks[[#This Row],[Fecha]]),MONTH(T_Stocks[[#This Row],[Fecha]]),DAY(T_Stocks[[#This Row],[Fecha]]))</f>
        <v>VTSAX-44964</v>
      </c>
    </row>
    <row r="7785" spans="1:4" ht="14.65" thickBot="1" x14ac:dyDescent="0.5">
      <c r="A7785" s="17">
        <v>44965.666666666664</v>
      </c>
      <c r="B7785" s="19">
        <v>100.56</v>
      </c>
      <c r="C7785" t="s">
        <v>32</v>
      </c>
      <c r="D7785" t="str">
        <f>T_Stocks[[#This Row],[Ticker]] &amp; "-" &amp; DATE(YEAR(T_Stocks[[#This Row],[Fecha]]),MONTH(T_Stocks[[#This Row],[Fecha]]),DAY(T_Stocks[[#This Row],[Fecha]]))</f>
        <v>VTSAX-44965</v>
      </c>
    </row>
    <row r="7786" spans="1:4" ht="14.65" thickBot="1" x14ac:dyDescent="0.5">
      <c r="A7786" s="17">
        <v>44966.666666666664</v>
      </c>
      <c r="B7786" s="19">
        <v>99.61</v>
      </c>
      <c r="C7786" t="s">
        <v>32</v>
      </c>
      <c r="D7786" t="str">
        <f>T_Stocks[[#This Row],[Ticker]] &amp; "-" &amp; DATE(YEAR(T_Stocks[[#This Row],[Fecha]]),MONTH(T_Stocks[[#This Row],[Fecha]]),DAY(T_Stocks[[#This Row],[Fecha]]))</f>
        <v>VTSAX-44966</v>
      </c>
    </row>
    <row r="7787" spans="1:4" ht="14.65" thickBot="1" x14ac:dyDescent="0.5">
      <c r="A7787" s="17">
        <v>44967.666666666664</v>
      </c>
      <c r="B7787" s="19">
        <v>99.78</v>
      </c>
      <c r="C7787" t="s">
        <v>32</v>
      </c>
      <c r="D7787" t="str">
        <f>T_Stocks[[#This Row],[Ticker]] &amp; "-" &amp; DATE(YEAR(T_Stocks[[#This Row],[Fecha]]),MONTH(T_Stocks[[#This Row],[Fecha]]),DAY(T_Stocks[[#This Row],[Fecha]]))</f>
        <v>VTSAX-44967</v>
      </c>
    </row>
    <row r="7788" spans="1:4" ht="14.65" thickBot="1" x14ac:dyDescent="0.5">
      <c r="A7788" s="17">
        <v>44970.666666666664</v>
      </c>
      <c r="B7788" s="19">
        <v>100.93</v>
      </c>
      <c r="C7788" t="s">
        <v>32</v>
      </c>
      <c r="D7788" t="str">
        <f>T_Stocks[[#This Row],[Ticker]] &amp; "-" &amp; DATE(YEAR(T_Stocks[[#This Row],[Fecha]]),MONTH(T_Stocks[[#This Row],[Fecha]]),DAY(T_Stocks[[#This Row],[Fecha]]))</f>
        <v>VTSAX-44970</v>
      </c>
    </row>
    <row r="7789" spans="1:4" ht="14.65" thickBot="1" x14ac:dyDescent="0.5">
      <c r="A7789" s="17">
        <v>44971.666666666664</v>
      </c>
      <c r="B7789" s="19">
        <v>100.99</v>
      </c>
      <c r="C7789" t="s">
        <v>32</v>
      </c>
      <c r="D7789" t="str">
        <f>T_Stocks[[#This Row],[Ticker]] &amp; "-" &amp; DATE(YEAR(T_Stocks[[#This Row],[Fecha]]),MONTH(T_Stocks[[#This Row],[Fecha]]),DAY(T_Stocks[[#This Row],[Fecha]]))</f>
        <v>VTSAX-44971</v>
      </c>
    </row>
    <row r="7790" spans="1:4" ht="14.65" thickBot="1" x14ac:dyDescent="0.5">
      <c r="A7790" s="17">
        <v>44972.666666666664</v>
      </c>
      <c r="B7790" s="19">
        <v>101.48</v>
      </c>
      <c r="C7790" t="s">
        <v>32</v>
      </c>
      <c r="D7790" t="str">
        <f>T_Stocks[[#This Row],[Ticker]] &amp; "-" &amp; DATE(YEAR(T_Stocks[[#This Row],[Fecha]]),MONTH(T_Stocks[[#This Row],[Fecha]]),DAY(T_Stocks[[#This Row],[Fecha]]))</f>
        <v>VTSAX-44972</v>
      </c>
    </row>
    <row r="7791" spans="1:4" ht="14.65" thickBot="1" x14ac:dyDescent="0.5">
      <c r="A7791" s="17">
        <v>44973.666666666664</v>
      </c>
      <c r="B7791" s="19">
        <v>100.12</v>
      </c>
      <c r="C7791" t="s">
        <v>32</v>
      </c>
      <c r="D7791" t="str">
        <f>T_Stocks[[#This Row],[Ticker]] &amp; "-" &amp; DATE(YEAR(T_Stocks[[#This Row],[Fecha]]),MONTH(T_Stocks[[#This Row],[Fecha]]),DAY(T_Stocks[[#This Row],[Fecha]]))</f>
        <v>VTSAX-44973</v>
      </c>
    </row>
    <row r="7792" spans="1:4" ht="14.65" thickBot="1" x14ac:dyDescent="0.5">
      <c r="A7792" s="17">
        <v>44974.666666666664</v>
      </c>
      <c r="B7792" s="19">
        <v>99.84</v>
      </c>
      <c r="C7792" t="s">
        <v>32</v>
      </c>
      <c r="D7792" t="str">
        <f>T_Stocks[[#This Row],[Ticker]] &amp; "-" &amp; DATE(YEAR(T_Stocks[[#This Row],[Fecha]]),MONTH(T_Stocks[[#This Row],[Fecha]]),DAY(T_Stocks[[#This Row],[Fecha]]))</f>
        <v>VTSAX-44974</v>
      </c>
    </row>
    <row r="7793" spans="1:4" ht="14.65" thickBot="1" x14ac:dyDescent="0.5">
      <c r="A7793" s="17">
        <v>44978.666666666664</v>
      </c>
      <c r="B7793" s="19">
        <v>97.73</v>
      </c>
      <c r="C7793" t="s">
        <v>32</v>
      </c>
      <c r="D7793" t="str">
        <f>T_Stocks[[#This Row],[Ticker]] &amp; "-" &amp; DATE(YEAR(T_Stocks[[#This Row],[Fecha]]),MONTH(T_Stocks[[#This Row],[Fecha]]),DAY(T_Stocks[[#This Row],[Fecha]]))</f>
        <v>VTSAX-44978</v>
      </c>
    </row>
    <row r="7794" spans="1:4" ht="14.65" thickBot="1" x14ac:dyDescent="0.5">
      <c r="A7794" s="17">
        <v>44979.666666666664</v>
      </c>
      <c r="B7794" s="19">
        <v>97.67</v>
      </c>
      <c r="C7794" t="s">
        <v>32</v>
      </c>
      <c r="D7794" t="str">
        <f>T_Stocks[[#This Row],[Ticker]] &amp; "-" &amp; DATE(YEAR(T_Stocks[[#This Row],[Fecha]]),MONTH(T_Stocks[[#This Row],[Fecha]]),DAY(T_Stocks[[#This Row],[Fecha]]))</f>
        <v>VTSAX-44979</v>
      </c>
    </row>
    <row r="7795" spans="1:4" ht="14.65" thickBot="1" x14ac:dyDescent="0.5">
      <c r="A7795" s="17">
        <v>44980.666666666664</v>
      </c>
      <c r="B7795" s="19">
        <v>98.17</v>
      </c>
      <c r="C7795" t="s">
        <v>32</v>
      </c>
      <c r="D7795" t="str">
        <f>T_Stocks[[#This Row],[Ticker]] &amp; "-" &amp; DATE(YEAR(T_Stocks[[#This Row],[Fecha]]),MONTH(T_Stocks[[#This Row],[Fecha]]),DAY(T_Stocks[[#This Row],[Fecha]]))</f>
        <v>VTSAX-44980</v>
      </c>
    </row>
    <row r="7796" spans="1:4" ht="14.65" thickBot="1" x14ac:dyDescent="0.5">
      <c r="A7796" s="17">
        <v>44981.666666666664</v>
      </c>
      <c r="B7796" s="19">
        <v>97.14</v>
      </c>
      <c r="C7796" t="s">
        <v>32</v>
      </c>
      <c r="D7796" t="str">
        <f>T_Stocks[[#This Row],[Ticker]] &amp; "-" &amp; DATE(YEAR(T_Stocks[[#This Row],[Fecha]]),MONTH(T_Stocks[[#This Row],[Fecha]]),DAY(T_Stocks[[#This Row],[Fecha]]))</f>
        <v>VTSAX-44981</v>
      </c>
    </row>
    <row r="7797" spans="1:4" ht="14.65" thickBot="1" x14ac:dyDescent="0.5">
      <c r="A7797" s="17">
        <v>44984.666666666664</v>
      </c>
      <c r="B7797" s="19">
        <v>97.44</v>
      </c>
      <c r="C7797" t="s">
        <v>32</v>
      </c>
      <c r="D7797" t="str">
        <f>T_Stocks[[#This Row],[Ticker]] &amp; "-" &amp; DATE(YEAR(T_Stocks[[#This Row],[Fecha]]),MONTH(T_Stocks[[#This Row],[Fecha]]),DAY(T_Stocks[[#This Row],[Fecha]]))</f>
        <v>VTSAX-44984</v>
      </c>
    </row>
    <row r="7798" spans="1:4" ht="14.65" thickBot="1" x14ac:dyDescent="0.5">
      <c r="A7798" s="17">
        <v>44985.666666666664</v>
      </c>
      <c r="B7798" s="19">
        <v>97.2</v>
      </c>
      <c r="C7798" t="s">
        <v>32</v>
      </c>
      <c r="D7798" t="str">
        <f>T_Stocks[[#This Row],[Ticker]] &amp; "-" &amp; DATE(YEAR(T_Stocks[[#This Row],[Fecha]]),MONTH(T_Stocks[[#This Row],[Fecha]]),DAY(T_Stocks[[#This Row],[Fecha]]))</f>
        <v>VTSAX-44985</v>
      </c>
    </row>
    <row r="7799" spans="1:4" ht="14.65" thickBot="1" x14ac:dyDescent="0.5">
      <c r="A7799" s="17">
        <v>44986.666666666664</v>
      </c>
      <c r="B7799" s="19">
        <v>96.81</v>
      </c>
      <c r="C7799" t="s">
        <v>32</v>
      </c>
      <c r="D7799" t="str">
        <f>T_Stocks[[#This Row],[Ticker]] &amp; "-" &amp; DATE(YEAR(T_Stocks[[#This Row],[Fecha]]),MONTH(T_Stocks[[#This Row],[Fecha]]),DAY(T_Stocks[[#This Row],[Fecha]]))</f>
        <v>VTSAX-44986</v>
      </c>
    </row>
    <row r="7800" spans="1:4" ht="14.65" thickBot="1" x14ac:dyDescent="0.5">
      <c r="A7800" s="17">
        <v>44987.666666666664</v>
      </c>
      <c r="B7800" s="19">
        <v>97.51</v>
      </c>
      <c r="C7800" t="s">
        <v>32</v>
      </c>
      <c r="D7800" t="str">
        <f>T_Stocks[[#This Row],[Ticker]] &amp; "-" &amp; DATE(YEAR(T_Stocks[[#This Row],[Fecha]]),MONTH(T_Stocks[[#This Row],[Fecha]]),DAY(T_Stocks[[#This Row],[Fecha]]))</f>
        <v>VTSAX-44987</v>
      </c>
    </row>
    <row r="7801" spans="1:4" ht="14.65" thickBot="1" x14ac:dyDescent="0.5">
      <c r="A7801" s="17">
        <v>44988.666666666664</v>
      </c>
      <c r="B7801" s="19">
        <v>99.08</v>
      </c>
      <c r="C7801" t="s">
        <v>32</v>
      </c>
      <c r="D7801" t="str">
        <f>T_Stocks[[#This Row],[Ticker]] &amp; "-" &amp; DATE(YEAR(T_Stocks[[#This Row],[Fecha]]),MONTH(T_Stocks[[#This Row],[Fecha]]),DAY(T_Stocks[[#This Row],[Fecha]]))</f>
        <v>VTSAX-44988</v>
      </c>
    </row>
    <row r="7802" spans="1:4" ht="14.65" thickBot="1" x14ac:dyDescent="0.5">
      <c r="A7802" s="17">
        <v>44991.666666666664</v>
      </c>
      <c r="B7802" s="19">
        <v>98.95</v>
      </c>
      <c r="C7802" t="s">
        <v>32</v>
      </c>
      <c r="D7802" t="str">
        <f>T_Stocks[[#This Row],[Ticker]] &amp; "-" &amp; DATE(YEAR(T_Stocks[[#This Row],[Fecha]]),MONTH(T_Stocks[[#This Row],[Fecha]]),DAY(T_Stocks[[#This Row],[Fecha]]))</f>
        <v>VTSAX-44991</v>
      </c>
    </row>
    <row r="7803" spans="1:4" ht="14.65" thickBot="1" x14ac:dyDescent="0.5">
      <c r="A7803" s="17">
        <v>44992.666666666664</v>
      </c>
      <c r="B7803" s="19">
        <v>97.49</v>
      </c>
      <c r="C7803" t="s">
        <v>32</v>
      </c>
      <c r="D7803" t="str">
        <f>T_Stocks[[#This Row],[Ticker]] &amp; "-" &amp; DATE(YEAR(T_Stocks[[#This Row],[Fecha]]),MONTH(T_Stocks[[#This Row],[Fecha]]),DAY(T_Stocks[[#This Row],[Fecha]]))</f>
        <v>VTSAX-44992</v>
      </c>
    </row>
    <row r="7804" spans="1:4" ht="14.65" thickBot="1" x14ac:dyDescent="0.5">
      <c r="A7804" s="17">
        <v>44993.666666666664</v>
      </c>
      <c r="B7804" s="19">
        <v>97.61</v>
      </c>
      <c r="C7804" t="s">
        <v>32</v>
      </c>
      <c r="D7804" t="str">
        <f>T_Stocks[[#This Row],[Ticker]] &amp; "-" &amp; DATE(YEAR(T_Stocks[[#This Row],[Fecha]]),MONTH(T_Stocks[[#This Row],[Fecha]]),DAY(T_Stocks[[#This Row],[Fecha]]))</f>
        <v>VTSAX-44993</v>
      </c>
    </row>
    <row r="7805" spans="1:4" ht="14.65" thickBot="1" x14ac:dyDescent="0.5">
      <c r="A7805" s="17">
        <v>44994.666666666664</v>
      </c>
      <c r="B7805" s="19">
        <v>95.68</v>
      </c>
      <c r="C7805" t="s">
        <v>32</v>
      </c>
      <c r="D7805" t="str">
        <f>T_Stocks[[#This Row],[Ticker]] &amp; "-" &amp; DATE(YEAR(T_Stocks[[#This Row],[Fecha]]),MONTH(T_Stocks[[#This Row],[Fecha]]),DAY(T_Stocks[[#This Row],[Fecha]]))</f>
        <v>VTSAX-44994</v>
      </c>
    </row>
    <row r="7806" spans="1:4" ht="14.65" thickBot="1" x14ac:dyDescent="0.5">
      <c r="A7806" s="17">
        <v>44995.666666666664</v>
      </c>
      <c r="B7806" s="19">
        <v>94.04</v>
      </c>
      <c r="C7806" t="s">
        <v>32</v>
      </c>
      <c r="D7806" t="str">
        <f>T_Stocks[[#This Row],[Ticker]] &amp; "-" &amp; DATE(YEAR(T_Stocks[[#This Row],[Fecha]]),MONTH(T_Stocks[[#This Row],[Fecha]]),DAY(T_Stocks[[#This Row],[Fecha]]))</f>
        <v>VTSAX-44995</v>
      </c>
    </row>
    <row r="7807" spans="1:4" ht="14.65" thickBot="1" x14ac:dyDescent="0.5">
      <c r="A7807" s="17">
        <v>44998.666666666664</v>
      </c>
      <c r="B7807" s="19">
        <v>93.74</v>
      </c>
      <c r="C7807" t="s">
        <v>32</v>
      </c>
      <c r="D7807" t="str">
        <f>T_Stocks[[#This Row],[Ticker]] &amp; "-" &amp; DATE(YEAR(T_Stocks[[#This Row],[Fecha]]),MONTH(T_Stocks[[#This Row],[Fecha]]),DAY(T_Stocks[[#This Row],[Fecha]]))</f>
        <v>VTSAX-44998</v>
      </c>
    </row>
    <row r="7808" spans="1:4" ht="14.65" thickBot="1" x14ac:dyDescent="0.5">
      <c r="A7808" s="17">
        <v>44999.666666666664</v>
      </c>
      <c r="B7808" s="19">
        <v>95.34</v>
      </c>
      <c r="C7808" t="s">
        <v>32</v>
      </c>
      <c r="D7808" t="str">
        <f>T_Stocks[[#This Row],[Ticker]] &amp; "-" &amp; DATE(YEAR(T_Stocks[[#This Row],[Fecha]]),MONTH(T_Stocks[[#This Row],[Fecha]]),DAY(T_Stocks[[#This Row],[Fecha]]))</f>
        <v>VTSAX-44999</v>
      </c>
    </row>
    <row r="7809" spans="1:4" ht="14.65" thickBot="1" x14ac:dyDescent="0.5">
      <c r="A7809" s="17">
        <v>45000.666666666664</v>
      </c>
      <c r="B7809" s="19">
        <v>94.56</v>
      </c>
      <c r="C7809" t="s">
        <v>32</v>
      </c>
      <c r="D7809" t="str">
        <f>T_Stocks[[#This Row],[Ticker]] &amp; "-" &amp; DATE(YEAR(T_Stocks[[#This Row],[Fecha]]),MONTH(T_Stocks[[#This Row],[Fecha]]),DAY(T_Stocks[[#This Row],[Fecha]]))</f>
        <v>VTSAX-45000</v>
      </c>
    </row>
    <row r="7810" spans="1:4" ht="14.65" thickBot="1" x14ac:dyDescent="0.5">
      <c r="A7810" s="17">
        <v>45001.666666666664</v>
      </c>
      <c r="B7810" s="19">
        <v>96.22</v>
      </c>
      <c r="C7810" t="s">
        <v>32</v>
      </c>
      <c r="D7810" t="str">
        <f>T_Stocks[[#This Row],[Ticker]] &amp; "-" &amp; DATE(YEAR(T_Stocks[[#This Row],[Fecha]]),MONTH(T_Stocks[[#This Row],[Fecha]]),DAY(T_Stocks[[#This Row],[Fecha]]))</f>
        <v>VTSAX-45001</v>
      </c>
    </row>
    <row r="7811" spans="1:4" ht="14.65" thickBot="1" x14ac:dyDescent="0.5">
      <c r="A7811" s="17">
        <v>45002.666666666664</v>
      </c>
      <c r="B7811" s="19">
        <v>95</v>
      </c>
      <c r="C7811" t="s">
        <v>32</v>
      </c>
      <c r="D7811" t="str">
        <f>T_Stocks[[#This Row],[Ticker]] &amp; "-" &amp; DATE(YEAR(T_Stocks[[#This Row],[Fecha]]),MONTH(T_Stocks[[#This Row],[Fecha]]),DAY(T_Stocks[[#This Row],[Fecha]]))</f>
        <v>VTSAX-45002</v>
      </c>
    </row>
    <row r="7812" spans="1:4" ht="14.65" thickBot="1" x14ac:dyDescent="0.5">
      <c r="A7812" s="17">
        <v>45005.666666666664</v>
      </c>
      <c r="B7812" s="19">
        <v>95.85</v>
      </c>
      <c r="C7812" t="s">
        <v>32</v>
      </c>
      <c r="D7812" t="str">
        <f>T_Stocks[[#This Row],[Ticker]] &amp; "-" &amp; DATE(YEAR(T_Stocks[[#This Row],[Fecha]]),MONTH(T_Stocks[[#This Row],[Fecha]]),DAY(T_Stocks[[#This Row],[Fecha]]))</f>
        <v>VTSAX-45005</v>
      </c>
    </row>
    <row r="7813" spans="1:4" ht="14.65" thickBot="1" x14ac:dyDescent="0.5">
      <c r="A7813" s="17">
        <v>45006.666666666664</v>
      </c>
      <c r="B7813" s="19">
        <v>97.21</v>
      </c>
      <c r="C7813" t="s">
        <v>32</v>
      </c>
      <c r="D7813" t="str">
        <f>T_Stocks[[#This Row],[Ticker]] &amp; "-" &amp; DATE(YEAR(T_Stocks[[#This Row],[Fecha]]),MONTH(T_Stocks[[#This Row],[Fecha]]),DAY(T_Stocks[[#This Row],[Fecha]]))</f>
        <v>VTSAX-45006</v>
      </c>
    </row>
    <row r="7814" spans="1:4" ht="14.65" thickBot="1" x14ac:dyDescent="0.5">
      <c r="A7814" s="17">
        <v>45007.666666666664</v>
      </c>
      <c r="B7814" s="19">
        <v>95.1</v>
      </c>
      <c r="C7814" t="s">
        <v>32</v>
      </c>
      <c r="D7814" t="str">
        <f>T_Stocks[[#This Row],[Ticker]] &amp; "-" &amp; DATE(YEAR(T_Stocks[[#This Row],[Fecha]]),MONTH(T_Stocks[[#This Row],[Fecha]]),DAY(T_Stocks[[#This Row],[Fecha]]))</f>
        <v>VTSAX-45007</v>
      </c>
    </row>
    <row r="7815" spans="1:4" ht="14.65" thickBot="1" x14ac:dyDescent="0.5">
      <c r="A7815" s="17">
        <v>45008.666666666664</v>
      </c>
      <c r="B7815" s="19">
        <v>95.3</v>
      </c>
      <c r="C7815" t="s">
        <v>32</v>
      </c>
      <c r="D7815" t="str">
        <f>T_Stocks[[#This Row],[Ticker]] &amp; "-" &amp; DATE(YEAR(T_Stocks[[#This Row],[Fecha]]),MONTH(T_Stocks[[#This Row],[Fecha]]),DAY(T_Stocks[[#This Row],[Fecha]]))</f>
        <v>VTSAX-45008</v>
      </c>
    </row>
    <row r="7816" spans="1:4" ht="14.65" thickBot="1" x14ac:dyDescent="0.5">
      <c r="A7816" s="17">
        <v>45009.666666666664</v>
      </c>
      <c r="B7816" s="19">
        <v>95.83</v>
      </c>
      <c r="C7816" t="s">
        <v>32</v>
      </c>
      <c r="D7816" t="str">
        <f>T_Stocks[[#This Row],[Ticker]] &amp; "-" &amp; DATE(YEAR(T_Stocks[[#This Row],[Fecha]]),MONTH(T_Stocks[[#This Row],[Fecha]]),DAY(T_Stocks[[#This Row],[Fecha]]))</f>
        <v>VTSAX-45009</v>
      </c>
    </row>
    <row r="7817" spans="1:4" ht="14.65" thickBot="1" x14ac:dyDescent="0.5">
      <c r="A7817" s="17">
        <v>45012.666666666664</v>
      </c>
      <c r="B7817" s="19">
        <v>96.09</v>
      </c>
      <c r="C7817" t="s">
        <v>32</v>
      </c>
      <c r="D7817" t="str">
        <f>T_Stocks[[#This Row],[Ticker]] &amp; "-" &amp; DATE(YEAR(T_Stocks[[#This Row],[Fecha]]),MONTH(T_Stocks[[#This Row],[Fecha]]),DAY(T_Stocks[[#This Row],[Fecha]]))</f>
        <v>VTSAX-45012</v>
      </c>
    </row>
    <row r="7818" spans="1:4" ht="14.65" thickBot="1" x14ac:dyDescent="0.5">
      <c r="A7818" s="17">
        <v>45013.666666666664</v>
      </c>
      <c r="B7818" s="19">
        <v>95.96</v>
      </c>
      <c r="C7818" t="s">
        <v>32</v>
      </c>
      <c r="D7818" t="str">
        <f>T_Stocks[[#This Row],[Ticker]] &amp; "-" &amp; DATE(YEAR(T_Stocks[[#This Row],[Fecha]]),MONTH(T_Stocks[[#This Row],[Fecha]]),DAY(T_Stocks[[#This Row],[Fecha]]))</f>
        <v>VTSAX-45013</v>
      </c>
    </row>
    <row r="7819" spans="1:4" ht="14.65" thickBot="1" x14ac:dyDescent="0.5">
      <c r="A7819" s="17">
        <v>45014.666666666664</v>
      </c>
      <c r="B7819" s="19">
        <v>97.33</v>
      </c>
      <c r="C7819" t="s">
        <v>32</v>
      </c>
      <c r="D7819" t="str">
        <f>T_Stocks[[#This Row],[Ticker]] &amp; "-" &amp; DATE(YEAR(T_Stocks[[#This Row],[Fecha]]),MONTH(T_Stocks[[#This Row],[Fecha]]),DAY(T_Stocks[[#This Row],[Fecha]]))</f>
        <v>VTSAX-45014</v>
      </c>
    </row>
    <row r="7820" spans="1:4" ht="14.65" thickBot="1" x14ac:dyDescent="0.5">
      <c r="A7820" s="17">
        <v>45015.666666666664</v>
      </c>
      <c r="B7820" s="19">
        <v>97.86</v>
      </c>
      <c r="C7820" t="s">
        <v>32</v>
      </c>
      <c r="D7820" t="str">
        <f>T_Stocks[[#This Row],[Ticker]] &amp; "-" &amp; DATE(YEAR(T_Stocks[[#This Row],[Fecha]]),MONTH(T_Stocks[[#This Row],[Fecha]]),DAY(T_Stocks[[#This Row],[Fecha]]))</f>
        <v>VTSAX-45015</v>
      </c>
    </row>
    <row r="7821" spans="1:4" ht="14.65" thickBot="1" x14ac:dyDescent="0.5">
      <c r="A7821" s="17">
        <v>45016.666666666664</v>
      </c>
      <c r="B7821" s="19">
        <v>99.37</v>
      </c>
      <c r="C7821" t="s">
        <v>32</v>
      </c>
      <c r="D7821" t="str">
        <f>T_Stocks[[#This Row],[Ticker]] &amp; "-" &amp; DATE(YEAR(T_Stocks[[#This Row],[Fecha]]),MONTH(T_Stocks[[#This Row],[Fecha]]),DAY(T_Stocks[[#This Row],[Fecha]]))</f>
        <v>VTSAX-45016</v>
      </c>
    </row>
    <row r="7822" spans="1:4" ht="14.65" thickBot="1" x14ac:dyDescent="0.5">
      <c r="A7822" s="17">
        <v>45019.666666666664</v>
      </c>
      <c r="B7822" s="19">
        <v>99.65</v>
      </c>
      <c r="C7822" t="s">
        <v>32</v>
      </c>
      <c r="D7822" t="str">
        <f>T_Stocks[[#This Row],[Ticker]] &amp; "-" &amp; DATE(YEAR(T_Stocks[[#This Row],[Fecha]]),MONTH(T_Stocks[[#This Row],[Fecha]]),DAY(T_Stocks[[#This Row],[Fecha]]))</f>
        <v>VTSAX-45019</v>
      </c>
    </row>
    <row r="7823" spans="1:4" ht="14.65" thickBot="1" x14ac:dyDescent="0.5">
      <c r="A7823" s="17">
        <v>45020.666666666664</v>
      </c>
      <c r="B7823" s="19">
        <v>98.95</v>
      </c>
      <c r="C7823" t="s">
        <v>32</v>
      </c>
      <c r="D7823" t="str">
        <f>T_Stocks[[#This Row],[Ticker]] &amp; "-" &amp; DATE(YEAR(T_Stocks[[#This Row],[Fecha]]),MONTH(T_Stocks[[#This Row],[Fecha]]),DAY(T_Stocks[[#This Row],[Fecha]]))</f>
        <v>VTSAX-45020</v>
      </c>
    </row>
    <row r="7824" spans="1:4" ht="14.65" thickBot="1" x14ac:dyDescent="0.5">
      <c r="A7824" s="17">
        <v>45021.666666666664</v>
      </c>
      <c r="B7824" s="19">
        <v>98.58</v>
      </c>
      <c r="C7824" t="s">
        <v>32</v>
      </c>
      <c r="D7824" t="str">
        <f>T_Stocks[[#This Row],[Ticker]] &amp; "-" &amp; DATE(YEAR(T_Stocks[[#This Row],[Fecha]]),MONTH(T_Stocks[[#This Row],[Fecha]]),DAY(T_Stocks[[#This Row],[Fecha]]))</f>
        <v>VTSAX-45021</v>
      </c>
    </row>
    <row r="7825" spans="1:4" ht="14.65" thickBot="1" x14ac:dyDescent="0.5">
      <c r="A7825" s="17">
        <v>45022.666666666664</v>
      </c>
      <c r="B7825" s="19">
        <v>98.93</v>
      </c>
      <c r="C7825" t="s">
        <v>32</v>
      </c>
      <c r="D7825" t="str">
        <f>T_Stocks[[#This Row],[Ticker]] &amp; "-" &amp; DATE(YEAR(T_Stocks[[#This Row],[Fecha]]),MONTH(T_Stocks[[#This Row],[Fecha]]),DAY(T_Stocks[[#This Row],[Fecha]]))</f>
        <v>VTSAX-45022</v>
      </c>
    </row>
    <row r="7826" spans="1:4" ht="14.65" thickBot="1" x14ac:dyDescent="0.5">
      <c r="A7826" s="17">
        <v>45026.666666666664</v>
      </c>
      <c r="B7826" s="19">
        <v>99.14</v>
      </c>
      <c r="C7826" t="s">
        <v>32</v>
      </c>
      <c r="D7826" t="str">
        <f>T_Stocks[[#This Row],[Ticker]] &amp; "-" &amp; DATE(YEAR(T_Stocks[[#This Row],[Fecha]]),MONTH(T_Stocks[[#This Row],[Fecha]]),DAY(T_Stocks[[#This Row],[Fecha]]))</f>
        <v>VTSAX-45026</v>
      </c>
    </row>
    <row r="7827" spans="1:4" ht="14.65" thickBot="1" x14ac:dyDescent="0.5">
      <c r="A7827" s="17">
        <v>45027.666666666664</v>
      </c>
      <c r="B7827" s="19">
        <v>99.24</v>
      </c>
      <c r="C7827" t="s">
        <v>32</v>
      </c>
      <c r="D7827" t="str">
        <f>T_Stocks[[#This Row],[Ticker]] &amp; "-" &amp; DATE(YEAR(T_Stocks[[#This Row],[Fecha]]),MONTH(T_Stocks[[#This Row],[Fecha]]),DAY(T_Stocks[[#This Row],[Fecha]]))</f>
        <v>VTSAX-45027</v>
      </c>
    </row>
    <row r="7828" spans="1:4" ht="14.65" thickBot="1" x14ac:dyDescent="0.5">
      <c r="A7828" s="17">
        <v>45028.666666666664</v>
      </c>
      <c r="B7828" s="19">
        <v>98.79</v>
      </c>
      <c r="C7828" t="s">
        <v>32</v>
      </c>
      <c r="D7828" t="str">
        <f>T_Stocks[[#This Row],[Ticker]] &amp; "-" &amp; DATE(YEAR(T_Stocks[[#This Row],[Fecha]]),MONTH(T_Stocks[[#This Row],[Fecha]]),DAY(T_Stocks[[#This Row],[Fecha]]))</f>
        <v>VTSAX-45028</v>
      </c>
    </row>
    <row r="7829" spans="1:4" ht="14.65" thickBot="1" x14ac:dyDescent="0.5">
      <c r="A7829" s="17">
        <v>45029.666666666664</v>
      </c>
      <c r="B7829" s="19">
        <v>100.09</v>
      </c>
      <c r="C7829" t="s">
        <v>32</v>
      </c>
      <c r="D7829" t="str">
        <f>T_Stocks[[#This Row],[Ticker]] &amp; "-" &amp; DATE(YEAR(T_Stocks[[#This Row],[Fecha]]),MONTH(T_Stocks[[#This Row],[Fecha]]),DAY(T_Stocks[[#This Row],[Fecha]]))</f>
        <v>VTSAX-45029</v>
      </c>
    </row>
    <row r="7830" spans="1:4" ht="14.65" thickBot="1" x14ac:dyDescent="0.5">
      <c r="A7830" s="17">
        <v>45030.666666666664</v>
      </c>
      <c r="B7830" s="19">
        <v>99.82</v>
      </c>
      <c r="C7830" t="s">
        <v>32</v>
      </c>
      <c r="D7830" t="str">
        <f>T_Stocks[[#This Row],[Ticker]] &amp; "-" &amp; DATE(YEAR(T_Stocks[[#This Row],[Fecha]]),MONTH(T_Stocks[[#This Row],[Fecha]]),DAY(T_Stocks[[#This Row],[Fecha]]))</f>
        <v>VTSAX-45030</v>
      </c>
    </row>
    <row r="7831" spans="1:4" ht="14.65" thickBot="1" x14ac:dyDescent="0.5">
      <c r="A7831" s="17">
        <v>45033.666666666664</v>
      </c>
      <c r="B7831" s="19">
        <v>100.23</v>
      </c>
      <c r="C7831" t="s">
        <v>32</v>
      </c>
      <c r="D7831" t="str">
        <f>T_Stocks[[#This Row],[Ticker]] &amp; "-" &amp; DATE(YEAR(T_Stocks[[#This Row],[Fecha]]),MONTH(T_Stocks[[#This Row],[Fecha]]),DAY(T_Stocks[[#This Row],[Fecha]]))</f>
        <v>VTSAX-45033</v>
      </c>
    </row>
    <row r="7832" spans="1:4" ht="14.65" thickBot="1" x14ac:dyDescent="0.5">
      <c r="A7832" s="17">
        <v>45034.666666666664</v>
      </c>
      <c r="B7832" s="19">
        <v>100.29</v>
      </c>
      <c r="C7832" t="s">
        <v>32</v>
      </c>
      <c r="D7832" t="str">
        <f>T_Stocks[[#This Row],[Ticker]] &amp; "-" &amp; DATE(YEAR(T_Stocks[[#This Row],[Fecha]]),MONTH(T_Stocks[[#This Row],[Fecha]]),DAY(T_Stocks[[#This Row],[Fecha]]))</f>
        <v>VTSAX-45034</v>
      </c>
    </row>
    <row r="7833" spans="1:4" ht="14.65" thickBot="1" x14ac:dyDescent="0.5">
      <c r="A7833" s="17">
        <v>45035.666666666664</v>
      </c>
      <c r="B7833" s="19">
        <v>100.31</v>
      </c>
      <c r="C7833" t="s">
        <v>32</v>
      </c>
      <c r="D7833" t="str">
        <f>T_Stocks[[#This Row],[Ticker]] &amp; "-" &amp; DATE(YEAR(T_Stocks[[#This Row],[Fecha]]),MONTH(T_Stocks[[#This Row],[Fecha]]),DAY(T_Stocks[[#This Row],[Fecha]]))</f>
        <v>VTSAX-45035</v>
      </c>
    </row>
    <row r="7834" spans="1:4" ht="14.65" thickBot="1" x14ac:dyDescent="0.5">
      <c r="A7834" s="17">
        <v>45036.666666666664</v>
      </c>
      <c r="B7834" s="19">
        <v>99.71</v>
      </c>
      <c r="C7834" t="s">
        <v>32</v>
      </c>
      <c r="D7834" t="str">
        <f>T_Stocks[[#This Row],[Ticker]] &amp; "-" &amp; DATE(YEAR(T_Stocks[[#This Row],[Fecha]]),MONTH(T_Stocks[[#This Row],[Fecha]]),DAY(T_Stocks[[#This Row],[Fecha]]))</f>
        <v>VTSAX-45036</v>
      </c>
    </row>
    <row r="7835" spans="1:4" ht="14.65" thickBot="1" x14ac:dyDescent="0.5">
      <c r="A7835" s="17">
        <v>45037.666666666664</v>
      </c>
      <c r="B7835" s="19">
        <v>99.79</v>
      </c>
      <c r="C7835" t="s">
        <v>32</v>
      </c>
      <c r="D7835" t="str">
        <f>T_Stocks[[#This Row],[Ticker]] &amp; "-" &amp; DATE(YEAR(T_Stocks[[#This Row],[Fecha]]),MONTH(T_Stocks[[#This Row],[Fecha]]),DAY(T_Stocks[[#This Row],[Fecha]]))</f>
        <v>VTSAX-45037</v>
      </c>
    </row>
    <row r="7836" spans="1:4" ht="14.65" thickBot="1" x14ac:dyDescent="0.5">
      <c r="A7836" s="17">
        <v>45040.666666666664</v>
      </c>
      <c r="B7836" s="19">
        <v>99.83</v>
      </c>
      <c r="C7836" t="s">
        <v>32</v>
      </c>
      <c r="D7836" t="str">
        <f>T_Stocks[[#This Row],[Ticker]] &amp; "-" &amp; DATE(YEAR(T_Stocks[[#This Row],[Fecha]]),MONTH(T_Stocks[[#This Row],[Fecha]]),DAY(T_Stocks[[#This Row],[Fecha]]))</f>
        <v>VTSAX-45040</v>
      </c>
    </row>
    <row r="7837" spans="1:4" ht="14.65" thickBot="1" x14ac:dyDescent="0.5">
      <c r="A7837" s="17">
        <v>45041.666666666664</v>
      </c>
      <c r="B7837" s="19">
        <v>98.14</v>
      </c>
      <c r="C7837" t="s">
        <v>32</v>
      </c>
      <c r="D7837" t="str">
        <f>T_Stocks[[#This Row],[Ticker]] &amp; "-" &amp; DATE(YEAR(T_Stocks[[#This Row],[Fecha]]),MONTH(T_Stocks[[#This Row],[Fecha]]),DAY(T_Stocks[[#This Row],[Fecha]]))</f>
        <v>VTSAX-45041</v>
      </c>
    </row>
    <row r="7838" spans="1:4" ht="14.65" thickBot="1" x14ac:dyDescent="0.5">
      <c r="A7838" s="17">
        <v>45042.666666666664</v>
      </c>
      <c r="B7838" s="19">
        <v>97.74</v>
      </c>
      <c r="C7838" t="s">
        <v>32</v>
      </c>
      <c r="D7838" t="str">
        <f>T_Stocks[[#This Row],[Ticker]] &amp; "-" &amp; DATE(YEAR(T_Stocks[[#This Row],[Fecha]]),MONTH(T_Stocks[[#This Row],[Fecha]]),DAY(T_Stocks[[#This Row],[Fecha]]))</f>
        <v>VTSAX-45042</v>
      </c>
    </row>
    <row r="7839" spans="1:4" ht="14.65" thickBot="1" x14ac:dyDescent="0.5">
      <c r="A7839" s="17">
        <v>45043.666666666664</v>
      </c>
      <c r="B7839" s="19">
        <v>99.57</v>
      </c>
      <c r="C7839" t="s">
        <v>32</v>
      </c>
      <c r="D7839" t="str">
        <f>T_Stocks[[#This Row],[Ticker]] &amp; "-" &amp; DATE(YEAR(T_Stocks[[#This Row],[Fecha]]),MONTH(T_Stocks[[#This Row],[Fecha]]),DAY(T_Stocks[[#This Row],[Fecha]]))</f>
        <v>VTSAX-45043</v>
      </c>
    </row>
    <row r="7840" spans="1:4" ht="14.65" thickBot="1" x14ac:dyDescent="0.5">
      <c r="A7840" s="17">
        <v>45044.666666666664</v>
      </c>
      <c r="B7840" s="19">
        <v>100.41</v>
      </c>
      <c r="C7840" t="s">
        <v>32</v>
      </c>
      <c r="D7840" t="str">
        <f>T_Stocks[[#This Row],[Ticker]] &amp; "-" &amp; DATE(YEAR(T_Stocks[[#This Row],[Fecha]]),MONTH(T_Stocks[[#This Row],[Fecha]]),DAY(T_Stocks[[#This Row],[Fecha]]))</f>
        <v>VTSAX-45044</v>
      </c>
    </row>
    <row r="7841" spans="1:4" ht="14.65" thickBot="1" x14ac:dyDescent="0.5">
      <c r="A7841" s="17">
        <v>45047.666666666664</v>
      </c>
      <c r="B7841" s="19">
        <v>100.38</v>
      </c>
      <c r="C7841" t="s">
        <v>32</v>
      </c>
      <c r="D7841" t="str">
        <f>T_Stocks[[#This Row],[Ticker]] &amp; "-" &amp; DATE(YEAR(T_Stocks[[#This Row],[Fecha]]),MONTH(T_Stocks[[#This Row],[Fecha]]),DAY(T_Stocks[[#This Row],[Fecha]]))</f>
        <v>VTSAX-45047</v>
      </c>
    </row>
    <row r="7842" spans="1:4" ht="14.65" thickBot="1" x14ac:dyDescent="0.5">
      <c r="A7842" s="17">
        <v>45048.666666666664</v>
      </c>
      <c r="B7842" s="19">
        <v>99.13</v>
      </c>
      <c r="C7842" t="s">
        <v>32</v>
      </c>
      <c r="D7842" t="str">
        <f>T_Stocks[[#This Row],[Ticker]] &amp; "-" &amp; DATE(YEAR(T_Stocks[[#This Row],[Fecha]]),MONTH(T_Stocks[[#This Row],[Fecha]]),DAY(T_Stocks[[#This Row],[Fecha]]))</f>
        <v>VTSAX-45048</v>
      </c>
    </row>
    <row r="7843" spans="1:4" ht="14.65" thickBot="1" x14ac:dyDescent="0.5">
      <c r="A7843" s="17">
        <v>45049.666666666664</v>
      </c>
      <c r="B7843" s="19">
        <v>98.55</v>
      </c>
      <c r="C7843" t="s">
        <v>32</v>
      </c>
      <c r="D7843" t="str">
        <f>T_Stocks[[#This Row],[Ticker]] &amp; "-" &amp; DATE(YEAR(T_Stocks[[#This Row],[Fecha]]),MONTH(T_Stocks[[#This Row],[Fecha]]),DAY(T_Stocks[[#This Row],[Fecha]]))</f>
        <v>VTSAX-45049</v>
      </c>
    </row>
    <row r="7844" spans="1:4" ht="14.65" thickBot="1" x14ac:dyDescent="0.5">
      <c r="A7844" s="17">
        <v>45050.666666666664</v>
      </c>
      <c r="B7844" s="19">
        <v>97.81</v>
      </c>
      <c r="C7844" t="s">
        <v>32</v>
      </c>
      <c r="D7844" t="str">
        <f>T_Stocks[[#This Row],[Ticker]] &amp; "-" &amp; DATE(YEAR(T_Stocks[[#This Row],[Fecha]]),MONTH(T_Stocks[[#This Row],[Fecha]]),DAY(T_Stocks[[#This Row],[Fecha]]))</f>
        <v>VTSAX-45050</v>
      </c>
    </row>
    <row r="7845" spans="1:4" ht="14.65" thickBot="1" x14ac:dyDescent="0.5">
      <c r="A7845" s="17">
        <v>45051.666666666664</v>
      </c>
      <c r="B7845" s="19">
        <v>99.66</v>
      </c>
      <c r="C7845" t="s">
        <v>32</v>
      </c>
      <c r="D7845" t="str">
        <f>T_Stocks[[#This Row],[Ticker]] &amp; "-" &amp; DATE(YEAR(T_Stocks[[#This Row],[Fecha]]),MONTH(T_Stocks[[#This Row],[Fecha]]),DAY(T_Stocks[[#This Row],[Fecha]]))</f>
        <v>VTSAX-45051</v>
      </c>
    </row>
    <row r="7846" spans="1:4" ht="14.65" thickBot="1" x14ac:dyDescent="0.5">
      <c r="A7846" s="17">
        <v>45054.666666666664</v>
      </c>
      <c r="B7846" s="19">
        <v>99.73</v>
      </c>
      <c r="C7846" t="s">
        <v>32</v>
      </c>
      <c r="D7846" t="str">
        <f>T_Stocks[[#This Row],[Ticker]] &amp; "-" &amp; DATE(YEAR(T_Stocks[[#This Row],[Fecha]]),MONTH(T_Stocks[[#This Row],[Fecha]]),DAY(T_Stocks[[#This Row],[Fecha]]))</f>
        <v>VTSAX-45054</v>
      </c>
    </row>
    <row r="7847" spans="1:4" ht="14.65" thickBot="1" x14ac:dyDescent="0.5">
      <c r="A7847" s="17">
        <v>45055.666666666664</v>
      </c>
      <c r="B7847" s="19">
        <v>99.32</v>
      </c>
      <c r="C7847" t="s">
        <v>32</v>
      </c>
      <c r="D7847" t="str">
        <f>T_Stocks[[#This Row],[Ticker]] &amp; "-" &amp; DATE(YEAR(T_Stocks[[#This Row],[Fecha]]),MONTH(T_Stocks[[#This Row],[Fecha]]),DAY(T_Stocks[[#This Row],[Fecha]]))</f>
        <v>VTSAX-45055</v>
      </c>
    </row>
    <row r="7848" spans="1:4" ht="14.65" thickBot="1" x14ac:dyDescent="0.5">
      <c r="A7848" s="17">
        <v>45056.666666666664</v>
      </c>
      <c r="B7848" s="19">
        <v>99.77</v>
      </c>
      <c r="C7848" t="s">
        <v>32</v>
      </c>
      <c r="D7848" t="str">
        <f>T_Stocks[[#This Row],[Ticker]] &amp; "-" &amp; DATE(YEAR(T_Stocks[[#This Row],[Fecha]]),MONTH(T_Stocks[[#This Row],[Fecha]]),DAY(T_Stocks[[#This Row],[Fecha]]))</f>
        <v>VTSAX-45056</v>
      </c>
    </row>
    <row r="7849" spans="1:4" ht="14.65" thickBot="1" x14ac:dyDescent="0.5">
      <c r="A7849" s="17">
        <v>45057.666666666664</v>
      </c>
      <c r="B7849" s="19">
        <v>99.55</v>
      </c>
      <c r="C7849" t="s">
        <v>32</v>
      </c>
      <c r="D7849" t="str">
        <f>T_Stocks[[#This Row],[Ticker]] &amp; "-" &amp; DATE(YEAR(T_Stocks[[#This Row],[Fecha]]),MONTH(T_Stocks[[#This Row],[Fecha]]),DAY(T_Stocks[[#This Row],[Fecha]]))</f>
        <v>VTSAX-45057</v>
      </c>
    </row>
    <row r="7850" spans="1:4" ht="14.65" thickBot="1" x14ac:dyDescent="0.5">
      <c r="A7850" s="17">
        <v>45058.666666666664</v>
      </c>
      <c r="B7850" s="19">
        <v>99.39</v>
      </c>
      <c r="C7850" t="s">
        <v>32</v>
      </c>
      <c r="D7850" t="str">
        <f>T_Stocks[[#This Row],[Ticker]] &amp; "-" &amp; DATE(YEAR(T_Stocks[[#This Row],[Fecha]]),MONTH(T_Stocks[[#This Row],[Fecha]]),DAY(T_Stocks[[#This Row],[Fecha]]))</f>
        <v>VTSAX-45058</v>
      </c>
    </row>
    <row r="7851" spans="1:4" ht="14.65" thickBot="1" x14ac:dyDescent="0.5">
      <c r="A7851" s="17">
        <v>45061.666666666664</v>
      </c>
      <c r="B7851" s="19">
        <v>99.83</v>
      </c>
      <c r="C7851" t="s">
        <v>32</v>
      </c>
      <c r="D7851" t="str">
        <f>T_Stocks[[#This Row],[Ticker]] &amp; "-" &amp; DATE(YEAR(T_Stocks[[#This Row],[Fecha]]),MONTH(T_Stocks[[#This Row],[Fecha]]),DAY(T_Stocks[[#This Row],[Fecha]]))</f>
        <v>VTSAX-45061</v>
      </c>
    </row>
    <row r="7852" spans="1:4" ht="14.65" thickBot="1" x14ac:dyDescent="0.5">
      <c r="A7852" s="17">
        <v>45062.666666666664</v>
      </c>
      <c r="B7852" s="19">
        <v>99.06</v>
      </c>
      <c r="C7852" t="s">
        <v>32</v>
      </c>
      <c r="D7852" t="str">
        <f>T_Stocks[[#This Row],[Ticker]] &amp; "-" &amp; DATE(YEAR(T_Stocks[[#This Row],[Fecha]]),MONTH(T_Stocks[[#This Row],[Fecha]]),DAY(T_Stocks[[#This Row],[Fecha]]))</f>
        <v>VTSAX-45062</v>
      </c>
    </row>
    <row r="7853" spans="1:4" ht="14.65" thickBot="1" x14ac:dyDescent="0.5">
      <c r="A7853" s="17">
        <v>45063.666666666664</v>
      </c>
      <c r="B7853" s="19">
        <v>100.35</v>
      </c>
      <c r="C7853" t="s">
        <v>32</v>
      </c>
      <c r="D7853" t="str">
        <f>T_Stocks[[#This Row],[Ticker]] &amp; "-" &amp; DATE(YEAR(T_Stocks[[#This Row],[Fecha]]),MONTH(T_Stocks[[#This Row],[Fecha]]),DAY(T_Stocks[[#This Row],[Fecha]]))</f>
        <v>VTSAX-45063</v>
      </c>
    </row>
    <row r="7854" spans="1:4" ht="14.65" thickBot="1" x14ac:dyDescent="0.5">
      <c r="A7854" s="17">
        <v>45064.666666666664</v>
      </c>
      <c r="B7854" s="19">
        <v>101.32</v>
      </c>
      <c r="C7854" t="s">
        <v>32</v>
      </c>
      <c r="D7854" t="str">
        <f>T_Stocks[[#This Row],[Ticker]] &amp; "-" &amp; DATE(YEAR(T_Stocks[[#This Row],[Fecha]]),MONTH(T_Stocks[[#This Row],[Fecha]]),DAY(T_Stocks[[#This Row],[Fecha]]))</f>
        <v>VTSAX-45064</v>
      </c>
    </row>
    <row r="7855" spans="1:4" ht="14.65" thickBot="1" x14ac:dyDescent="0.5">
      <c r="A7855" s="17">
        <v>45065.666666666664</v>
      </c>
      <c r="B7855" s="19">
        <v>101.1</v>
      </c>
      <c r="C7855" t="s">
        <v>32</v>
      </c>
      <c r="D7855" t="str">
        <f>T_Stocks[[#This Row],[Ticker]] &amp; "-" &amp; DATE(YEAR(T_Stocks[[#This Row],[Fecha]]),MONTH(T_Stocks[[#This Row],[Fecha]]),DAY(T_Stocks[[#This Row],[Fecha]]))</f>
        <v>VTSAX-45065</v>
      </c>
    </row>
    <row r="7856" spans="1:4" ht="14.65" thickBot="1" x14ac:dyDescent="0.5">
      <c r="A7856" s="17">
        <v>45068.666666666664</v>
      </c>
      <c r="B7856" s="19">
        <v>101.28</v>
      </c>
      <c r="C7856" t="s">
        <v>32</v>
      </c>
      <c r="D7856" t="str">
        <f>T_Stocks[[#This Row],[Ticker]] &amp; "-" &amp; DATE(YEAR(T_Stocks[[#This Row],[Fecha]]),MONTH(T_Stocks[[#This Row],[Fecha]]),DAY(T_Stocks[[#This Row],[Fecha]]))</f>
        <v>VTSAX-45068</v>
      </c>
    </row>
    <row r="7857" spans="1:4" ht="14.65" thickBot="1" x14ac:dyDescent="0.5">
      <c r="A7857" s="17">
        <v>45069.666666666664</v>
      </c>
      <c r="B7857" s="19">
        <v>100.18</v>
      </c>
      <c r="C7857" t="s">
        <v>32</v>
      </c>
      <c r="D7857" t="str">
        <f>T_Stocks[[#This Row],[Ticker]] &amp; "-" &amp; DATE(YEAR(T_Stocks[[#This Row],[Fecha]]),MONTH(T_Stocks[[#This Row],[Fecha]]),DAY(T_Stocks[[#This Row],[Fecha]]))</f>
        <v>VTSAX-45069</v>
      </c>
    </row>
    <row r="7858" spans="1:4" ht="14.65" thickBot="1" x14ac:dyDescent="0.5">
      <c r="A7858" s="17">
        <v>45070.666666666664</v>
      </c>
      <c r="B7858" s="19">
        <v>99.43</v>
      </c>
      <c r="C7858" t="s">
        <v>32</v>
      </c>
      <c r="D7858" t="str">
        <f>T_Stocks[[#This Row],[Ticker]] &amp; "-" &amp; DATE(YEAR(T_Stocks[[#This Row],[Fecha]]),MONTH(T_Stocks[[#This Row],[Fecha]]),DAY(T_Stocks[[#This Row],[Fecha]]))</f>
        <v>VTSAX-45070</v>
      </c>
    </row>
    <row r="7859" spans="1:4" ht="14.65" thickBot="1" x14ac:dyDescent="0.5">
      <c r="A7859" s="17">
        <v>45071.666666666664</v>
      </c>
      <c r="B7859" s="19">
        <v>100.09</v>
      </c>
      <c r="C7859" t="s">
        <v>32</v>
      </c>
      <c r="D7859" t="str">
        <f>T_Stocks[[#This Row],[Ticker]] &amp; "-" &amp; DATE(YEAR(T_Stocks[[#This Row],[Fecha]]),MONTH(T_Stocks[[#This Row],[Fecha]]),DAY(T_Stocks[[#This Row],[Fecha]]))</f>
        <v>VTSAX-45071</v>
      </c>
    </row>
    <row r="7860" spans="1:4" ht="14.65" thickBot="1" x14ac:dyDescent="0.5">
      <c r="A7860" s="17">
        <v>45072.666666666664</v>
      </c>
      <c r="B7860" s="19">
        <v>101.41</v>
      </c>
      <c r="C7860" t="s">
        <v>32</v>
      </c>
      <c r="D7860" t="str">
        <f>T_Stocks[[#This Row],[Ticker]] &amp; "-" &amp; DATE(YEAR(T_Stocks[[#This Row],[Fecha]]),MONTH(T_Stocks[[#This Row],[Fecha]]),DAY(T_Stocks[[#This Row],[Fecha]]))</f>
        <v>VTSAX-45072</v>
      </c>
    </row>
    <row r="7861" spans="1:4" ht="14.65" thickBot="1" x14ac:dyDescent="0.5">
      <c r="A7861" s="17">
        <v>45076.666666666664</v>
      </c>
      <c r="B7861" s="19">
        <v>101.43</v>
      </c>
      <c r="C7861" t="s">
        <v>32</v>
      </c>
      <c r="D7861" t="str">
        <f>T_Stocks[[#This Row],[Ticker]] &amp; "-" &amp; DATE(YEAR(T_Stocks[[#This Row],[Fecha]]),MONTH(T_Stocks[[#This Row],[Fecha]]),DAY(T_Stocks[[#This Row],[Fecha]]))</f>
        <v>VTSAX-45076</v>
      </c>
    </row>
    <row r="7862" spans="1:4" ht="14.65" thickBot="1" x14ac:dyDescent="0.5">
      <c r="A7862" s="17">
        <v>45077.666666666664</v>
      </c>
      <c r="B7862" s="19">
        <v>100.83</v>
      </c>
      <c r="C7862" t="s">
        <v>32</v>
      </c>
      <c r="D7862" t="str">
        <f>T_Stocks[[#This Row],[Ticker]] &amp; "-" &amp; DATE(YEAR(T_Stocks[[#This Row],[Fecha]]),MONTH(T_Stocks[[#This Row],[Fecha]]),DAY(T_Stocks[[#This Row],[Fecha]]))</f>
        <v>VTSAX-45077</v>
      </c>
    </row>
    <row r="7863" spans="1:4" ht="14.65" thickBot="1" x14ac:dyDescent="0.5">
      <c r="A7863" s="17">
        <v>45078.666666666664</v>
      </c>
      <c r="B7863" s="19">
        <v>101.84</v>
      </c>
      <c r="C7863" t="s">
        <v>32</v>
      </c>
      <c r="D7863" t="str">
        <f>T_Stocks[[#This Row],[Ticker]] &amp; "-" &amp; DATE(YEAR(T_Stocks[[#This Row],[Fecha]]),MONTH(T_Stocks[[#This Row],[Fecha]]),DAY(T_Stocks[[#This Row],[Fecha]]))</f>
        <v>VTSAX-45078</v>
      </c>
    </row>
    <row r="7864" spans="1:4" ht="14.65" thickBot="1" x14ac:dyDescent="0.5">
      <c r="A7864" s="17">
        <v>45079.666666666664</v>
      </c>
      <c r="B7864" s="19">
        <v>103.55</v>
      </c>
      <c r="C7864" t="s">
        <v>32</v>
      </c>
      <c r="D7864" t="str">
        <f>T_Stocks[[#This Row],[Ticker]] &amp; "-" &amp; DATE(YEAR(T_Stocks[[#This Row],[Fecha]]),MONTH(T_Stocks[[#This Row],[Fecha]]),DAY(T_Stocks[[#This Row],[Fecha]]))</f>
        <v>VTSAX-45079</v>
      </c>
    </row>
    <row r="7865" spans="1:4" ht="14.65" thickBot="1" x14ac:dyDescent="0.5">
      <c r="A7865" s="17">
        <v>45082.666666666664</v>
      </c>
      <c r="B7865" s="19">
        <v>103.26</v>
      </c>
      <c r="C7865" t="s">
        <v>32</v>
      </c>
      <c r="D7865" t="str">
        <f>T_Stocks[[#This Row],[Ticker]] &amp; "-" &amp; DATE(YEAR(T_Stocks[[#This Row],[Fecha]]),MONTH(T_Stocks[[#This Row],[Fecha]]),DAY(T_Stocks[[#This Row],[Fecha]]))</f>
        <v>VTSAX-45082</v>
      </c>
    </row>
    <row r="7866" spans="1:4" ht="14.65" thickBot="1" x14ac:dyDescent="0.5">
      <c r="A7866" s="17">
        <v>45083.666666666664</v>
      </c>
      <c r="B7866" s="19">
        <v>103.74</v>
      </c>
      <c r="C7866" t="s">
        <v>32</v>
      </c>
      <c r="D7866" t="str">
        <f>T_Stocks[[#This Row],[Ticker]] &amp; "-" &amp; DATE(YEAR(T_Stocks[[#This Row],[Fecha]]),MONTH(T_Stocks[[#This Row],[Fecha]]),DAY(T_Stocks[[#This Row],[Fecha]]))</f>
        <v>VTSAX-45083</v>
      </c>
    </row>
    <row r="7867" spans="1:4" ht="14.65" thickBot="1" x14ac:dyDescent="0.5">
      <c r="A7867" s="17">
        <v>45084.666666666664</v>
      </c>
      <c r="B7867" s="19">
        <v>103.5</v>
      </c>
      <c r="C7867" t="s">
        <v>32</v>
      </c>
      <c r="D7867" t="str">
        <f>T_Stocks[[#This Row],[Ticker]] &amp; "-" &amp; DATE(YEAR(T_Stocks[[#This Row],[Fecha]]),MONTH(T_Stocks[[#This Row],[Fecha]]),DAY(T_Stocks[[#This Row],[Fecha]]))</f>
        <v>VTSAX-45084</v>
      </c>
    </row>
    <row r="7868" spans="1:4" ht="14.65" thickBot="1" x14ac:dyDescent="0.5">
      <c r="A7868" s="17">
        <v>45085.666666666664</v>
      </c>
      <c r="B7868" s="19">
        <v>104.05</v>
      </c>
      <c r="C7868" t="s">
        <v>32</v>
      </c>
      <c r="D7868" t="str">
        <f>T_Stocks[[#This Row],[Ticker]] &amp; "-" &amp; DATE(YEAR(T_Stocks[[#This Row],[Fecha]]),MONTH(T_Stocks[[#This Row],[Fecha]]),DAY(T_Stocks[[#This Row],[Fecha]]))</f>
        <v>VTSAX-45085</v>
      </c>
    </row>
    <row r="7869" spans="1:4" ht="14.65" thickBot="1" x14ac:dyDescent="0.5">
      <c r="A7869" s="17">
        <v>45086.666666666664</v>
      </c>
      <c r="B7869" s="19">
        <v>104.09</v>
      </c>
      <c r="C7869" t="s">
        <v>32</v>
      </c>
      <c r="D7869" t="str">
        <f>T_Stocks[[#This Row],[Ticker]] &amp; "-" &amp; DATE(YEAR(T_Stocks[[#This Row],[Fecha]]),MONTH(T_Stocks[[#This Row],[Fecha]]),DAY(T_Stocks[[#This Row],[Fecha]]))</f>
        <v>VTSAX-45086</v>
      </c>
    </row>
    <row r="7870" spans="1:4" ht="14.65" thickBot="1" x14ac:dyDescent="0.5">
      <c r="A7870" s="17">
        <v>45089.666666666664</v>
      </c>
      <c r="B7870" s="19">
        <v>105.03</v>
      </c>
      <c r="C7870" t="s">
        <v>32</v>
      </c>
      <c r="D7870" t="str">
        <f>T_Stocks[[#This Row],[Ticker]] &amp; "-" &amp; DATE(YEAR(T_Stocks[[#This Row],[Fecha]]),MONTH(T_Stocks[[#This Row],[Fecha]]),DAY(T_Stocks[[#This Row],[Fecha]]))</f>
        <v>VTSAX-45089</v>
      </c>
    </row>
    <row r="7871" spans="1:4" ht="14.65" thickBot="1" x14ac:dyDescent="0.5">
      <c r="A7871" s="17">
        <v>45090.666666666664</v>
      </c>
      <c r="B7871" s="19">
        <v>105.84</v>
      </c>
      <c r="C7871" t="s">
        <v>32</v>
      </c>
      <c r="D7871" t="str">
        <f>T_Stocks[[#This Row],[Ticker]] &amp; "-" &amp; DATE(YEAR(T_Stocks[[#This Row],[Fecha]]),MONTH(T_Stocks[[#This Row],[Fecha]]),DAY(T_Stocks[[#This Row],[Fecha]]))</f>
        <v>VTSAX-45090</v>
      </c>
    </row>
    <row r="7872" spans="1:4" ht="14.65" thickBot="1" x14ac:dyDescent="0.5">
      <c r="A7872" s="17">
        <v>45091.666666666664</v>
      </c>
      <c r="B7872" s="19">
        <v>105.84</v>
      </c>
      <c r="C7872" t="s">
        <v>32</v>
      </c>
      <c r="D7872" t="str">
        <f>T_Stocks[[#This Row],[Ticker]] &amp; "-" &amp; DATE(YEAR(T_Stocks[[#This Row],[Fecha]]),MONTH(T_Stocks[[#This Row],[Fecha]]),DAY(T_Stocks[[#This Row],[Fecha]]))</f>
        <v>VTSAX-45091</v>
      </c>
    </row>
    <row r="7873" spans="1:4" ht="14.65" thickBot="1" x14ac:dyDescent="0.5">
      <c r="A7873" s="17">
        <v>45092.666666666664</v>
      </c>
      <c r="B7873" s="19">
        <v>107.14</v>
      </c>
      <c r="C7873" t="s">
        <v>32</v>
      </c>
      <c r="D7873" t="str">
        <f>T_Stocks[[#This Row],[Ticker]] &amp; "-" &amp; DATE(YEAR(T_Stocks[[#This Row],[Fecha]]),MONTH(T_Stocks[[#This Row],[Fecha]]),DAY(T_Stocks[[#This Row],[Fecha]]))</f>
        <v>VTSAX-45092</v>
      </c>
    </row>
    <row r="7874" spans="1:4" ht="14.65" thickBot="1" x14ac:dyDescent="0.5">
      <c r="A7874" s="17">
        <v>45093.666666666664</v>
      </c>
      <c r="B7874" s="19">
        <v>106.71</v>
      </c>
      <c r="C7874" t="s">
        <v>32</v>
      </c>
      <c r="D7874" t="str">
        <f>T_Stocks[[#This Row],[Ticker]] &amp; "-" &amp; DATE(YEAR(T_Stocks[[#This Row],[Fecha]]),MONTH(T_Stocks[[#This Row],[Fecha]]),DAY(T_Stocks[[#This Row],[Fecha]]))</f>
        <v>VTSAX-45093</v>
      </c>
    </row>
    <row r="7875" spans="1:4" ht="14.65" thickBot="1" x14ac:dyDescent="0.5">
      <c r="A7875" s="17">
        <v>45097.666666666664</v>
      </c>
      <c r="B7875" s="19">
        <v>106.18</v>
      </c>
      <c r="C7875" t="s">
        <v>32</v>
      </c>
      <c r="D7875" t="str">
        <f>T_Stocks[[#This Row],[Ticker]] &amp; "-" &amp; DATE(YEAR(T_Stocks[[#This Row],[Fecha]]),MONTH(T_Stocks[[#This Row],[Fecha]]),DAY(T_Stocks[[#This Row],[Fecha]]))</f>
        <v>VTSAX-45097</v>
      </c>
    </row>
    <row r="7876" spans="1:4" ht="14.65" thickBot="1" x14ac:dyDescent="0.5">
      <c r="A7876" s="17">
        <v>45098.666666666664</v>
      </c>
      <c r="B7876" s="19">
        <v>105.63</v>
      </c>
      <c r="C7876" t="s">
        <v>32</v>
      </c>
      <c r="D7876" t="str">
        <f>T_Stocks[[#This Row],[Ticker]] &amp; "-" &amp; DATE(YEAR(T_Stocks[[#This Row],[Fecha]]),MONTH(T_Stocks[[#This Row],[Fecha]]),DAY(T_Stocks[[#This Row],[Fecha]]))</f>
        <v>VTSAX-45098</v>
      </c>
    </row>
    <row r="7877" spans="1:4" ht="14.65" thickBot="1" x14ac:dyDescent="0.5">
      <c r="A7877" s="17">
        <v>45099.666666666664</v>
      </c>
      <c r="B7877" s="19">
        <v>105.5</v>
      </c>
      <c r="C7877" t="s">
        <v>32</v>
      </c>
      <c r="D7877" t="str">
        <f>T_Stocks[[#This Row],[Ticker]] &amp; "-" &amp; DATE(YEAR(T_Stocks[[#This Row],[Fecha]]),MONTH(T_Stocks[[#This Row],[Fecha]]),DAY(T_Stocks[[#This Row],[Fecha]]))</f>
        <v>VTSAX-45099</v>
      </c>
    </row>
    <row r="7878" spans="1:4" ht="14.65" thickBot="1" x14ac:dyDescent="0.5">
      <c r="A7878" s="17">
        <v>45100.666666666664</v>
      </c>
      <c r="B7878" s="19">
        <v>104.62</v>
      </c>
      <c r="C7878" t="s">
        <v>32</v>
      </c>
      <c r="D7878" t="str">
        <f>T_Stocks[[#This Row],[Ticker]] &amp; "-" &amp; DATE(YEAR(T_Stocks[[#This Row],[Fecha]]),MONTH(T_Stocks[[#This Row],[Fecha]]),DAY(T_Stocks[[#This Row],[Fecha]]))</f>
        <v>VTSAX-45100</v>
      </c>
    </row>
    <row r="7879" spans="1:4" ht="14.65" thickBot="1" x14ac:dyDescent="0.5">
      <c r="A7879" s="17">
        <v>45103.666666666664</v>
      </c>
      <c r="B7879" s="19">
        <v>104.26</v>
      </c>
      <c r="C7879" t="s">
        <v>32</v>
      </c>
      <c r="D7879" t="str">
        <f>T_Stocks[[#This Row],[Ticker]] &amp; "-" &amp; DATE(YEAR(T_Stocks[[#This Row],[Fecha]]),MONTH(T_Stocks[[#This Row],[Fecha]]),DAY(T_Stocks[[#This Row],[Fecha]]))</f>
        <v>VTSAX-45103</v>
      </c>
    </row>
    <row r="7880" spans="1:4" ht="14.65" thickBot="1" x14ac:dyDescent="0.5">
      <c r="A7880" s="17">
        <v>45104.666666666664</v>
      </c>
      <c r="B7880" s="19">
        <v>105.53</v>
      </c>
      <c r="C7880" t="s">
        <v>32</v>
      </c>
      <c r="D7880" t="str">
        <f>T_Stocks[[#This Row],[Ticker]] &amp; "-" &amp; DATE(YEAR(T_Stocks[[#This Row],[Fecha]]),MONTH(T_Stocks[[#This Row],[Fecha]]),DAY(T_Stocks[[#This Row],[Fecha]]))</f>
        <v>VTSAX-45104</v>
      </c>
    </row>
    <row r="7881" spans="1:4" ht="14.65" thickBot="1" x14ac:dyDescent="0.5">
      <c r="A7881" s="17">
        <v>45105.666666666664</v>
      </c>
      <c r="B7881" s="19">
        <v>105.57</v>
      </c>
      <c r="C7881" t="s">
        <v>32</v>
      </c>
      <c r="D7881" t="str">
        <f>T_Stocks[[#This Row],[Ticker]] &amp; "-" &amp; DATE(YEAR(T_Stocks[[#This Row],[Fecha]]),MONTH(T_Stocks[[#This Row],[Fecha]]),DAY(T_Stocks[[#This Row],[Fecha]]))</f>
        <v>VTSAX-45105</v>
      </c>
    </row>
    <row r="7882" spans="1:4" ht="14.65" thickBot="1" x14ac:dyDescent="0.5">
      <c r="A7882" s="17">
        <v>45106.666666666664</v>
      </c>
      <c r="B7882" s="19">
        <v>106.1</v>
      </c>
      <c r="C7882" t="s">
        <v>32</v>
      </c>
      <c r="D7882" t="str">
        <f>T_Stocks[[#This Row],[Ticker]] &amp; "-" &amp; DATE(YEAR(T_Stocks[[#This Row],[Fecha]]),MONTH(T_Stocks[[#This Row],[Fecha]]),DAY(T_Stocks[[#This Row],[Fecha]]))</f>
        <v>VTSAX-45106</v>
      </c>
    </row>
    <row r="7883" spans="1:4" ht="14.65" thickBot="1" x14ac:dyDescent="0.5">
      <c r="A7883" s="17">
        <v>45107.666666666664</v>
      </c>
      <c r="B7883" s="19">
        <v>107.32</v>
      </c>
      <c r="C7883" t="s">
        <v>32</v>
      </c>
      <c r="D7883" t="str">
        <f>T_Stocks[[#This Row],[Ticker]] &amp; "-" &amp; DATE(YEAR(T_Stocks[[#This Row],[Fecha]]),MONTH(T_Stocks[[#This Row],[Fecha]]),DAY(T_Stocks[[#This Row],[Fecha]]))</f>
        <v>VTSAX-45107</v>
      </c>
    </row>
    <row r="7884" spans="1:4" ht="14.65" thickBot="1" x14ac:dyDescent="0.5">
      <c r="A7884" s="17">
        <v>45110.541666666664</v>
      </c>
      <c r="B7884" s="19">
        <v>107.5</v>
      </c>
      <c r="C7884" t="s">
        <v>32</v>
      </c>
      <c r="D7884" t="str">
        <f>T_Stocks[[#This Row],[Ticker]] &amp; "-" &amp; DATE(YEAR(T_Stocks[[#This Row],[Fecha]]),MONTH(T_Stocks[[#This Row],[Fecha]]),DAY(T_Stocks[[#This Row],[Fecha]]))</f>
        <v>VTSAX-45110</v>
      </c>
    </row>
    <row r="7885" spans="1:4" ht="14.65" thickBot="1" x14ac:dyDescent="0.5">
      <c r="A7885" s="17">
        <v>45112.666666666664</v>
      </c>
      <c r="B7885" s="19">
        <v>107.2</v>
      </c>
      <c r="C7885" t="s">
        <v>32</v>
      </c>
      <c r="D7885" t="str">
        <f>T_Stocks[[#This Row],[Ticker]] &amp; "-" &amp; DATE(YEAR(T_Stocks[[#This Row],[Fecha]]),MONTH(T_Stocks[[#This Row],[Fecha]]),DAY(T_Stocks[[#This Row],[Fecha]]))</f>
        <v>VTSAX-45112</v>
      </c>
    </row>
    <row r="7886" spans="1:4" ht="14.65" thickBot="1" x14ac:dyDescent="0.5">
      <c r="A7886" s="17">
        <v>45113.666666666664</v>
      </c>
      <c r="B7886" s="19">
        <v>106.26</v>
      </c>
      <c r="C7886" t="s">
        <v>32</v>
      </c>
      <c r="D7886" t="str">
        <f>T_Stocks[[#This Row],[Ticker]] &amp; "-" &amp; DATE(YEAR(T_Stocks[[#This Row],[Fecha]]),MONTH(T_Stocks[[#This Row],[Fecha]]),DAY(T_Stocks[[#This Row],[Fecha]]))</f>
        <v>VTSAX-45113</v>
      </c>
    </row>
    <row r="7887" spans="1:4" ht="14.65" thickBot="1" x14ac:dyDescent="0.5">
      <c r="A7887" s="17">
        <v>45114.666666666664</v>
      </c>
      <c r="B7887" s="19">
        <v>106.15</v>
      </c>
      <c r="C7887" t="s">
        <v>32</v>
      </c>
      <c r="D7887" t="str">
        <f>T_Stocks[[#This Row],[Ticker]] &amp; "-" &amp; DATE(YEAR(T_Stocks[[#This Row],[Fecha]]),MONTH(T_Stocks[[#This Row],[Fecha]]),DAY(T_Stocks[[#This Row],[Fecha]]))</f>
        <v>VTSAX-45114</v>
      </c>
    </row>
    <row r="7888" spans="1:4" ht="14.65" thickBot="1" x14ac:dyDescent="0.5">
      <c r="A7888" s="17">
        <v>45117.666666666664</v>
      </c>
      <c r="B7888" s="19">
        <v>106.59</v>
      </c>
      <c r="C7888" t="s">
        <v>32</v>
      </c>
      <c r="D7888" t="str">
        <f>T_Stocks[[#This Row],[Ticker]] &amp; "-" &amp; DATE(YEAR(T_Stocks[[#This Row],[Fecha]]),MONTH(T_Stocks[[#This Row],[Fecha]]),DAY(T_Stocks[[#This Row],[Fecha]]))</f>
        <v>VTSAX-45117</v>
      </c>
    </row>
    <row r="7889" spans="1:4" ht="14.65" thickBot="1" x14ac:dyDescent="0.5">
      <c r="A7889" s="17">
        <v>45118.666666666664</v>
      </c>
      <c r="B7889" s="19">
        <v>107.42</v>
      </c>
      <c r="C7889" t="s">
        <v>32</v>
      </c>
      <c r="D7889" t="str">
        <f>T_Stocks[[#This Row],[Ticker]] &amp; "-" &amp; DATE(YEAR(T_Stocks[[#This Row],[Fecha]]),MONTH(T_Stocks[[#This Row],[Fecha]]),DAY(T_Stocks[[#This Row],[Fecha]]))</f>
        <v>VTSAX-45118</v>
      </c>
    </row>
    <row r="7890" spans="1:4" ht="14.65" thickBot="1" x14ac:dyDescent="0.5">
      <c r="A7890" s="17">
        <v>45119.666666666664</v>
      </c>
      <c r="B7890" s="19">
        <v>108.21</v>
      </c>
      <c r="C7890" t="s">
        <v>32</v>
      </c>
      <c r="D7890" t="str">
        <f>T_Stocks[[#This Row],[Ticker]] &amp; "-" &amp; DATE(YEAR(T_Stocks[[#This Row],[Fecha]]),MONTH(T_Stocks[[#This Row],[Fecha]]),DAY(T_Stocks[[#This Row],[Fecha]]))</f>
        <v>VTSAX-45119</v>
      </c>
    </row>
    <row r="7891" spans="1:4" ht="14.65" thickBot="1" x14ac:dyDescent="0.5">
      <c r="A7891" s="17">
        <v>45120.666666666664</v>
      </c>
      <c r="B7891" s="19">
        <v>109.18</v>
      </c>
      <c r="C7891" t="s">
        <v>32</v>
      </c>
      <c r="D7891" t="str">
        <f>T_Stocks[[#This Row],[Ticker]] &amp; "-" &amp; DATE(YEAR(T_Stocks[[#This Row],[Fecha]]),MONTH(T_Stocks[[#This Row],[Fecha]]),DAY(T_Stocks[[#This Row],[Fecha]]))</f>
        <v>VTSAX-45120</v>
      </c>
    </row>
    <row r="7892" spans="1:4" ht="14.65" thickBot="1" x14ac:dyDescent="0.5">
      <c r="A7892" s="17">
        <v>45121.666666666664</v>
      </c>
      <c r="B7892" s="19">
        <v>108.94</v>
      </c>
      <c r="C7892" t="s">
        <v>32</v>
      </c>
      <c r="D7892" t="str">
        <f>T_Stocks[[#This Row],[Ticker]] &amp; "-" &amp; DATE(YEAR(T_Stocks[[#This Row],[Fecha]]),MONTH(T_Stocks[[#This Row],[Fecha]]),DAY(T_Stocks[[#This Row],[Fecha]]))</f>
        <v>VTSAX-45121</v>
      </c>
    </row>
    <row r="7893" spans="1:4" ht="14.65" thickBot="1" x14ac:dyDescent="0.5">
      <c r="A7893" s="17">
        <v>45124.666666666664</v>
      </c>
      <c r="B7893" s="19">
        <v>109.45</v>
      </c>
      <c r="C7893" t="s">
        <v>32</v>
      </c>
      <c r="D7893" t="str">
        <f>T_Stocks[[#This Row],[Ticker]] &amp; "-" &amp; DATE(YEAR(T_Stocks[[#This Row],[Fecha]]),MONTH(T_Stocks[[#This Row],[Fecha]]),DAY(T_Stocks[[#This Row],[Fecha]]))</f>
        <v>VTSAX-45124</v>
      </c>
    </row>
    <row r="7894" spans="1:4" ht="14.65" thickBot="1" x14ac:dyDescent="0.5">
      <c r="A7894" s="17">
        <v>45125.666666666664</v>
      </c>
      <c r="B7894" s="19">
        <v>110.28</v>
      </c>
      <c r="C7894" t="s">
        <v>32</v>
      </c>
      <c r="D7894" t="str">
        <f>T_Stocks[[#This Row],[Ticker]] &amp; "-" &amp; DATE(YEAR(T_Stocks[[#This Row],[Fecha]]),MONTH(T_Stocks[[#This Row],[Fecha]]),DAY(T_Stocks[[#This Row],[Fecha]]))</f>
        <v>VTSAX-45125</v>
      </c>
    </row>
    <row r="7895" spans="1:4" ht="14.65" thickBot="1" x14ac:dyDescent="0.5">
      <c r="A7895" s="17">
        <v>45126.666666666664</v>
      </c>
      <c r="B7895" s="19">
        <v>110.57</v>
      </c>
      <c r="C7895" t="s">
        <v>32</v>
      </c>
      <c r="D7895" t="str">
        <f>T_Stocks[[#This Row],[Ticker]] &amp; "-" &amp; DATE(YEAR(T_Stocks[[#This Row],[Fecha]]),MONTH(T_Stocks[[#This Row],[Fecha]]),DAY(T_Stocks[[#This Row],[Fecha]]))</f>
        <v>VTSAX-45126</v>
      </c>
    </row>
    <row r="7896" spans="1:4" ht="14.65" thickBot="1" x14ac:dyDescent="0.5">
      <c r="A7896" s="17">
        <v>45127.666666666664</v>
      </c>
      <c r="B7896" s="19">
        <v>109.77</v>
      </c>
      <c r="C7896" t="s">
        <v>32</v>
      </c>
      <c r="D7896" t="str">
        <f>T_Stocks[[#This Row],[Ticker]] &amp; "-" &amp; DATE(YEAR(T_Stocks[[#This Row],[Fecha]]),MONTH(T_Stocks[[#This Row],[Fecha]]),DAY(T_Stocks[[#This Row],[Fecha]]))</f>
        <v>VTSAX-45127</v>
      </c>
    </row>
    <row r="7897" spans="1:4" ht="14.65" thickBot="1" x14ac:dyDescent="0.5">
      <c r="A7897" s="17">
        <v>45128.666666666664</v>
      </c>
      <c r="B7897" s="19">
        <v>109.77</v>
      </c>
      <c r="C7897" t="s">
        <v>32</v>
      </c>
      <c r="D7897" t="str">
        <f>T_Stocks[[#This Row],[Ticker]] &amp; "-" &amp; DATE(YEAR(T_Stocks[[#This Row],[Fecha]]),MONTH(T_Stocks[[#This Row],[Fecha]]),DAY(T_Stocks[[#This Row],[Fecha]]))</f>
        <v>VTSAX-45128</v>
      </c>
    </row>
    <row r="7898" spans="1:4" ht="14.65" thickBot="1" x14ac:dyDescent="0.5">
      <c r="A7898" s="17">
        <v>45131.666666666664</v>
      </c>
      <c r="B7898" s="19">
        <v>110.15</v>
      </c>
      <c r="C7898" t="s">
        <v>32</v>
      </c>
      <c r="D7898" t="str">
        <f>T_Stocks[[#This Row],[Ticker]] &amp; "-" &amp; DATE(YEAR(T_Stocks[[#This Row],[Fecha]]),MONTH(T_Stocks[[#This Row],[Fecha]]),DAY(T_Stocks[[#This Row],[Fecha]]))</f>
        <v>VTSAX-45131</v>
      </c>
    </row>
    <row r="7899" spans="1:4" ht="14.65" thickBot="1" x14ac:dyDescent="0.5">
      <c r="A7899" s="17">
        <v>45132.666666666664</v>
      </c>
      <c r="B7899" s="19">
        <v>110.43</v>
      </c>
      <c r="C7899" t="s">
        <v>32</v>
      </c>
      <c r="D7899" t="str">
        <f>T_Stocks[[#This Row],[Ticker]] &amp; "-" &amp; DATE(YEAR(T_Stocks[[#This Row],[Fecha]]),MONTH(T_Stocks[[#This Row],[Fecha]]),DAY(T_Stocks[[#This Row],[Fecha]]))</f>
        <v>VTSAX-45132</v>
      </c>
    </row>
    <row r="7900" spans="1:4" ht="14.65" thickBot="1" x14ac:dyDescent="0.5">
      <c r="A7900" s="17">
        <v>45133.666666666664</v>
      </c>
      <c r="B7900" s="19">
        <v>110.5</v>
      </c>
      <c r="C7900" t="s">
        <v>32</v>
      </c>
      <c r="D7900" t="str">
        <f>T_Stocks[[#This Row],[Ticker]] &amp; "-" &amp; DATE(YEAR(T_Stocks[[#This Row],[Fecha]]),MONTH(T_Stocks[[#This Row],[Fecha]]),DAY(T_Stocks[[#This Row],[Fecha]]))</f>
        <v>VTSAX-45133</v>
      </c>
    </row>
    <row r="7901" spans="1:4" ht="14.65" thickBot="1" x14ac:dyDescent="0.5">
      <c r="A7901" s="17">
        <v>45134.666666666664</v>
      </c>
      <c r="B7901" s="19">
        <v>109.69</v>
      </c>
      <c r="C7901" t="s">
        <v>32</v>
      </c>
      <c r="D7901" t="str">
        <f>T_Stocks[[#This Row],[Ticker]] &amp; "-" &amp; DATE(YEAR(T_Stocks[[#This Row],[Fecha]]),MONTH(T_Stocks[[#This Row],[Fecha]]),DAY(T_Stocks[[#This Row],[Fecha]]))</f>
        <v>VTSAX-45134</v>
      </c>
    </row>
    <row r="7902" spans="1:4" ht="14.65" thickBot="1" x14ac:dyDescent="0.5">
      <c r="A7902" s="17">
        <v>45135.666666666664</v>
      </c>
      <c r="B7902" s="19">
        <v>110.85</v>
      </c>
      <c r="C7902" t="s">
        <v>32</v>
      </c>
      <c r="D7902" t="str">
        <f>T_Stocks[[#This Row],[Ticker]] &amp; "-" &amp; DATE(YEAR(T_Stocks[[#This Row],[Fecha]]),MONTH(T_Stocks[[#This Row],[Fecha]]),DAY(T_Stocks[[#This Row],[Fecha]]))</f>
        <v>VTSAX-45135</v>
      </c>
    </row>
    <row r="7903" spans="1:4" ht="14.65" thickBot="1" x14ac:dyDescent="0.5">
      <c r="A7903" s="17">
        <v>45138.666666666664</v>
      </c>
      <c r="B7903" s="19">
        <v>111.15</v>
      </c>
      <c r="C7903" t="s">
        <v>32</v>
      </c>
      <c r="D7903" t="str">
        <f>T_Stocks[[#This Row],[Ticker]] &amp; "-" &amp; DATE(YEAR(T_Stocks[[#This Row],[Fecha]]),MONTH(T_Stocks[[#This Row],[Fecha]]),DAY(T_Stocks[[#This Row],[Fecha]]))</f>
        <v>VTSAX-45138</v>
      </c>
    </row>
    <row r="7904" spans="1:4" ht="14.65" thickBot="1" x14ac:dyDescent="0.5">
      <c r="A7904" s="17">
        <v>45139.666666666664</v>
      </c>
      <c r="B7904" s="19">
        <v>110.84</v>
      </c>
      <c r="C7904" t="s">
        <v>32</v>
      </c>
      <c r="D7904" t="str">
        <f>T_Stocks[[#This Row],[Ticker]] &amp; "-" &amp; DATE(YEAR(T_Stocks[[#This Row],[Fecha]]),MONTH(T_Stocks[[#This Row],[Fecha]]),DAY(T_Stocks[[#This Row],[Fecha]]))</f>
        <v>VTSAX-45139</v>
      </c>
    </row>
    <row r="7905" spans="1:4" ht="14.65" thickBot="1" x14ac:dyDescent="0.5">
      <c r="A7905" s="17">
        <v>45140.666666666664</v>
      </c>
      <c r="B7905" s="19">
        <v>109.26</v>
      </c>
      <c r="C7905" t="s">
        <v>32</v>
      </c>
      <c r="D7905" t="str">
        <f>T_Stocks[[#This Row],[Ticker]] &amp; "-" &amp; DATE(YEAR(T_Stocks[[#This Row],[Fecha]]),MONTH(T_Stocks[[#This Row],[Fecha]]),DAY(T_Stocks[[#This Row],[Fecha]]))</f>
        <v>VTSAX-45140</v>
      </c>
    </row>
    <row r="7906" spans="1:4" ht="14.65" thickBot="1" x14ac:dyDescent="0.5">
      <c r="A7906" s="17">
        <v>45141.666666666664</v>
      </c>
      <c r="B7906" s="19">
        <v>108.98</v>
      </c>
      <c r="C7906" t="s">
        <v>32</v>
      </c>
      <c r="D7906" t="str">
        <f>T_Stocks[[#This Row],[Ticker]] &amp; "-" &amp; DATE(YEAR(T_Stocks[[#This Row],[Fecha]]),MONTH(T_Stocks[[#This Row],[Fecha]]),DAY(T_Stocks[[#This Row],[Fecha]]))</f>
        <v>VTSAX-45141</v>
      </c>
    </row>
    <row r="7907" spans="1:4" ht="14.65" thickBot="1" x14ac:dyDescent="0.5">
      <c r="A7907" s="17">
        <v>45142.666666666664</v>
      </c>
      <c r="B7907" s="19">
        <v>108.45</v>
      </c>
      <c r="C7907" t="s">
        <v>32</v>
      </c>
      <c r="D7907" t="str">
        <f>T_Stocks[[#This Row],[Ticker]] &amp; "-" &amp; DATE(YEAR(T_Stocks[[#This Row],[Fecha]]),MONTH(T_Stocks[[#This Row],[Fecha]]),DAY(T_Stocks[[#This Row],[Fecha]]))</f>
        <v>VTSAX-45142</v>
      </c>
    </row>
    <row r="7908" spans="1:4" ht="14.65" thickBot="1" x14ac:dyDescent="0.5">
      <c r="A7908" s="17">
        <v>45145.666666666664</v>
      </c>
      <c r="B7908" s="19">
        <v>109.34</v>
      </c>
      <c r="C7908" t="s">
        <v>32</v>
      </c>
      <c r="D7908" t="str">
        <f>T_Stocks[[#This Row],[Ticker]] &amp; "-" &amp; DATE(YEAR(T_Stocks[[#This Row],[Fecha]]),MONTH(T_Stocks[[#This Row],[Fecha]]),DAY(T_Stocks[[#This Row],[Fecha]]))</f>
        <v>VTSAX-45145</v>
      </c>
    </row>
    <row r="7909" spans="1:4" ht="14.65" thickBot="1" x14ac:dyDescent="0.5">
      <c r="A7909" s="17">
        <v>45146.666666666664</v>
      </c>
      <c r="B7909" s="19">
        <v>108.82</v>
      </c>
      <c r="C7909" t="s">
        <v>32</v>
      </c>
      <c r="D7909" t="str">
        <f>T_Stocks[[#This Row],[Ticker]] &amp; "-" &amp; DATE(YEAR(T_Stocks[[#This Row],[Fecha]]),MONTH(T_Stocks[[#This Row],[Fecha]]),DAY(T_Stocks[[#This Row],[Fecha]]))</f>
        <v>VTSAX-45146</v>
      </c>
    </row>
    <row r="7910" spans="1:4" ht="14.65" thickBot="1" x14ac:dyDescent="0.5">
      <c r="A7910" s="17">
        <v>45147.666666666664</v>
      </c>
      <c r="B7910" s="19">
        <v>108.04</v>
      </c>
      <c r="C7910" t="s">
        <v>32</v>
      </c>
      <c r="D7910" t="str">
        <f>T_Stocks[[#This Row],[Ticker]] &amp; "-" &amp; DATE(YEAR(T_Stocks[[#This Row],[Fecha]]),MONTH(T_Stocks[[#This Row],[Fecha]]),DAY(T_Stocks[[#This Row],[Fecha]]))</f>
        <v>VTSAX-45147</v>
      </c>
    </row>
    <row r="7911" spans="1:4" ht="14.65" thickBot="1" x14ac:dyDescent="0.5">
      <c r="A7911" s="17">
        <v>45148.666666666664</v>
      </c>
      <c r="B7911" s="19">
        <v>108.05</v>
      </c>
      <c r="C7911" t="s">
        <v>32</v>
      </c>
      <c r="D7911" t="str">
        <f>T_Stocks[[#This Row],[Ticker]] &amp; "-" &amp; DATE(YEAR(T_Stocks[[#This Row],[Fecha]]),MONTH(T_Stocks[[#This Row],[Fecha]]),DAY(T_Stocks[[#This Row],[Fecha]]))</f>
        <v>VTSAX-45148</v>
      </c>
    </row>
    <row r="7912" spans="1:4" ht="14.65" thickBot="1" x14ac:dyDescent="0.5">
      <c r="A7912" s="17">
        <v>45149.666666666664</v>
      </c>
      <c r="B7912" s="19">
        <v>107.95</v>
      </c>
      <c r="C7912" t="s">
        <v>32</v>
      </c>
      <c r="D7912" t="str">
        <f>T_Stocks[[#This Row],[Ticker]] &amp; "-" &amp; DATE(YEAR(T_Stocks[[#This Row],[Fecha]]),MONTH(T_Stocks[[#This Row],[Fecha]]),DAY(T_Stocks[[#This Row],[Fecha]]))</f>
        <v>VTSAX-45149</v>
      </c>
    </row>
    <row r="7913" spans="1:4" ht="14.65" thickBot="1" x14ac:dyDescent="0.5">
      <c r="A7913" s="17">
        <v>45152.666666666664</v>
      </c>
      <c r="B7913" s="19">
        <v>108.5</v>
      </c>
      <c r="C7913" t="s">
        <v>32</v>
      </c>
      <c r="D7913" t="str">
        <f>T_Stocks[[#This Row],[Ticker]] &amp; "-" &amp; DATE(YEAR(T_Stocks[[#This Row],[Fecha]]),MONTH(T_Stocks[[#This Row],[Fecha]]),DAY(T_Stocks[[#This Row],[Fecha]]))</f>
        <v>VTSAX-45152</v>
      </c>
    </row>
    <row r="7914" spans="1:4" ht="14.65" thickBot="1" x14ac:dyDescent="0.5">
      <c r="A7914" s="17">
        <v>45153.666666666664</v>
      </c>
      <c r="B7914" s="19">
        <v>107.24</v>
      </c>
      <c r="C7914" t="s">
        <v>32</v>
      </c>
      <c r="D7914" t="str">
        <f>T_Stocks[[#This Row],[Ticker]] &amp; "-" &amp; DATE(YEAR(T_Stocks[[#This Row],[Fecha]]),MONTH(T_Stocks[[#This Row],[Fecha]]),DAY(T_Stocks[[#This Row],[Fecha]]))</f>
        <v>VTSAX-45153</v>
      </c>
    </row>
    <row r="7915" spans="1:4" ht="14.65" thickBot="1" x14ac:dyDescent="0.5">
      <c r="A7915" s="17">
        <v>45154.666666666664</v>
      </c>
      <c r="B7915" s="19">
        <v>106.42</v>
      </c>
      <c r="C7915" t="s">
        <v>32</v>
      </c>
      <c r="D7915" t="str">
        <f>T_Stocks[[#This Row],[Ticker]] &amp; "-" &amp; DATE(YEAR(T_Stocks[[#This Row],[Fecha]]),MONTH(T_Stocks[[#This Row],[Fecha]]),DAY(T_Stocks[[#This Row],[Fecha]]))</f>
        <v>VTSAX-45154</v>
      </c>
    </row>
    <row r="7916" spans="1:4" ht="14.65" thickBot="1" x14ac:dyDescent="0.5">
      <c r="A7916" s="17">
        <v>45155.666666666664</v>
      </c>
      <c r="B7916" s="19">
        <v>105.53</v>
      </c>
      <c r="C7916" t="s">
        <v>32</v>
      </c>
      <c r="D7916" t="str">
        <f>T_Stocks[[#This Row],[Ticker]] &amp; "-" &amp; DATE(YEAR(T_Stocks[[#This Row],[Fecha]]),MONTH(T_Stocks[[#This Row],[Fecha]]),DAY(T_Stocks[[#This Row],[Fecha]]))</f>
        <v>VTSAX-45155</v>
      </c>
    </row>
    <row r="7917" spans="1:4" ht="14.65" thickBot="1" x14ac:dyDescent="0.5">
      <c r="A7917" s="17">
        <v>45156.666666666664</v>
      </c>
      <c r="B7917" s="19">
        <v>105.6</v>
      </c>
      <c r="C7917" t="s">
        <v>32</v>
      </c>
      <c r="D7917" t="str">
        <f>T_Stocks[[#This Row],[Ticker]] &amp; "-" &amp; DATE(YEAR(T_Stocks[[#This Row],[Fecha]]),MONTH(T_Stocks[[#This Row],[Fecha]]),DAY(T_Stocks[[#This Row],[Fecha]]))</f>
        <v>VTSAX-45156</v>
      </c>
    </row>
    <row r="7918" spans="1:4" ht="14.65" thickBot="1" x14ac:dyDescent="0.5">
      <c r="A7918" s="17">
        <v>45159.666666666664</v>
      </c>
      <c r="B7918" s="19">
        <v>106.24</v>
      </c>
      <c r="C7918" t="s">
        <v>32</v>
      </c>
      <c r="D7918" t="str">
        <f>T_Stocks[[#This Row],[Ticker]] &amp; "-" &amp; DATE(YEAR(T_Stocks[[#This Row],[Fecha]]),MONTH(T_Stocks[[#This Row],[Fecha]]),DAY(T_Stocks[[#This Row],[Fecha]]))</f>
        <v>VTSAX-45159</v>
      </c>
    </row>
    <row r="7919" spans="1:4" ht="14.65" thickBot="1" x14ac:dyDescent="0.5">
      <c r="A7919" s="17">
        <v>45160.666666666664</v>
      </c>
      <c r="B7919" s="19">
        <v>105.94</v>
      </c>
      <c r="C7919" t="s">
        <v>32</v>
      </c>
      <c r="D7919" t="str">
        <f>T_Stocks[[#This Row],[Ticker]] &amp; "-" &amp; DATE(YEAR(T_Stocks[[#This Row],[Fecha]]),MONTH(T_Stocks[[#This Row],[Fecha]]),DAY(T_Stocks[[#This Row],[Fecha]]))</f>
        <v>VTSAX-45160</v>
      </c>
    </row>
    <row r="7920" spans="1:4" ht="14.65" thickBot="1" x14ac:dyDescent="0.5">
      <c r="A7920" s="17">
        <v>45161.666666666664</v>
      </c>
      <c r="B7920" s="19">
        <v>107.12</v>
      </c>
      <c r="C7920" t="s">
        <v>32</v>
      </c>
      <c r="D7920" t="str">
        <f>T_Stocks[[#This Row],[Ticker]] &amp; "-" &amp; DATE(YEAR(T_Stocks[[#This Row],[Fecha]]),MONTH(T_Stocks[[#This Row],[Fecha]]),DAY(T_Stocks[[#This Row],[Fecha]]))</f>
        <v>VTSAX-45161</v>
      </c>
    </row>
    <row r="7921" spans="1:4" ht="14.65" thickBot="1" x14ac:dyDescent="0.5">
      <c r="A7921" s="17">
        <v>45162.666666666664</v>
      </c>
      <c r="B7921" s="19">
        <v>105.68</v>
      </c>
      <c r="C7921" t="s">
        <v>32</v>
      </c>
      <c r="D7921" t="str">
        <f>T_Stocks[[#This Row],[Ticker]] &amp; "-" &amp; DATE(YEAR(T_Stocks[[#This Row],[Fecha]]),MONTH(T_Stocks[[#This Row],[Fecha]]),DAY(T_Stocks[[#This Row],[Fecha]]))</f>
        <v>VTSAX-45162</v>
      </c>
    </row>
    <row r="7922" spans="1:4" ht="14.65" thickBot="1" x14ac:dyDescent="0.5">
      <c r="A7922" s="17">
        <v>45163.666666666664</v>
      </c>
      <c r="B7922" s="19">
        <v>106.38</v>
      </c>
      <c r="C7922" t="s">
        <v>32</v>
      </c>
      <c r="D7922" t="str">
        <f>T_Stocks[[#This Row],[Ticker]] &amp; "-" &amp; DATE(YEAR(T_Stocks[[#This Row],[Fecha]]),MONTH(T_Stocks[[#This Row],[Fecha]]),DAY(T_Stocks[[#This Row],[Fecha]]))</f>
        <v>VTSAX-45163</v>
      </c>
    </row>
    <row r="7923" spans="1:4" ht="14.65" thickBot="1" x14ac:dyDescent="0.5">
      <c r="A7923" s="17">
        <v>45166.666666666664</v>
      </c>
      <c r="B7923" s="19">
        <v>107.07</v>
      </c>
      <c r="C7923" t="s">
        <v>32</v>
      </c>
      <c r="D7923" t="str">
        <f>T_Stocks[[#This Row],[Ticker]] &amp; "-" &amp; DATE(YEAR(T_Stocks[[#This Row],[Fecha]]),MONTH(T_Stocks[[#This Row],[Fecha]]),DAY(T_Stocks[[#This Row],[Fecha]]))</f>
        <v>VTSAX-45166</v>
      </c>
    </row>
    <row r="7924" spans="1:4" ht="14.65" thickBot="1" x14ac:dyDescent="0.5">
      <c r="A7924" s="17">
        <v>45167.666666666664</v>
      </c>
      <c r="B7924" s="19">
        <v>108.65</v>
      </c>
      <c r="C7924" t="s">
        <v>32</v>
      </c>
      <c r="D7924" t="str">
        <f>T_Stocks[[#This Row],[Ticker]] &amp; "-" &amp; DATE(YEAR(T_Stocks[[#This Row],[Fecha]]),MONTH(T_Stocks[[#This Row],[Fecha]]),DAY(T_Stocks[[#This Row],[Fecha]]))</f>
        <v>VTSAX-45167</v>
      </c>
    </row>
    <row r="7925" spans="1:4" ht="14.65" thickBot="1" x14ac:dyDescent="0.5">
      <c r="A7925" s="17">
        <v>45168.666666666664</v>
      </c>
      <c r="B7925" s="19">
        <v>109.1</v>
      </c>
      <c r="C7925" t="s">
        <v>32</v>
      </c>
      <c r="D7925" t="str">
        <f>T_Stocks[[#This Row],[Ticker]] &amp; "-" &amp; DATE(YEAR(T_Stocks[[#This Row],[Fecha]]),MONTH(T_Stocks[[#This Row],[Fecha]]),DAY(T_Stocks[[#This Row],[Fecha]]))</f>
        <v>VTSAX-45168</v>
      </c>
    </row>
    <row r="7926" spans="1:4" ht="14.65" thickBot="1" x14ac:dyDescent="0.5">
      <c r="A7926" s="17">
        <v>45169.666666666664</v>
      </c>
      <c r="B7926" s="19">
        <v>109</v>
      </c>
      <c r="C7926" t="s">
        <v>32</v>
      </c>
      <c r="D7926" t="str">
        <f>T_Stocks[[#This Row],[Ticker]] &amp; "-" &amp; DATE(YEAR(T_Stocks[[#This Row],[Fecha]]),MONTH(T_Stocks[[#This Row],[Fecha]]),DAY(T_Stocks[[#This Row],[Fecha]]))</f>
        <v>VTSAX-45169</v>
      </c>
    </row>
    <row r="7927" spans="1:4" ht="14.65" thickBot="1" x14ac:dyDescent="0.5">
      <c r="A7927" s="17">
        <v>45170.666666666664</v>
      </c>
      <c r="B7927" s="19">
        <v>109.33</v>
      </c>
      <c r="C7927" t="s">
        <v>32</v>
      </c>
      <c r="D7927" t="str">
        <f>T_Stocks[[#This Row],[Ticker]] &amp; "-" &amp; DATE(YEAR(T_Stocks[[#This Row],[Fecha]]),MONTH(T_Stocks[[#This Row],[Fecha]]),DAY(T_Stocks[[#This Row],[Fecha]]))</f>
        <v>VTSAX-45170</v>
      </c>
    </row>
    <row r="7928" spans="1:4" ht="14.65" thickBot="1" x14ac:dyDescent="0.5">
      <c r="A7928" s="17">
        <v>45174.666666666664</v>
      </c>
      <c r="B7928" s="19">
        <v>108.71</v>
      </c>
      <c r="C7928" t="s">
        <v>32</v>
      </c>
      <c r="D7928" t="str">
        <f>T_Stocks[[#This Row],[Ticker]] &amp; "-" &amp; DATE(YEAR(T_Stocks[[#This Row],[Fecha]]),MONTH(T_Stocks[[#This Row],[Fecha]]),DAY(T_Stocks[[#This Row],[Fecha]]))</f>
        <v>VTSAX-45174</v>
      </c>
    </row>
    <row r="7929" spans="1:4" ht="14.65" thickBot="1" x14ac:dyDescent="0.5">
      <c r="A7929" s="17">
        <v>45175.666666666664</v>
      </c>
      <c r="B7929" s="19">
        <v>108.01</v>
      </c>
      <c r="C7929" t="s">
        <v>32</v>
      </c>
      <c r="D7929" t="str">
        <f>T_Stocks[[#This Row],[Ticker]] &amp; "-" &amp; DATE(YEAR(T_Stocks[[#This Row],[Fecha]]),MONTH(T_Stocks[[#This Row],[Fecha]]),DAY(T_Stocks[[#This Row],[Fecha]]))</f>
        <v>VTSAX-45175</v>
      </c>
    </row>
    <row r="7930" spans="1:4" ht="14.65" thickBot="1" x14ac:dyDescent="0.5">
      <c r="A7930" s="17">
        <v>45176.666666666664</v>
      </c>
      <c r="B7930" s="19">
        <v>107.63</v>
      </c>
      <c r="C7930" t="s">
        <v>32</v>
      </c>
      <c r="D7930" t="str">
        <f>T_Stocks[[#This Row],[Ticker]] &amp; "-" &amp; DATE(YEAR(T_Stocks[[#This Row],[Fecha]]),MONTH(T_Stocks[[#This Row],[Fecha]]),DAY(T_Stocks[[#This Row],[Fecha]]))</f>
        <v>VTSAX-45176</v>
      </c>
    </row>
    <row r="7931" spans="1:4" ht="14.65" thickBot="1" x14ac:dyDescent="0.5">
      <c r="A7931" s="17">
        <v>45177.666666666664</v>
      </c>
      <c r="B7931" s="19">
        <v>107.76</v>
      </c>
      <c r="C7931" t="s">
        <v>32</v>
      </c>
      <c r="D7931" t="str">
        <f>T_Stocks[[#This Row],[Ticker]] &amp; "-" &amp; DATE(YEAR(T_Stocks[[#This Row],[Fecha]]),MONTH(T_Stocks[[#This Row],[Fecha]]),DAY(T_Stocks[[#This Row],[Fecha]]))</f>
        <v>VTSAX-45177</v>
      </c>
    </row>
    <row r="7932" spans="1:4" ht="14.65" thickBot="1" x14ac:dyDescent="0.5">
      <c r="A7932" s="17">
        <v>45180.666666666664</v>
      </c>
      <c r="B7932" s="19">
        <v>108.45</v>
      </c>
      <c r="C7932" t="s">
        <v>32</v>
      </c>
      <c r="D7932" t="str">
        <f>T_Stocks[[#This Row],[Ticker]] &amp; "-" &amp; DATE(YEAR(T_Stocks[[#This Row],[Fecha]]),MONTH(T_Stocks[[#This Row],[Fecha]]),DAY(T_Stocks[[#This Row],[Fecha]]))</f>
        <v>VTSAX-45180</v>
      </c>
    </row>
    <row r="7933" spans="1:4" ht="14.65" thickBot="1" x14ac:dyDescent="0.5">
      <c r="A7933" s="17">
        <v>45181.666666666664</v>
      </c>
      <c r="B7933" s="19">
        <v>107.9</v>
      </c>
      <c r="C7933" t="s">
        <v>32</v>
      </c>
      <c r="D7933" t="str">
        <f>T_Stocks[[#This Row],[Ticker]] &amp; "-" &amp; DATE(YEAR(T_Stocks[[#This Row],[Fecha]]),MONTH(T_Stocks[[#This Row],[Fecha]]),DAY(T_Stocks[[#This Row],[Fecha]]))</f>
        <v>VTSAX-45181</v>
      </c>
    </row>
    <row r="7934" spans="1:4" ht="14.65" thickBot="1" x14ac:dyDescent="0.5">
      <c r="A7934" s="17">
        <v>45182.666666666664</v>
      </c>
      <c r="B7934" s="19">
        <v>107.9</v>
      </c>
      <c r="C7934" t="s">
        <v>32</v>
      </c>
      <c r="D7934" t="str">
        <f>T_Stocks[[#This Row],[Ticker]] &amp; "-" &amp; DATE(YEAR(T_Stocks[[#This Row],[Fecha]]),MONTH(T_Stocks[[#This Row],[Fecha]]),DAY(T_Stocks[[#This Row],[Fecha]]))</f>
        <v>VTSAX-45182</v>
      </c>
    </row>
    <row r="7935" spans="1:4" ht="14.65" thickBot="1" x14ac:dyDescent="0.5">
      <c r="A7935" s="17">
        <v>45183.666666666664</v>
      </c>
      <c r="B7935" s="19">
        <v>108.86</v>
      </c>
      <c r="C7935" t="s">
        <v>32</v>
      </c>
      <c r="D7935" t="str">
        <f>T_Stocks[[#This Row],[Ticker]] &amp; "-" &amp; DATE(YEAR(T_Stocks[[#This Row],[Fecha]]),MONTH(T_Stocks[[#This Row],[Fecha]]),DAY(T_Stocks[[#This Row],[Fecha]]))</f>
        <v>VTSAX-45183</v>
      </c>
    </row>
    <row r="7936" spans="1:4" ht="14.65" thickBot="1" x14ac:dyDescent="0.5">
      <c r="A7936" s="17">
        <v>45184.666666666664</v>
      </c>
      <c r="B7936" s="19">
        <v>107.58</v>
      </c>
      <c r="C7936" t="s">
        <v>32</v>
      </c>
      <c r="D7936" t="str">
        <f>T_Stocks[[#This Row],[Ticker]] &amp; "-" &amp; DATE(YEAR(T_Stocks[[#This Row],[Fecha]]),MONTH(T_Stocks[[#This Row],[Fecha]]),DAY(T_Stocks[[#This Row],[Fecha]]))</f>
        <v>VTSAX-45184</v>
      </c>
    </row>
    <row r="7937" spans="1:4" ht="14.65" thickBot="1" x14ac:dyDescent="0.5">
      <c r="A7937" s="17">
        <v>45187.666666666664</v>
      </c>
      <c r="B7937" s="19">
        <v>107.57</v>
      </c>
      <c r="C7937" t="s">
        <v>32</v>
      </c>
      <c r="D7937" t="str">
        <f>T_Stocks[[#This Row],[Ticker]] &amp; "-" &amp; DATE(YEAR(T_Stocks[[#This Row],[Fecha]]),MONTH(T_Stocks[[#This Row],[Fecha]]),DAY(T_Stocks[[#This Row],[Fecha]]))</f>
        <v>VTSAX-45187</v>
      </c>
    </row>
    <row r="7938" spans="1:4" ht="14.65" thickBot="1" x14ac:dyDescent="0.5">
      <c r="A7938" s="17">
        <v>45188.666666666664</v>
      </c>
      <c r="B7938" s="19">
        <v>107.32</v>
      </c>
      <c r="C7938" t="s">
        <v>32</v>
      </c>
      <c r="D7938" t="str">
        <f>T_Stocks[[#This Row],[Ticker]] &amp; "-" &amp; DATE(YEAR(T_Stocks[[#This Row],[Fecha]]),MONTH(T_Stocks[[#This Row],[Fecha]]),DAY(T_Stocks[[#This Row],[Fecha]]))</f>
        <v>VTSAX-45188</v>
      </c>
    </row>
    <row r="7939" spans="1:4" ht="14.65" thickBot="1" x14ac:dyDescent="0.5">
      <c r="A7939" s="17">
        <v>45189.666666666664</v>
      </c>
      <c r="B7939" s="19">
        <v>105.97</v>
      </c>
      <c r="C7939" t="s">
        <v>32</v>
      </c>
      <c r="D7939" t="str">
        <f>T_Stocks[[#This Row],[Ticker]] &amp; "-" &amp; DATE(YEAR(T_Stocks[[#This Row],[Fecha]]),MONTH(T_Stocks[[#This Row],[Fecha]]),DAY(T_Stocks[[#This Row],[Fecha]]))</f>
        <v>VTSAX-45189</v>
      </c>
    </row>
    <row r="7940" spans="1:4" ht="14.65" thickBot="1" x14ac:dyDescent="0.5">
      <c r="A7940" s="17">
        <v>45190.666666666664</v>
      </c>
      <c r="B7940" s="19">
        <v>104.18</v>
      </c>
      <c r="C7940" t="s">
        <v>32</v>
      </c>
      <c r="D7940" t="str">
        <f>T_Stocks[[#This Row],[Ticker]] &amp; "-" &amp; DATE(YEAR(T_Stocks[[#This Row],[Fecha]]),MONTH(T_Stocks[[#This Row],[Fecha]]),DAY(T_Stocks[[#This Row],[Fecha]]))</f>
        <v>VTSAX-45190</v>
      </c>
    </row>
    <row r="7941" spans="1:4" ht="14.65" thickBot="1" x14ac:dyDescent="0.5">
      <c r="A7941" s="17">
        <v>45191.666666666664</v>
      </c>
      <c r="B7941" s="19">
        <v>103.96</v>
      </c>
      <c r="C7941" t="s">
        <v>32</v>
      </c>
      <c r="D7941" t="str">
        <f>T_Stocks[[#This Row],[Ticker]] &amp; "-" &amp; DATE(YEAR(T_Stocks[[#This Row],[Fecha]]),MONTH(T_Stocks[[#This Row],[Fecha]]),DAY(T_Stocks[[#This Row],[Fecha]]))</f>
        <v>VTSAX-45191</v>
      </c>
    </row>
    <row r="7942" spans="1:4" ht="14.65" thickBot="1" x14ac:dyDescent="0.5">
      <c r="A7942" s="17">
        <v>45194.666666666664</v>
      </c>
      <c r="B7942" s="19">
        <v>104.37</v>
      </c>
      <c r="C7942" t="s">
        <v>32</v>
      </c>
      <c r="D7942" t="str">
        <f>T_Stocks[[#This Row],[Ticker]] &amp; "-" &amp; DATE(YEAR(T_Stocks[[#This Row],[Fecha]]),MONTH(T_Stocks[[#This Row],[Fecha]]),DAY(T_Stocks[[#This Row],[Fecha]]))</f>
        <v>VTSAX-45194</v>
      </c>
    </row>
    <row r="7943" spans="1:4" ht="14.65" thickBot="1" x14ac:dyDescent="0.5">
      <c r="A7943" s="17">
        <v>45195.666666666664</v>
      </c>
      <c r="B7943" s="19">
        <v>102.86</v>
      </c>
      <c r="C7943" t="s">
        <v>32</v>
      </c>
      <c r="D7943" t="str">
        <f>T_Stocks[[#This Row],[Ticker]] &amp; "-" &amp; DATE(YEAR(T_Stocks[[#This Row],[Fecha]]),MONTH(T_Stocks[[#This Row],[Fecha]]),DAY(T_Stocks[[#This Row],[Fecha]]))</f>
        <v>VTSAX-45195</v>
      </c>
    </row>
    <row r="7944" spans="1:4" ht="14.65" thickBot="1" x14ac:dyDescent="0.5">
      <c r="A7944" s="17">
        <v>45196.666666666664</v>
      </c>
      <c r="B7944" s="19">
        <v>103</v>
      </c>
      <c r="C7944" t="s">
        <v>32</v>
      </c>
      <c r="D7944" t="str">
        <f>T_Stocks[[#This Row],[Ticker]] &amp; "-" &amp; DATE(YEAR(T_Stocks[[#This Row],[Fecha]]),MONTH(T_Stocks[[#This Row],[Fecha]]),DAY(T_Stocks[[#This Row],[Fecha]]))</f>
        <v>VTSAX-45196</v>
      </c>
    </row>
    <row r="7945" spans="1:4" ht="14.65" thickBot="1" x14ac:dyDescent="0.5">
      <c r="A7945" s="17">
        <v>45197.666666666664</v>
      </c>
      <c r="B7945" s="19">
        <v>103.67</v>
      </c>
      <c r="C7945" t="s">
        <v>32</v>
      </c>
      <c r="D7945" t="str">
        <f>T_Stocks[[#This Row],[Ticker]] &amp; "-" &amp; DATE(YEAR(T_Stocks[[#This Row],[Fecha]]),MONTH(T_Stocks[[#This Row],[Fecha]]),DAY(T_Stocks[[#This Row],[Fecha]]))</f>
        <v>VTSAX-45197</v>
      </c>
    </row>
    <row r="7946" spans="1:4" ht="14.65" thickBot="1" x14ac:dyDescent="0.5">
      <c r="A7946" s="17">
        <v>45198.666666666664</v>
      </c>
      <c r="B7946" s="19">
        <v>103.41</v>
      </c>
      <c r="C7946" t="s">
        <v>32</v>
      </c>
      <c r="D7946" t="str">
        <f>T_Stocks[[#This Row],[Ticker]] &amp; "-" &amp; DATE(YEAR(T_Stocks[[#This Row],[Fecha]]),MONTH(T_Stocks[[#This Row],[Fecha]]),DAY(T_Stocks[[#This Row],[Fecha]]))</f>
        <v>VTSAX-45198</v>
      </c>
    </row>
    <row r="7947" spans="1:4" ht="14.65" thickBot="1" x14ac:dyDescent="0.5">
      <c r="A7947" s="17">
        <v>45201.666666666664</v>
      </c>
      <c r="B7947" s="19">
        <v>103.23</v>
      </c>
      <c r="C7947" t="s">
        <v>32</v>
      </c>
      <c r="D7947" t="str">
        <f>T_Stocks[[#This Row],[Ticker]] &amp; "-" &amp; DATE(YEAR(T_Stocks[[#This Row],[Fecha]]),MONTH(T_Stocks[[#This Row],[Fecha]]),DAY(T_Stocks[[#This Row],[Fecha]]))</f>
        <v>VTSAX-45201</v>
      </c>
    </row>
    <row r="7948" spans="1:4" ht="14.65" thickBot="1" x14ac:dyDescent="0.5">
      <c r="A7948" s="17">
        <v>45202.666666666664</v>
      </c>
      <c r="B7948" s="19">
        <v>101.74</v>
      </c>
      <c r="C7948" t="s">
        <v>32</v>
      </c>
      <c r="D7948" t="str">
        <f>T_Stocks[[#This Row],[Ticker]] &amp; "-" &amp; DATE(YEAR(T_Stocks[[#This Row],[Fecha]]),MONTH(T_Stocks[[#This Row],[Fecha]]),DAY(T_Stocks[[#This Row],[Fecha]]))</f>
        <v>VTSAX-45202</v>
      </c>
    </row>
    <row r="7949" spans="1:4" ht="14.65" thickBot="1" x14ac:dyDescent="0.5">
      <c r="A7949" s="17">
        <v>45203.666666666664</v>
      </c>
      <c r="B7949" s="19">
        <v>102.53</v>
      </c>
      <c r="C7949" t="s">
        <v>32</v>
      </c>
      <c r="D7949" t="str">
        <f>T_Stocks[[#This Row],[Ticker]] &amp; "-" &amp; DATE(YEAR(T_Stocks[[#This Row],[Fecha]]),MONTH(T_Stocks[[#This Row],[Fecha]]),DAY(T_Stocks[[#This Row],[Fecha]]))</f>
        <v>VTSAX-45203</v>
      </c>
    </row>
    <row r="7950" spans="1:4" ht="14.65" thickBot="1" x14ac:dyDescent="0.5">
      <c r="A7950" s="17">
        <v>45204.666666666664</v>
      </c>
      <c r="B7950" s="19">
        <v>102.42</v>
      </c>
      <c r="C7950" t="s">
        <v>32</v>
      </c>
      <c r="D7950" t="str">
        <f>T_Stocks[[#This Row],[Ticker]] &amp; "-" &amp; DATE(YEAR(T_Stocks[[#This Row],[Fecha]]),MONTH(T_Stocks[[#This Row],[Fecha]]),DAY(T_Stocks[[#This Row],[Fecha]]))</f>
        <v>VTSAX-45204</v>
      </c>
    </row>
    <row r="7951" spans="1:4" ht="14.65" thickBot="1" x14ac:dyDescent="0.5">
      <c r="A7951" s="17">
        <v>45205.666666666664</v>
      </c>
      <c r="B7951" s="19">
        <v>103.65</v>
      </c>
      <c r="C7951" t="s">
        <v>32</v>
      </c>
      <c r="D7951" t="str">
        <f>T_Stocks[[#This Row],[Ticker]] &amp; "-" &amp; DATE(YEAR(T_Stocks[[#This Row],[Fecha]]),MONTH(T_Stocks[[#This Row],[Fecha]]),DAY(T_Stocks[[#This Row],[Fecha]]))</f>
        <v>VTSAX-45205</v>
      </c>
    </row>
    <row r="7952" spans="1:4" ht="14.65" thickBot="1" x14ac:dyDescent="0.5">
      <c r="A7952" s="17">
        <v>45208.666666666664</v>
      </c>
      <c r="B7952" s="19">
        <v>104.32</v>
      </c>
      <c r="C7952" t="s">
        <v>32</v>
      </c>
      <c r="D7952" t="str">
        <f>T_Stocks[[#This Row],[Ticker]] &amp; "-" &amp; DATE(YEAR(T_Stocks[[#This Row],[Fecha]]),MONTH(T_Stocks[[#This Row],[Fecha]]),DAY(T_Stocks[[#This Row],[Fecha]]))</f>
        <v>VTSAX-45208</v>
      </c>
    </row>
    <row r="7953" spans="1:4" ht="14.65" thickBot="1" x14ac:dyDescent="0.5">
      <c r="A7953" s="17">
        <v>45209.666666666664</v>
      </c>
      <c r="B7953" s="19">
        <v>104.94</v>
      </c>
      <c r="C7953" t="s">
        <v>32</v>
      </c>
      <c r="D7953" t="str">
        <f>T_Stocks[[#This Row],[Ticker]] &amp; "-" &amp; DATE(YEAR(T_Stocks[[#This Row],[Fecha]]),MONTH(T_Stocks[[#This Row],[Fecha]]),DAY(T_Stocks[[#This Row],[Fecha]]))</f>
        <v>VTSAX-45209</v>
      </c>
    </row>
    <row r="7954" spans="1:4" ht="14.65" thickBot="1" x14ac:dyDescent="0.5">
      <c r="A7954" s="17">
        <v>45210.666666666664</v>
      </c>
      <c r="B7954" s="19">
        <v>105.36</v>
      </c>
      <c r="C7954" t="s">
        <v>32</v>
      </c>
      <c r="D7954" t="str">
        <f>T_Stocks[[#This Row],[Ticker]] &amp; "-" &amp; DATE(YEAR(T_Stocks[[#This Row],[Fecha]]),MONTH(T_Stocks[[#This Row],[Fecha]]),DAY(T_Stocks[[#This Row],[Fecha]]))</f>
        <v>VTSAX-45210</v>
      </c>
    </row>
    <row r="7955" spans="1:4" ht="14.65" thickBot="1" x14ac:dyDescent="0.5">
      <c r="A7955" s="17">
        <v>45211.666666666664</v>
      </c>
      <c r="B7955" s="19">
        <v>104.52</v>
      </c>
      <c r="C7955" t="s">
        <v>32</v>
      </c>
      <c r="D7955" t="str">
        <f>T_Stocks[[#This Row],[Ticker]] &amp; "-" &amp; DATE(YEAR(T_Stocks[[#This Row],[Fecha]]),MONTH(T_Stocks[[#This Row],[Fecha]]),DAY(T_Stocks[[#This Row],[Fecha]]))</f>
        <v>VTSAX-45211</v>
      </c>
    </row>
    <row r="7956" spans="1:4" ht="14.65" thickBot="1" x14ac:dyDescent="0.5">
      <c r="A7956" s="17">
        <v>45212.666666666664</v>
      </c>
      <c r="B7956" s="19">
        <v>103.95</v>
      </c>
      <c r="C7956" t="s">
        <v>32</v>
      </c>
      <c r="D7956" t="str">
        <f>T_Stocks[[#This Row],[Ticker]] &amp; "-" &amp; DATE(YEAR(T_Stocks[[#This Row],[Fecha]]),MONTH(T_Stocks[[#This Row],[Fecha]]),DAY(T_Stocks[[#This Row],[Fecha]]))</f>
        <v>VTSAX-45212</v>
      </c>
    </row>
    <row r="7957" spans="1:4" ht="14.65" thickBot="1" x14ac:dyDescent="0.5">
      <c r="A7957" s="17">
        <v>45215.666666666664</v>
      </c>
      <c r="B7957" s="19">
        <v>105.14</v>
      </c>
      <c r="C7957" t="s">
        <v>32</v>
      </c>
      <c r="D7957" t="str">
        <f>T_Stocks[[#This Row],[Ticker]] &amp; "-" &amp; DATE(YEAR(T_Stocks[[#This Row],[Fecha]]),MONTH(T_Stocks[[#This Row],[Fecha]]),DAY(T_Stocks[[#This Row],[Fecha]]))</f>
        <v>VTSAX-45215</v>
      </c>
    </row>
    <row r="7958" spans="1:4" ht="14.65" thickBot="1" x14ac:dyDescent="0.5">
      <c r="A7958" s="17">
        <v>45216.666666666664</v>
      </c>
      <c r="B7958" s="19">
        <v>105.26</v>
      </c>
      <c r="C7958" t="s">
        <v>32</v>
      </c>
      <c r="D7958" t="str">
        <f>T_Stocks[[#This Row],[Ticker]] &amp; "-" &amp; DATE(YEAR(T_Stocks[[#This Row],[Fecha]]),MONTH(T_Stocks[[#This Row],[Fecha]]),DAY(T_Stocks[[#This Row],[Fecha]]))</f>
        <v>VTSAX-45216</v>
      </c>
    </row>
    <row r="7959" spans="1:4" ht="14.65" thickBot="1" x14ac:dyDescent="0.5">
      <c r="A7959" s="17">
        <v>45217.666666666664</v>
      </c>
      <c r="B7959" s="19">
        <v>103.73</v>
      </c>
      <c r="C7959" t="s">
        <v>32</v>
      </c>
      <c r="D7959" t="str">
        <f>T_Stocks[[#This Row],[Ticker]] &amp; "-" &amp; DATE(YEAR(T_Stocks[[#This Row],[Fecha]]),MONTH(T_Stocks[[#This Row],[Fecha]]),DAY(T_Stocks[[#This Row],[Fecha]]))</f>
        <v>VTSAX-45217</v>
      </c>
    </row>
    <row r="7960" spans="1:4" ht="14.65" thickBot="1" x14ac:dyDescent="0.5">
      <c r="A7960" s="17">
        <v>45218.666666666664</v>
      </c>
      <c r="B7960" s="19">
        <v>102.77</v>
      </c>
      <c r="C7960" t="s">
        <v>32</v>
      </c>
      <c r="D7960" t="str">
        <f>T_Stocks[[#This Row],[Ticker]] &amp; "-" &amp; DATE(YEAR(T_Stocks[[#This Row],[Fecha]]),MONTH(T_Stocks[[#This Row],[Fecha]]),DAY(T_Stocks[[#This Row],[Fecha]]))</f>
        <v>VTSAX-45218</v>
      </c>
    </row>
    <row r="7961" spans="1:4" ht="14.65" thickBot="1" x14ac:dyDescent="0.5">
      <c r="A7961" s="17">
        <v>45219.666666666664</v>
      </c>
      <c r="B7961" s="19">
        <v>101.48</v>
      </c>
      <c r="C7961" t="s">
        <v>32</v>
      </c>
      <c r="D7961" t="str">
        <f>T_Stocks[[#This Row],[Ticker]] &amp; "-" &amp; DATE(YEAR(T_Stocks[[#This Row],[Fecha]]),MONTH(T_Stocks[[#This Row],[Fecha]]),DAY(T_Stocks[[#This Row],[Fecha]]))</f>
        <v>VTSAX-45219</v>
      </c>
    </row>
    <row r="7962" spans="1:4" ht="14.65" thickBot="1" x14ac:dyDescent="0.5">
      <c r="A7962" s="17">
        <v>45222.666666666664</v>
      </c>
      <c r="B7962" s="19">
        <v>101.22</v>
      </c>
      <c r="C7962" t="s">
        <v>32</v>
      </c>
      <c r="D7962" t="str">
        <f>T_Stocks[[#This Row],[Ticker]] &amp; "-" &amp; DATE(YEAR(T_Stocks[[#This Row],[Fecha]]),MONTH(T_Stocks[[#This Row],[Fecha]]),DAY(T_Stocks[[#This Row],[Fecha]]))</f>
        <v>VTSAX-45222</v>
      </c>
    </row>
    <row r="7963" spans="1:4" ht="14.65" thickBot="1" x14ac:dyDescent="0.5">
      <c r="A7963" s="17">
        <v>45223.666666666664</v>
      </c>
      <c r="B7963" s="19">
        <v>101.98</v>
      </c>
      <c r="C7963" t="s">
        <v>32</v>
      </c>
      <c r="D7963" t="str">
        <f>T_Stocks[[#This Row],[Ticker]] &amp; "-" &amp; DATE(YEAR(T_Stocks[[#This Row],[Fecha]]),MONTH(T_Stocks[[#This Row],[Fecha]]),DAY(T_Stocks[[#This Row],[Fecha]]))</f>
        <v>VTSAX-45223</v>
      </c>
    </row>
    <row r="7964" spans="1:4" ht="14.65" thickBot="1" x14ac:dyDescent="0.5">
      <c r="A7964" s="17">
        <v>45224.666666666664</v>
      </c>
      <c r="B7964" s="19">
        <v>100.43</v>
      </c>
      <c r="C7964" t="s">
        <v>32</v>
      </c>
      <c r="D7964" t="str">
        <f>T_Stocks[[#This Row],[Ticker]] &amp; "-" &amp; DATE(YEAR(T_Stocks[[#This Row],[Fecha]]),MONTH(T_Stocks[[#This Row],[Fecha]]),DAY(T_Stocks[[#This Row],[Fecha]]))</f>
        <v>VTSAX-45224</v>
      </c>
    </row>
    <row r="7965" spans="1:4" ht="14.65" thickBot="1" x14ac:dyDescent="0.5">
      <c r="A7965" s="17">
        <v>45225.666666666664</v>
      </c>
      <c r="B7965" s="19">
        <v>99.4</v>
      </c>
      <c r="C7965" t="s">
        <v>32</v>
      </c>
      <c r="D7965" t="str">
        <f>T_Stocks[[#This Row],[Ticker]] &amp; "-" &amp; DATE(YEAR(T_Stocks[[#This Row],[Fecha]]),MONTH(T_Stocks[[#This Row],[Fecha]]),DAY(T_Stocks[[#This Row],[Fecha]]))</f>
        <v>VTSAX-45225</v>
      </c>
    </row>
    <row r="7966" spans="1:4" ht="14.65" thickBot="1" x14ac:dyDescent="0.5">
      <c r="A7966" s="17">
        <v>45226.666666666664</v>
      </c>
      <c r="B7966" s="19">
        <v>98.85</v>
      </c>
      <c r="C7966" t="s">
        <v>32</v>
      </c>
      <c r="D7966" t="str">
        <f>T_Stocks[[#This Row],[Ticker]] &amp; "-" &amp; DATE(YEAR(T_Stocks[[#This Row],[Fecha]]),MONTH(T_Stocks[[#This Row],[Fecha]]),DAY(T_Stocks[[#This Row],[Fecha]]))</f>
        <v>VTSAX-45226</v>
      </c>
    </row>
    <row r="7967" spans="1:4" ht="14.65" thickBot="1" x14ac:dyDescent="0.5">
      <c r="A7967" s="17">
        <v>45229.666666666664</v>
      </c>
      <c r="B7967" s="19">
        <v>100</v>
      </c>
      <c r="C7967" t="s">
        <v>32</v>
      </c>
      <c r="D7967" t="str">
        <f>T_Stocks[[#This Row],[Ticker]] &amp; "-" &amp; DATE(YEAR(T_Stocks[[#This Row],[Fecha]]),MONTH(T_Stocks[[#This Row],[Fecha]]),DAY(T_Stocks[[#This Row],[Fecha]]))</f>
        <v>VTSAX-45229</v>
      </c>
    </row>
    <row r="7968" spans="1:4" ht="14.65" thickBot="1" x14ac:dyDescent="0.5">
      <c r="A7968" s="17">
        <v>45230.666666666664</v>
      </c>
      <c r="B7968" s="19">
        <v>100.69</v>
      </c>
      <c r="C7968" t="s">
        <v>32</v>
      </c>
      <c r="D7968" t="str">
        <f>T_Stocks[[#This Row],[Ticker]] &amp; "-" &amp; DATE(YEAR(T_Stocks[[#This Row],[Fecha]]),MONTH(T_Stocks[[#This Row],[Fecha]]),DAY(T_Stocks[[#This Row],[Fecha]]))</f>
        <v>VTSAX-45230</v>
      </c>
    </row>
    <row r="7969" spans="1:4" ht="14.65" thickBot="1" x14ac:dyDescent="0.5">
      <c r="A7969" s="17">
        <v>45231.666666666664</v>
      </c>
      <c r="B7969" s="19">
        <v>101.68</v>
      </c>
      <c r="C7969" t="s">
        <v>32</v>
      </c>
      <c r="D7969" t="str">
        <f>T_Stocks[[#This Row],[Ticker]] &amp; "-" &amp; DATE(YEAR(T_Stocks[[#This Row],[Fecha]]),MONTH(T_Stocks[[#This Row],[Fecha]]),DAY(T_Stocks[[#This Row],[Fecha]]))</f>
        <v>VTSAX-45231</v>
      </c>
    </row>
    <row r="7970" spans="1:4" ht="14.65" thickBot="1" x14ac:dyDescent="0.5">
      <c r="A7970" s="17">
        <v>45232.666666666664</v>
      </c>
      <c r="B7970" s="19">
        <v>103.68</v>
      </c>
      <c r="C7970" t="s">
        <v>32</v>
      </c>
      <c r="D7970" t="str">
        <f>T_Stocks[[#This Row],[Ticker]] &amp; "-" &amp; DATE(YEAR(T_Stocks[[#This Row],[Fecha]]),MONTH(T_Stocks[[#This Row],[Fecha]]),DAY(T_Stocks[[#This Row],[Fecha]]))</f>
        <v>VTSAX-45232</v>
      </c>
    </row>
    <row r="7971" spans="1:4" ht="14.65" thickBot="1" x14ac:dyDescent="0.5">
      <c r="A7971" s="17">
        <v>45233.666666666664</v>
      </c>
      <c r="B7971" s="19">
        <v>104.86</v>
      </c>
      <c r="C7971" t="s">
        <v>32</v>
      </c>
      <c r="D7971" t="str">
        <f>T_Stocks[[#This Row],[Ticker]] &amp; "-" &amp; DATE(YEAR(T_Stocks[[#This Row],[Fecha]]),MONTH(T_Stocks[[#This Row],[Fecha]]),DAY(T_Stocks[[#This Row],[Fecha]]))</f>
        <v>VTSAX-45233</v>
      </c>
    </row>
    <row r="7972" spans="1:4" ht="14.65" thickBot="1" x14ac:dyDescent="0.5">
      <c r="A7972" s="17">
        <v>45236.666666666664</v>
      </c>
      <c r="B7972" s="19">
        <v>104.86</v>
      </c>
      <c r="C7972" t="s">
        <v>32</v>
      </c>
      <c r="D7972" t="str">
        <f>T_Stocks[[#This Row],[Ticker]] &amp; "-" &amp; DATE(YEAR(T_Stocks[[#This Row],[Fecha]]),MONTH(T_Stocks[[#This Row],[Fecha]]),DAY(T_Stocks[[#This Row],[Fecha]]))</f>
        <v>VTSAX-45236</v>
      </c>
    </row>
    <row r="7973" spans="1:4" ht="14.65" thickBot="1" x14ac:dyDescent="0.5">
      <c r="A7973" s="17">
        <v>45237.666666666664</v>
      </c>
      <c r="B7973" s="19">
        <v>105.18</v>
      </c>
      <c r="C7973" t="s">
        <v>32</v>
      </c>
      <c r="D7973" t="str">
        <f>T_Stocks[[#This Row],[Ticker]] &amp; "-" &amp; DATE(YEAR(T_Stocks[[#This Row],[Fecha]]),MONTH(T_Stocks[[#This Row],[Fecha]]),DAY(T_Stocks[[#This Row],[Fecha]]))</f>
        <v>VTSAX-45237</v>
      </c>
    </row>
    <row r="7974" spans="1:4" ht="14.65" thickBot="1" x14ac:dyDescent="0.5">
      <c r="A7974" s="17">
        <v>45238.666666666664</v>
      </c>
      <c r="B7974" s="19">
        <v>105.19</v>
      </c>
      <c r="C7974" t="s">
        <v>32</v>
      </c>
      <c r="D7974" t="str">
        <f>T_Stocks[[#This Row],[Ticker]] &amp; "-" &amp; DATE(YEAR(T_Stocks[[#This Row],[Fecha]]),MONTH(T_Stocks[[#This Row],[Fecha]]),DAY(T_Stocks[[#This Row],[Fecha]]))</f>
        <v>VTSAX-45238</v>
      </c>
    </row>
    <row r="7975" spans="1:4" ht="14.65" thickBot="1" x14ac:dyDescent="0.5">
      <c r="A7975" s="17">
        <v>45239.666666666664</v>
      </c>
      <c r="B7975" s="19">
        <v>104.28</v>
      </c>
      <c r="C7975" t="s">
        <v>32</v>
      </c>
      <c r="D7975" t="str">
        <f>T_Stocks[[#This Row],[Ticker]] &amp; "-" &amp; DATE(YEAR(T_Stocks[[#This Row],[Fecha]]),MONTH(T_Stocks[[#This Row],[Fecha]]),DAY(T_Stocks[[#This Row],[Fecha]]))</f>
        <v>VTSAX-45239</v>
      </c>
    </row>
    <row r="7976" spans="1:4" ht="14.65" thickBot="1" x14ac:dyDescent="0.5">
      <c r="A7976" s="17">
        <v>45240.666666666664</v>
      </c>
      <c r="B7976" s="19">
        <v>105.86</v>
      </c>
      <c r="C7976" t="s">
        <v>32</v>
      </c>
      <c r="D7976" t="str">
        <f>T_Stocks[[#This Row],[Ticker]] &amp; "-" &amp; DATE(YEAR(T_Stocks[[#This Row],[Fecha]]),MONTH(T_Stocks[[#This Row],[Fecha]]),DAY(T_Stocks[[#This Row],[Fecha]]))</f>
        <v>VTSAX-45240</v>
      </c>
    </row>
    <row r="7977" spans="1:4" ht="14.65" thickBot="1" x14ac:dyDescent="0.5">
      <c r="A7977" s="17">
        <v>45243.666666666664</v>
      </c>
      <c r="B7977" s="19">
        <v>105.79</v>
      </c>
      <c r="C7977" t="s">
        <v>32</v>
      </c>
      <c r="D7977" t="str">
        <f>T_Stocks[[#This Row],[Ticker]] &amp; "-" &amp; DATE(YEAR(T_Stocks[[#This Row],[Fecha]]),MONTH(T_Stocks[[#This Row],[Fecha]]),DAY(T_Stocks[[#This Row],[Fecha]]))</f>
        <v>VTSAX-45243</v>
      </c>
    </row>
    <row r="7978" spans="1:4" ht="14.65" thickBot="1" x14ac:dyDescent="0.5">
      <c r="A7978" s="17">
        <v>45244.666666666664</v>
      </c>
      <c r="B7978" s="19">
        <v>108.16</v>
      </c>
      <c r="C7978" t="s">
        <v>32</v>
      </c>
      <c r="D7978" t="str">
        <f>T_Stocks[[#This Row],[Ticker]] &amp; "-" &amp; DATE(YEAR(T_Stocks[[#This Row],[Fecha]]),MONTH(T_Stocks[[#This Row],[Fecha]]),DAY(T_Stocks[[#This Row],[Fecha]]))</f>
        <v>VTSAX-45244</v>
      </c>
    </row>
    <row r="7979" spans="1:4" ht="14.65" thickBot="1" x14ac:dyDescent="0.5">
      <c r="A7979" s="17">
        <v>45245.666666666664</v>
      </c>
      <c r="B7979" s="19">
        <v>108.37</v>
      </c>
      <c r="C7979" t="s">
        <v>32</v>
      </c>
      <c r="D7979" t="str">
        <f>T_Stocks[[#This Row],[Ticker]] &amp; "-" &amp; DATE(YEAR(T_Stocks[[#This Row],[Fecha]]),MONTH(T_Stocks[[#This Row],[Fecha]]),DAY(T_Stocks[[#This Row],[Fecha]]))</f>
        <v>VTSAX-45245</v>
      </c>
    </row>
    <row r="7980" spans="1:4" ht="14.65" thickBot="1" x14ac:dyDescent="0.5">
      <c r="A7980" s="17">
        <v>45246.666666666664</v>
      </c>
      <c r="B7980" s="19">
        <v>108.34</v>
      </c>
      <c r="C7980" t="s">
        <v>32</v>
      </c>
      <c r="D7980" t="str">
        <f>T_Stocks[[#This Row],[Ticker]] &amp; "-" &amp; DATE(YEAR(T_Stocks[[#This Row],[Fecha]]),MONTH(T_Stocks[[#This Row],[Fecha]]),DAY(T_Stocks[[#This Row],[Fecha]]))</f>
        <v>VTSAX-45246</v>
      </c>
    </row>
    <row r="7981" spans="1:4" ht="14.65" thickBot="1" x14ac:dyDescent="0.5">
      <c r="A7981" s="17">
        <v>45247.666666666664</v>
      </c>
      <c r="B7981" s="19">
        <v>108.62</v>
      </c>
      <c r="C7981" t="s">
        <v>32</v>
      </c>
      <c r="D7981" t="str">
        <f>T_Stocks[[#This Row],[Ticker]] &amp; "-" &amp; DATE(YEAR(T_Stocks[[#This Row],[Fecha]]),MONTH(T_Stocks[[#This Row],[Fecha]]),DAY(T_Stocks[[#This Row],[Fecha]]))</f>
        <v>VTSAX-45247</v>
      </c>
    </row>
    <row r="7982" spans="1:4" ht="14.65" thickBot="1" x14ac:dyDescent="0.5">
      <c r="A7982" s="17">
        <v>45250.666666666664</v>
      </c>
      <c r="B7982" s="19">
        <v>109.41</v>
      </c>
      <c r="C7982" t="s">
        <v>32</v>
      </c>
      <c r="D7982" t="str">
        <f>T_Stocks[[#This Row],[Ticker]] &amp; "-" &amp; DATE(YEAR(T_Stocks[[#This Row],[Fecha]]),MONTH(T_Stocks[[#This Row],[Fecha]]),DAY(T_Stocks[[#This Row],[Fecha]]))</f>
        <v>VTSAX-45250</v>
      </c>
    </row>
    <row r="7983" spans="1:4" ht="14.65" thickBot="1" x14ac:dyDescent="0.5">
      <c r="A7983" s="17">
        <v>45251.666666666664</v>
      </c>
      <c r="B7983" s="19">
        <v>109.09</v>
      </c>
      <c r="C7983" t="s">
        <v>32</v>
      </c>
      <c r="D7983" t="str">
        <f>T_Stocks[[#This Row],[Ticker]] &amp; "-" &amp; DATE(YEAR(T_Stocks[[#This Row],[Fecha]]),MONTH(T_Stocks[[#This Row],[Fecha]]),DAY(T_Stocks[[#This Row],[Fecha]]))</f>
        <v>VTSAX-45251</v>
      </c>
    </row>
    <row r="7984" spans="1:4" ht="14.65" thickBot="1" x14ac:dyDescent="0.5">
      <c r="A7984" s="17">
        <v>45252.666666666664</v>
      </c>
      <c r="B7984" s="19">
        <v>109.58</v>
      </c>
      <c r="C7984" t="s">
        <v>32</v>
      </c>
      <c r="D7984" t="str">
        <f>T_Stocks[[#This Row],[Ticker]] &amp; "-" &amp; DATE(YEAR(T_Stocks[[#This Row],[Fecha]]),MONTH(T_Stocks[[#This Row],[Fecha]]),DAY(T_Stocks[[#This Row],[Fecha]]))</f>
        <v>VTSAX-45252</v>
      </c>
    </row>
    <row r="7985" spans="1:4" ht="14.65" thickBot="1" x14ac:dyDescent="0.5">
      <c r="A7985" s="17">
        <v>45254.541666666664</v>
      </c>
      <c r="B7985" s="19">
        <v>109.76</v>
      </c>
      <c r="C7985" t="s">
        <v>32</v>
      </c>
      <c r="D7985" t="str">
        <f>T_Stocks[[#This Row],[Ticker]] &amp; "-" &amp; DATE(YEAR(T_Stocks[[#This Row],[Fecha]]),MONTH(T_Stocks[[#This Row],[Fecha]]),DAY(T_Stocks[[#This Row],[Fecha]]))</f>
        <v>VTSAX-45254</v>
      </c>
    </row>
    <row r="7986" spans="1:4" ht="14.65" thickBot="1" x14ac:dyDescent="0.5">
      <c r="A7986" s="17">
        <v>45257.666666666664</v>
      </c>
      <c r="B7986" s="19">
        <v>109.55</v>
      </c>
      <c r="C7986" t="s">
        <v>32</v>
      </c>
      <c r="D7986" t="str">
        <f>T_Stocks[[#This Row],[Ticker]] &amp; "-" &amp; DATE(YEAR(T_Stocks[[#This Row],[Fecha]]),MONTH(T_Stocks[[#This Row],[Fecha]]),DAY(T_Stocks[[#This Row],[Fecha]]))</f>
        <v>VTSAX-45257</v>
      </c>
    </row>
    <row r="7987" spans="1:4" ht="14.65" thickBot="1" x14ac:dyDescent="0.5">
      <c r="A7987" s="17">
        <v>45258.666666666664</v>
      </c>
      <c r="B7987" s="19">
        <v>109.61</v>
      </c>
      <c r="C7987" t="s">
        <v>32</v>
      </c>
      <c r="D7987" t="str">
        <f>T_Stocks[[#This Row],[Ticker]] &amp; "-" &amp; DATE(YEAR(T_Stocks[[#This Row],[Fecha]]),MONTH(T_Stocks[[#This Row],[Fecha]]),DAY(T_Stocks[[#This Row],[Fecha]]))</f>
        <v>VTSAX-45258</v>
      </c>
    </row>
    <row r="7988" spans="1:4" ht="14.65" thickBot="1" x14ac:dyDescent="0.5">
      <c r="A7988" s="17">
        <v>45259.666666666664</v>
      </c>
      <c r="B7988" s="19">
        <v>109.66</v>
      </c>
      <c r="C7988" t="s">
        <v>32</v>
      </c>
      <c r="D7988" t="str">
        <f>T_Stocks[[#This Row],[Ticker]] &amp; "-" &amp; DATE(YEAR(T_Stocks[[#This Row],[Fecha]]),MONTH(T_Stocks[[#This Row],[Fecha]]),DAY(T_Stocks[[#This Row],[Fecha]]))</f>
        <v>VTSAX-45259</v>
      </c>
    </row>
    <row r="7989" spans="1:4" ht="14.65" thickBot="1" x14ac:dyDescent="0.5">
      <c r="A7989" s="17">
        <v>45260.666666666664</v>
      </c>
      <c r="B7989" s="19">
        <v>110.13</v>
      </c>
      <c r="C7989" t="s">
        <v>32</v>
      </c>
      <c r="D7989" t="str">
        <f>T_Stocks[[#This Row],[Ticker]] &amp; "-" &amp; DATE(YEAR(T_Stocks[[#This Row],[Fecha]]),MONTH(T_Stocks[[#This Row],[Fecha]]),DAY(T_Stocks[[#This Row],[Fecha]]))</f>
        <v>VTSAX-45260</v>
      </c>
    </row>
    <row r="7990" spans="1:4" ht="14.65" thickBot="1" x14ac:dyDescent="0.5">
      <c r="A7990" s="17">
        <v>45261.666666666664</v>
      </c>
      <c r="B7990" s="19">
        <v>111.07</v>
      </c>
      <c r="C7990" t="s">
        <v>32</v>
      </c>
      <c r="D7990" t="str">
        <f>T_Stocks[[#This Row],[Ticker]] &amp; "-" &amp; DATE(YEAR(T_Stocks[[#This Row],[Fecha]]),MONTH(T_Stocks[[#This Row],[Fecha]]),DAY(T_Stocks[[#This Row],[Fecha]]))</f>
        <v>VTSAX-45261</v>
      </c>
    </row>
    <row r="7991" spans="1:4" ht="14.65" thickBot="1" x14ac:dyDescent="0.5">
      <c r="A7991" s="17">
        <v>45264.666666666664</v>
      </c>
      <c r="B7991" s="19">
        <v>110.64</v>
      </c>
      <c r="C7991" t="s">
        <v>32</v>
      </c>
      <c r="D7991" t="str">
        <f>T_Stocks[[#This Row],[Ticker]] &amp; "-" &amp; DATE(YEAR(T_Stocks[[#This Row],[Fecha]]),MONTH(T_Stocks[[#This Row],[Fecha]]),DAY(T_Stocks[[#This Row],[Fecha]]))</f>
        <v>VTSAX-45264</v>
      </c>
    </row>
    <row r="7992" spans="1:4" ht="14.65" thickBot="1" x14ac:dyDescent="0.5">
      <c r="A7992" s="17">
        <v>45265.666666666664</v>
      </c>
      <c r="B7992" s="19">
        <v>110.42</v>
      </c>
      <c r="C7992" t="s">
        <v>32</v>
      </c>
      <c r="D7992" t="str">
        <f>T_Stocks[[#This Row],[Ticker]] &amp; "-" &amp; DATE(YEAR(T_Stocks[[#This Row],[Fecha]]),MONTH(T_Stocks[[#This Row],[Fecha]]),DAY(T_Stocks[[#This Row],[Fecha]]))</f>
        <v>VTSAX-45265</v>
      </c>
    </row>
    <row r="7993" spans="1:4" ht="14.65" thickBot="1" x14ac:dyDescent="0.5">
      <c r="A7993" s="17">
        <v>45266.666666666664</v>
      </c>
      <c r="B7993" s="19">
        <v>110.01</v>
      </c>
      <c r="C7993" t="s">
        <v>32</v>
      </c>
      <c r="D7993" t="str">
        <f>T_Stocks[[#This Row],[Ticker]] &amp; "-" &amp; DATE(YEAR(T_Stocks[[#This Row],[Fecha]]),MONTH(T_Stocks[[#This Row],[Fecha]]),DAY(T_Stocks[[#This Row],[Fecha]]))</f>
        <v>VTSAX-45266</v>
      </c>
    </row>
    <row r="7994" spans="1:4" ht="14.65" thickBot="1" x14ac:dyDescent="0.5">
      <c r="A7994" s="17">
        <v>45267.666666666664</v>
      </c>
      <c r="B7994" s="19">
        <v>110.89</v>
      </c>
      <c r="C7994" t="s">
        <v>32</v>
      </c>
      <c r="D7994" t="str">
        <f>T_Stocks[[#This Row],[Ticker]] &amp; "-" &amp; DATE(YEAR(T_Stocks[[#This Row],[Fecha]]),MONTH(T_Stocks[[#This Row],[Fecha]]),DAY(T_Stocks[[#This Row],[Fecha]]))</f>
        <v>VTSAX-45267</v>
      </c>
    </row>
    <row r="7995" spans="1:4" ht="14.65" thickBot="1" x14ac:dyDescent="0.5">
      <c r="A7995" s="17">
        <v>45268.666666666664</v>
      </c>
      <c r="B7995" s="19">
        <v>111.39</v>
      </c>
      <c r="C7995" t="s">
        <v>32</v>
      </c>
      <c r="D7995" t="str">
        <f>T_Stocks[[#This Row],[Ticker]] &amp; "-" &amp; DATE(YEAR(T_Stocks[[#This Row],[Fecha]]),MONTH(T_Stocks[[#This Row],[Fecha]]),DAY(T_Stocks[[#This Row],[Fecha]]))</f>
        <v>VTSAX-45268</v>
      </c>
    </row>
    <row r="7996" spans="1:4" ht="14.65" thickBot="1" x14ac:dyDescent="0.5">
      <c r="A7996" s="17">
        <v>45271.666666666664</v>
      </c>
      <c r="B7996" s="19">
        <v>111.83</v>
      </c>
      <c r="C7996" t="s">
        <v>32</v>
      </c>
      <c r="D7996" t="str">
        <f>T_Stocks[[#This Row],[Ticker]] &amp; "-" &amp; DATE(YEAR(T_Stocks[[#This Row],[Fecha]]),MONTH(T_Stocks[[#This Row],[Fecha]]),DAY(T_Stocks[[#This Row],[Fecha]]))</f>
        <v>VTSAX-45271</v>
      </c>
    </row>
    <row r="7997" spans="1:4" ht="14.65" thickBot="1" x14ac:dyDescent="0.5">
      <c r="A7997" s="17">
        <v>45272.666666666664</v>
      </c>
      <c r="B7997" s="19">
        <v>112.29</v>
      </c>
      <c r="C7997" t="s">
        <v>32</v>
      </c>
      <c r="D7997" t="str">
        <f>T_Stocks[[#This Row],[Ticker]] &amp; "-" &amp; DATE(YEAR(T_Stocks[[#This Row],[Fecha]]),MONTH(T_Stocks[[#This Row],[Fecha]]),DAY(T_Stocks[[#This Row],[Fecha]]))</f>
        <v>VTSAX-45272</v>
      </c>
    </row>
    <row r="7998" spans="1:4" ht="14.65" thickBot="1" x14ac:dyDescent="0.5">
      <c r="A7998" s="17">
        <v>45273.666666666664</v>
      </c>
      <c r="B7998" s="19">
        <v>114.04</v>
      </c>
      <c r="C7998" t="s">
        <v>32</v>
      </c>
      <c r="D7998" t="str">
        <f>T_Stocks[[#This Row],[Ticker]] &amp; "-" &amp; DATE(YEAR(T_Stocks[[#This Row],[Fecha]]),MONTH(T_Stocks[[#This Row],[Fecha]]),DAY(T_Stocks[[#This Row],[Fecha]]))</f>
        <v>VTSAX-45273</v>
      </c>
    </row>
    <row r="7999" spans="1:4" ht="14.65" thickBot="1" x14ac:dyDescent="0.5">
      <c r="A7999" s="17">
        <v>45274.666666666664</v>
      </c>
      <c r="B7999" s="19">
        <v>114.69</v>
      </c>
      <c r="C7999" t="s">
        <v>32</v>
      </c>
      <c r="D7999" t="str">
        <f>T_Stocks[[#This Row],[Ticker]] &amp; "-" &amp; DATE(YEAR(T_Stocks[[#This Row],[Fecha]]),MONTH(T_Stocks[[#This Row],[Fecha]]),DAY(T_Stocks[[#This Row],[Fecha]]))</f>
        <v>VTSAX-45274</v>
      </c>
    </row>
    <row r="8000" spans="1:4" ht="14.65" thickBot="1" x14ac:dyDescent="0.5">
      <c r="A8000" s="17">
        <v>45275.666666666664</v>
      </c>
      <c r="B8000" s="19">
        <v>114.58</v>
      </c>
      <c r="C8000" t="s">
        <v>32</v>
      </c>
      <c r="D8000" t="str">
        <f>T_Stocks[[#This Row],[Ticker]] &amp; "-" &amp; DATE(YEAR(T_Stocks[[#This Row],[Fecha]]),MONTH(T_Stocks[[#This Row],[Fecha]]),DAY(T_Stocks[[#This Row],[Fecha]]))</f>
        <v>VTSAX-45275</v>
      </c>
    </row>
    <row r="8001" spans="1:4" ht="14.65" thickBot="1" x14ac:dyDescent="0.5">
      <c r="A8001" s="17">
        <v>45278.666666666664</v>
      </c>
      <c r="B8001" s="19">
        <v>115.05</v>
      </c>
      <c r="C8001" t="s">
        <v>32</v>
      </c>
      <c r="D8001" t="str">
        <f>T_Stocks[[#This Row],[Ticker]] &amp; "-" &amp; DATE(YEAR(T_Stocks[[#This Row],[Fecha]]),MONTH(T_Stocks[[#This Row],[Fecha]]),DAY(T_Stocks[[#This Row],[Fecha]]))</f>
        <v>VTSAX-45278</v>
      </c>
    </row>
    <row r="8002" spans="1:4" ht="14.65" thickBot="1" x14ac:dyDescent="0.5">
      <c r="A8002" s="17">
        <v>45279.666666666664</v>
      </c>
      <c r="B8002" s="19">
        <v>115.88</v>
      </c>
      <c r="C8002" t="s">
        <v>32</v>
      </c>
      <c r="D8002" t="str">
        <f>T_Stocks[[#This Row],[Ticker]] &amp; "-" &amp; DATE(YEAR(T_Stocks[[#This Row],[Fecha]]),MONTH(T_Stocks[[#This Row],[Fecha]]),DAY(T_Stocks[[#This Row],[Fecha]]))</f>
        <v>VTSAX-45279</v>
      </c>
    </row>
    <row r="8003" spans="1:4" ht="14.65" thickBot="1" x14ac:dyDescent="0.5">
      <c r="A8003" s="17">
        <v>45280.666666666664</v>
      </c>
      <c r="B8003" s="19">
        <v>113.64</v>
      </c>
      <c r="C8003" t="s">
        <v>32</v>
      </c>
      <c r="D8003" t="str">
        <f>T_Stocks[[#This Row],[Ticker]] &amp; "-" &amp; DATE(YEAR(T_Stocks[[#This Row],[Fecha]]),MONTH(T_Stocks[[#This Row],[Fecha]]),DAY(T_Stocks[[#This Row],[Fecha]]))</f>
        <v>VTSAX-45280</v>
      </c>
    </row>
    <row r="8004" spans="1:4" ht="14.65" thickBot="1" x14ac:dyDescent="0.5">
      <c r="A8004" s="17">
        <v>45281.666666666664</v>
      </c>
      <c r="B8004" s="19">
        <v>114.9</v>
      </c>
      <c r="C8004" t="s">
        <v>32</v>
      </c>
      <c r="D8004" t="str">
        <f>T_Stocks[[#This Row],[Ticker]] &amp; "-" &amp; DATE(YEAR(T_Stocks[[#This Row],[Fecha]]),MONTH(T_Stocks[[#This Row],[Fecha]]),DAY(T_Stocks[[#This Row],[Fecha]]))</f>
        <v>VTSAX-45281</v>
      </c>
    </row>
    <row r="8005" spans="1:4" ht="14.65" thickBot="1" x14ac:dyDescent="0.5">
      <c r="A8005" s="17">
        <v>45282.666666666664</v>
      </c>
      <c r="B8005" s="19">
        <v>115.16</v>
      </c>
      <c r="C8005" t="s">
        <v>32</v>
      </c>
      <c r="D8005" t="str">
        <f>T_Stocks[[#This Row],[Ticker]] &amp; "-" &amp; DATE(YEAR(T_Stocks[[#This Row],[Fecha]]),MONTH(T_Stocks[[#This Row],[Fecha]]),DAY(T_Stocks[[#This Row],[Fecha]]))</f>
        <v>VTSAX-45282</v>
      </c>
    </row>
    <row r="8006" spans="1:4" ht="14.65" thickBot="1" x14ac:dyDescent="0.5">
      <c r="A8006" s="17">
        <v>45286.666666666664</v>
      </c>
      <c r="B8006" s="19">
        <v>115.73</v>
      </c>
      <c r="C8006" t="s">
        <v>32</v>
      </c>
      <c r="D8006" t="str">
        <f>T_Stocks[[#This Row],[Ticker]] &amp; "-" &amp; DATE(YEAR(T_Stocks[[#This Row],[Fecha]]),MONTH(T_Stocks[[#This Row],[Fecha]]),DAY(T_Stocks[[#This Row],[Fecha]]))</f>
        <v>VTSAX-45286</v>
      </c>
    </row>
    <row r="8007" spans="1:4" ht="14.65" thickBot="1" x14ac:dyDescent="0.5">
      <c r="A8007" s="17">
        <v>45287.666666666664</v>
      </c>
      <c r="B8007" s="19">
        <v>115.93</v>
      </c>
      <c r="C8007" t="s">
        <v>32</v>
      </c>
      <c r="D8007" t="str">
        <f>T_Stocks[[#This Row],[Ticker]] &amp; "-" &amp; DATE(YEAR(T_Stocks[[#This Row],[Fecha]]),MONTH(T_Stocks[[#This Row],[Fecha]]),DAY(T_Stocks[[#This Row],[Fecha]]))</f>
        <v>VTSAX-45287</v>
      </c>
    </row>
    <row r="8008" spans="1:4" ht="14.65" thickBot="1" x14ac:dyDescent="0.5">
      <c r="A8008" s="17">
        <v>45288.666666666664</v>
      </c>
      <c r="B8008" s="19">
        <v>115.97</v>
      </c>
      <c r="C8008" t="s">
        <v>32</v>
      </c>
      <c r="D8008" t="str">
        <f>T_Stocks[[#This Row],[Ticker]] &amp; "-" &amp; DATE(YEAR(T_Stocks[[#This Row],[Fecha]]),MONTH(T_Stocks[[#This Row],[Fecha]]),DAY(T_Stocks[[#This Row],[Fecha]]))</f>
        <v>VTSAX-45288</v>
      </c>
    </row>
    <row r="8009" spans="1:4" ht="14.65" thickBot="1" x14ac:dyDescent="0.5">
      <c r="A8009" s="17">
        <v>45289.666666666664</v>
      </c>
      <c r="B8009" s="19">
        <v>115.49</v>
      </c>
      <c r="C8009" t="s">
        <v>32</v>
      </c>
      <c r="D8009" t="str">
        <f>T_Stocks[[#This Row],[Ticker]] &amp; "-" &amp; DATE(YEAR(T_Stocks[[#This Row],[Fecha]]),MONTH(T_Stocks[[#This Row],[Fecha]]),DAY(T_Stocks[[#This Row],[Fecha]]))</f>
        <v>VTSAX-45289</v>
      </c>
    </row>
    <row r="8010" spans="1:4" ht="14.65" thickBot="1" x14ac:dyDescent="0.5">
      <c r="A8010" s="17">
        <v>45293.666666666664</v>
      </c>
      <c r="B8010" s="19">
        <v>114.76</v>
      </c>
      <c r="C8010" t="s">
        <v>32</v>
      </c>
      <c r="D8010" t="str">
        <f>T_Stocks[[#This Row],[Ticker]] &amp; "-" &amp; DATE(YEAR(T_Stocks[[#This Row],[Fecha]]),MONTH(T_Stocks[[#This Row],[Fecha]]),DAY(T_Stocks[[#This Row],[Fecha]]))</f>
        <v>VTSAX-45293</v>
      </c>
    </row>
    <row r="8011" spans="1:4" ht="14.65" thickBot="1" x14ac:dyDescent="0.5">
      <c r="A8011" s="17">
        <v>45294.666666666664</v>
      </c>
      <c r="B8011" s="19">
        <v>113.59</v>
      </c>
      <c r="C8011" t="s">
        <v>32</v>
      </c>
      <c r="D8011" t="str">
        <f>T_Stocks[[#This Row],[Ticker]] &amp; "-" &amp; DATE(YEAR(T_Stocks[[#This Row],[Fecha]]),MONTH(T_Stocks[[#This Row],[Fecha]]),DAY(T_Stocks[[#This Row],[Fecha]]))</f>
        <v>VTSAX-45294</v>
      </c>
    </row>
    <row r="8012" spans="1:4" ht="14.65" thickBot="1" x14ac:dyDescent="0.5">
      <c r="A8012" s="17">
        <v>45295.666666666664</v>
      </c>
      <c r="B8012" s="19">
        <v>113.27</v>
      </c>
      <c r="C8012" t="s">
        <v>32</v>
      </c>
      <c r="D8012" t="str">
        <f>T_Stocks[[#This Row],[Ticker]] &amp; "-" &amp; DATE(YEAR(T_Stocks[[#This Row],[Fecha]]),MONTH(T_Stocks[[#This Row],[Fecha]]),DAY(T_Stocks[[#This Row],[Fecha]]))</f>
        <v>VTSAX-45295</v>
      </c>
    </row>
    <row r="8013" spans="1:4" ht="14.65" thickBot="1" x14ac:dyDescent="0.5">
      <c r="A8013" s="17">
        <v>45296.666666666664</v>
      </c>
      <c r="B8013" s="19">
        <v>113.46</v>
      </c>
      <c r="C8013" t="s">
        <v>32</v>
      </c>
      <c r="D8013" t="str">
        <f>T_Stocks[[#This Row],[Ticker]] &amp; "-" &amp; DATE(YEAR(T_Stocks[[#This Row],[Fecha]]),MONTH(T_Stocks[[#This Row],[Fecha]]),DAY(T_Stocks[[#This Row],[Fecha]]))</f>
        <v>VTSAX-45296</v>
      </c>
    </row>
    <row r="8014" spans="1:4" ht="14.65" thickBot="1" x14ac:dyDescent="0.5">
      <c r="A8014" s="17">
        <v>45299.666666666664</v>
      </c>
      <c r="B8014" s="19">
        <v>115.13</v>
      </c>
      <c r="C8014" t="s">
        <v>32</v>
      </c>
      <c r="D8014" t="str">
        <f>T_Stocks[[#This Row],[Ticker]] &amp; "-" &amp; DATE(YEAR(T_Stocks[[#This Row],[Fecha]]),MONTH(T_Stocks[[#This Row],[Fecha]]),DAY(T_Stocks[[#This Row],[Fecha]]))</f>
        <v>VTSAX-45299</v>
      </c>
    </row>
    <row r="8015" spans="1:4" ht="14.65" thickBot="1" x14ac:dyDescent="0.5">
      <c r="A8015" s="17">
        <v>45300.666666666664</v>
      </c>
      <c r="B8015" s="19">
        <v>114.9</v>
      </c>
      <c r="C8015" t="s">
        <v>32</v>
      </c>
      <c r="D8015" t="str">
        <f>T_Stocks[[#This Row],[Ticker]] &amp; "-" &amp; DATE(YEAR(T_Stocks[[#This Row],[Fecha]]),MONTH(T_Stocks[[#This Row],[Fecha]]),DAY(T_Stocks[[#This Row],[Fecha]]))</f>
        <v>VTSAX-45300</v>
      </c>
    </row>
    <row r="8016" spans="1:4" ht="14.65" thickBot="1" x14ac:dyDescent="0.5">
      <c r="A8016" s="17">
        <v>45301.666666666664</v>
      </c>
      <c r="B8016" s="19">
        <v>115.51</v>
      </c>
      <c r="C8016" t="s">
        <v>32</v>
      </c>
      <c r="D8016" t="str">
        <f>T_Stocks[[#This Row],[Ticker]] &amp; "-" &amp; DATE(YEAR(T_Stocks[[#This Row],[Fecha]]),MONTH(T_Stocks[[#This Row],[Fecha]]),DAY(T_Stocks[[#This Row],[Fecha]]))</f>
        <v>VTSAX-45301</v>
      </c>
    </row>
    <row r="8017" spans="1:4" ht="14.65" thickBot="1" x14ac:dyDescent="0.5">
      <c r="A8017" s="17">
        <v>45302.666666666664</v>
      </c>
      <c r="B8017" s="19">
        <v>115.38</v>
      </c>
      <c r="C8017" t="s">
        <v>32</v>
      </c>
      <c r="D8017" t="str">
        <f>T_Stocks[[#This Row],[Ticker]] &amp; "-" &amp; DATE(YEAR(T_Stocks[[#This Row],[Fecha]]),MONTH(T_Stocks[[#This Row],[Fecha]]),DAY(T_Stocks[[#This Row],[Fecha]]))</f>
        <v>VTSAX-45302</v>
      </c>
    </row>
    <row r="8018" spans="1:4" ht="14.65" thickBot="1" x14ac:dyDescent="0.5">
      <c r="A8018" s="17">
        <v>45303.666666666664</v>
      </c>
      <c r="B8018" s="19">
        <v>115.43</v>
      </c>
      <c r="C8018" t="s">
        <v>32</v>
      </c>
      <c r="D8018" t="str">
        <f>T_Stocks[[#This Row],[Ticker]] &amp; "-" &amp; DATE(YEAR(T_Stocks[[#This Row],[Fecha]]),MONTH(T_Stocks[[#This Row],[Fecha]]),DAY(T_Stocks[[#This Row],[Fecha]]))</f>
        <v>VTSAX-45303</v>
      </c>
    </row>
    <row r="8019" spans="1:4" ht="14.65" thickBot="1" x14ac:dyDescent="0.5">
      <c r="A8019" s="17">
        <v>45307.666666666664</v>
      </c>
      <c r="B8019" s="19">
        <v>114.91</v>
      </c>
      <c r="C8019" t="s">
        <v>32</v>
      </c>
      <c r="D8019" t="str">
        <f>T_Stocks[[#This Row],[Ticker]] &amp; "-" &amp; DATE(YEAR(T_Stocks[[#This Row],[Fecha]]),MONTH(T_Stocks[[#This Row],[Fecha]]),DAY(T_Stocks[[#This Row],[Fecha]]))</f>
        <v>VTSAX-45307</v>
      </c>
    </row>
    <row r="8020" spans="1:4" ht="14.65" thickBot="1" x14ac:dyDescent="0.5">
      <c r="A8020" s="17">
        <v>45308.666666666664</v>
      </c>
      <c r="B8020" s="19">
        <v>114.24</v>
      </c>
      <c r="C8020" t="s">
        <v>32</v>
      </c>
      <c r="D8020" t="str">
        <f>T_Stocks[[#This Row],[Ticker]] &amp; "-" &amp; DATE(YEAR(T_Stocks[[#This Row],[Fecha]]),MONTH(T_Stocks[[#This Row],[Fecha]]),DAY(T_Stocks[[#This Row],[Fecha]]))</f>
        <v>VTSAX-45308</v>
      </c>
    </row>
    <row r="8021" spans="1:4" ht="14.65" thickBot="1" x14ac:dyDescent="0.5">
      <c r="A8021" s="17">
        <v>45309.666666666664</v>
      </c>
      <c r="B8021" s="19">
        <v>115.22</v>
      </c>
      <c r="C8021" t="s">
        <v>32</v>
      </c>
      <c r="D8021" t="str">
        <f>T_Stocks[[#This Row],[Ticker]] &amp; "-" &amp; DATE(YEAR(T_Stocks[[#This Row],[Fecha]]),MONTH(T_Stocks[[#This Row],[Fecha]]),DAY(T_Stocks[[#This Row],[Fecha]]))</f>
        <v>VTSAX-45309</v>
      </c>
    </row>
    <row r="8022" spans="1:4" ht="14.65" thickBot="1" x14ac:dyDescent="0.5">
      <c r="A8022" s="17">
        <v>45310.666666666664</v>
      </c>
      <c r="B8022" s="19">
        <v>116.63</v>
      </c>
      <c r="C8022" t="s">
        <v>32</v>
      </c>
      <c r="D8022" t="str">
        <f>T_Stocks[[#This Row],[Ticker]] &amp; "-" &amp; DATE(YEAR(T_Stocks[[#This Row],[Fecha]]),MONTH(T_Stocks[[#This Row],[Fecha]]),DAY(T_Stocks[[#This Row],[Fecha]]))</f>
        <v>VTSAX-45310</v>
      </c>
    </row>
    <row r="8023" spans="1:4" ht="14.65" thickBot="1" x14ac:dyDescent="0.5">
      <c r="A8023" s="17">
        <v>45313.666666666664</v>
      </c>
      <c r="B8023" s="19">
        <v>117.09</v>
      </c>
      <c r="C8023" t="s">
        <v>32</v>
      </c>
      <c r="D8023" t="str">
        <f>T_Stocks[[#This Row],[Ticker]] &amp; "-" &amp; DATE(YEAR(T_Stocks[[#This Row],[Fecha]]),MONTH(T_Stocks[[#This Row],[Fecha]]),DAY(T_Stocks[[#This Row],[Fecha]]))</f>
        <v>VTSAX-45313</v>
      </c>
    </row>
    <row r="8024" spans="1:4" ht="14.65" thickBot="1" x14ac:dyDescent="0.5">
      <c r="A8024" s="17">
        <v>45314.666666666664</v>
      </c>
      <c r="B8024" s="19">
        <v>117.34</v>
      </c>
      <c r="C8024" t="s">
        <v>32</v>
      </c>
      <c r="D8024" t="str">
        <f>T_Stocks[[#This Row],[Ticker]] &amp; "-" &amp; DATE(YEAR(T_Stocks[[#This Row],[Fecha]]),MONTH(T_Stocks[[#This Row],[Fecha]]),DAY(T_Stocks[[#This Row],[Fecha]]))</f>
        <v>VTSAX-45314</v>
      </c>
    </row>
    <row r="8025" spans="1:4" ht="14.65" thickBot="1" x14ac:dyDescent="0.5">
      <c r="A8025" s="17">
        <v>45315.666666666664</v>
      </c>
      <c r="B8025" s="19">
        <v>117.31</v>
      </c>
      <c r="C8025" t="s">
        <v>32</v>
      </c>
      <c r="D8025" t="str">
        <f>T_Stocks[[#This Row],[Ticker]] &amp; "-" &amp; DATE(YEAR(T_Stocks[[#This Row],[Fecha]]),MONTH(T_Stocks[[#This Row],[Fecha]]),DAY(T_Stocks[[#This Row],[Fecha]]))</f>
        <v>VTSAX-45315</v>
      </c>
    </row>
    <row r="8026" spans="1:4" ht="14.65" thickBot="1" x14ac:dyDescent="0.5">
      <c r="A8026" s="17">
        <v>45316.666666666664</v>
      </c>
      <c r="B8026" s="19">
        <v>117.92</v>
      </c>
      <c r="C8026" t="s">
        <v>32</v>
      </c>
      <c r="D8026" t="str">
        <f>T_Stocks[[#This Row],[Ticker]] &amp; "-" &amp; DATE(YEAR(T_Stocks[[#This Row],[Fecha]]),MONTH(T_Stocks[[#This Row],[Fecha]]),DAY(T_Stocks[[#This Row],[Fecha]]))</f>
        <v>VTSAX-45316</v>
      </c>
    </row>
    <row r="8027" spans="1:4" ht="14.65" thickBot="1" x14ac:dyDescent="0.5">
      <c r="A8027" s="17">
        <v>45317.666666666664</v>
      </c>
      <c r="B8027" s="19">
        <v>117.89</v>
      </c>
      <c r="C8027" t="s">
        <v>32</v>
      </c>
      <c r="D8027" t="str">
        <f>T_Stocks[[#This Row],[Ticker]] &amp; "-" &amp; DATE(YEAR(T_Stocks[[#This Row],[Fecha]]),MONTH(T_Stocks[[#This Row],[Fecha]]),DAY(T_Stocks[[#This Row],[Fecha]]))</f>
        <v>VTSAX-45317</v>
      </c>
    </row>
    <row r="8028" spans="1:4" ht="14.65" thickBot="1" x14ac:dyDescent="0.5">
      <c r="A8028" s="17">
        <v>45320.666666666664</v>
      </c>
      <c r="B8028" s="19">
        <v>118.92</v>
      </c>
      <c r="C8028" t="s">
        <v>32</v>
      </c>
      <c r="D8028" t="str">
        <f>T_Stocks[[#This Row],[Ticker]] &amp; "-" &amp; DATE(YEAR(T_Stocks[[#This Row],[Fecha]]),MONTH(T_Stocks[[#This Row],[Fecha]]),DAY(T_Stocks[[#This Row],[Fecha]]))</f>
        <v>VTSAX-45320</v>
      </c>
    </row>
    <row r="8029" spans="1:4" ht="14.65" thickBot="1" x14ac:dyDescent="0.5">
      <c r="A8029" s="17">
        <v>45321.666666666664</v>
      </c>
      <c r="B8029" s="19">
        <v>118.76</v>
      </c>
      <c r="C8029" t="s">
        <v>32</v>
      </c>
      <c r="D8029" t="str">
        <f>T_Stocks[[#This Row],[Ticker]] &amp; "-" &amp; DATE(YEAR(T_Stocks[[#This Row],[Fecha]]),MONTH(T_Stocks[[#This Row],[Fecha]]),DAY(T_Stocks[[#This Row],[Fecha]]))</f>
        <v>VTSAX-45321</v>
      </c>
    </row>
    <row r="8030" spans="1:4" ht="14.65" thickBot="1" x14ac:dyDescent="0.5">
      <c r="A8030" s="17">
        <v>45322.666666666664</v>
      </c>
      <c r="B8030" s="19">
        <v>116.78</v>
      </c>
      <c r="C8030" t="s">
        <v>32</v>
      </c>
      <c r="D8030" t="str">
        <f>T_Stocks[[#This Row],[Ticker]] &amp; "-" &amp; DATE(YEAR(T_Stocks[[#This Row],[Fecha]]),MONTH(T_Stocks[[#This Row],[Fecha]]),DAY(T_Stocks[[#This Row],[Fecha]]))</f>
        <v>VTSAX-45322</v>
      </c>
    </row>
    <row r="8031" spans="1:4" ht="14.65" thickBot="1" x14ac:dyDescent="0.5">
      <c r="A8031" s="17">
        <v>45323.666666666664</v>
      </c>
      <c r="B8031" s="19">
        <v>118.25</v>
      </c>
      <c r="C8031" t="s">
        <v>32</v>
      </c>
      <c r="D8031" t="str">
        <f>T_Stocks[[#This Row],[Ticker]] &amp; "-" &amp; DATE(YEAR(T_Stocks[[#This Row],[Fecha]]),MONTH(T_Stocks[[#This Row],[Fecha]]),DAY(T_Stocks[[#This Row],[Fecha]]))</f>
        <v>VTSAX-45323</v>
      </c>
    </row>
    <row r="8032" spans="1:4" ht="14.65" thickBot="1" x14ac:dyDescent="0.5">
      <c r="A8032" s="17">
        <v>45324.666666666664</v>
      </c>
      <c r="B8032" s="19">
        <v>119.37</v>
      </c>
      <c r="C8032" t="s">
        <v>32</v>
      </c>
      <c r="D8032" t="str">
        <f>T_Stocks[[#This Row],[Ticker]] &amp; "-" &amp; DATE(YEAR(T_Stocks[[#This Row],[Fecha]]),MONTH(T_Stocks[[#This Row],[Fecha]]),DAY(T_Stocks[[#This Row],[Fecha]]))</f>
        <v>VTSAX-45324</v>
      </c>
    </row>
    <row r="8033" spans="1:4" ht="14.65" thickBot="1" x14ac:dyDescent="0.5">
      <c r="A8033" s="17">
        <v>45327.666666666664</v>
      </c>
      <c r="B8033" s="19">
        <v>118.83</v>
      </c>
      <c r="C8033" t="s">
        <v>32</v>
      </c>
      <c r="D8033" t="str">
        <f>T_Stocks[[#This Row],[Ticker]] &amp; "-" &amp; DATE(YEAR(T_Stocks[[#This Row],[Fecha]]),MONTH(T_Stocks[[#This Row],[Fecha]]),DAY(T_Stocks[[#This Row],[Fecha]]))</f>
        <v>VTSAX-45327</v>
      </c>
    </row>
    <row r="8034" spans="1:4" ht="14.65" thickBot="1" x14ac:dyDescent="0.5">
      <c r="A8034" s="17">
        <v>45328.666666666664</v>
      </c>
      <c r="B8034" s="19">
        <v>119.21</v>
      </c>
      <c r="C8034" t="s">
        <v>32</v>
      </c>
      <c r="D8034" t="str">
        <f>T_Stocks[[#This Row],[Ticker]] &amp; "-" &amp; DATE(YEAR(T_Stocks[[#This Row],[Fecha]]),MONTH(T_Stocks[[#This Row],[Fecha]]),DAY(T_Stocks[[#This Row],[Fecha]]))</f>
        <v>VTSAX-45328</v>
      </c>
    </row>
    <row r="8035" spans="1:4" ht="14.65" thickBot="1" x14ac:dyDescent="0.5">
      <c r="A8035" s="17">
        <v>45329.666666666664</v>
      </c>
      <c r="B8035" s="19">
        <v>120.12</v>
      </c>
      <c r="C8035" t="s">
        <v>32</v>
      </c>
      <c r="D8035" t="str">
        <f>T_Stocks[[#This Row],[Ticker]] &amp; "-" &amp; DATE(YEAR(T_Stocks[[#This Row],[Fecha]]),MONTH(T_Stocks[[#This Row],[Fecha]]),DAY(T_Stocks[[#This Row],[Fecha]]))</f>
        <v>VTSAX-45329</v>
      </c>
    </row>
    <row r="8036" spans="1:4" ht="14.65" thickBot="1" x14ac:dyDescent="0.5">
      <c r="A8036" s="17">
        <v>45330.666666666664</v>
      </c>
      <c r="B8036" s="19">
        <v>120.39</v>
      </c>
      <c r="C8036" t="s">
        <v>32</v>
      </c>
      <c r="D8036" t="str">
        <f>T_Stocks[[#This Row],[Ticker]] &amp; "-" &amp; DATE(YEAR(T_Stocks[[#This Row],[Fecha]]),MONTH(T_Stocks[[#This Row],[Fecha]]),DAY(T_Stocks[[#This Row],[Fecha]]))</f>
        <v>VTSAX-45330</v>
      </c>
    </row>
    <row r="8037" spans="1:4" ht="14.65" thickBot="1" x14ac:dyDescent="0.5">
      <c r="A8037" s="17">
        <v>45331.666666666664</v>
      </c>
      <c r="B8037" s="19">
        <v>121.18</v>
      </c>
      <c r="C8037" t="s">
        <v>32</v>
      </c>
      <c r="D8037" t="str">
        <f>T_Stocks[[#This Row],[Ticker]] &amp; "-" &amp; DATE(YEAR(T_Stocks[[#This Row],[Fecha]]),MONTH(T_Stocks[[#This Row],[Fecha]]),DAY(T_Stocks[[#This Row],[Fecha]]))</f>
        <v>VTSAX-45331</v>
      </c>
    </row>
    <row r="8038" spans="1:4" ht="14.65" thickBot="1" x14ac:dyDescent="0.5">
      <c r="A8038" s="17">
        <v>45334.666666666664</v>
      </c>
      <c r="B8038" s="19">
        <v>121.23</v>
      </c>
      <c r="C8038" t="s">
        <v>32</v>
      </c>
      <c r="D8038" t="str">
        <f>T_Stocks[[#This Row],[Ticker]] &amp; "-" &amp; DATE(YEAR(T_Stocks[[#This Row],[Fecha]]),MONTH(T_Stocks[[#This Row],[Fecha]]),DAY(T_Stocks[[#This Row],[Fecha]]))</f>
        <v>VTSAX-45334</v>
      </c>
    </row>
    <row r="8039" spans="1:4" ht="14.65" thickBot="1" x14ac:dyDescent="0.5">
      <c r="A8039" s="17">
        <v>45335.666666666664</v>
      </c>
      <c r="B8039" s="19">
        <v>119.34</v>
      </c>
      <c r="C8039" t="s">
        <v>32</v>
      </c>
      <c r="D8039" t="str">
        <f>T_Stocks[[#This Row],[Ticker]] &amp; "-" &amp; DATE(YEAR(T_Stocks[[#This Row],[Fecha]]),MONTH(T_Stocks[[#This Row],[Fecha]]),DAY(T_Stocks[[#This Row],[Fecha]]))</f>
        <v>VTSAX-45335</v>
      </c>
    </row>
    <row r="8040" spans="1:4" ht="14.65" thickBot="1" x14ac:dyDescent="0.5">
      <c r="A8040" s="17">
        <v>45336.666666666664</v>
      </c>
      <c r="B8040" s="19">
        <v>120.69</v>
      </c>
      <c r="C8040" t="s">
        <v>32</v>
      </c>
      <c r="D8040" t="str">
        <f>T_Stocks[[#This Row],[Ticker]] &amp; "-" &amp; DATE(YEAR(T_Stocks[[#This Row],[Fecha]]),MONTH(T_Stocks[[#This Row],[Fecha]]),DAY(T_Stocks[[#This Row],[Fecha]]))</f>
        <v>VTSAX-45336</v>
      </c>
    </row>
    <row r="8041" spans="1:4" ht="14.65" thickBot="1" x14ac:dyDescent="0.5">
      <c r="A8041" s="17">
        <v>45337.666666666664</v>
      </c>
      <c r="B8041" s="19">
        <v>121.58</v>
      </c>
      <c r="C8041" t="s">
        <v>32</v>
      </c>
      <c r="D8041" t="str">
        <f>T_Stocks[[#This Row],[Ticker]] &amp; "-" &amp; DATE(YEAR(T_Stocks[[#This Row],[Fecha]]),MONTH(T_Stocks[[#This Row],[Fecha]]),DAY(T_Stocks[[#This Row],[Fecha]]))</f>
        <v>VTSAX-45337</v>
      </c>
    </row>
    <row r="8042" spans="1:4" ht="14.65" thickBot="1" x14ac:dyDescent="0.5">
      <c r="A8042" s="17">
        <v>45338.666666666664</v>
      </c>
      <c r="B8042" s="19">
        <v>120.95</v>
      </c>
      <c r="C8042" t="s">
        <v>32</v>
      </c>
      <c r="D8042" t="str">
        <f>T_Stocks[[#This Row],[Ticker]] &amp; "-" &amp; DATE(YEAR(T_Stocks[[#This Row],[Fecha]]),MONTH(T_Stocks[[#This Row],[Fecha]]),DAY(T_Stocks[[#This Row],[Fecha]]))</f>
        <v>VTSAX-45338</v>
      </c>
    </row>
    <row r="8043" spans="1:4" ht="14.65" thickBot="1" x14ac:dyDescent="0.5">
      <c r="A8043" s="17">
        <v>45342.666666666664</v>
      </c>
      <c r="B8043" s="19">
        <v>120.14</v>
      </c>
      <c r="C8043" t="s">
        <v>32</v>
      </c>
      <c r="D8043" t="str">
        <f>T_Stocks[[#This Row],[Ticker]] &amp; "-" &amp; DATE(YEAR(T_Stocks[[#This Row],[Fecha]]),MONTH(T_Stocks[[#This Row],[Fecha]]),DAY(T_Stocks[[#This Row],[Fecha]]))</f>
        <v>VTSAX-45342</v>
      </c>
    </row>
    <row r="8044" spans="1:4" ht="14.65" thickBot="1" x14ac:dyDescent="0.5">
      <c r="A8044" s="17">
        <v>45343.666666666664</v>
      </c>
      <c r="B8044" s="19">
        <v>120.18</v>
      </c>
      <c r="C8044" t="s">
        <v>32</v>
      </c>
      <c r="D8044" t="str">
        <f>T_Stocks[[#This Row],[Ticker]] &amp; "-" &amp; DATE(YEAR(T_Stocks[[#This Row],[Fecha]]),MONTH(T_Stocks[[#This Row],[Fecha]]),DAY(T_Stocks[[#This Row],[Fecha]]))</f>
        <v>VTSAX-45343</v>
      </c>
    </row>
    <row r="8045" spans="1:4" ht="14.65" thickBot="1" x14ac:dyDescent="0.5">
      <c r="A8045" s="17">
        <v>45344.666666666664</v>
      </c>
      <c r="B8045" s="19">
        <v>122.58</v>
      </c>
      <c r="C8045" t="s">
        <v>32</v>
      </c>
      <c r="D8045" t="str">
        <f>T_Stocks[[#This Row],[Ticker]] &amp; "-" &amp; DATE(YEAR(T_Stocks[[#This Row],[Fecha]]),MONTH(T_Stocks[[#This Row],[Fecha]]),DAY(T_Stocks[[#This Row],[Fecha]]))</f>
        <v>VTSAX-45344</v>
      </c>
    </row>
    <row r="8046" spans="1:4" ht="14.65" thickBot="1" x14ac:dyDescent="0.5">
      <c r="A8046" s="17">
        <v>45345.666666666664</v>
      </c>
      <c r="B8046" s="19">
        <v>122.66</v>
      </c>
      <c r="C8046" t="s">
        <v>32</v>
      </c>
      <c r="D8046" t="str">
        <f>T_Stocks[[#This Row],[Ticker]] &amp; "-" &amp; DATE(YEAR(T_Stocks[[#This Row],[Fecha]]),MONTH(T_Stocks[[#This Row],[Fecha]]),DAY(T_Stocks[[#This Row],[Fecha]]))</f>
        <v>VTSAX-45345</v>
      </c>
    </row>
    <row r="8047" spans="1:4" ht="14.65" thickBot="1" x14ac:dyDescent="0.5">
      <c r="A8047" s="17">
        <v>45348.666666666664</v>
      </c>
      <c r="B8047" s="19">
        <v>122.32</v>
      </c>
      <c r="C8047" t="s">
        <v>32</v>
      </c>
      <c r="D8047" t="str">
        <f>T_Stocks[[#This Row],[Ticker]] &amp; "-" &amp; DATE(YEAR(T_Stocks[[#This Row],[Fecha]]),MONTH(T_Stocks[[#This Row],[Fecha]]),DAY(T_Stocks[[#This Row],[Fecha]]))</f>
        <v>VTSAX-45348</v>
      </c>
    </row>
    <row r="8048" spans="1:4" ht="14.65" thickBot="1" x14ac:dyDescent="0.5">
      <c r="A8048" s="17">
        <v>45349.666666666664</v>
      </c>
      <c r="B8048" s="19">
        <v>122.64</v>
      </c>
      <c r="C8048" t="s">
        <v>32</v>
      </c>
      <c r="D8048" t="str">
        <f>T_Stocks[[#This Row],[Ticker]] &amp; "-" &amp; DATE(YEAR(T_Stocks[[#This Row],[Fecha]]),MONTH(T_Stocks[[#This Row],[Fecha]]),DAY(T_Stocks[[#This Row],[Fecha]]))</f>
        <v>VTSAX-45349</v>
      </c>
    </row>
    <row r="8049" spans="1:4" ht="14.65" thickBot="1" x14ac:dyDescent="0.5">
      <c r="A8049" s="17">
        <v>45350.666666666664</v>
      </c>
      <c r="B8049" s="19">
        <v>122.42</v>
      </c>
      <c r="C8049" t="s">
        <v>32</v>
      </c>
      <c r="D8049" t="str">
        <f>T_Stocks[[#This Row],[Ticker]] &amp; "-" &amp; DATE(YEAR(T_Stocks[[#This Row],[Fecha]]),MONTH(T_Stocks[[#This Row],[Fecha]]),DAY(T_Stocks[[#This Row],[Fecha]]))</f>
        <v>VTSAX-45350</v>
      </c>
    </row>
    <row r="8050" spans="1:4" ht="14.65" thickBot="1" x14ac:dyDescent="0.5">
      <c r="A8050" s="17">
        <v>45351.666666666664</v>
      </c>
      <c r="B8050" s="19">
        <v>123.09</v>
      </c>
      <c r="C8050" t="s">
        <v>32</v>
      </c>
      <c r="D8050" t="str">
        <f>T_Stocks[[#This Row],[Ticker]] &amp; "-" &amp; DATE(YEAR(T_Stocks[[#This Row],[Fecha]]),MONTH(T_Stocks[[#This Row],[Fecha]]),DAY(T_Stocks[[#This Row],[Fecha]]))</f>
        <v>VTSAX-45351</v>
      </c>
    </row>
    <row r="8051" spans="1:4" ht="14.65" thickBot="1" x14ac:dyDescent="0.5">
      <c r="A8051" s="17">
        <v>45352.666666666664</v>
      </c>
      <c r="B8051" s="19">
        <v>124.07</v>
      </c>
      <c r="C8051" t="s">
        <v>32</v>
      </c>
      <c r="D8051" t="str">
        <f>T_Stocks[[#This Row],[Ticker]] &amp; "-" &amp; DATE(YEAR(T_Stocks[[#This Row],[Fecha]]),MONTH(T_Stocks[[#This Row],[Fecha]]),DAY(T_Stocks[[#This Row],[Fecha]]))</f>
        <v>VTSAX-45352</v>
      </c>
    </row>
    <row r="8052" spans="1:4" ht="14.65" thickBot="1" x14ac:dyDescent="0.5">
      <c r="A8052" s="17">
        <v>45355.666666666664</v>
      </c>
      <c r="B8052" s="19">
        <v>123.95</v>
      </c>
      <c r="C8052" t="s">
        <v>32</v>
      </c>
      <c r="D8052" t="str">
        <f>T_Stocks[[#This Row],[Ticker]] &amp; "-" &amp; DATE(YEAR(T_Stocks[[#This Row],[Fecha]]),MONTH(T_Stocks[[#This Row],[Fecha]]),DAY(T_Stocks[[#This Row],[Fecha]]))</f>
        <v>VTSAX-45355</v>
      </c>
    </row>
    <row r="8053" spans="1:4" ht="14.65" thickBot="1" x14ac:dyDescent="0.5">
      <c r="A8053" s="17">
        <v>45356.666666666664</v>
      </c>
      <c r="B8053" s="19">
        <v>122.65</v>
      </c>
      <c r="C8053" t="s">
        <v>32</v>
      </c>
      <c r="D8053" t="str">
        <f>T_Stocks[[#This Row],[Ticker]] &amp; "-" &amp; DATE(YEAR(T_Stocks[[#This Row],[Fecha]]),MONTH(T_Stocks[[#This Row],[Fecha]]),DAY(T_Stocks[[#This Row],[Fecha]]))</f>
        <v>VTSAX-45356</v>
      </c>
    </row>
    <row r="8054" spans="1:4" ht="14.65" thickBot="1" x14ac:dyDescent="0.5">
      <c r="A8054" s="17">
        <v>45357.666666666664</v>
      </c>
      <c r="B8054" s="19">
        <v>123.34</v>
      </c>
      <c r="C8054" t="s">
        <v>32</v>
      </c>
      <c r="D8054" t="str">
        <f>T_Stocks[[#This Row],[Ticker]] &amp; "-" &amp; DATE(YEAR(T_Stocks[[#This Row],[Fecha]]),MONTH(T_Stocks[[#This Row],[Fecha]]),DAY(T_Stocks[[#This Row],[Fecha]]))</f>
        <v>VTSAX-45357</v>
      </c>
    </row>
    <row r="8055" spans="1:4" ht="14.65" thickBot="1" x14ac:dyDescent="0.5">
      <c r="A8055" s="17">
        <v>45358.666666666664</v>
      </c>
      <c r="B8055" s="19">
        <v>124.59</v>
      </c>
      <c r="C8055" t="s">
        <v>32</v>
      </c>
      <c r="D8055" t="str">
        <f>T_Stocks[[#This Row],[Ticker]] &amp; "-" &amp; DATE(YEAR(T_Stocks[[#This Row],[Fecha]]),MONTH(T_Stocks[[#This Row],[Fecha]]),DAY(T_Stocks[[#This Row],[Fecha]]))</f>
        <v>VTSAX-45358</v>
      </c>
    </row>
    <row r="8056" spans="1:4" ht="14.65" thickBot="1" x14ac:dyDescent="0.5">
      <c r="A8056" s="17">
        <v>45359.666666666664</v>
      </c>
      <c r="B8056" s="19">
        <v>123.83</v>
      </c>
      <c r="C8056" t="s">
        <v>32</v>
      </c>
      <c r="D8056" t="str">
        <f>T_Stocks[[#This Row],[Ticker]] &amp; "-" &amp; DATE(YEAR(T_Stocks[[#This Row],[Fecha]]),MONTH(T_Stocks[[#This Row],[Fecha]]),DAY(T_Stocks[[#This Row],[Fecha]]))</f>
        <v>VTSAX-45359</v>
      </c>
    </row>
    <row r="8057" spans="1:4" ht="14.65" thickBot="1" x14ac:dyDescent="0.5">
      <c r="A8057" s="17">
        <v>45362.666666666664</v>
      </c>
      <c r="B8057" s="19">
        <v>123.61</v>
      </c>
      <c r="C8057" t="s">
        <v>32</v>
      </c>
      <c r="D8057" t="str">
        <f>T_Stocks[[#This Row],[Ticker]] &amp; "-" &amp; DATE(YEAR(T_Stocks[[#This Row],[Fecha]]),MONTH(T_Stocks[[#This Row],[Fecha]]),DAY(T_Stocks[[#This Row],[Fecha]]))</f>
        <v>VTSAX-45362</v>
      </c>
    </row>
    <row r="8058" spans="1:4" ht="14.65" thickBot="1" x14ac:dyDescent="0.5">
      <c r="A8058" s="17">
        <v>45363.666666666664</v>
      </c>
      <c r="B8058" s="19">
        <v>124.85</v>
      </c>
      <c r="C8058" t="s">
        <v>32</v>
      </c>
      <c r="D8058" t="str">
        <f>T_Stocks[[#This Row],[Ticker]] &amp; "-" &amp; DATE(YEAR(T_Stocks[[#This Row],[Fecha]]),MONTH(T_Stocks[[#This Row],[Fecha]]),DAY(T_Stocks[[#This Row],[Fecha]]))</f>
        <v>VTSAX-45363</v>
      </c>
    </row>
    <row r="8059" spans="1:4" ht="14.65" thickBot="1" x14ac:dyDescent="0.5">
      <c r="A8059" s="17">
        <v>45364.666666666664</v>
      </c>
      <c r="B8059" s="19">
        <v>124.69</v>
      </c>
      <c r="C8059" t="s">
        <v>32</v>
      </c>
      <c r="D8059" t="str">
        <f>T_Stocks[[#This Row],[Ticker]] &amp; "-" &amp; DATE(YEAR(T_Stocks[[#This Row],[Fecha]]),MONTH(T_Stocks[[#This Row],[Fecha]]),DAY(T_Stocks[[#This Row],[Fecha]]))</f>
        <v>VTSAX-45364</v>
      </c>
    </row>
    <row r="8060" spans="1:4" ht="14.65" thickBot="1" x14ac:dyDescent="0.5">
      <c r="A8060" s="17">
        <v>45365.666666666664</v>
      </c>
      <c r="B8060" s="19">
        <v>124.18</v>
      </c>
      <c r="C8060" t="s">
        <v>32</v>
      </c>
      <c r="D8060" t="str">
        <f>T_Stocks[[#This Row],[Ticker]] &amp; "-" &amp; DATE(YEAR(T_Stocks[[#This Row],[Fecha]]),MONTH(T_Stocks[[#This Row],[Fecha]]),DAY(T_Stocks[[#This Row],[Fecha]]))</f>
        <v>VTSAX-45365</v>
      </c>
    </row>
    <row r="8061" spans="1:4" ht="14.65" thickBot="1" x14ac:dyDescent="0.5">
      <c r="A8061" s="17">
        <v>45366.666666666664</v>
      </c>
      <c r="B8061" s="19">
        <v>123.47</v>
      </c>
      <c r="C8061" t="s">
        <v>32</v>
      </c>
      <c r="D8061" t="str">
        <f>T_Stocks[[#This Row],[Ticker]] &amp; "-" &amp; DATE(YEAR(T_Stocks[[#This Row],[Fecha]]),MONTH(T_Stocks[[#This Row],[Fecha]]),DAY(T_Stocks[[#This Row],[Fecha]]))</f>
        <v>VTSAX-45366</v>
      </c>
    </row>
    <row r="8062" spans="1:4" ht="14.65" thickBot="1" x14ac:dyDescent="0.5">
      <c r="A8062" s="17">
        <v>45369.666666666664</v>
      </c>
      <c r="B8062" s="19">
        <v>124.12</v>
      </c>
      <c r="C8062" t="s">
        <v>32</v>
      </c>
      <c r="D8062" t="str">
        <f>T_Stocks[[#This Row],[Ticker]] &amp; "-" &amp; DATE(YEAR(T_Stocks[[#This Row],[Fecha]]),MONTH(T_Stocks[[#This Row],[Fecha]]),DAY(T_Stocks[[#This Row],[Fecha]]))</f>
        <v>VTSAX-45369</v>
      </c>
    </row>
    <row r="8063" spans="1:4" ht="14.65" thickBot="1" x14ac:dyDescent="0.5">
      <c r="A8063" s="17">
        <v>45370.666666666664</v>
      </c>
      <c r="B8063" s="19">
        <v>124.83</v>
      </c>
      <c r="C8063" t="s">
        <v>32</v>
      </c>
      <c r="D8063" t="str">
        <f>T_Stocks[[#This Row],[Ticker]] &amp; "-" &amp; DATE(YEAR(T_Stocks[[#This Row],[Fecha]]),MONTH(T_Stocks[[#This Row],[Fecha]]),DAY(T_Stocks[[#This Row],[Fecha]]))</f>
        <v>VTSAX-45370</v>
      </c>
    </row>
    <row r="8064" spans="1:4" ht="14.65" thickBot="1" x14ac:dyDescent="0.5">
      <c r="A8064" s="17">
        <v>45371.666666666664</v>
      </c>
      <c r="B8064" s="19">
        <v>126.09</v>
      </c>
      <c r="C8064" t="s">
        <v>32</v>
      </c>
      <c r="D8064" t="str">
        <f>T_Stocks[[#This Row],[Ticker]] &amp; "-" &amp; DATE(YEAR(T_Stocks[[#This Row],[Fecha]]),MONTH(T_Stocks[[#This Row],[Fecha]]),DAY(T_Stocks[[#This Row],[Fecha]]))</f>
        <v>VTSAX-45371</v>
      </c>
    </row>
    <row r="8065" spans="1:4" ht="14.65" thickBot="1" x14ac:dyDescent="0.5">
      <c r="A8065" s="17">
        <v>45372.666666666664</v>
      </c>
      <c r="B8065" s="19">
        <v>126.61</v>
      </c>
      <c r="C8065" t="s">
        <v>32</v>
      </c>
      <c r="D8065" t="str">
        <f>T_Stocks[[#This Row],[Ticker]] &amp; "-" &amp; DATE(YEAR(T_Stocks[[#This Row],[Fecha]]),MONTH(T_Stocks[[#This Row],[Fecha]]),DAY(T_Stocks[[#This Row],[Fecha]]))</f>
        <v>VTSAX-45372</v>
      </c>
    </row>
    <row r="8066" spans="1:4" ht="14.65" thickBot="1" x14ac:dyDescent="0.5">
      <c r="A8066" s="17">
        <v>45373.666666666664</v>
      </c>
      <c r="B8066" s="19">
        <v>125.85</v>
      </c>
      <c r="C8066" t="s">
        <v>32</v>
      </c>
      <c r="D8066" t="str">
        <f>T_Stocks[[#This Row],[Ticker]] &amp; "-" &amp; DATE(YEAR(T_Stocks[[#This Row],[Fecha]]),MONTH(T_Stocks[[#This Row],[Fecha]]),DAY(T_Stocks[[#This Row],[Fecha]]))</f>
        <v>VTSAX-45373</v>
      </c>
    </row>
    <row r="8067" spans="1:4" ht="14.65" thickBot="1" x14ac:dyDescent="0.5">
      <c r="A8067" s="17">
        <v>45376.666666666664</v>
      </c>
      <c r="B8067" s="19">
        <v>125.53</v>
      </c>
      <c r="C8067" t="s">
        <v>32</v>
      </c>
      <c r="D8067" t="str">
        <f>T_Stocks[[#This Row],[Ticker]] &amp; "-" &amp; DATE(YEAR(T_Stocks[[#This Row],[Fecha]]),MONTH(T_Stocks[[#This Row],[Fecha]]),DAY(T_Stocks[[#This Row],[Fecha]]))</f>
        <v>VTSAX-45376</v>
      </c>
    </row>
    <row r="8068" spans="1:4" ht="14.65" thickBot="1" x14ac:dyDescent="0.5">
      <c r="A8068" s="17">
        <v>45377.666666666664</v>
      </c>
      <c r="B8068" s="19">
        <v>125.23</v>
      </c>
      <c r="C8068" t="s">
        <v>32</v>
      </c>
      <c r="D8068" t="str">
        <f>T_Stocks[[#This Row],[Ticker]] &amp; "-" &amp; DATE(YEAR(T_Stocks[[#This Row],[Fecha]]),MONTH(T_Stocks[[#This Row],[Fecha]]),DAY(T_Stocks[[#This Row],[Fecha]]))</f>
        <v>VTSAX-45377</v>
      </c>
    </row>
    <row r="8069" spans="1:4" ht="14.65" thickBot="1" x14ac:dyDescent="0.5">
      <c r="A8069" s="17">
        <v>45378.666666666664</v>
      </c>
      <c r="B8069" s="19">
        <v>126.43</v>
      </c>
      <c r="C8069" t="s">
        <v>32</v>
      </c>
      <c r="D8069" t="str">
        <f>T_Stocks[[#This Row],[Ticker]] &amp; "-" &amp; DATE(YEAR(T_Stocks[[#This Row],[Fecha]]),MONTH(T_Stocks[[#This Row],[Fecha]]),DAY(T_Stocks[[#This Row],[Fecha]]))</f>
        <v>VTSAX-45378</v>
      </c>
    </row>
    <row r="8070" spans="1:4" ht="14.65" thickBot="1" x14ac:dyDescent="0.5">
      <c r="A8070" s="17">
        <v>45379.666666666664</v>
      </c>
      <c r="B8070" s="19">
        <v>126.6</v>
      </c>
      <c r="C8070" t="s">
        <v>32</v>
      </c>
      <c r="D8070" t="str">
        <f>T_Stocks[[#This Row],[Ticker]] &amp; "-" &amp; DATE(YEAR(T_Stocks[[#This Row],[Fecha]]),MONTH(T_Stocks[[#This Row],[Fecha]]),DAY(T_Stocks[[#This Row],[Fecha]]))</f>
        <v>VTSAX-45379</v>
      </c>
    </row>
    <row r="8071" spans="1:4" ht="14.65" thickBot="1" x14ac:dyDescent="0.5">
      <c r="A8071" s="17">
        <v>45383.666666666664</v>
      </c>
      <c r="B8071" s="19">
        <v>126.24</v>
      </c>
      <c r="C8071" t="s">
        <v>32</v>
      </c>
      <c r="D8071" t="str">
        <f>T_Stocks[[#This Row],[Ticker]] &amp; "-" &amp; DATE(YEAR(T_Stocks[[#This Row],[Fecha]]),MONTH(T_Stocks[[#This Row],[Fecha]]),DAY(T_Stocks[[#This Row],[Fecha]]))</f>
        <v>VTSAX-45383</v>
      </c>
    </row>
    <row r="8072" spans="1:4" ht="14.65" thickBot="1" x14ac:dyDescent="0.5">
      <c r="A8072" s="17">
        <v>45384.666666666664</v>
      </c>
      <c r="B8072" s="19">
        <v>125.2</v>
      </c>
      <c r="C8072" t="s">
        <v>32</v>
      </c>
      <c r="D8072" t="str">
        <f>T_Stocks[[#This Row],[Ticker]] &amp; "-" &amp; DATE(YEAR(T_Stocks[[#This Row],[Fecha]]),MONTH(T_Stocks[[#This Row],[Fecha]]),DAY(T_Stocks[[#This Row],[Fecha]]))</f>
        <v>VTSAX-45384</v>
      </c>
    </row>
    <row r="8073" spans="1:4" ht="14.65" thickBot="1" x14ac:dyDescent="0.5">
      <c r="A8073" s="17">
        <v>45385.666666666664</v>
      </c>
      <c r="B8073" s="19">
        <v>125.4</v>
      </c>
      <c r="C8073" t="s">
        <v>32</v>
      </c>
      <c r="D8073" t="str">
        <f>T_Stocks[[#This Row],[Ticker]] &amp; "-" &amp; DATE(YEAR(T_Stocks[[#This Row],[Fecha]]),MONTH(T_Stocks[[#This Row],[Fecha]]),DAY(T_Stocks[[#This Row],[Fecha]]))</f>
        <v>VTSAX-45385</v>
      </c>
    </row>
    <row r="8074" spans="1:4" ht="14.65" thickBot="1" x14ac:dyDescent="0.5">
      <c r="A8074" s="17">
        <v>45386.666666666664</v>
      </c>
      <c r="B8074" s="19">
        <v>123.9</v>
      </c>
      <c r="C8074" t="s">
        <v>32</v>
      </c>
      <c r="D8074" t="str">
        <f>T_Stocks[[#This Row],[Ticker]] &amp; "-" &amp; DATE(YEAR(T_Stocks[[#This Row],[Fecha]]),MONTH(T_Stocks[[#This Row],[Fecha]]),DAY(T_Stocks[[#This Row],[Fecha]]))</f>
        <v>VTSAX-45386</v>
      </c>
    </row>
    <row r="8075" spans="1:4" ht="14.65" thickBot="1" x14ac:dyDescent="0.5">
      <c r="A8075" s="17">
        <v>45387.666666666664</v>
      </c>
      <c r="B8075" s="19">
        <v>125.24</v>
      </c>
      <c r="C8075" t="s">
        <v>32</v>
      </c>
      <c r="D8075" t="str">
        <f>T_Stocks[[#This Row],[Ticker]] &amp; "-" &amp; DATE(YEAR(T_Stocks[[#This Row],[Fecha]]),MONTH(T_Stocks[[#This Row],[Fecha]]),DAY(T_Stocks[[#This Row],[Fecha]]))</f>
        <v>VTSAX-45387</v>
      </c>
    </row>
    <row r="8076" spans="1:4" ht="14.65" thickBot="1" x14ac:dyDescent="0.5">
      <c r="A8076" s="17">
        <v>45390.666666666664</v>
      </c>
      <c r="B8076" s="19">
        <v>125.28</v>
      </c>
      <c r="C8076" t="s">
        <v>32</v>
      </c>
      <c r="D8076" t="str">
        <f>T_Stocks[[#This Row],[Ticker]] &amp; "-" &amp; DATE(YEAR(T_Stocks[[#This Row],[Fecha]]),MONTH(T_Stocks[[#This Row],[Fecha]]),DAY(T_Stocks[[#This Row],[Fecha]]))</f>
        <v>VTSAX-45390</v>
      </c>
    </row>
    <row r="8077" spans="1:4" ht="14.65" thickBot="1" x14ac:dyDescent="0.5">
      <c r="A8077" s="17">
        <v>45391.666666666664</v>
      </c>
      <c r="B8077" s="19">
        <v>125.48</v>
      </c>
      <c r="C8077" t="s">
        <v>32</v>
      </c>
      <c r="D8077" t="str">
        <f>T_Stocks[[#This Row],[Ticker]] &amp; "-" &amp; DATE(YEAR(T_Stocks[[#This Row],[Fecha]]),MONTH(T_Stocks[[#This Row],[Fecha]]),DAY(T_Stocks[[#This Row],[Fecha]]))</f>
        <v>VTSAX-45391</v>
      </c>
    </row>
    <row r="8078" spans="1:4" ht="14.65" thickBot="1" x14ac:dyDescent="0.5">
      <c r="A8078" s="17">
        <v>45392.666666666664</v>
      </c>
      <c r="B8078" s="19">
        <v>124.13</v>
      </c>
      <c r="C8078" t="s">
        <v>32</v>
      </c>
      <c r="D8078" t="str">
        <f>T_Stocks[[#This Row],[Ticker]] &amp; "-" &amp; DATE(YEAR(T_Stocks[[#This Row],[Fecha]]),MONTH(T_Stocks[[#This Row],[Fecha]]),DAY(T_Stocks[[#This Row],[Fecha]]))</f>
        <v>VTSAX-45392</v>
      </c>
    </row>
    <row r="8079" spans="1:4" ht="14.65" thickBot="1" x14ac:dyDescent="0.5">
      <c r="A8079" s="17">
        <v>45393.666666666664</v>
      </c>
      <c r="B8079" s="19">
        <v>125.01</v>
      </c>
      <c r="C8079" t="s">
        <v>32</v>
      </c>
      <c r="D8079" t="str">
        <f>T_Stocks[[#This Row],[Ticker]] &amp; "-" &amp; DATE(YEAR(T_Stocks[[#This Row],[Fecha]]),MONTH(T_Stocks[[#This Row],[Fecha]]),DAY(T_Stocks[[#This Row],[Fecha]]))</f>
        <v>VTSAX-45393</v>
      </c>
    </row>
    <row r="8080" spans="1:4" ht="14.65" thickBot="1" x14ac:dyDescent="0.5">
      <c r="A8080" s="17">
        <v>45394.666666666664</v>
      </c>
      <c r="B8080" s="19">
        <v>123.14</v>
      </c>
      <c r="C8080" t="s">
        <v>32</v>
      </c>
      <c r="D8080" t="str">
        <f>T_Stocks[[#This Row],[Ticker]] &amp; "-" &amp; DATE(YEAR(T_Stocks[[#This Row],[Fecha]]),MONTH(T_Stocks[[#This Row],[Fecha]]),DAY(T_Stocks[[#This Row],[Fecha]]))</f>
        <v>VTSAX-45394</v>
      </c>
    </row>
    <row r="8081" spans="1:4" ht="14.65" thickBot="1" x14ac:dyDescent="0.5">
      <c r="A8081" s="17">
        <v>45397.666666666664</v>
      </c>
      <c r="B8081" s="19">
        <v>121.59</v>
      </c>
      <c r="C8081" t="s">
        <v>32</v>
      </c>
      <c r="D8081" t="str">
        <f>T_Stocks[[#This Row],[Ticker]] &amp; "-" &amp; DATE(YEAR(T_Stocks[[#This Row],[Fecha]]),MONTH(T_Stocks[[#This Row],[Fecha]]),DAY(T_Stocks[[#This Row],[Fecha]]))</f>
        <v>VTSAX-45397</v>
      </c>
    </row>
    <row r="8082" spans="1:4" ht="14.65" thickBot="1" x14ac:dyDescent="0.5">
      <c r="A8082" s="17">
        <v>45398.666666666664</v>
      </c>
      <c r="B8082" s="19">
        <v>121.31</v>
      </c>
      <c r="C8082" t="s">
        <v>32</v>
      </c>
      <c r="D8082" t="str">
        <f>T_Stocks[[#This Row],[Ticker]] &amp; "-" &amp; DATE(YEAR(T_Stocks[[#This Row],[Fecha]]),MONTH(T_Stocks[[#This Row],[Fecha]]),DAY(T_Stocks[[#This Row],[Fecha]]))</f>
        <v>VTSAX-45398</v>
      </c>
    </row>
    <row r="8083" spans="1:4" ht="14.65" thickBot="1" x14ac:dyDescent="0.5">
      <c r="A8083" s="17">
        <v>45399.666666666664</v>
      </c>
      <c r="B8083" s="19">
        <v>120.56</v>
      </c>
      <c r="C8083" t="s">
        <v>32</v>
      </c>
      <c r="D8083" t="str">
        <f>T_Stocks[[#This Row],[Ticker]] &amp; "-" &amp; DATE(YEAR(T_Stocks[[#This Row],[Fecha]]),MONTH(T_Stocks[[#This Row],[Fecha]]),DAY(T_Stocks[[#This Row],[Fecha]]))</f>
        <v>VTSAX-45399</v>
      </c>
    </row>
    <row r="8084" spans="1:4" ht="14.65" thickBot="1" x14ac:dyDescent="0.5">
      <c r="A8084" s="17">
        <v>45400.666666666664</v>
      </c>
      <c r="B8084" s="19">
        <v>120.3</v>
      </c>
      <c r="C8084" t="s">
        <v>32</v>
      </c>
      <c r="D8084" t="str">
        <f>T_Stocks[[#This Row],[Ticker]] &amp; "-" &amp; DATE(YEAR(T_Stocks[[#This Row],[Fecha]]),MONTH(T_Stocks[[#This Row],[Fecha]]),DAY(T_Stocks[[#This Row],[Fecha]]))</f>
        <v>VTSAX-45400</v>
      </c>
    </row>
    <row r="8085" spans="1:4" ht="14.65" thickBot="1" x14ac:dyDescent="0.5">
      <c r="A8085" s="17">
        <v>45401.666666666664</v>
      </c>
      <c r="B8085" s="19">
        <v>119.39</v>
      </c>
      <c r="C8085" t="s">
        <v>32</v>
      </c>
      <c r="D8085" t="str">
        <f>T_Stocks[[#This Row],[Ticker]] &amp; "-" &amp; DATE(YEAR(T_Stocks[[#This Row],[Fecha]]),MONTH(T_Stocks[[#This Row],[Fecha]]),DAY(T_Stocks[[#This Row],[Fecha]]))</f>
        <v>VTSAX-45401</v>
      </c>
    </row>
    <row r="8086" spans="1:4" ht="14.65" thickBot="1" x14ac:dyDescent="0.5">
      <c r="A8086" s="17">
        <v>45404.666666666664</v>
      </c>
      <c r="B8086" s="19">
        <v>120.45</v>
      </c>
      <c r="C8086" t="s">
        <v>32</v>
      </c>
      <c r="D8086" t="str">
        <f>T_Stocks[[#This Row],[Ticker]] &amp; "-" &amp; DATE(YEAR(T_Stocks[[#This Row],[Fecha]]),MONTH(T_Stocks[[#This Row],[Fecha]]),DAY(T_Stocks[[#This Row],[Fecha]]))</f>
        <v>VTSAX-45404</v>
      </c>
    </row>
    <row r="8087" spans="1:4" ht="14.65" thickBot="1" x14ac:dyDescent="0.5">
      <c r="A8087" s="17">
        <v>45405.666666666664</v>
      </c>
      <c r="B8087" s="19">
        <v>121.98</v>
      </c>
      <c r="C8087" t="s">
        <v>32</v>
      </c>
      <c r="D8087" t="str">
        <f>T_Stocks[[#This Row],[Ticker]] &amp; "-" &amp; DATE(YEAR(T_Stocks[[#This Row],[Fecha]]),MONTH(T_Stocks[[#This Row],[Fecha]]),DAY(T_Stocks[[#This Row],[Fecha]]))</f>
        <v>VTSAX-45405</v>
      </c>
    </row>
    <row r="8088" spans="1:4" ht="14.65" thickBot="1" x14ac:dyDescent="0.5">
      <c r="A8088" s="17">
        <v>45406.666666666664</v>
      </c>
      <c r="B8088" s="19">
        <v>121.97</v>
      </c>
      <c r="C8088" t="s">
        <v>32</v>
      </c>
      <c r="D8088" t="str">
        <f>T_Stocks[[#This Row],[Ticker]] &amp; "-" &amp; DATE(YEAR(T_Stocks[[#This Row],[Fecha]]),MONTH(T_Stocks[[#This Row],[Fecha]]),DAY(T_Stocks[[#This Row],[Fecha]]))</f>
        <v>VTSAX-45406</v>
      </c>
    </row>
    <row r="8089" spans="1:4" ht="14.65" thickBot="1" x14ac:dyDescent="0.5">
      <c r="A8089" s="17">
        <v>45407.666666666664</v>
      </c>
      <c r="B8089" s="19">
        <v>121.4</v>
      </c>
      <c r="C8089" t="s">
        <v>32</v>
      </c>
      <c r="D8089" t="str">
        <f>T_Stocks[[#This Row],[Ticker]] &amp; "-" &amp; DATE(YEAR(T_Stocks[[#This Row],[Fecha]]),MONTH(T_Stocks[[#This Row],[Fecha]]),DAY(T_Stocks[[#This Row],[Fecha]]))</f>
        <v>VTSAX-45407</v>
      </c>
    </row>
    <row r="8090" spans="1:4" ht="14.65" thickBot="1" x14ac:dyDescent="0.5">
      <c r="A8090" s="17">
        <v>45408.666666666664</v>
      </c>
      <c r="B8090" s="19">
        <v>122.59</v>
      </c>
      <c r="C8090" t="s">
        <v>32</v>
      </c>
      <c r="D8090" t="str">
        <f>T_Stocks[[#This Row],[Ticker]] &amp; "-" &amp; DATE(YEAR(T_Stocks[[#This Row],[Fecha]]),MONTH(T_Stocks[[#This Row],[Fecha]]),DAY(T_Stocks[[#This Row],[Fecha]]))</f>
        <v>VTSAX-45408</v>
      </c>
    </row>
    <row r="8091" spans="1:4" ht="14.65" thickBot="1" x14ac:dyDescent="0.5">
      <c r="A8091" s="17">
        <v>45411.666666666664</v>
      </c>
      <c r="B8091" s="19">
        <v>123.01</v>
      </c>
      <c r="C8091" t="s">
        <v>32</v>
      </c>
      <c r="D8091" t="str">
        <f>T_Stocks[[#This Row],[Ticker]] &amp; "-" &amp; DATE(YEAR(T_Stocks[[#This Row],[Fecha]]),MONTH(T_Stocks[[#This Row],[Fecha]]),DAY(T_Stocks[[#This Row],[Fecha]]))</f>
        <v>VTSAX-45411</v>
      </c>
    </row>
    <row r="8092" spans="1:4" ht="14.65" thickBot="1" x14ac:dyDescent="0.5">
      <c r="A8092" s="17">
        <v>45412.666666666664</v>
      </c>
      <c r="B8092" s="19">
        <v>121.01</v>
      </c>
      <c r="C8092" t="s">
        <v>32</v>
      </c>
      <c r="D8092" t="str">
        <f>T_Stocks[[#This Row],[Ticker]] &amp; "-" &amp; DATE(YEAR(T_Stocks[[#This Row],[Fecha]]),MONTH(T_Stocks[[#This Row],[Fecha]]),DAY(T_Stocks[[#This Row],[Fecha]]))</f>
        <v>VTSAX-45412</v>
      </c>
    </row>
    <row r="8093" spans="1:4" ht="14.65" thickBot="1" x14ac:dyDescent="0.5">
      <c r="A8093" s="17">
        <v>45413.666666666664</v>
      </c>
      <c r="B8093" s="19">
        <v>120.71</v>
      </c>
      <c r="C8093" t="s">
        <v>32</v>
      </c>
      <c r="D8093" t="str">
        <f>T_Stocks[[#This Row],[Ticker]] &amp; "-" &amp; DATE(YEAR(T_Stocks[[#This Row],[Fecha]]),MONTH(T_Stocks[[#This Row],[Fecha]]),DAY(T_Stocks[[#This Row],[Fecha]]))</f>
        <v>VTSAX-45413</v>
      </c>
    </row>
    <row r="8094" spans="1:4" ht="14.65" thickBot="1" x14ac:dyDescent="0.5">
      <c r="A8094" s="17">
        <v>45414.666666666664</v>
      </c>
      <c r="B8094" s="19">
        <v>121.91</v>
      </c>
      <c r="C8094" t="s">
        <v>32</v>
      </c>
      <c r="D8094" t="str">
        <f>T_Stocks[[#This Row],[Ticker]] &amp; "-" &amp; DATE(YEAR(T_Stocks[[#This Row],[Fecha]]),MONTH(T_Stocks[[#This Row],[Fecha]]),DAY(T_Stocks[[#This Row],[Fecha]]))</f>
        <v>VTSAX-45414</v>
      </c>
    </row>
    <row r="8095" spans="1:4" ht="14.65" thickBot="1" x14ac:dyDescent="0.5">
      <c r="A8095" s="17">
        <v>45415.666666666664</v>
      </c>
      <c r="B8095" s="19">
        <v>123.37</v>
      </c>
      <c r="C8095" t="s">
        <v>32</v>
      </c>
      <c r="D8095" t="str">
        <f>T_Stocks[[#This Row],[Ticker]] &amp; "-" &amp; DATE(YEAR(T_Stocks[[#This Row],[Fecha]]),MONTH(T_Stocks[[#This Row],[Fecha]]),DAY(T_Stocks[[#This Row],[Fecha]]))</f>
        <v>VTSAX-45415</v>
      </c>
    </row>
    <row r="8096" spans="1:4" ht="14.65" thickBot="1" x14ac:dyDescent="0.5">
      <c r="A8096" s="17">
        <v>45418.666666666664</v>
      </c>
      <c r="B8096" s="19">
        <v>124.72</v>
      </c>
      <c r="C8096" t="s">
        <v>32</v>
      </c>
      <c r="D8096" t="str">
        <f>T_Stocks[[#This Row],[Ticker]] &amp; "-" &amp; DATE(YEAR(T_Stocks[[#This Row],[Fecha]]),MONTH(T_Stocks[[#This Row],[Fecha]]),DAY(T_Stocks[[#This Row],[Fecha]]))</f>
        <v>VTSAX-45418</v>
      </c>
    </row>
    <row r="8097" spans="1:4" ht="14.65" thickBot="1" x14ac:dyDescent="0.5">
      <c r="A8097" s="17">
        <v>45419.666666666664</v>
      </c>
      <c r="B8097" s="19">
        <v>124.84</v>
      </c>
      <c r="C8097" t="s">
        <v>32</v>
      </c>
      <c r="D8097" t="str">
        <f>T_Stocks[[#This Row],[Ticker]] &amp; "-" &amp; DATE(YEAR(T_Stocks[[#This Row],[Fecha]]),MONTH(T_Stocks[[#This Row],[Fecha]]),DAY(T_Stocks[[#This Row],[Fecha]]))</f>
        <v>VTSAX-45419</v>
      </c>
    </row>
    <row r="8098" spans="1:4" ht="14.65" thickBot="1" x14ac:dyDescent="0.5">
      <c r="A8098" s="17">
        <v>45420.666666666664</v>
      </c>
      <c r="B8098" s="19">
        <v>124.76</v>
      </c>
      <c r="C8098" t="s">
        <v>32</v>
      </c>
      <c r="D8098" t="str">
        <f>T_Stocks[[#This Row],[Ticker]] &amp; "-" &amp; DATE(YEAR(T_Stocks[[#This Row],[Fecha]]),MONTH(T_Stocks[[#This Row],[Fecha]]),DAY(T_Stocks[[#This Row],[Fecha]]))</f>
        <v>VTSAX-45420</v>
      </c>
    </row>
    <row r="8099" spans="1:4" ht="14.65" thickBot="1" x14ac:dyDescent="0.5">
      <c r="A8099" s="17">
        <v>45421.666666666664</v>
      </c>
      <c r="B8099" s="19">
        <v>125.48</v>
      </c>
      <c r="C8099" t="s">
        <v>32</v>
      </c>
      <c r="D8099" t="str">
        <f>T_Stocks[[#This Row],[Ticker]] &amp; "-" &amp; DATE(YEAR(T_Stocks[[#This Row],[Fecha]]),MONTH(T_Stocks[[#This Row],[Fecha]]),DAY(T_Stocks[[#This Row],[Fecha]]))</f>
        <v>VTSAX-45421</v>
      </c>
    </row>
    <row r="8100" spans="1:4" ht="14.65" thickBot="1" x14ac:dyDescent="0.5">
      <c r="A8100" s="17">
        <v>45422.666666666664</v>
      </c>
      <c r="B8100" s="19">
        <v>125.62</v>
      </c>
      <c r="C8100" t="s">
        <v>32</v>
      </c>
      <c r="D8100" t="str">
        <f>T_Stocks[[#This Row],[Ticker]] &amp; "-" &amp; DATE(YEAR(T_Stocks[[#This Row],[Fecha]]),MONTH(T_Stocks[[#This Row],[Fecha]]),DAY(T_Stocks[[#This Row],[Fecha]]))</f>
        <v>VTSAX-45422</v>
      </c>
    </row>
    <row r="8101" spans="1:4" ht="14.65" thickBot="1" x14ac:dyDescent="0.5">
      <c r="A8101" s="17">
        <v>45425.666666666664</v>
      </c>
      <c r="B8101" s="19">
        <v>125.6</v>
      </c>
      <c r="C8101" t="s">
        <v>32</v>
      </c>
      <c r="D8101" t="str">
        <f>T_Stocks[[#This Row],[Ticker]] &amp; "-" &amp; DATE(YEAR(T_Stocks[[#This Row],[Fecha]]),MONTH(T_Stocks[[#This Row],[Fecha]]),DAY(T_Stocks[[#This Row],[Fecha]]))</f>
        <v>VTSAX-45425</v>
      </c>
    </row>
    <row r="8102" spans="1:4" ht="14.65" thickBot="1" x14ac:dyDescent="0.5">
      <c r="A8102" s="17">
        <v>45426.666666666664</v>
      </c>
      <c r="B8102" s="19">
        <v>126.31</v>
      </c>
      <c r="C8102" t="s">
        <v>32</v>
      </c>
      <c r="D8102" t="str">
        <f>T_Stocks[[#This Row],[Ticker]] &amp; "-" &amp; DATE(YEAR(T_Stocks[[#This Row],[Fecha]]),MONTH(T_Stocks[[#This Row],[Fecha]]),DAY(T_Stocks[[#This Row],[Fecha]]))</f>
        <v>VTSAX-45426</v>
      </c>
    </row>
    <row r="8103" spans="1:4" ht="14.65" thickBot="1" x14ac:dyDescent="0.5">
      <c r="A8103" s="17">
        <v>45427.666666666664</v>
      </c>
      <c r="B8103" s="19">
        <v>127.8</v>
      </c>
      <c r="C8103" t="s">
        <v>32</v>
      </c>
      <c r="D8103" t="str">
        <f>T_Stocks[[#This Row],[Ticker]] &amp; "-" &amp; DATE(YEAR(T_Stocks[[#This Row],[Fecha]]),MONTH(T_Stocks[[#This Row],[Fecha]]),DAY(T_Stocks[[#This Row],[Fecha]]))</f>
        <v>VTSAX-45427</v>
      </c>
    </row>
    <row r="8104" spans="1:4" ht="14.65" thickBot="1" x14ac:dyDescent="0.5">
      <c r="A8104" s="17">
        <v>45428.666666666664</v>
      </c>
      <c r="B8104" s="19">
        <v>127.48</v>
      </c>
      <c r="C8104" t="s">
        <v>32</v>
      </c>
      <c r="D8104" t="str">
        <f>T_Stocks[[#This Row],[Ticker]] &amp; "-" &amp; DATE(YEAR(T_Stocks[[#This Row],[Fecha]]),MONTH(T_Stocks[[#This Row],[Fecha]]),DAY(T_Stocks[[#This Row],[Fecha]]))</f>
        <v>VTSAX-45428</v>
      </c>
    </row>
    <row r="8105" spans="1:4" ht="14.65" thickBot="1" x14ac:dyDescent="0.5">
      <c r="A8105" s="17">
        <v>45429.666666666664</v>
      </c>
      <c r="B8105" s="19">
        <v>127.64</v>
      </c>
      <c r="C8105" t="s">
        <v>32</v>
      </c>
      <c r="D8105" t="str">
        <f>T_Stocks[[#This Row],[Ticker]] &amp; "-" &amp; DATE(YEAR(T_Stocks[[#This Row],[Fecha]]),MONTH(T_Stocks[[#This Row],[Fecha]]),DAY(T_Stocks[[#This Row],[Fecha]]))</f>
        <v>VTSAX-45429</v>
      </c>
    </row>
    <row r="8106" spans="1:4" ht="14.65" thickBot="1" x14ac:dyDescent="0.5">
      <c r="A8106" s="17">
        <v>45432.666666666664</v>
      </c>
      <c r="B8106" s="19">
        <v>127.8</v>
      </c>
      <c r="C8106" t="s">
        <v>32</v>
      </c>
      <c r="D8106" t="str">
        <f>T_Stocks[[#This Row],[Ticker]] &amp; "-" &amp; DATE(YEAR(T_Stocks[[#This Row],[Fecha]]),MONTH(T_Stocks[[#This Row],[Fecha]]),DAY(T_Stocks[[#This Row],[Fecha]]))</f>
        <v>VTSAX-45432</v>
      </c>
    </row>
    <row r="8107" spans="1:4" ht="14.65" thickBot="1" x14ac:dyDescent="0.5">
      <c r="A8107" s="17">
        <v>45433.666666666664</v>
      </c>
      <c r="B8107" s="19">
        <v>128.02000000000001</v>
      </c>
      <c r="C8107" t="s">
        <v>32</v>
      </c>
      <c r="D8107" t="str">
        <f>T_Stocks[[#This Row],[Ticker]] &amp; "-" &amp; DATE(YEAR(T_Stocks[[#This Row],[Fecha]]),MONTH(T_Stocks[[#This Row],[Fecha]]),DAY(T_Stocks[[#This Row],[Fecha]]))</f>
        <v>VTSAX-45433</v>
      </c>
    </row>
    <row r="8108" spans="1:4" ht="14.65" thickBot="1" x14ac:dyDescent="0.5">
      <c r="A8108" s="17">
        <v>45434.666666666664</v>
      </c>
      <c r="B8108" s="19">
        <v>127.62</v>
      </c>
      <c r="C8108" t="s">
        <v>32</v>
      </c>
      <c r="D8108" t="str">
        <f>T_Stocks[[#This Row],[Ticker]] &amp; "-" &amp; DATE(YEAR(T_Stocks[[#This Row],[Fecha]]),MONTH(T_Stocks[[#This Row],[Fecha]]),DAY(T_Stocks[[#This Row],[Fecha]]))</f>
        <v>VTSAX-45434</v>
      </c>
    </row>
    <row r="8109" spans="1:4" ht="14.65" thickBot="1" x14ac:dyDescent="0.5">
      <c r="A8109" s="17">
        <v>45435.666666666664</v>
      </c>
      <c r="B8109" s="19">
        <v>126.54</v>
      </c>
      <c r="C8109" t="s">
        <v>32</v>
      </c>
      <c r="D8109" t="str">
        <f>T_Stocks[[#This Row],[Ticker]] &amp; "-" &amp; DATE(YEAR(T_Stocks[[#This Row],[Fecha]]),MONTH(T_Stocks[[#This Row],[Fecha]]),DAY(T_Stocks[[#This Row],[Fecha]]))</f>
        <v>VTSAX-45435</v>
      </c>
    </row>
    <row r="8110" spans="1:4" ht="14.65" thickBot="1" x14ac:dyDescent="0.5">
      <c r="A8110" s="17">
        <v>45436.666666666664</v>
      </c>
      <c r="B8110" s="19">
        <v>127.45</v>
      </c>
      <c r="C8110" t="s">
        <v>32</v>
      </c>
      <c r="D8110" t="str">
        <f>T_Stocks[[#This Row],[Ticker]] &amp; "-" &amp; DATE(YEAR(T_Stocks[[#This Row],[Fecha]]),MONTH(T_Stocks[[#This Row],[Fecha]]),DAY(T_Stocks[[#This Row],[Fecha]]))</f>
        <v>VTSAX-45436</v>
      </c>
    </row>
    <row r="8111" spans="1:4" ht="14.65" thickBot="1" x14ac:dyDescent="0.5">
      <c r="A8111" s="17">
        <v>45440.666666666664</v>
      </c>
      <c r="B8111" s="19">
        <v>127.38</v>
      </c>
      <c r="C8111" t="s">
        <v>32</v>
      </c>
      <c r="D8111" t="str">
        <f>T_Stocks[[#This Row],[Ticker]] &amp; "-" &amp; DATE(YEAR(T_Stocks[[#This Row],[Fecha]]),MONTH(T_Stocks[[#This Row],[Fecha]]),DAY(T_Stocks[[#This Row],[Fecha]]))</f>
        <v>VTSAX-45440</v>
      </c>
    </row>
    <row r="8112" spans="1:4" ht="14.65" thickBot="1" x14ac:dyDescent="0.5">
      <c r="A8112" s="17">
        <v>45441.666666666664</v>
      </c>
      <c r="B8112" s="19">
        <v>126.37</v>
      </c>
      <c r="C8112" t="s">
        <v>32</v>
      </c>
      <c r="D8112" t="str">
        <f>T_Stocks[[#This Row],[Ticker]] &amp; "-" &amp; DATE(YEAR(T_Stocks[[#This Row],[Fecha]]),MONTH(T_Stocks[[#This Row],[Fecha]]),DAY(T_Stocks[[#This Row],[Fecha]]))</f>
        <v>VTSAX-45441</v>
      </c>
    </row>
    <row r="8113" spans="1:4" ht="14.65" thickBot="1" x14ac:dyDescent="0.5">
      <c r="A8113" s="17">
        <v>45442.666666666664</v>
      </c>
      <c r="B8113" s="19">
        <v>125.8</v>
      </c>
      <c r="C8113" t="s">
        <v>32</v>
      </c>
      <c r="D8113" t="str">
        <f>T_Stocks[[#This Row],[Ticker]] &amp; "-" &amp; DATE(YEAR(T_Stocks[[#This Row],[Fecha]]),MONTH(T_Stocks[[#This Row],[Fecha]]),DAY(T_Stocks[[#This Row],[Fecha]]))</f>
        <v>VTSAX-45442</v>
      </c>
    </row>
    <row r="8114" spans="1:4" ht="14.65" thickBot="1" x14ac:dyDescent="0.5">
      <c r="A8114" s="17">
        <v>45443.666666666664</v>
      </c>
      <c r="B8114" s="19">
        <v>126.73</v>
      </c>
      <c r="C8114" t="s">
        <v>32</v>
      </c>
      <c r="D8114" t="str">
        <f>T_Stocks[[#This Row],[Ticker]] &amp; "-" &amp; DATE(YEAR(T_Stocks[[#This Row],[Fecha]]),MONTH(T_Stocks[[#This Row],[Fecha]]),DAY(T_Stocks[[#This Row],[Fecha]]))</f>
        <v>VTSAX-45443</v>
      </c>
    </row>
    <row r="8115" spans="1:4" ht="14.65" thickBot="1" x14ac:dyDescent="0.5">
      <c r="A8115" s="17">
        <v>45446.666666666664</v>
      </c>
      <c r="B8115" s="19">
        <v>126.78</v>
      </c>
      <c r="C8115" t="s">
        <v>32</v>
      </c>
      <c r="D8115" t="str">
        <f>T_Stocks[[#This Row],[Ticker]] &amp; "-" &amp; DATE(YEAR(T_Stocks[[#This Row],[Fecha]]),MONTH(T_Stocks[[#This Row],[Fecha]]),DAY(T_Stocks[[#This Row],[Fecha]]))</f>
        <v>VTSAX-45446</v>
      </c>
    </row>
    <row r="8116" spans="1:4" ht="14.65" thickBot="1" x14ac:dyDescent="0.5">
      <c r="A8116" s="17">
        <v>45447.666666666664</v>
      </c>
      <c r="B8116" s="19">
        <v>126.78</v>
      </c>
      <c r="C8116" t="s">
        <v>32</v>
      </c>
      <c r="D8116" t="str">
        <f>T_Stocks[[#This Row],[Ticker]] &amp; "-" &amp; DATE(YEAR(T_Stocks[[#This Row],[Fecha]]),MONTH(T_Stocks[[#This Row],[Fecha]]),DAY(T_Stocks[[#This Row],[Fecha]]))</f>
        <v>VTSAX-45447</v>
      </c>
    </row>
    <row r="8117" spans="1:4" ht="14.65" thickBot="1" x14ac:dyDescent="0.5">
      <c r="A8117" s="17">
        <v>45448.666666666664</v>
      </c>
      <c r="B8117" s="19">
        <v>128.32</v>
      </c>
      <c r="C8117" t="s">
        <v>32</v>
      </c>
      <c r="D8117" t="str">
        <f>T_Stocks[[#This Row],[Ticker]] &amp; "-" &amp; DATE(YEAR(T_Stocks[[#This Row],[Fecha]]),MONTH(T_Stocks[[#This Row],[Fecha]]),DAY(T_Stocks[[#This Row],[Fecha]]))</f>
        <v>VTSAX-45448</v>
      </c>
    </row>
    <row r="8118" spans="1:4" ht="14.65" thickBot="1" x14ac:dyDescent="0.5">
      <c r="A8118" s="17">
        <v>45449.666666666664</v>
      </c>
      <c r="B8118" s="19">
        <v>128.24</v>
      </c>
      <c r="C8118" t="s">
        <v>32</v>
      </c>
      <c r="D8118" t="str">
        <f>T_Stocks[[#This Row],[Ticker]] &amp; "-" &amp; DATE(YEAR(T_Stocks[[#This Row],[Fecha]]),MONTH(T_Stocks[[#This Row],[Fecha]]),DAY(T_Stocks[[#This Row],[Fecha]]))</f>
        <v>VTSAX-45449</v>
      </c>
    </row>
    <row r="8119" spans="1:4" ht="14.65" thickBot="1" x14ac:dyDescent="0.5">
      <c r="A8119" s="17">
        <v>45450.666666666664</v>
      </c>
      <c r="B8119" s="19">
        <v>127.99</v>
      </c>
      <c r="C8119" t="s">
        <v>32</v>
      </c>
      <c r="D8119" t="str">
        <f>T_Stocks[[#This Row],[Ticker]] &amp; "-" &amp; DATE(YEAR(T_Stocks[[#This Row],[Fecha]]),MONTH(T_Stocks[[#This Row],[Fecha]]),DAY(T_Stocks[[#This Row],[Fecha]]))</f>
        <v>VTSAX-45450</v>
      </c>
    </row>
    <row r="8120" spans="1:4" ht="14.65" thickBot="1" x14ac:dyDescent="0.5">
      <c r="A8120" s="17">
        <v>45453.666666666664</v>
      </c>
      <c r="B8120" s="19">
        <v>128.38</v>
      </c>
      <c r="C8120" t="s">
        <v>32</v>
      </c>
      <c r="D8120" t="str">
        <f>T_Stocks[[#This Row],[Ticker]] &amp; "-" &amp; DATE(YEAR(T_Stocks[[#This Row],[Fecha]]),MONTH(T_Stocks[[#This Row],[Fecha]]),DAY(T_Stocks[[#This Row],[Fecha]]))</f>
        <v>VTSAX-45453</v>
      </c>
    </row>
    <row r="8121" spans="1:4" ht="14.65" thickBot="1" x14ac:dyDescent="0.5">
      <c r="A8121" s="17">
        <v>45454.666666666664</v>
      </c>
      <c r="B8121" s="19">
        <v>128.66</v>
      </c>
      <c r="C8121" t="s">
        <v>32</v>
      </c>
      <c r="D8121" t="str">
        <f>T_Stocks[[#This Row],[Ticker]] &amp; "-" &amp; DATE(YEAR(T_Stocks[[#This Row],[Fecha]]),MONTH(T_Stocks[[#This Row],[Fecha]]),DAY(T_Stocks[[#This Row],[Fecha]]))</f>
        <v>VTSAX-45454</v>
      </c>
    </row>
    <row r="8122" spans="1:4" ht="14.65" thickBot="1" x14ac:dyDescent="0.5">
      <c r="A8122" s="17">
        <v>45455.666666666664</v>
      </c>
      <c r="B8122" s="19">
        <v>129.85</v>
      </c>
      <c r="C8122" t="s">
        <v>32</v>
      </c>
      <c r="D8122" t="str">
        <f>T_Stocks[[#This Row],[Ticker]] &amp; "-" &amp; DATE(YEAR(T_Stocks[[#This Row],[Fecha]]),MONTH(T_Stocks[[#This Row],[Fecha]]),DAY(T_Stocks[[#This Row],[Fecha]]))</f>
        <v>VTSAX-45455</v>
      </c>
    </row>
    <row r="8123" spans="1:4" ht="14.65" thickBot="1" x14ac:dyDescent="0.5">
      <c r="A8123" s="17">
        <v>45456.666666666664</v>
      </c>
      <c r="B8123" s="19">
        <v>129.97</v>
      </c>
      <c r="C8123" t="s">
        <v>32</v>
      </c>
      <c r="D8123" t="str">
        <f>T_Stocks[[#This Row],[Ticker]] &amp; "-" &amp; DATE(YEAR(T_Stocks[[#This Row],[Fecha]]),MONTH(T_Stocks[[#This Row],[Fecha]]),DAY(T_Stocks[[#This Row],[Fecha]]))</f>
        <v>VTSAX-45456</v>
      </c>
    </row>
    <row r="8124" spans="1:4" ht="14.65" thickBot="1" x14ac:dyDescent="0.5">
      <c r="A8124" s="17">
        <v>45457.666666666664</v>
      </c>
      <c r="B8124" s="19">
        <v>129.77000000000001</v>
      </c>
      <c r="C8124" t="s">
        <v>32</v>
      </c>
      <c r="D8124" t="str">
        <f>T_Stocks[[#This Row],[Ticker]] &amp; "-" &amp; DATE(YEAR(T_Stocks[[#This Row],[Fecha]]),MONTH(T_Stocks[[#This Row],[Fecha]]),DAY(T_Stocks[[#This Row],[Fecha]]))</f>
        <v>VTSAX-45457</v>
      </c>
    </row>
    <row r="8125" spans="1:4" ht="14.65" thickBot="1" x14ac:dyDescent="0.5">
      <c r="A8125" s="17">
        <v>45460.666666666664</v>
      </c>
      <c r="B8125" s="19">
        <v>130.78</v>
      </c>
      <c r="C8125" t="s">
        <v>32</v>
      </c>
      <c r="D8125" t="str">
        <f>T_Stocks[[#This Row],[Ticker]] &amp; "-" &amp; DATE(YEAR(T_Stocks[[#This Row],[Fecha]]),MONTH(T_Stocks[[#This Row],[Fecha]]),DAY(T_Stocks[[#This Row],[Fecha]]))</f>
        <v>VTSAX-45460</v>
      </c>
    </row>
    <row r="8126" spans="1:4" ht="14.65" thickBot="1" x14ac:dyDescent="0.5">
      <c r="A8126" s="17">
        <v>45461.666666666664</v>
      </c>
      <c r="B8126" s="19">
        <v>131.09</v>
      </c>
      <c r="C8126" t="s">
        <v>32</v>
      </c>
      <c r="D8126" t="str">
        <f>T_Stocks[[#This Row],[Ticker]] &amp; "-" &amp; DATE(YEAR(T_Stocks[[#This Row],[Fecha]]),MONTH(T_Stocks[[#This Row],[Fecha]]),DAY(T_Stocks[[#This Row],[Fecha]]))</f>
        <v>VTSAX-45461</v>
      </c>
    </row>
    <row r="8127" spans="1:4" ht="14.65" thickBot="1" x14ac:dyDescent="0.5">
      <c r="A8127" s="17">
        <v>45463.666666666664</v>
      </c>
      <c r="B8127" s="19">
        <v>130.75</v>
      </c>
      <c r="C8127" t="s">
        <v>32</v>
      </c>
      <c r="D8127" t="str">
        <f>T_Stocks[[#This Row],[Ticker]] &amp; "-" &amp; DATE(YEAR(T_Stocks[[#This Row],[Fecha]]),MONTH(T_Stocks[[#This Row],[Fecha]]),DAY(T_Stocks[[#This Row],[Fecha]]))</f>
        <v>VTSAX-45463</v>
      </c>
    </row>
    <row r="8128" spans="1:4" ht="14.65" thickBot="1" x14ac:dyDescent="0.5">
      <c r="A8128" s="17">
        <v>45464.666666666664</v>
      </c>
      <c r="B8128" s="19">
        <v>130.62</v>
      </c>
      <c r="C8128" t="s">
        <v>32</v>
      </c>
      <c r="D8128" t="str">
        <f>T_Stocks[[#This Row],[Ticker]] &amp; "-" &amp; DATE(YEAR(T_Stocks[[#This Row],[Fecha]]),MONTH(T_Stocks[[#This Row],[Fecha]]),DAY(T_Stocks[[#This Row],[Fecha]]))</f>
        <v>VTSAX-45464</v>
      </c>
    </row>
    <row r="8129" spans="1:4" ht="14.65" thickBot="1" x14ac:dyDescent="0.5">
      <c r="A8129" s="17">
        <v>45467.666666666664</v>
      </c>
      <c r="B8129" s="19">
        <v>130.36000000000001</v>
      </c>
      <c r="C8129" t="s">
        <v>32</v>
      </c>
      <c r="D8129" t="str">
        <f>T_Stocks[[#This Row],[Ticker]] &amp; "-" &amp; DATE(YEAR(T_Stocks[[#This Row],[Fecha]]),MONTH(T_Stocks[[#This Row],[Fecha]]),DAY(T_Stocks[[#This Row],[Fecha]]))</f>
        <v>VTSAX-45467</v>
      </c>
    </row>
    <row r="8130" spans="1:4" ht="14.65" thickBot="1" x14ac:dyDescent="0.5">
      <c r="A8130" s="17">
        <v>45468.666666666664</v>
      </c>
      <c r="B8130" s="19">
        <v>130.71</v>
      </c>
      <c r="C8130" t="s">
        <v>32</v>
      </c>
      <c r="D8130" t="str">
        <f>T_Stocks[[#This Row],[Ticker]] &amp; "-" &amp; DATE(YEAR(T_Stocks[[#This Row],[Fecha]]),MONTH(T_Stocks[[#This Row],[Fecha]]),DAY(T_Stocks[[#This Row],[Fecha]]))</f>
        <v>VTSAX-45468</v>
      </c>
    </row>
    <row r="8131" spans="1:4" ht="14.65" thickBot="1" x14ac:dyDescent="0.5">
      <c r="A8131" s="17">
        <v>45469.666666666664</v>
      </c>
      <c r="B8131" s="19">
        <v>130.87</v>
      </c>
      <c r="C8131" t="s">
        <v>32</v>
      </c>
      <c r="D8131" t="str">
        <f>T_Stocks[[#This Row],[Ticker]] &amp; "-" &amp; DATE(YEAR(T_Stocks[[#This Row],[Fecha]]),MONTH(T_Stocks[[#This Row],[Fecha]]),DAY(T_Stocks[[#This Row],[Fecha]]))</f>
        <v>VTSAX-45469</v>
      </c>
    </row>
    <row r="8132" spans="1:4" ht="14.65" thickBot="1" x14ac:dyDescent="0.5">
      <c r="A8132" s="17">
        <v>45470.666666666664</v>
      </c>
      <c r="B8132" s="19">
        <v>131.1</v>
      </c>
      <c r="C8132" t="s">
        <v>32</v>
      </c>
      <c r="D8132" t="str">
        <f>T_Stocks[[#This Row],[Ticker]] &amp; "-" &amp; DATE(YEAR(T_Stocks[[#This Row],[Fecha]]),MONTH(T_Stocks[[#This Row],[Fecha]]),DAY(T_Stocks[[#This Row],[Fecha]]))</f>
        <v>VTSAX-45470</v>
      </c>
    </row>
    <row r="8133" spans="1:4" ht="14.65" thickBot="1" x14ac:dyDescent="0.5">
      <c r="A8133" s="17">
        <v>45471.666666666664</v>
      </c>
      <c r="B8133" s="19">
        <v>130.25</v>
      </c>
      <c r="C8133" t="s">
        <v>32</v>
      </c>
      <c r="D8133" t="str">
        <f>T_Stocks[[#This Row],[Ticker]] &amp; "-" &amp; DATE(YEAR(T_Stocks[[#This Row],[Fecha]]),MONTH(T_Stocks[[#This Row],[Fecha]]),DAY(T_Stocks[[#This Row],[Fecha]]))</f>
        <v>VTSAX-45471</v>
      </c>
    </row>
    <row r="8134" spans="1:4" ht="14.65" thickBot="1" x14ac:dyDescent="0.5">
      <c r="A8134" s="17">
        <v>45474.666666666664</v>
      </c>
      <c r="B8134" s="19">
        <v>130.46</v>
      </c>
      <c r="C8134" t="s">
        <v>32</v>
      </c>
      <c r="D8134" t="str">
        <f>T_Stocks[[#This Row],[Ticker]] &amp; "-" &amp; DATE(YEAR(T_Stocks[[#This Row],[Fecha]]),MONTH(T_Stocks[[#This Row],[Fecha]]),DAY(T_Stocks[[#This Row],[Fecha]]))</f>
        <v>VTSAX-45474</v>
      </c>
    </row>
    <row r="8135" spans="1:4" ht="14.65" thickBot="1" x14ac:dyDescent="0.5">
      <c r="A8135" s="17">
        <v>45475.666666666664</v>
      </c>
      <c r="B8135" s="19">
        <v>131.22</v>
      </c>
      <c r="C8135" t="s">
        <v>32</v>
      </c>
      <c r="D8135" t="str">
        <f>T_Stocks[[#This Row],[Ticker]] &amp; "-" &amp; DATE(YEAR(T_Stocks[[#This Row],[Fecha]]),MONTH(T_Stocks[[#This Row],[Fecha]]),DAY(T_Stocks[[#This Row],[Fecha]]))</f>
        <v>VTSAX-45475</v>
      </c>
    </row>
    <row r="8136" spans="1:4" ht="14.65" thickBot="1" x14ac:dyDescent="0.5">
      <c r="A8136" s="17">
        <v>45476.541666666664</v>
      </c>
      <c r="B8136" s="19">
        <v>131.83000000000001</v>
      </c>
      <c r="C8136" t="s">
        <v>32</v>
      </c>
      <c r="D8136" t="str">
        <f>T_Stocks[[#This Row],[Ticker]] &amp; "-" &amp; DATE(YEAR(T_Stocks[[#This Row],[Fecha]]),MONTH(T_Stocks[[#This Row],[Fecha]]),DAY(T_Stocks[[#This Row],[Fecha]]))</f>
        <v>VTSAX-45476</v>
      </c>
    </row>
    <row r="8137" spans="1:4" ht="14.65" thickBot="1" x14ac:dyDescent="0.5">
      <c r="A8137" s="17">
        <v>45478.666666666664</v>
      </c>
      <c r="B8137" s="19">
        <v>132.44</v>
      </c>
      <c r="C8137" t="s">
        <v>32</v>
      </c>
      <c r="D8137" t="str">
        <f>T_Stocks[[#This Row],[Ticker]] &amp; "-" &amp; DATE(YEAR(T_Stocks[[#This Row],[Fecha]]),MONTH(T_Stocks[[#This Row],[Fecha]]),DAY(T_Stocks[[#This Row],[Fecha]]))</f>
        <v>VTSAX-45478</v>
      </c>
    </row>
    <row r="8138" spans="1:4" ht="14.65" thickBot="1" x14ac:dyDescent="0.5">
      <c r="A8138" s="17">
        <v>45481.666666666664</v>
      </c>
      <c r="B8138" s="19">
        <v>132.61000000000001</v>
      </c>
      <c r="C8138" t="s">
        <v>32</v>
      </c>
      <c r="D8138" t="str">
        <f>T_Stocks[[#This Row],[Ticker]] &amp; "-" &amp; DATE(YEAR(T_Stocks[[#This Row],[Fecha]]),MONTH(T_Stocks[[#This Row],[Fecha]]),DAY(T_Stocks[[#This Row],[Fecha]]))</f>
        <v>VTSAX-45481</v>
      </c>
    </row>
    <row r="8139" spans="1:4" ht="14.65" thickBot="1" x14ac:dyDescent="0.5">
      <c r="A8139" s="17">
        <v>45482.666666666664</v>
      </c>
      <c r="B8139" s="19">
        <v>132.6</v>
      </c>
      <c r="C8139" t="s">
        <v>32</v>
      </c>
      <c r="D8139" t="str">
        <f>T_Stocks[[#This Row],[Ticker]] &amp; "-" &amp; DATE(YEAR(T_Stocks[[#This Row],[Fecha]]),MONTH(T_Stocks[[#This Row],[Fecha]]),DAY(T_Stocks[[#This Row],[Fecha]]))</f>
        <v>VTSAX-45482</v>
      </c>
    </row>
    <row r="8140" spans="1:4" ht="14.65" thickBot="1" x14ac:dyDescent="0.5">
      <c r="A8140" s="17">
        <v>45483.666666666664</v>
      </c>
      <c r="B8140" s="19">
        <v>133.93</v>
      </c>
      <c r="C8140" t="s">
        <v>32</v>
      </c>
      <c r="D8140" t="str">
        <f>T_Stocks[[#This Row],[Ticker]] &amp; "-" &amp; DATE(YEAR(T_Stocks[[#This Row],[Fecha]]),MONTH(T_Stocks[[#This Row],[Fecha]]),DAY(T_Stocks[[#This Row],[Fecha]]))</f>
        <v>VTSAX-45483</v>
      </c>
    </row>
    <row r="8141" spans="1:4" ht="14.65" thickBot="1" x14ac:dyDescent="0.5">
      <c r="A8141" s="17">
        <v>45484.666666666664</v>
      </c>
      <c r="B8141" s="19">
        <v>133.30000000000001</v>
      </c>
      <c r="C8141" t="s">
        <v>32</v>
      </c>
      <c r="D8141" t="str">
        <f>T_Stocks[[#This Row],[Ticker]] &amp; "-" &amp; DATE(YEAR(T_Stocks[[#This Row],[Fecha]]),MONTH(T_Stocks[[#This Row],[Fecha]]),DAY(T_Stocks[[#This Row],[Fecha]]))</f>
        <v>VTSAX-45484</v>
      </c>
    </row>
    <row r="8142" spans="1:4" ht="14.65" thickBot="1" x14ac:dyDescent="0.5">
      <c r="A8142" s="17">
        <v>45485.666666666664</v>
      </c>
      <c r="B8142" s="19">
        <v>134.11000000000001</v>
      </c>
      <c r="C8142" t="s">
        <v>32</v>
      </c>
      <c r="D8142" t="str">
        <f>T_Stocks[[#This Row],[Ticker]] &amp; "-" &amp; DATE(YEAR(T_Stocks[[#This Row],[Fecha]]),MONTH(T_Stocks[[#This Row],[Fecha]]),DAY(T_Stocks[[#This Row],[Fecha]]))</f>
        <v>VTSAX-45485</v>
      </c>
    </row>
    <row r="8143" spans="1:4" ht="14.65" thickBot="1" x14ac:dyDescent="0.5">
      <c r="A8143" s="17">
        <v>45488.666666666664</v>
      </c>
      <c r="B8143" s="19">
        <v>134.65</v>
      </c>
      <c r="C8143" t="s">
        <v>32</v>
      </c>
      <c r="D8143" t="str">
        <f>T_Stocks[[#This Row],[Ticker]] &amp; "-" &amp; DATE(YEAR(T_Stocks[[#This Row],[Fecha]]),MONTH(T_Stocks[[#This Row],[Fecha]]),DAY(T_Stocks[[#This Row],[Fecha]]))</f>
        <v>VTSAX-45488</v>
      </c>
    </row>
    <row r="8144" spans="1:4" ht="14.65" thickBot="1" x14ac:dyDescent="0.5">
      <c r="A8144" s="17">
        <v>45489.666666666664</v>
      </c>
      <c r="B8144" s="19">
        <v>135.84</v>
      </c>
      <c r="C8144" t="s">
        <v>32</v>
      </c>
      <c r="D8144" t="str">
        <f>T_Stocks[[#This Row],[Ticker]] &amp; "-" &amp; DATE(YEAR(T_Stocks[[#This Row],[Fecha]]),MONTH(T_Stocks[[#This Row],[Fecha]]),DAY(T_Stocks[[#This Row],[Fecha]]))</f>
        <v>VTSAX-45489</v>
      </c>
    </row>
    <row r="8145" spans="1:4" ht="14.65" thickBot="1" x14ac:dyDescent="0.5">
      <c r="A8145" s="17">
        <v>45490.666666666664</v>
      </c>
      <c r="B8145" s="19">
        <v>133.91999999999999</v>
      </c>
      <c r="C8145" t="s">
        <v>32</v>
      </c>
      <c r="D8145" t="str">
        <f>T_Stocks[[#This Row],[Ticker]] &amp; "-" &amp; DATE(YEAR(T_Stocks[[#This Row],[Fecha]]),MONTH(T_Stocks[[#This Row],[Fecha]]),DAY(T_Stocks[[#This Row],[Fecha]]))</f>
        <v>VTSAX-45490</v>
      </c>
    </row>
    <row r="8146" spans="1:4" ht="14.65" thickBot="1" x14ac:dyDescent="0.5">
      <c r="A8146" s="17">
        <v>45491.666666666664</v>
      </c>
      <c r="B8146" s="19">
        <v>132.74</v>
      </c>
      <c r="C8146" t="s">
        <v>32</v>
      </c>
      <c r="D8146" t="str">
        <f>T_Stocks[[#This Row],[Ticker]] &amp; "-" &amp; DATE(YEAR(T_Stocks[[#This Row],[Fecha]]),MONTH(T_Stocks[[#This Row],[Fecha]]),DAY(T_Stocks[[#This Row],[Fecha]]))</f>
        <v>VTSAX-45491</v>
      </c>
    </row>
    <row r="8147" spans="1:4" ht="14.65" thickBot="1" x14ac:dyDescent="0.5">
      <c r="A8147" s="17">
        <v>45492.666666666664</v>
      </c>
      <c r="B8147" s="19">
        <v>131.88</v>
      </c>
      <c r="C8147" t="s">
        <v>32</v>
      </c>
      <c r="D8147" t="str">
        <f>T_Stocks[[#This Row],[Ticker]] &amp; "-" &amp; DATE(YEAR(T_Stocks[[#This Row],[Fecha]]),MONTH(T_Stocks[[#This Row],[Fecha]]),DAY(T_Stocks[[#This Row],[Fecha]]))</f>
        <v>VTSAX-45492</v>
      </c>
    </row>
    <row r="8148" spans="1:4" ht="14.65" thickBot="1" x14ac:dyDescent="0.5">
      <c r="A8148" s="17">
        <v>45495.666666666664</v>
      </c>
      <c r="B8148" s="19">
        <v>133.34</v>
      </c>
      <c r="C8148" t="s">
        <v>32</v>
      </c>
      <c r="D8148" t="str">
        <f>T_Stocks[[#This Row],[Ticker]] &amp; "-" &amp; DATE(YEAR(T_Stocks[[#This Row],[Fecha]]),MONTH(T_Stocks[[#This Row],[Fecha]]),DAY(T_Stocks[[#This Row],[Fecha]]))</f>
        <v>VTSAX-45495</v>
      </c>
    </row>
    <row r="8149" spans="1:4" ht="14.65" thickBot="1" x14ac:dyDescent="0.5">
      <c r="A8149" s="17">
        <v>45496.666666666664</v>
      </c>
      <c r="B8149" s="19">
        <v>133.26</v>
      </c>
      <c r="C8149" t="s">
        <v>32</v>
      </c>
      <c r="D8149" t="str">
        <f>T_Stocks[[#This Row],[Ticker]] &amp; "-" &amp; DATE(YEAR(T_Stocks[[#This Row],[Fecha]]),MONTH(T_Stocks[[#This Row],[Fecha]]),DAY(T_Stocks[[#This Row],[Fecha]]))</f>
        <v>VTSAX-45496</v>
      </c>
    </row>
    <row r="8150" spans="1:4" ht="14.65" thickBot="1" x14ac:dyDescent="0.5">
      <c r="A8150" s="17">
        <v>45497.666666666664</v>
      </c>
      <c r="B8150" s="19">
        <v>130.16</v>
      </c>
      <c r="C8150" t="s">
        <v>32</v>
      </c>
      <c r="D8150" t="str">
        <f>T_Stocks[[#This Row],[Ticker]] &amp; "-" &amp; DATE(YEAR(T_Stocks[[#This Row],[Fecha]]),MONTH(T_Stocks[[#This Row],[Fecha]]),DAY(T_Stocks[[#This Row],[Fecha]]))</f>
        <v>VTSAX-45497</v>
      </c>
    </row>
    <row r="8151" spans="1:4" ht="14.65" thickBot="1" x14ac:dyDescent="0.5">
      <c r="A8151" s="17">
        <v>45498.666666666664</v>
      </c>
      <c r="B8151" s="19">
        <v>129.75</v>
      </c>
      <c r="C8151" t="s">
        <v>32</v>
      </c>
      <c r="D8151" t="str">
        <f>T_Stocks[[#This Row],[Ticker]] &amp; "-" &amp; DATE(YEAR(T_Stocks[[#This Row],[Fecha]]),MONTH(T_Stocks[[#This Row],[Fecha]]),DAY(T_Stocks[[#This Row],[Fecha]]))</f>
        <v>VTSAX-45498</v>
      </c>
    </row>
    <row r="8152" spans="1:4" ht="14.65" thickBot="1" x14ac:dyDescent="0.5">
      <c r="A8152" s="17">
        <v>45499.666666666664</v>
      </c>
      <c r="B8152" s="19">
        <v>131.27000000000001</v>
      </c>
      <c r="C8152" t="s">
        <v>32</v>
      </c>
      <c r="D8152" t="str">
        <f>T_Stocks[[#This Row],[Ticker]] &amp; "-" &amp; DATE(YEAR(T_Stocks[[#This Row],[Fecha]]),MONTH(T_Stocks[[#This Row],[Fecha]]),DAY(T_Stocks[[#This Row],[Fecha]]))</f>
        <v>VTSAX-45499</v>
      </c>
    </row>
    <row r="8153" spans="1:4" ht="14.65" thickBot="1" x14ac:dyDescent="0.5">
      <c r="A8153" s="17">
        <v>45502.666666666664</v>
      </c>
      <c r="B8153" s="19">
        <v>131.28</v>
      </c>
      <c r="C8153" t="s">
        <v>32</v>
      </c>
      <c r="D8153" t="str">
        <f>T_Stocks[[#This Row],[Ticker]] &amp; "-" &amp; DATE(YEAR(T_Stocks[[#This Row],[Fecha]]),MONTH(T_Stocks[[#This Row],[Fecha]]),DAY(T_Stocks[[#This Row],[Fecha]]))</f>
        <v>VTSAX-45502</v>
      </c>
    </row>
    <row r="8154" spans="1:4" ht="14.65" thickBot="1" x14ac:dyDescent="0.5">
      <c r="A8154" s="17">
        <v>45503.666666666664</v>
      </c>
      <c r="B8154" s="19">
        <v>130.72999999999999</v>
      </c>
      <c r="C8154" t="s">
        <v>32</v>
      </c>
      <c r="D8154" t="str">
        <f>T_Stocks[[#This Row],[Ticker]] &amp; "-" &amp; DATE(YEAR(T_Stocks[[#This Row],[Fecha]]),MONTH(T_Stocks[[#This Row],[Fecha]]),DAY(T_Stocks[[#This Row],[Fecha]]))</f>
        <v>VTSAX-45503</v>
      </c>
    </row>
    <row r="8155" spans="1:4" ht="14.65" thickBot="1" x14ac:dyDescent="0.5">
      <c r="A8155" s="17">
        <v>45504.666666666664</v>
      </c>
      <c r="B8155" s="19">
        <v>132.63</v>
      </c>
      <c r="C8155" t="s">
        <v>32</v>
      </c>
      <c r="D8155" t="str">
        <f>T_Stocks[[#This Row],[Ticker]] &amp; "-" &amp; DATE(YEAR(T_Stocks[[#This Row],[Fecha]]),MONTH(T_Stocks[[#This Row],[Fecha]]),DAY(T_Stocks[[#This Row],[Fecha]]))</f>
        <v>VTSAX-45504</v>
      </c>
    </row>
    <row r="8156" spans="1:4" ht="14.65" thickBot="1" x14ac:dyDescent="0.5">
      <c r="A8156" s="17">
        <v>45505.666666666664</v>
      </c>
      <c r="B8156" s="19">
        <v>130.65</v>
      </c>
      <c r="C8156" t="s">
        <v>32</v>
      </c>
      <c r="D8156" t="str">
        <f>T_Stocks[[#This Row],[Ticker]] &amp; "-" &amp; DATE(YEAR(T_Stocks[[#This Row],[Fecha]]),MONTH(T_Stocks[[#This Row],[Fecha]]),DAY(T_Stocks[[#This Row],[Fecha]]))</f>
        <v>VTSAX-45505</v>
      </c>
    </row>
    <row r="8157" spans="1:4" ht="14.65" thickBot="1" x14ac:dyDescent="0.5">
      <c r="A8157" s="17">
        <v>45506.666666666664</v>
      </c>
      <c r="B8157" s="19">
        <v>128.02000000000001</v>
      </c>
      <c r="C8157" t="s">
        <v>32</v>
      </c>
      <c r="D8157" t="str">
        <f>T_Stocks[[#This Row],[Ticker]] &amp; "-" &amp; DATE(YEAR(T_Stocks[[#This Row],[Fecha]]),MONTH(T_Stocks[[#This Row],[Fecha]]),DAY(T_Stocks[[#This Row],[Fecha]]))</f>
        <v>VTSAX-45506</v>
      </c>
    </row>
    <row r="8158" spans="1:4" ht="14.65" thickBot="1" x14ac:dyDescent="0.5">
      <c r="A8158" s="17">
        <v>45509.666666666664</v>
      </c>
      <c r="B8158" s="19">
        <v>124.21</v>
      </c>
      <c r="C8158" t="s">
        <v>32</v>
      </c>
      <c r="D8158" t="str">
        <f>T_Stocks[[#This Row],[Ticker]] &amp; "-" &amp; DATE(YEAR(T_Stocks[[#This Row],[Fecha]]),MONTH(T_Stocks[[#This Row],[Fecha]]),DAY(T_Stocks[[#This Row],[Fecha]]))</f>
        <v>VTSAX-45509</v>
      </c>
    </row>
    <row r="8159" spans="1:4" ht="14.65" thickBot="1" x14ac:dyDescent="0.5">
      <c r="A8159" s="17">
        <v>45510.666666666664</v>
      </c>
      <c r="B8159" s="19">
        <v>125.5</v>
      </c>
      <c r="C8159" t="s">
        <v>32</v>
      </c>
      <c r="D8159" t="str">
        <f>T_Stocks[[#This Row],[Ticker]] &amp; "-" &amp; DATE(YEAR(T_Stocks[[#This Row],[Fecha]]),MONTH(T_Stocks[[#This Row],[Fecha]]),DAY(T_Stocks[[#This Row],[Fecha]]))</f>
        <v>VTSAX-45510</v>
      </c>
    </row>
    <row r="8160" spans="1:4" ht="14.65" thickBot="1" x14ac:dyDescent="0.5">
      <c r="A8160" s="17">
        <v>45511.666666666664</v>
      </c>
      <c r="B8160" s="19">
        <v>124.5</v>
      </c>
      <c r="C8160" t="s">
        <v>32</v>
      </c>
      <c r="D8160" t="str">
        <f>T_Stocks[[#This Row],[Ticker]] &amp; "-" &amp; DATE(YEAR(T_Stocks[[#This Row],[Fecha]]),MONTH(T_Stocks[[#This Row],[Fecha]]),DAY(T_Stocks[[#This Row],[Fecha]]))</f>
        <v>VTSAX-45511</v>
      </c>
    </row>
    <row r="8161" spans="1:4" ht="14.65" thickBot="1" x14ac:dyDescent="0.5">
      <c r="A8161" s="17">
        <v>45512.666666666664</v>
      </c>
      <c r="B8161" s="19">
        <v>127.4</v>
      </c>
      <c r="C8161" t="s">
        <v>32</v>
      </c>
      <c r="D8161" t="str">
        <f>T_Stocks[[#This Row],[Ticker]] &amp; "-" &amp; DATE(YEAR(T_Stocks[[#This Row],[Fecha]]),MONTH(T_Stocks[[#This Row],[Fecha]]),DAY(T_Stocks[[#This Row],[Fecha]]))</f>
        <v>VTSAX-45512</v>
      </c>
    </row>
    <row r="8162" spans="1:4" ht="14.65" thickBot="1" x14ac:dyDescent="0.5">
      <c r="A8162" s="17">
        <v>45513.666666666664</v>
      </c>
      <c r="B8162" s="19">
        <v>127.97</v>
      </c>
      <c r="C8162" t="s">
        <v>32</v>
      </c>
      <c r="D8162" t="str">
        <f>T_Stocks[[#This Row],[Ticker]] &amp; "-" &amp; DATE(YEAR(T_Stocks[[#This Row],[Fecha]]),MONTH(T_Stocks[[#This Row],[Fecha]]),DAY(T_Stocks[[#This Row],[Fecha]]))</f>
        <v>VTSAX-45513</v>
      </c>
    </row>
    <row r="8163" spans="1:4" ht="14.65" thickBot="1" x14ac:dyDescent="0.5">
      <c r="A8163" s="17">
        <v>45516.666666666664</v>
      </c>
      <c r="B8163" s="19">
        <v>127.86</v>
      </c>
      <c r="C8163" t="s">
        <v>32</v>
      </c>
      <c r="D8163" t="str">
        <f>T_Stocks[[#This Row],[Ticker]] &amp; "-" &amp; DATE(YEAR(T_Stocks[[#This Row],[Fecha]]),MONTH(T_Stocks[[#This Row],[Fecha]]),DAY(T_Stocks[[#This Row],[Fecha]]))</f>
        <v>VTSAX-45516</v>
      </c>
    </row>
    <row r="8164" spans="1:4" ht="14.65" thickBot="1" x14ac:dyDescent="0.5">
      <c r="A8164" s="17">
        <v>45517.666666666664</v>
      </c>
      <c r="B8164" s="19">
        <v>130.01</v>
      </c>
      <c r="C8164" t="s">
        <v>32</v>
      </c>
      <c r="D8164" t="str">
        <f>T_Stocks[[#This Row],[Ticker]] &amp; "-" &amp; DATE(YEAR(T_Stocks[[#This Row],[Fecha]]),MONTH(T_Stocks[[#This Row],[Fecha]]),DAY(T_Stocks[[#This Row],[Fecha]]))</f>
        <v>VTSAX-45517</v>
      </c>
    </row>
    <row r="8165" spans="1:4" ht="14.65" thickBot="1" x14ac:dyDescent="0.5">
      <c r="A8165" s="17">
        <v>45518.666666666664</v>
      </c>
      <c r="B8165" s="19">
        <v>130.44</v>
      </c>
      <c r="C8165" t="s">
        <v>32</v>
      </c>
      <c r="D8165" t="str">
        <f>T_Stocks[[#This Row],[Ticker]] &amp; "-" &amp; DATE(YEAR(T_Stocks[[#This Row],[Fecha]]),MONTH(T_Stocks[[#This Row],[Fecha]]),DAY(T_Stocks[[#This Row],[Fecha]]))</f>
        <v>VTSAX-45518</v>
      </c>
    </row>
    <row r="8166" spans="1:4" ht="14.65" thickBot="1" x14ac:dyDescent="0.5">
      <c r="A8166" s="17">
        <v>45519.666666666664</v>
      </c>
      <c r="B8166" s="19">
        <v>132.66</v>
      </c>
      <c r="C8166" t="s">
        <v>32</v>
      </c>
      <c r="D8166" t="str">
        <f>T_Stocks[[#This Row],[Ticker]] &amp; "-" &amp; DATE(YEAR(T_Stocks[[#This Row],[Fecha]]),MONTH(T_Stocks[[#This Row],[Fecha]]),DAY(T_Stocks[[#This Row],[Fecha]]))</f>
        <v>VTSAX-45519</v>
      </c>
    </row>
    <row r="8167" spans="1:4" ht="14.65" thickBot="1" x14ac:dyDescent="0.5">
      <c r="A8167" s="17">
        <v>45520.666666666664</v>
      </c>
      <c r="B8167" s="19">
        <v>132.94999999999999</v>
      </c>
      <c r="C8167" t="s">
        <v>32</v>
      </c>
      <c r="D8167" t="str">
        <f>T_Stocks[[#This Row],[Ticker]] &amp; "-" &amp; DATE(YEAR(T_Stocks[[#This Row],[Fecha]]),MONTH(T_Stocks[[#This Row],[Fecha]]),DAY(T_Stocks[[#This Row],[Fecha]]))</f>
        <v>VTSAX-45520</v>
      </c>
    </row>
    <row r="8168" spans="1:4" ht="14.65" thickBot="1" x14ac:dyDescent="0.5">
      <c r="A8168" s="17">
        <v>45523.666666666664</v>
      </c>
      <c r="B8168" s="19">
        <v>134.25</v>
      </c>
      <c r="C8168" t="s">
        <v>32</v>
      </c>
      <c r="D8168" t="str">
        <f>T_Stocks[[#This Row],[Ticker]] &amp; "-" &amp; DATE(YEAR(T_Stocks[[#This Row],[Fecha]]),MONTH(T_Stocks[[#This Row],[Fecha]]),DAY(T_Stocks[[#This Row],[Fecha]]))</f>
        <v>VTSAX-45523</v>
      </c>
    </row>
    <row r="8169" spans="1:4" ht="14.65" thickBot="1" x14ac:dyDescent="0.5">
      <c r="A8169" s="17">
        <v>45524.666666666664</v>
      </c>
      <c r="B8169" s="19">
        <v>133.88</v>
      </c>
      <c r="C8169" t="s">
        <v>32</v>
      </c>
      <c r="D8169" t="str">
        <f>T_Stocks[[#This Row],[Ticker]] &amp; "-" &amp; DATE(YEAR(T_Stocks[[#This Row],[Fecha]]),MONTH(T_Stocks[[#This Row],[Fecha]]),DAY(T_Stocks[[#This Row],[Fecha]]))</f>
        <v>VTSAX-45524</v>
      </c>
    </row>
    <row r="8170" spans="1:4" ht="14.65" thickBot="1" x14ac:dyDescent="0.5">
      <c r="A8170" s="17">
        <v>45525.666666666664</v>
      </c>
      <c r="B8170" s="19">
        <v>134.6</v>
      </c>
      <c r="C8170" t="s">
        <v>32</v>
      </c>
      <c r="D8170" t="str">
        <f>T_Stocks[[#This Row],[Ticker]] &amp; "-" &amp; DATE(YEAR(T_Stocks[[#This Row],[Fecha]]),MONTH(T_Stocks[[#This Row],[Fecha]]),DAY(T_Stocks[[#This Row],[Fecha]]))</f>
        <v>VTSAX-45525</v>
      </c>
    </row>
    <row r="8171" spans="1:4" ht="14.65" thickBot="1" x14ac:dyDescent="0.5">
      <c r="A8171" s="17">
        <v>45526.666666666664</v>
      </c>
      <c r="B8171" s="19">
        <v>133.41</v>
      </c>
      <c r="C8171" t="s">
        <v>32</v>
      </c>
      <c r="D8171" t="str">
        <f>T_Stocks[[#This Row],[Ticker]] &amp; "-" &amp; DATE(YEAR(T_Stocks[[#This Row],[Fecha]]),MONTH(T_Stocks[[#This Row],[Fecha]]),DAY(T_Stocks[[#This Row],[Fecha]]))</f>
        <v>VTSAX-45526</v>
      </c>
    </row>
    <row r="8172" spans="1:4" ht="14.65" thickBot="1" x14ac:dyDescent="0.5">
      <c r="A8172" s="17">
        <v>45527.666666666664</v>
      </c>
      <c r="B8172" s="19">
        <v>135.16</v>
      </c>
      <c r="C8172" t="s">
        <v>32</v>
      </c>
      <c r="D8172" t="str">
        <f>T_Stocks[[#This Row],[Ticker]] &amp; "-" &amp; DATE(YEAR(T_Stocks[[#This Row],[Fecha]]),MONTH(T_Stocks[[#This Row],[Fecha]]),DAY(T_Stocks[[#This Row],[Fecha]]))</f>
        <v>VTSAX-45527</v>
      </c>
    </row>
    <row r="8173" spans="1:4" ht="14.65" thickBot="1" x14ac:dyDescent="0.5">
      <c r="A8173" s="17">
        <v>45530.666666666664</v>
      </c>
      <c r="B8173" s="19">
        <v>134.75</v>
      </c>
      <c r="C8173" t="s">
        <v>32</v>
      </c>
      <c r="D8173" t="str">
        <f>T_Stocks[[#This Row],[Ticker]] &amp; "-" &amp; DATE(YEAR(T_Stocks[[#This Row],[Fecha]]),MONTH(T_Stocks[[#This Row],[Fecha]]),DAY(T_Stocks[[#This Row],[Fecha]]))</f>
        <v>VTSAX-45530</v>
      </c>
    </row>
    <row r="8174" spans="1:4" ht="14.65" thickBot="1" x14ac:dyDescent="0.5">
      <c r="A8174" s="17">
        <v>45531.666666666664</v>
      </c>
      <c r="B8174" s="19">
        <v>134.88</v>
      </c>
      <c r="C8174" t="s">
        <v>32</v>
      </c>
      <c r="D8174" t="str">
        <f>T_Stocks[[#This Row],[Ticker]] &amp; "-" &amp; DATE(YEAR(T_Stocks[[#This Row],[Fecha]]),MONTH(T_Stocks[[#This Row],[Fecha]]),DAY(T_Stocks[[#This Row],[Fecha]]))</f>
        <v>VTSAX-45531</v>
      </c>
    </row>
    <row r="8175" spans="1:4" ht="14.65" thickBot="1" x14ac:dyDescent="0.5">
      <c r="A8175" s="17">
        <v>45532.666666666664</v>
      </c>
      <c r="B8175" s="19">
        <v>134.06</v>
      </c>
      <c r="C8175" t="s">
        <v>32</v>
      </c>
      <c r="D8175" t="str">
        <f>T_Stocks[[#This Row],[Ticker]] &amp; "-" &amp; DATE(YEAR(T_Stocks[[#This Row],[Fecha]]),MONTH(T_Stocks[[#This Row],[Fecha]]),DAY(T_Stocks[[#This Row],[Fecha]]))</f>
        <v>VTSAX-45532</v>
      </c>
    </row>
    <row r="8176" spans="1:4" ht="14.65" thickBot="1" x14ac:dyDescent="0.5">
      <c r="A8176" s="17">
        <v>45533.666666666664</v>
      </c>
      <c r="B8176" s="19">
        <v>134.18</v>
      </c>
      <c r="C8176" t="s">
        <v>32</v>
      </c>
      <c r="D8176" t="str">
        <f>T_Stocks[[#This Row],[Ticker]] &amp; "-" &amp; DATE(YEAR(T_Stocks[[#This Row],[Fecha]]),MONTH(T_Stocks[[#This Row],[Fecha]]),DAY(T_Stocks[[#This Row],[Fecha]]))</f>
        <v>VTSAX-45533</v>
      </c>
    </row>
    <row r="8177" spans="1:4" ht="14.65" thickBot="1" x14ac:dyDescent="0.5">
      <c r="A8177" s="17">
        <v>45534.666666666664</v>
      </c>
      <c r="B8177" s="19">
        <v>135.51</v>
      </c>
      <c r="C8177" t="s">
        <v>32</v>
      </c>
      <c r="D8177" t="str">
        <f>T_Stocks[[#This Row],[Ticker]] &amp; "-" &amp; DATE(YEAR(T_Stocks[[#This Row],[Fecha]]),MONTH(T_Stocks[[#This Row],[Fecha]]),DAY(T_Stocks[[#This Row],[Fecha]]))</f>
        <v>VTSAX-45534</v>
      </c>
    </row>
    <row r="8178" spans="1:4" ht="14.65" thickBot="1" x14ac:dyDescent="0.5">
      <c r="A8178" s="17">
        <v>45538.666666666664</v>
      </c>
      <c r="B8178" s="19">
        <v>132.56</v>
      </c>
      <c r="C8178" t="s">
        <v>32</v>
      </c>
      <c r="D8178" t="str">
        <f>T_Stocks[[#This Row],[Ticker]] &amp; "-" &amp; DATE(YEAR(T_Stocks[[#This Row],[Fecha]]),MONTH(T_Stocks[[#This Row],[Fecha]]),DAY(T_Stocks[[#This Row],[Fecha]]))</f>
        <v>VTSAX-45538</v>
      </c>
    </row>
    <row r="8179" spans="1:4" ht="14.65" thickBot="1" x14ac:dyDescent="0.5">
      <c r="A8179" s="17">
        <v>45539.666666666664</v>
      </c>
      <c r="B8179" s="19">
        <v>132.33000000000001</v>
      </c>
      <c r="C8179" t="s">
        <v>32</v>
      </c>
      <c r="D8179" t="str">
        <f>T_Stocks[[#This Row],[Ticker]] &amp; "-" &amp; DATE(YEAR(T_Stocks[[#This Row],[Fecha]]),MONTH(T_Stocks[[#This Row],[Fecha]]),DAY(T_Stocks[[#This Row],[Fecha]]))</f>
        <v>VTSAX-45539</v>
      </c>
    </row>
    <row r="8180" spans="1:4" ht="14.65" thickBot="1" x14ac:dyDescent="0.5">
      <c r="A8180" s="17">
        <v>45540.666666666664</v>
      </c>
      <c r="B8180" s="19">
        <v>131.9</v>
      </c>
      <c r="C8180" t="s">
        <v>32</v>
      </c>
      <c r="D8180" t="str">
        <f>T_Stocks[[#This Row],[Ticker]] &amp; "-" &amp; DATE(YEAR(T_Stocks[[#This Row],[Fecha]]),MONTH(T_Stocks[[#This Row],[Fecha]]),DAY(T_Stocks[[#This Row],[Fecha]]))</f>
        <v>VTSAX-45540</v>
      </c>
    </row>
    <row r="8181" spans="1:4" ht="14.65" thickBot="1" x14ac:dyDescent="0.5">
      <c r="A8181" s="17">
        <v>45541.666666666664</v>
      </c>
      <c r="B8181" s="19">
        <v>129.65</v>
      </c>
      <c r="C8181" t="s">
        <v>32</v>
      </c>
      <c r="D8181" t="str">
        <f>T_Stocks[[#This Row],[Ticker]] &amp; "-" &amp; DATE(YEAR(T_Stocks[[#This Row],[Fecha]]),MONTH(T_Stocks[[#This Row],[Fecha]]),DAY(T_Stocks[[#This Row],[Fecha]]))</f>
        <v>VTSAX-45541</v>
      </c>
    </row>
    <row r="8182" spans="1:4" ht="14.65" thickBot="1" x14ac:dyDescent="0.5">
      <c r="A8182" s="17">
        <v>45544.666666666664</v>
      </c>
      <c r="B8182" s="19">
        <v>131.07</v>
      </c>
      <c r="C8182" t="s">
        <v>32</v>
      </c>
      <c r="D8182" t="str">
        <f>T_Stocks[[#This Row],[Ticker]] &amp; "-" &amp; DATE(YEAR(T_Stocks[[#This Row],[Fecha]]),MONTH(T_Stocks[[#This Row],[Fecha]]),DAY(T_Stocks[[#This Row],[Fecha]]))</f>
        <v>VTSAX-45544</v>
      </c>
    </row>
    <row r="8183" spans="1:4" ht="14.65" thickBot="1" x14ac:dyDescent="0.5">
      <c r="A8183" s="17">
        <v>45545.666666666664</v>
      </c>
      <c r="B8183" s="19">
        <v>131.59</v>
      </c>
      <c r="C8183" t="s">
        <v>32</v>
      </c>
      <c r="D8183" t="str">
        <f>T_Stocks[[#This Row],[Ticker]] &amp; "-" &amp; DATE(YEAR(T_Stocks[[#This Row],[Fecha]]),MONTH(T_Stocks[[#This Row],[Fecha]]),DAY(T_Stocks[[#This Row],[Fecha]]))</f>
        <v>VTSAX-45545</v>
      </c>
    </row>
    <row r="8184" spans="1:4" ht="14.65" thickBot="1" x14ac:dyDescent="0.5">
      <c r="A8184" s="17">
        <v>45546.666666666664</v>
      </c>
      <c r="B8184" s="19">
        <v>132.91999999999999</v>
      </c>
      <c r="C8184" t="s">
        <v>32</v>
      </c>
      <c r="D8184" t="str">
        <f>T_Stocks[[#This Row],[Ticker]] &amp; "-" &amp; DATE(YEAR(T_Stocks[[#This Row],[Fecha]]),MONTH(T_Stocks[[#This Row],[Fecha]]),DAY(T_Stocks[[#This Row],[Fecha]]))</f>
        <v>VTSAX-45546</v>
      </c>
    </row>
    <row r="8185" spans="1:4" ht="14.65" thickBot="1" x14ac:dyDescent="0.5">
      <c r="A8185" s="17">
        <v>45547.666666666664</v>
      </c>
      <c r="B8185" s="19">
        <v>133.96</v>
      </c>
      <c r="C8185" t="s">
        <v>32</v>
      </c>
      <c r="D8185" t="str">
        <f>T_Stocks[[#This Row],[Ticker]] &amp; "-" &amp; DATE(YEAR(T_Stocks[[#This Row],[Fecha]]),MONTH(T_Stocks[[#This Row],[Fecha]]),DAY(T_Stocks[[#This Row],[Fecha]]))</f>
        <v>VTSAX-45547</v>
      </c>
    </row>
    <row r="8186" spans="1:4" ht="14.65" thickBot="1" x14ac:dyDescent="0.5">
      <c r="A8186" s="17">
        <v>45548.666666666664</v>
      </c>
      <c r="B8186" s="19">
        <v>134.91999999999999</v>
      </c>
      <c r="C8186" t="s">
        <v>32</v>
      </c>
      <c r="D8186" t="str">
        <f>T_Stocks[[#This Row],[Ticker]] &amp; "-" &amp; DATE(YEAR(T_Stocks[[#This Row],[Fecha]]),MONTH(T_Stocks[[#This Row],[Fecha]]),DAY(T_Stocks[[#This Row],[Fecha]]))</f>
        <v>VTSAX-45548</v>
      </c>
    </row>
    <row r="8187" spans="1:4" ht="14.65" thickBot="1" x14ac:dyDescent="0.5">
      <c r="A8187" s="17">
        <v>45551.666666666664</v>
      </c>
      <c r="B8187" s="19">
        <v>135.18</v>
      </c>
      <c r="C8187" t="s">
        <v>32</v>
      </c>
      <c r="D8187" t="str">
        <f>T_Stocks[[#This Row],[Ticker]] &amp; "-" &amp; DATE(YEAR(T_Stocks[[#This Row],[Fecha]]),MONTH(T_Stocks[[#This Row],[Fecha]]),DAY(T_Stocks[[#This Row],[Fecha]]))</f>
        <v>VTSAX-45551</v>
      </c>
    </row>
    <row r="8188" spans="1:4" ht="14.65" thickBot="1" x14ac:dyDescent="0.5">
      <c r="A8188" s="17">
        <v>45552.666666666664</v>
      </c>
      <c r="B8188" s="19">
        <v>135.30000000000001</v>
      </c>
      <c r="C8188" t="s">
        <v>32</v>
      </c>
      <c r="D8188" t="str">
        <f>T_Stocks[[#This Row],[Ticker]] &amp; "-" &amp; DATE(YEAR(T_Stocks[[#This Row],[Fecha]]),MONTH(T_Stocks[[#This Row],[Fecha]]),DAY(T_Stocks[[#This Row],[Fecha]]))</f>
        <v>VTSAX-45552</v>
      </c>
    </row>
    <row r="8189" spans="1:4" ht="14.65" thickBot="1" x14ac:dyDescent="0.5">
      <c r="A8189" s="17">
        <v>45553.666666666664</v>
      </c>
      <c r="B8189" s="19">
        <v>134.97</v>
      </c>
      <c r="C8189" t="s">
        <v>32</v>
      </c>
      <c r="D8189" t="str">
        <f>T_Stocks[[#This Row],[Ticker]] &amp; "-" &amp; DATE(YEAR(T_Stocks[[#This Row],[Fecha]]),MONTH(T_Stocks[[#This Row],[Fecha]]),DAY(T_Stocks[[#This Row],[Fecha]]))</f>
        <v>VTSAX-45553</v>
      </c>
    </row>
    <row r="8190" spans="1:4" ht="14.65" thickBot="1" x14ac:dyDescent="0.5">
      <c r="A8190" s="17">
        <v>45554.666666666664</v>
      </c>
      <c r="B8190" s="19">
        <v>137.30000000000001</v>
      </c>
      <c r="C8190" t="s">
        <v>32</v>
      </c>
      <c r="D8190" t="str">
        <f>T_Stocks[[#This Row],[Ticker]] &amp; "-" &amp; DATE(YEAR(T_Stocks[[#This Row],[Fecha]]),MONTH(T_Stocks[[#This Row],[Fecha]]),DAY(T_Stocks[[#This Row],[Fecha]]))</f>
        <v>VTSAX-45554</v>
      </c>
    </row>
    <row r="8191" spans="1:4" ht="14.65" thickBot="1" x14ac:dyDescent="0.5">
      <c r="A8191" s="17">
        <v>45555.666666666664</v>
      </c>
      <c r="B8191" s="19">
        <v>136.96</v>
      </c>
      <c r="C8191" t="s">
        <v>32</v>
      </c>
      <c r="D8191" t="str">
        <f>T_Stocks[[#This Row],[Ticker]] &amp; "-" &amp; DATE(YEAR(T_Stocks[[#This Row],[Fecha]]),MONTH(T_Stocks[[#This Row],[Fecha]]),DAY(T_Stocks[[#This Row],[Fecha]]))</f>
        <v>VTSAX-45555</v>
      </c>
    </row>
    <row r="8192" spans="1:4" ht="14.65" thickBot="1" x14ac:dyDescent="0.5">
      <c r="A8192" s="17">
        <v>45558.666666666664</v>
      </c>
      <c r="B8192" s="19">
        <v>137.32</v>
      </c>
      <c r="C8192" t="s">
        <v>32</v>
      </c>
      <c r="D8192" t="str">
        <f>T_Stocks[[#This Row],[Ticker]] &amp; "-" &amp; DATE(YEAR(T_Stocks[[#This Row],[Fecha]]),MONTH(T_Stocks[[#This Row],[Fecha]]),DAY(T_Stocks[[#This Row],[Fecha]]))</f>
        <v>VTSAX-45558</v>
      </c>
    </row>
    <row r="8193" spans="1:4" ht="14.65" thickBot="1" x14ac:dyDescent="0.5">
      <c r="A8193" s="17">
        <v>45559.666666666664</v>
      </c>
      <c r="B8193" s="19">
        <v>137.63999999999999</v>
      </c>
      <c r="C8193" t="s">
        <v>32</v>
      </c>
      <c r="D8193" t="str">
        <f>T_Stocks[[#This Row],[Ticker]] &amp; "-" &amp; DATE(YEAR(T_Stocks[[#This Row],[Fecha]]),MONTH(T_Stocks[[#This Row],[Fecha]]),DAY(T_Stocks[[#This Row],[Fecha]]))</f>
        <v>VTSAX-45559</v>
      </c>
    </row>
    <row r="8194" spans="1:4" ht="14.65" thickBot="1" x14ac:dyDescent="0.5">
      <c r="A8194" s="17">
        <v>45560.666666666664</v>
      </c>
      <c r="B8194" s="18">
        <v>137.24</v>
      </c>
      <c r="C8194" t="s">
        <v>32</v>
      </c>
      <c r="D8194" t="str">
        <f>T_Stocks[[#This Row],[Ticker]] &amp; "-" &amp; DATE(YEAR(T_Stocks[[#This Row],[Fecha]]),MONTH(T_Stocks[[#This Row],[Fecha]]),DAY(T_Stocks[[#This Row],[Fecha]]))</f>
        <v>VTSAX-45560</v>
      </c>
    </row>
    <row r="8195" spans="1:4" ht="14.65" thickBot="1" x14ac:dyDescent="0.5">
      <c r="A8195" s="17">
        <v>45561.666666666664</v>
      </c>
      <c r="B8195" s="18">
        <v>137.83000000000001</v>
      </c>
      <c r="C8195" t="s">
        <v>32</v>
      </c>
      <c r="D8195" t="str">
        <f>T_Stocks[[#This Row],[Ticker]] &amp; "-" &amp; DATE(YEAR(T_Stocks[[#This Row],[Fecha]]),MONTH(T_Stocks[[#This Row],[Fecha]]),DAY(T_Stocks[[#This Row],[Fecha]]))</f>
        <v>VTSAX-45561</v>
      </c>
    </row>
    <row r="8196" spans="1:4" ht="14.65" thickBot="1" x14ac:dyDescent="0.5">
      <c r="A8196" s="17">
        <v>45562.666666666664</v>
      </c>
      <c r="B8196" s="18">
        <v>137.32</v>
      </c>
      <c r="C8196" t="s">
        <v>32</v>
      </c>
      <c r="D8196" t="str">
        <f>T_Stocks[[#This Row],[Ticker]] &amp; "-" &amp; DATE(YEAR(T_Stocks[[#This Row],[Fecha]]),MONTH(T_Stocks[[#This Row],[Fecha]]),DAY(T_Stocks[[#This Row],[Fecha]]))</f>
        <v>VTSAX-45562</v>
      </c>
    </row>
    <row r="8197" spans="1:4" ht="14.65" thickBot="1" x14ac:dyDescent="0.5">
      <c r="A8197" s="17">
        <v>45565.666666666664</v>
      </c>
      <c r="B8197" s="18">
        <v>137.86000000000001</v>
      </c>
      <c r="C8197" t="s">
        <v>32</v>
      </c>
      <c r="D8197" t="str">
        <f>T_Stocks[[#This Row],[Ticker]] &amp; "-" &amp; DATE(YEAR(T_Stocks[[#This Row],[Fecha]]),MONTH(T_Stocks[[#This Row],[Fecha]]),DAY(T_Stocks[[#This Row],[Fecha]]))</f>
        <v>VTSAX-45565</v>
      </c>
    </row>
    <row r="8198" spans="1:4" ht="14.65" thickBot="1" x14ac:dyDescent="0.5">
      <c r="A8198" s="17">
        <v>45566.666666666664</v>
      </c>
      <c r="B8198" s="18">
        <v>136.56</v>
      </c>
      <c r="C8198" t="s">
        <v>32</v>
      </c>
      <c r="D8198" t="str">
        <f>T_Stocks[[#This Row],[Ticker]] &amp; "-" &amp; DATE(YEAR(T_Stocks[[#This Row],[Fecha]]),MONTH(T_Stocks[[#This Row],[Fecha]]),DAY(T_Stocks[[#This Row],[Fecha]]))</f>
        <v>VTSAX-45566</v>
      </c>
    </row>
    <row r="8199" spans="1:4" ht="14.65" thickBot="1" x14ac:dyDescent="0.5">
      <c r="A8199" s="17">
        <v>45567.666666666664</v>
      </c>
      <c r="B8199" s="18">
        <v>136.59</v>
      </c>
      <c r="C8199" t="s">
        <v>32</v>
      </c>
      <c r="D8199" t="str">
        <f>T_Stocks[[#This Row],[Ticker]] &amp; "-" &amp; DATE(YEAR(T_Stocks[[#This Row],[Fecha]]),MONTH(T_Stocks[[#This Row],[Fecha]]),DAY(T_Stocks[[#This Row],[Fecha]]))</f>
        <v>VTSAX-45567</v>
      </c>
    </row>
    <row r="8200" spans="1:4" ht="14.65" thickBot="1" x14ac:dyDescent="0.5">
      <c r="A8200" s="17">
        <v>45568.666666666664</v>
      </c>
      <c r="B8200" s="18">
        <v>136.31</v>
      </c>
      <c r="C8200" t="s">
        <v>32</v>
      </c>
      <c r="D8200" t="str">
        <f>T_Stocks[[#This Row],[Ticker]] &amp; "-" &amp; DATE(YEAR(T_Stocks[[#This Row],[Fecha]]),MONTH(T_Stocks[[#This Row],[Fecha]]),DAY(T_Stocks[[#This Row],[Fecha]]))</f>
        <v>VTSAX-45568</v>
      </c>
    </row>
    <row r="8201" spans="1:4" ht="14.65" thickBot="1" x14ac:dyDescent="0.5">
      <c r="A8201" s="17">
        <v>45569.666666666664</v>
      </c>
      <c r="B8201" s="18">
        <v>137.65</v>
      </c>
      <c r="C8201" t="s">
        <v>32</v>
      </c>
      <c r="D8201" t="str">
        <f>T_Stocks[[#This Row],[Ticker]] &amp; "-" &amp; DATE(YEAR(T_Stocks[[#This Row],[Fecha]]),MONTH(T_Stocks[[#This Row],[Fecha]]),DAY(T_Stocks[[#This Row],[Fecha]]))</f>
        <v>VTSAX-45569</v>
      </c>
    </row>
    <row r="8202" spans="1:4" ht="14.65" thickBot="1" x14ac:dyDescent="0.5">
      <c r="A8202" s="17">
        <v>45572.666666666664</v>
      </c>
      <c r="B8202" s="18">
        <v>136.34</v>
      </c>
      <c r="C8202" t="s">
        <v>32</v>
      </c>
      <c r="D8202" t="str">
        <f>T_Stocks[[#This Row],[Ticker]] &amp; "-" &amp; DATE(YEAR(T_Stocks[[#This Row],[Fecha]]),MONTH(T_Stocks[[#This Row],[Fecha]]),DAY(T_Stocks[[#This Row],[Fecha]]))</f>
        <v>VTSAX-45572</v>
      </c>
    </row>
    <row r="8203" spans="1:4" ht="14.65" thickBot="1" x14ac:dyDescent="0.5">
      <c r="A8203" s="17">
        <v>45573.666666666664</v>
      </c>
      <c r="B8203" s="18">
        <v>137.53</v>
      </c>
      <c r="C8203" t="s">
        <v>32</v>
      </c>
      <c r="D8203" t="str">
        <f>T_Stocks[[#This Row],[Ticker]] &amp; "-" &amp; DATE(YEAR(T_Stocks[[#This Row],[Fecha]]),MONTH(T_Stocks[[#This Row],[Fecha]]),DAY(T_Stocks[[#This Row],[Fecha]]))</f>
        <v>VTSAX-45573</v>
      </c>
    </row>
    <row r="8204" spans="1:4" ht="14.65" thickBot="1" x14ac:dyDescent="0.5">
      <c r="A8204" s="17">
        <v>45574.666666666664</v>
      </c>
      <c r="B8204" s="18">
        <v>138.49</v>
      </c>
      <c r="C8204" t="s">
        <v>32</v>
      </c>
      <c r="D8204" t="str">
        <f>T_Stocks[[#This Row],[Ticker]] &amp; "-" &amp; DATE(YEAR(T_Stocks[[#This Row],[Fecha]]),MONTH(T_Stocks[[#This Row],[Fecha]]),DAY(T_Stocks[[#This Row],[Fecha]]))</f>
        <v>VTSAX-45574</v>
      </c>
    </row>
    <row r="8205" spans="1:4" ht="14.65" thickBot="1" x14ac:dyDescent="0.5">
      <c r="A8205" s="17">
        <v>45575.666666666664</v>
      </c>
      <c r="B8205" s="18">
        <v>138.21</v>
      </c>
      <c r="C8205" t="s">
        <v>32</v>
      </c>
      <c r="D8205" t="str">
        <f>T_Stocks[[#This Row],[Ticker]] &amp; "-" &amp; DATE(YEAR(T_Stocks[[#This Row],[Fecha]]),MONTH(T_Stocks[[#This Row],[Fecha]]),DAY(T_Stocks[[#This Row],[Fecha]]))</f>
        <v>VTSAX-45575</v>
      </c>
    </row>
    <row r="8206" spans="1:4" ht="14.65" thickBot="1" x14ac:dyDescent="0.5">
      <c r="A8206" s="17">
        <v>45576.666666666664</v>
      </c>
      <c r="B8206" s="18">
        <v>139.27000000000001</v>
      </c>
      <c r="C8206" t="s">
        <v>32</v>
      </c>
      <c r="D8206" t="str">
        <f>T_Stocks[[#This Row],[Ticker]] &amp; "-" &amp; DATE(YEAR(T_Stocks[[#This Row],[Fecha]]),MONTH(T_Stocks[[#This Row],[Fecha]]),DAY(T_Stocks[[#This Row],[Fecha]]))</f>
        <v>VTSAX-45576</v>
      </c>
    </row>
    <row r="8207" spans="1:4" ht="14.65" thickBot="1" x14ac:dyDescent="0.5">
      <c r="A8207" s="17">
        <v>45579.666666666664</v>
      </c>
      <c r="B8207" s="18">
        <v>140.30000000000001</v>
      </c>
      <c r="C8207" t="s">
        <v>32</v>
      </c>
      <c r="D8207" t="str">
        <f>T_Stocks[[#This Row],[Ticker]] &amp; "-" &amp; DATE(YEAR(T_Stocks[[#This Row],[Fecha]]),MONTH(T_Stocks[[#This Row],[Fecha]]),DAY(T_Stocks[[#This Row],[Fecha]]))</f>
        <v>VTSAX-45579</v>
      </c>
    </row>
    <row r="8208" spans="1:4" ht="14.65" thickBot="1" x14ac:dyDescent="0.5">
      <c r="A8208" s="17">
        <v>45580.666666666664</v>
      </c>
      <c r="B8208" s="18">
        <v>139.37</v>
      </c>
      <c r="C8208" t="s">
        <v>32</v>
      </c>
      <c r="D8208" t="str">
        <f>T_Stocks[[#This Row],[Ticker]] &amp; "-" &amp; DATE(YEAR(T_Stocks[[#This Row],[Fecha]]),MONTH(T_Stocks[[#This Row],[Fecha]]),DAY(T_Stocks[[#This Row],[Fecha]]))</f>
        <v>VTSAX-45580</v>
      </c>
    </row>
    <row r="8209" spans="1:4" ht="14.65" thickBot="1" x14ac:dyDescent="0.5">
      <c r="A8209" s="17">
        <v>45581.666666666664</v>
      </c>
      <c r="B8209" s="18">
        <v>140.13</v>
      </c>
      <c r="C8209" t="s">
        <v>32</v>
      </c>
      <c r="D8209" t="str">
        <f>T_Stocks[[#This Row],[Ticker]] &amp; "-" &amp; DATE(YEAR(T_Stocks[[#This Row],[Fecha]]),MONTH(T_Stocks[[#This Row],[Fecha]]),DAY(T_Stocks[[#This Row],[Fecha]]))</f>
        <v>VTSAX-45581</v>
      </c>
    </row>
    <row r="8210" spans="1:4" ht="14.65" thickBot="1" x14ac:dyDescent="0.5">
      <c r="A8210" s="17">
        <v>45582.666666666664</v>
      </c>
      <c r="B8210" s="18">
        <v>140.09</v>
      </c>
      <c r="C8210" t="s">
        <v>32</v>
      </c>
      <c r="D8210" t="str">
        <f>T_Stocks[[#This Row],[Ticker]] &amp; "-" &amp; DATE(YEAR(T_Stocks[[#This Row],[Fecha]]),MONTH(T_Stocks[[#This Row],[Fecha]]),DAY(T_Stocks[[#This Row],[Fecha]]))</f>
        <v>VTSAX-45582</v>
      </c>
    </row>
    <row r="8211" spans="1:4" ht="14.65" thickBot="1" x14ac:dyDescent="0.5">
      <c r="A8211" s="17">
        <v>45583.666666666664</v>
      </c>
      <c r="B8211" s="18">
        <v>140.61000000000001</v>
      </c>
      <c r="C8211" t="s">
        <v>32</v>
      </c>
      <c r="D8211" t="str">
        <f>T_Stocks[[#This Row],[Ticker]] &amp; "-" &amp; DATE(YEAR(T_Stocks[[#This Row],[Fecha]]),MONTH(T_Stocks[[#This Row],[Fecha]]),DAY(T_Stocks[[#This Row],[Fecha]]))</f>
        <v>VTSAX-45583</v>
      </c>
    </row>
    <row r="8212" spans="1:4" ht="14.65" thickBot="1" x14ac:dyDescent="0.5">
      <c r="A8212" s="17">
        <v>45586.666666666664</v>
      </c>
      <c r="B8212" s="18">
        <v>140.16999999999999</v>
      </c>
      <c r="C8212" t="s">
        <v>32</v>
      </c>
      <c r="D8212" t="str">
        <f>T_Stocks[[#This Row],[Ticker]] &amp; "-" &amp; DATE(YEAR(T_Stocks[[#This Row],[Fecha]]),MONTH(T_Stocks[[#This Row],[Fecha]]),DAY(T_Stocks[[#This Row],[Fecha]]))</f>
        <v>VTSAX-45586</v>
      </c>
    </row>
    <row r="8213" spans="1:4" ht="14.65" thickBot="1" x14ac:dyDescent="0.5">
      <c r="A8213" s="17">
        <v>45587.666666666664</v>
      </c>
      <c r="B8213" s="18">
        <v>140.03</v>
      </c>
      <c r="C8213" t="s">
        <v>32</v>
      </c>
      <c r="D8213" t="str">
        <f>T_Stocks[[#This Row],[Ticker]] &amp; "-" &amp; DATE(YEAR(T_Stocks[[#This Row],[Fecha]]),MONTH(T_Stocks[[#This Row],[Fecha]]),DAY(T_Stocks[[#This Row],[Fecha]]))</f>
        <v>VTSAX-45587</v>
      </c>
    </row>
    <row r="8214" spans="1:4" ht="14.65" thickBot="1" x14ac:dyDescent="0.5">
      <c r="A8214" s="17">
        <v>45588.666666666664</v>
      </c>
      <c r="B8214" s="18">
        <v>138.78</v>
      </c>
      <c r="C8214" t="s">
        <v>32</v>
      </c>
      <c r="D8214" t="str">
        <f>T_Stocks[[#This Row],[Ticker]] &amp; "-" &amp; DATE(YEAR(T_Stocks[[#This Row],[Fecha]]),MONTH(T_Stocks[[#This Row],[Fecha]]),DAY(T_Stocks[[#This Row],[Fecha]]))</f>
        <v>VTSAX-45588</v>
      </c>
    </row>
    <row r="8215" spans="1:4" ht="14.65" thickBot="1" x14ac:dyDescent="0.5">
      <c r="A8215" s="17">
        <v>45589.666666666664</v>
      </c>
      <c r="B8215" s="18">
        <v>139.1</v>
      </c>
      <c r="C8215" t="s">
        <v>32</v>
      </c>
      <c r="D8215" t="str">
        <f>T_Stocks[[#This Row],[Ticker]] &amp; "-" &amp; DATE(YEAR(T_Stocks[[#This Row],[Fecha]]),MONTH(T_Stocks[[#This Row],[Fecha]]),DAY(T_Stocks[[#This Row],[Fecha]]))</f>
        <v>VTSAX-45589</v>
      </c>
    </row>
    <row r="8216" spans="1:4" ht="14.65" thickBot="1" x14ac:dyDescent="0.5">
      <c r="A8216" s="17">
        <v>45590.666666666664</v>
      </c>
      <c r="B8216" s="18">
        <v>138.97999999999999</v>
      </c>
      <c r="C8216" t="s">
        <v>32</v>
      </c>
      <c r="D8216" t="str">
        <f>T_Stocks[[#This Row],[Ticker]] &amp; "-" &amp; DATE(YEAR(T_Stocks[[#This Row],[Fecha]]),MONTH(T_Stocks[[#This Row],[Fecha]]),DAY(T_Stocks[[#This Row],[Fecha]]))</f>
        <v>VTSAX-45590</v>
      </c>
    </row>
    <row r="8217" spans="1:4" ht="14.65" thickBot="1" x14ac:dyDescent="0.5">
      <c r="A8217" s="17">
        <v>45593.666666666664</v>
      </c>
      <c r="B8217" s="18">
        <v>139.51</v>
      </c>
      <c r="C8217" t="s">
        <v>32</v>
      </c>
      <c r="D8217" t="str">
        <f>T_Stocks[[#This Row],[Ticker]] &amp; "-" &amp; DATE(YEAR(T_Stocks[[#This Row],[Fecha]]),MONTH(T_Stocks[[#This Row],[Fecha]]),DAY(T_Stocks[[#This Row],[Fecha]]))</f>
        <v>VTSAX-45593</v>
      </c>
    </row>
    <row r="8218" spans="1:4" ht="14.65" thickBot="1" x14ac:dyDescent="0.5">
      <c r="A8218" s="17">
        <v>45594.666666666664</v>
      </c>
      <c r="B8218" s="18">
        <v>139.72999999999999</v>
      </c>
      <c r="C8218" t="s">
        <v>32</v>
      </c>
      <c r="D8218" t="str">
        <f>T_Stocks[[#This Row],[Ticker]] &amp; "-" &amp; DATE(YEAR(T_Stocks[[#This Row],[Fecha]]),MONTH(T_Stocks[[#This Row],[Fecha]]),DAY(T_Stocks[[#This Row],[Fecha]]))</f>
        <v>VTSAX-45594</v>
      </c>
    </row>
    <row r="8219" spans="1:4" ht="14.65" thickBot="1" x14ac:dyDescent="0.5">
      <c r="A8219" s="17">
        <v>45595.666666666664</v>
      </c>
      <c r="B8219" s="18">
        <v>139.31</v>
      </c>
      <c r="C8219" t="s">
        <v>32</v>
      </c>
      <c r="D8219" t="str">
        <f>T_Stocks[[#This Row],[Ticker]] &amp; "-" &amp; DATE(YEAR(T_Stocks[[#This Row],[Fecha]]),MONTH(T_Stocks[[#This Row],[Fecha]]),DAY(T_Stocks[[#This Row],[Fecha]]))</f>
        <v>VTSAX-45595</v>
      </c>
    </row>
    <row r="8220" spans="1:4" ht="14.65" thickBot="1" x14ac:dyDescent="0.5">
      <c r="A8220" s="17">
        <v>45596.666666666664</v>
      </c>
      <c r="B8220" s="18">
        <v>136.82</v>
      </c>
      <c r="C8220" t="s">
        <v>32</v>
      </c>
      <c r="D8220" t="str">
        <f>T_Stocks[[#This Row],[Ticker]] &amp; "-" &amp; DATE(YEAR(T_Stocks[[#This Row],[Fecha]]),MONTH(T_Stocks[[#This Row],[Fecha]]),DAY(T_Stocks[[#This Row],[Fecha]]))</f>
        <v>VTSAX-45596</v>
      </c>
    </row>
    <row r="8221" spans="1:4" ht="14.65" thickBot="1" x14ac:dyDescent="0.5">
      <c r="A8221" s="17">
        <v>45597.666666666664</v>
      </c>
      <c r="B8221" s="18">
        <v>137.38999999999999</v>
      </c>
      <c r="C8221" t="s">
        <v>32</v>
      </c>
      <c r="D8221" t="str">
        <f>T_Stocks[[#This Row],[Ticker]] &amp; "-" &amp; DATE(YEAR(T_Stocks[[#This Row],[Fecha]]),MONTH(T_Stocks[[#This Row],[Fecha]]),DAY(T_Stocks[[#This Row],[Fecha]]))</f>
        <v>VTSAX-45597</v>
      </c>
    </row>
    <row r="8222" spans="1:4" ht="14.65" thickBot="1" x14ac:dyDescent="0.5">
      <c r="A8222" s="17">
        <v>45600.666666666664</v>
      </c>
      <c r="B8222" s="18">
        <v>137.08000000000001</v>
      </c>
      <c r="C8222" t="s">
        <v>32</v>
      </c>
      <c r="D8222" t="str">
        <f>T_Stocks[[#This Row],[Ticker]] &amp; "-" &amp; DATE(YEAR(T_Stocks[[#This Row],[Fecha]]),MONTH(T_Stocks[[#This Row],[Fecha]]),DAY(T_Stocks[[#This Row],[Fecha]]))</f>
        <v>VTSAX-45600</v>
      </c>
    </row>
    <row r="8223" spans="1:4" ht="14.65" thickBot="1" x14ac:dyDescent="0.5">
      <c r="A8223" s="17">
        <v>45601.666666666664</v>
      </c>
      <c r="B8223" s="18">
        <v>138.85</v>
      </c>
      <c r="C8223" t="s">
        <v>32</v>
      </c>
      <c r="D8223" t="str">
        <f>T_Stocks[[#This Row],[Ticker]] &amp; "-" &amp; DATE(YEAR(T_Stocks[[#This Row],[Fecha]]),MONTH(T_Stocks[[#This Row],[Fecha]]),DAY(T_Stocks[[#This Row],[Fecha]]))</f>
        <v>VTSAX-45601</v>
      </c>
    </row>
    <row r="8224" spans="1:4" ht="14.65" thickBot="1" x14ac:dyDescent="0.5">
      <c r="A8224" s="17">
        <v>45602.666666666664</v>
      </c>
      <c r="B8224" s="18">
        <v>142.74</v>
      </c>
      <c r="C8224" t="s">
        <v>32</v>
      </c>
      <c r="D8224" t="str">
        <f>T_Stocks[[#This Row],[Ticker]] &amp; "-" &amp; DATE(YEAR(T_Stocks[[#This Row],[Fecha]]),MONTH(T_Stocks[[#This Row],[Fecha]]),DAY(T_Stocks[[#This Row],[Fecha]]))</f>
        <v>VTSAX-45602</v>
      </c>
    </row>
    <row r="8225" spans="1:4" ht="14.65" thickBot="1" x14ac:dyDescent="0.5">
      <c r="A8225" s="17">
        <v>45603.666666666664</v>
      </c>
      <c r="B8225" s="18">
        <v>143.72999999999999</v>
      </c>
      <c r="C8225" t="s">
        <v>32</v>
      </c>
      <c r="D8225" t="str">
        <f>T_Stocks[[#This Row],[Ticker]] &amp; "-" &amp; DATE(YEAR(T_Stocks[[#This Row],[Fecha]]),MONTH(T_Stocks[[#This Row],[Fecha]]),DAY(T_Stocks[[#This Row],[Fecha]]))</f>
        <v>VTSAX-45603</v>
      </c>
    </row>
    <row r="8226" spans="1:4" ht="14.65" thickBot="1" x14ac:dyDescent="0.5">
      <c r="A8226" s="17">
        <v>45604.666666666664</v>
      </c>
      <c r="B8226" s="18">
        <v>144.36000000000001</v>
      </c>
      <c r="C8226" t="s">
        <v>32</v>
      </c>
      <c r="D8226" t="str">
        <f>T_Stocks[[#This Row],[Ticker]] &amp; "-" &amp; DATE(YEAR(T_Stocks[[#This Row],[Fecha]]),MONTH(T_Stocks[[#This Row],[Fecha]]),DAY(T_Stocks[[#This Row],[Fecha]]))</f>
        <v>VTSAX-45604</v>
      </c>
    </row>
    <row r="8227" spans="1:4" ht="14.65" thickBot="1" x14ac:dyDescent="0.5">
      <c r="A8227" s="17">
        <v>45607.666666666664</v>
      </c>
      <c r="B8227" s="18">
        <v>144.79</v>
      </c>
      <c r="C8227" t="s">
        <v>32</v>
      </c>
      <c r="D8227" t="str">
        <f>T_Stocks[[#This Row],[Ticker]] &amp; "-" &amp; DATE(YEAR(T_Stocks[[#This Row],[Fecha]]),MONTH(T_Stocks[[#This Row],[Fecha]]),DAY(T_Stocks[[#This Row],[Fecha]]))</f>
        <v>VTSAX-45607</v>
      </c>
    </row>
    <row r="8228" spans="1:4" ht="14.65" thickBot="1" x14ac:dyDescent="0.5">
      <c r="A8228" s="17">
        <v>45608.666666666664</v>
      </c>
      <c r="B8228" s="18">
        <v>144.22999999999999</v>
      </c>
      <c r="C8228" t="s">
        <v>32</v>
      </c>
      <c r="D8228" t="str">
        <f>T_Stocks[[#This Row],[Ticker]] &amp; "-" &amp; DATE(YEAR(T_Stocks[[#This Row],[Fecha]]),MONTH(T_Stocks[[#This Row],[Fecha]]),DAY(T_Stocks[[#This Row],[Fecha]]))</f>
        <v>VTSAX-45608</v>
      </c>
    </row>
    <row r="8229" spans="1:4" ht="14.65" thickBot="1" x14ac:dyDescent="0.5">
      <c r="A8229" s="17">
        <v>45609.666666666664</v>
      </c>
      <c r="B8229" s="18">
        <v>144.13999999999999</v>
      </c>
      <c r="C8229" t="s">
        <v>32</v>
      </c>
      <c r="D8229" t="str">
        <f>T_Stocks[[#This Row],[Ticker]] &amp; "-" &amp; DATE(YEAR(T_Stocks[[#This Row],[Fecha]]),MONTH(T_Stocks[[#This Row],[Fecha]]),DAY(T_Stocks[[#This Row],[Fecha]]))</f>
        <v>VTSAX-45609</v>
      </c>
    </row>
    <row r="8230" spans="1:4" ht="14.65" thickBot="1" x14ac:dyDescent="0.5">
      <c r="A8230" s="17">
        <v>45610.666666666664</v>
      </c>
      <c r="B8230" s="18">
        <v>143.16</v>
      </c>
      <c r="C8230" t="s">
        <v>32</v>
      </c>
      <c r="D8230" t="str">
        <f>T_Stocks[[#This Row],[Ticker]] &amp; "-" &amp; DATE(YEAR(T_Stocks[[#This Row],[Fecha]]),MONTH(T_Stocks[[#This Row],[Fecha]]),DAY(T_Stocks[[#This Row],[Fecha]]))</f>
        <v>VTSAX-45610</v>
      </c>
    </row>
    <row r="8231" spans="1:4" ht="14.65" thickBot="1" x14ac:dyDescent="0.5">
      <c r="A8231" s="17">
        <v>45611.666666666664</v>
      </c>
      <c r="B8231" s="18">
        <v>141.29</v>
      </c>
      <c r="C8231" t="s">
        <v>32</v>
      </c>
      <c r="D8231" t="str">
        <f>T_Stocks[[#This Row],[Ticker]] &amp; "-" &amp; DATE(YEAR(T_Stocks[[#This Row],[Fecha]]),MONTH(T_Stocks[[#This Row],[Fecha]]),DAY(T_Stocks[[#This Row],[Fecha]]))</f>
        <v>VTSAX-45611</v>
      </c>
    </row>
    <row r="8232" spans="1:4" ht="14.65" thickBot="1" x14ac:dyDescent="0.5">
      <c r="A8232" s="17">
        <v>45614.666666666664</v>
      </c>
      <c r="B8232" s="18">
        <v>141.88</v>
      </c>
      <c r="C8232" t="s">
        <v>32</v>
      </c>
      <c r="D8232" t="str">
        <f>T_Stocks[[#This Row],[Ticker]] &amp; "-" &amp; DATE(YEAR(T_Stocks[[#This Row],[Fecha]]),MONTH(T_Stocks[[#This Row],[Fecha]]),DAY(T_Stocks[[#This Row],[Fecha]]))</f>
        <v>VTSAX-45614</v>
      </c>
    </row>
    <row r="8233" spans="1:4" ht="14.65" thickBot="1" x14ac:dyDescent="0.5">
      <c r="A8233" s="17">
        <v>45615.666666666664</v>
      </c>
      <c r="B8233" s="18">
        <v>142.54</v>
      </c>
      <c r="C8233" t="s">
        <v>32</v>
      </c>
      <c r="D8233" t="str">
        <f>T_Stocks[[#This Row],[Ticker]] &amp; "-" &amp; DATE(YEAR(T_Stocks[[#This Row],[Fecha]]),MONTH(T_Stocks[[#This Row],[Fecha]]),DAY(T_Stocks[[#This Row],[Fecha]]))</f>
        <v>VTSAX-45615</v>
      </c>
    </row>
    <row r="8234" spans="1:4" ht="14.65" thickBot="1" x14ac:dyDescent="0.5">
      <c r="A8234" s="17">
        <v>45616.666666666664</v>
      </c>
      <c r="B8234" s="18">
        <v>142.62</v>
      </c>
      <c r="C8234" t="s">
        <v>32</v>
      </c>
      <c r="D8234" t="str">
        <f>T_Stocks[[#This Row],[Ticker]] &amp; "-" &amp; DATE(YEAR(T_Stocks[[#This Row],[Fecha]]),MONTH(T_Stocks[[#This Row],[Fecha]]),DAY(T_Stocks[[#This Row],[Fecha]]))</f>
        <v>VTSAX-45616</v>
      </c>
    </row>
    <row r="8235" spans="1:4" ht="14.65" thickBot="1" x14ac:dyDescent="0.5">
      <c r="A8235" s="17">
        <v>45617.666666666664</v>
      </c>
      <c r="B8235" s="18">
        <v>143.61000000000001</v>
      </c>
      <c r="C8235" t="s">
        <v>32</v>
      </c>
      <c r="D8235" t="str">
        <f>T_Stocks[[#This Row],[Ticker]] &amp; "-" &amp; DATE(YEAR(T_Stocks[[#This Row],[Fecha]]),MONTH(T_Stocks[[#This Row],[Fecha]]),DAY(T_Stocks[[#This Row],[Fecha]]))</f>
        <v>VTSAX-45617</v>
      </c>
    </row>
    <row r="8236" spans="1:4" ht="14.65" thickBot="1" x14ac:dyDescent="0.5">
      <c r="A8236" s="17">
        <v>45618.666666666664</v>
      </c>
      <c r="B8236" s="18">
        <v>144.38</v>
      </c>
      <c r="C8236" t="s">
        <v>32</v>
      </c>
      <c r="D8236" t="str">
        <f>T_Stocks[[#This Row],[Ticker]] &amp; "-" &amp; DATE(YEAR(T_Stocks[[#This Row],[Fecha]]),MONTH(T_Stocks[[#This Row],[Fecha]]),DAY(T_Stocks[[#This Row],[Fecha]]))</f>
        <v>VTSAX-45618</v>
      </c>
    </row>
    <row r="8237" spans="1:4" ht="14.65" thickBot="1" x14ac:dyDescent="0.5">
      <c r="A8237" s="17">
        <v>45621.666666666664</v>
      </c>
      <c r="B8237" s="18">
        <v>145.01</v>
      </c>
      <c r="C8237" t="s">
        <v>32</v>
      </c>
      <c r="D8237" t="str">
        <f>T_Stocks[[#This Row],[Ticker]] &amp; "-" &amp; DATE(YEAR(T_Stocks[[#This Row],[Fecha]]),MONTH(T_Stocks[[#This Row],[Fecha]]),DAY(T_Stocks[[#This Row],[Fecha]]))</f>
        <v>VTSAX-45621</v>
      </c>
    </row>
    <row r="8238" spans="1:4" ht="14.65" thickBot="1" x14ac:dyDescent="0.5">
      <c r="A8238" s="17">
        <v>45622.666666666664</v>
      </c>
      <c r="B8238" s="18">
        <v>145.63</v>
      </c>
      <c r="C8238" t="s">
        <v>32</v>
      </c>
      <c r="D8238" t="str">
        <f>T_Stocks[[#This Row],[Ticker]] &amp; "-" &amp; DATE(YEAR(T_Stocks[[#This Row],[Fecha]]),MONTH(T_Stocks[[#This Row],[Fecha]]),DAY(T_Stocks[[#This Row],[Fecha]]))</f>
        <v>VTSAX-45622</v>
      </c>
    </row>
    <row r="8239" spans="1:4" ht="14.65" thickBot="1" x14ac:dyDescent="0.5">
      <c r="A8239" s="17">
        <v>45623.666666666664</v>
      </c>
      <c r="B8239" s="18">
        <v>145.13999999999999</v>
      </c>
      <c r="C8239" t="s">
        <v>32</v>
      </c>
      <c r="D8239" t="str">
        <f>T_Stocks[[#This Row],[Ticker]] &amp; "-" &amp; DATE(YEAR(T_Stocks[[#This Row],[Fecha]]),MONTH(T_Stocks[[#This Row],[Fecha]]),DAY(T_Stocks[[#This Row],[Fecha]]))</f>
        <v>VTSAX-45623</v>
      </c>
    </row>
    <row r="8240" spans="1:4" ht="14.65" thickBot="1" x14ac:dyDescent="0.5">
      <c r="A8240" s="17">
        <v>45625.541666666664</v>
      </c>
      <c r="B8240" s="18">
        <v>145.88999999999999</v>
      </c>
      <c r="C8240" t="s">
        <v>32</v>
      </c>
      <c r="D8240" t="str">
        <f>T_Stocks[[#This Row],[Ticker]] &amp; "-" &amp; DATE(YEAR(T_Stocks[[#This Row],[Fecha]]),MONTH(T_Stocks[[#This Row],[Fecha]]),DAY(T_Stocks[[#This Row],[Fecha]]))</f>
        <v>VTSAX-45625</v>
      </c>
    </row>
    <row r="8241" spans="1:4" ht="14.65" thickBot="1" x14ac:dyDescent="0.5">
      <c r="A8241" s="17">
        <v>45628.666666666664</v>
      </c>
      <c r="B8241" s="18">
        <v>146.21</v>
      </c>
      <c r="C8241" t="s">
        <v>32</v>
      </c>
      <c r="D8241" t="str">
        <f>T_Stocks[[#This Row],[Ticker]] &amp; "-" &amp; DATE(YEAR(T_Stocks[[#This Row],[Fecha]]),MONTH(T_Stocks[[#This Row],[Fecha]]),DAY(T_Stocks[[#This Row],[Fecha]]))</f>
        <v>VTSAX-45628</v>
      </c>
    </row>
    <row r="8242" spans="1:4" ht="14.65" thickBot="1" x14ac:dyDescent="0.5">
      <c r="A8242" s="17">
        <v>45629.666666666664</v>
      </c>
      <c r="B8242" s="18">
        <v>146.22999999999999</v>
      </c>
      <c r="C8242" t="s">
        <v>32</v>
      </c>
      <c r="D8242" t="str">
        <f>T_Stocks[[#This Row],[Ticker]] &amp; "-" &amp; DATE(YEAR(T_Stocks[[#This Row],[Fecha]]),MONTH(T_Stocks[[#This Row],[Fecha]]),DAY(T_Stocks[[#This Row],[Fecha]]))</f>
        <v>VTSAX-45629</v>
      </c>
    </row>
    <row r="8243" spans="1:4" ht="14.65" thickBot="1" x14ac:dyDescent="0.5">
      <c r="A8243" s="17">
        <v>45630.666666666664</v>
      </c>
      <c r="B8243" s="18">
        <v>147.22999999999999</v>
      </c>
      <c r="C8243" t="s">
        <v>32</v>
      </c>
      <c r="D8243" t="str">
        <f>T_Stocks[[#This Row],[Ticker]] &amp; "-" &amp; DATE(YEAR(T_Stocks[[#This Row],[Fecha]]),MONTH(T_Stocks[[#This Row],[Fecha]]),DAY(T_Stocks[[#This Row],[Fecha]]))</f>
        <v>VTSAX-45630</v>
      </c>
    </row>
    <row r="8244" spans="1:4" ht="14.65" thickBot="1" x14ac:dyDescent="0.5">
      <c r="A8244" s="17">
        <v>45631.666666666664</v>
      </c>
      <c r="B8244" s="18">
        <v>146.80000000000001</v>
      </c>
      <c r="C8244" t="s">
        <v>32</v>
      </c>
      <c r="D8244" t="str">
        <f>T_Stocks[[#This Row],[Ticker]] &amp; "-" &amp; DATE(YEAR(T_Stocks[[#This Row],[Fecha]]),MONTH(T_Stocks[[#This Row],[Fecha]]),DAY(T_Stocks[[#This Row],[Fecha]]))</f>
        <v>VTSAX-45631</v>
      </c>
    </row>
    <row r="8245" spans="1:4" ht="14.65" thickBot="1" x14ac:dyDescent="0.5">
      <c r="A8245" s="17">
        <v>45632.666666666664</v>
      </c>
      <c r="B8245" s="18">
        <v>147.26</v>
      </c>
      <c r="C8245" t="s">
        <v>32</v>
      </c>
      <c r="D8245" t="str">
        <f>T_Stocks[[#This Row],[Ticker]] &amp; "-" &amp; DATE(YEAR(T_Stocks[[#This Row],[Fecha]]),MONTH(T_Stocks[[#This Row],[Fecha]]),DAY(T_Stocks[[#This Row],[Fecha]]))</f>
        <v>VTSAX-45632</v>
      </c>
    </row>
    <row r="8246" spans="1:4" ht="14.65" thickBot="1" x14ac:dyDescent="0.5">
      <c r="A8246" s="17">
        <v>45635.666666666664</v>
      </c>
      <c r="B8246" s="18">
        <v>146.25</v>
      </c>
      <c r="C8246" t="s">
        <v>32</v>
      </c>
      <c r="D8246" t="str">
        <f>T_Stocks[[#This Row],[Ticker]] &amp; "-" &amp; DATE(YEAR(T_Stocks[[#This Row],[Fecha]]),MONTH(T_Stocks[[#This Row],[Fecha]]),DAY(T_Stocks[[#This Row],[Fecha]]))</f>
        <v>VTSAX-45635</v>
      </c>
    </row>
    <row r="8247" spans="1:4" ht="14.65" thickBot="1" x14ac:dyDescent="0.5">
      <c r="A8247" s="17">
        <v>45636.666666666664</v>
      </c>
      <c r="B8247" s="18">
        <v>145.69</v>
      </c>
      <c r="C8247" t="s">
        <v>32</v>
      </c>
      <c r="D8247" t="str">
        <f>T_Stocks[[#This Row],[Ticker]] &amp; "-" &amp; DATE(YEAR(T_Stocks[[#This Row],[Fecha]]),MONTH(T_Stocks[[#This Row],[Fecha]]),DAY(T_Stocks[[#This Row],[Fecha]]))</f>
        <v>VTSAX-45636</v>
      </c>
    </row>
    <row r="8248" spans="1:4" ht="14.65" thickBot="1" x14ac:dyDescent="0.5">
      <c r="A8248" s="17">
        <v>45637.666666666664</v>
      </c>
      <c r="B8248" s="18">
        <v>146.9</v>
      </c>
      <c r="C8248" t="s">
        <v>32</v>
      </c>
      <c r="D8248" t="str">
        <f>T_Stocks[[#This Row],[Ticker]] &amp; "-" &amp; DATE(YEAR(T_Stocks[[#This Row],[Fecha]]),MONTH(T_Stocks[[#This Row],[Fecha]]),DAY(T_Stocks[[#This Row],[Fecha]]))</f>
        <v>VTSAX-45637</v>
      </c>
    </row>
    <row r="8249" spans="1:4" ht="14.65" thickBot="1" x14ac:dyDescent="0.5">
      <c r="A8249" s="17">
        <v>45638.666666666664</v>
      </c>
      <c r="B8249" s="18">
        <v>146.03</v>
      </c>
      <c r="C8249" t="s">
        <v>32</v>
      </c>
      <c r="D8249" t="str">
        <f>T_Stocks[[#This Row],[Ticker]] &amp; "-" &amp; DATE(YEAR(T_Stocks[[#This Row],[Fecha]]),MONTH(T_Stocks[[#This Row],[Fecha]]),DAY(T_Stocks[[#This Row],[Fecha]]))</f>
        <v>VTSAX-45638</v>
      </c>
    </row>
    <row r="8250" spans="1:4" ht="14.65" thickBot="1" x14ac:dyDescent="0.5">
      <c r="A8250" s="17">
        <v>45639.666666666664</v>
      </c>
      <c r="B8250" s="18">
        <v>145.97</v>
      </c>
      <c r="C8250" t="s">
        <v>32</v>
      </c>
      <c r="D8250" t="str">
        <f>T_Stocks[[#This Row],[Ticker]] &amp; "-" &amp; DATE(YEAR(T_Stocks[[#This Row],[Fecha]]),MONTH(T_Stocks[[#This Row],[Fecha]]),DAY(T_Stocks[[#This Row],[Fecha]]))</f>
        <v>VTSAX-45639</v>
      </c>
    </row>
    <row r="8251" spans="1:4" ht="14.65" thickBot="1" x14ac:dyDescent="0.5">
      <c r="A8251" s="17">
        <v>45642.666666666664</v>
      </c>
      <c r="B8251" s="18">
        <v>146.59</v>
      </c>
      <c r="C8251" t="s">
        <v>32</v>
      </c>
      <c r="D8251" t="str">
        <f>T_Stocks[[#This Row],[Ticker]] &amp; "-" &amp; DATE(YEAR(T_Stocks[[#This Row],[Fecha]]),MONTH(T_Stocks[[#This Row],[Fecha]]),DAY(T_Stocks[[#This Row],[Fecha]]))</f>
        <v>VTSAX-45642</v>
      </c>
    </row>
    <row r="8252" spans="1:4" ht="14.65" thickBot="1" x14ac:dyDescent="0.5">
      <c r="A8252" s="17">
        <v>45643.666666666664</v>
      </c>
      <c r="B8252" s="18">
        <v>145.87</v>
      </c>
      <c r="C8252" t="s">
        <v>32</v>
      </c>
      <c r="D8252" t="str">
        <f>T_Stocks[[#This Row],[Ticker]] &amp; "-" &amp; DATE(YEAR(T_Stocks[[#This Row],[Fecha]]),MONTH(T_Stocks[[#This Row],[Fecha]]),DAY(T_Stocks[[#This Row],[Fecha]]))</f>
        <v>VTSAX-45643</v>
      </c>
    </row>
    <row r="8253" spans="1:4" ht="14.65" thickBot="1" x14ac:dyDescent="0.5">
      <c r="A8253" s="17">
        <v>45644.666666666664</v>
      </c>
      <c r="B8253" s="18">
        <v>141.29</v>
      </c>
      <c r="C8253" t="s">
        <v>32</v>
      </c>
      <c r="D8253" t="str">
        <f>T_Stocks[[#This Row],[Ticker]] &amp; "-" &amp; DATE(YEAR(T_Stocks[[#This Row],[Fecha]]),MONTH(T_Stocks[[#This Row],[Fecha]]),DAY(T_Stocks[[#This Row],[Fecha]]))</f>
        <v>VTSAX-45644</v>
      </c>
    </row>
    <row r="8254" spans="1:4" ht="14.65" thickBot="1" x14ac:dyDescent="0.5">
      <c r="A8254" s="17">
        <v>45645.666666666664</v>
      </c>
      <c r="B8254" s="18">
        <v>141.12</v>
      </c>
      <c r="C8254" t="s">
        <v>32</v>
      </c>
      <c r="D8254" t="str">
        <f>T_Stocks[[#This Row],[Ticker]] &amp; "-" &amp; DATE(YEAR(T_Stocks[[#This Row],[Fecha]]),MONTH(T_Stocks[[#This Row],[Fecha]]),DAY(T_Stocks[[#This Row],[Fecha]]))</f>
        <v>VTSAX-45645</v>
      </c>
    </row>
    <row r="8255" spans="1:4" ht="14.65" thickBot="1" x14ac:dyDescent="0.5">
      <c r="A8255" s="17">
        <v>45646.666666666664</v>
      </c>
      <c r="B8255" s="18">
        <v>142.69</v>
      </c>
      <c r="C8255" t="s">
        <v>32</v>
      </c>
      <c r="D8255" t="str">
        <f>T_Stocks[[#This Row],[Ticker]] &amp; "-" &amp; DATE(YEAR(T_Stocks[[#This Row],[Fecha]]),MONTH(T_Stocks[[#This Row],[Fecha]]),DAY(T_Stocks[[#This Row],[Fecha]]))</f>
        <v>VTSAX-45646</v>
      </c>
    </row>
    <row r="8256" spans="1:4" ht="14.65" thickBot="1" x14ac:dyDescent="0.5">
      <c r="A8256" s="17">
        <v>45649.666666666664</v>
      </c>
      <c r="B8256" s="18">
        <v>143.11000000000001</v>
      </c>
      <c r="C8256" t="s">
        <v>32</v>
      </c>
      <c r="D8256" t="str">
        <f>T_Stocks[[#This Row],[Ticker]] &amp; "-" &amp; DATE(YEAR(T_Stocks[[#This Row],[Fecha]]),MONTH(T_Stocks[[#This Row],[Fecha]]),DAY(T_Stocks[[#This Row],[Fecha]]))</f>
        <v>VTSAX-45649</v>
      </c>
    </row>
    <row r="8257" spans="1:4" ht="14.65" thickBot="1" x14ac:dyDescent="0.5">
      <c r="A8257" s="17">
        <v>45650.541666666664</v>
      </c>
      <c r="B8257" s="18">
        <v>144.66</v>
      </c>
      <c r="C8257" t="s">
        <v>32</v>
      </c>
      <c r="D8257" t="str">
        <f>T_Stocks[[#This Row],[Ticker]] &amp; "-" &amp; DATE(YEAR(T_Stocks[[#This Row],[Fecha]]),MONTH(T_Stocks[[#This Row],[Fecha]]),DAY(T_Stocks[[#This Row],[Fecha]]))</f>
        <v>VTSAX-45650</v>
      </c>
    </row>
    <row r="8258" spans="1:4" ht="14.65" thickBot="1" x14ac:dyDescent="0.5">
      <c r="A8258" s="17">
        <v>45652.666666666664</v>
      </c>
      <c r="B8258" s="18">
        <v>144.71</v>
      </c>
      <c r="C8258" t="s">
        <v>32</v>
      </c>
      <c r="D8258" t="str">
        <f>T_Stocks[[#This Row],[Ticker]] &amp; "-" &amp; DATE(YEAR(T_Stocks[[#This Row],[Fecha]]),MONTH(T_Stocks[[#This Row],[Fecha]]),DAY(T_Stocks[[#This Row],[Fecha]]))</f>
        <v>VTSAX-45652</v>
      </c>
    </row>
    <row r="8259" spans="1:4" ht="14.65" thickBot="1" x14ac:dyDescent="0.5">
      <c r="A8259" s="17">
        <v>45653.666666666664</v>
      </c>
      <c r="B8259" s="18">
        <v>143.08000000000001</v>
      </c>
      <c r="C8259" t="s">
        <v>32</v>
      </c>
      <c r="D8259" t="str">
        <f>T_Stocks[[#This Row],[Ticker]] &amp; "-" &amp; DATE(YEAR(T_Stocks[[#This Row],[Fecha]]),MONTH(T_Stocks[[#This Row],[Fecha]]),DAY(T_Stocks[[#This Row],[Fecha]]))</f>
        <v>VTSAX-45653</v>
      </c>
    </row>
    <row r="8260" spans="1:4" ht="14.65" thickBot="1" x14ac:dyDescent="0.5">
      <c r="A8260" s="17">
        <v>45656.666666666664</v>
      </c>
      <c r="B8260" s="18">
        <v>141.57</v>
      </c>
      <c r="C8260" t="s">
        <v>32</v>
      </c>
      <c r="D8260" t="str">
        <f>T_Stocks[[#This Row],[Ticker]] &amp; "-" &amp; DATE(YEAR(T_Stocks[[#This Row],[Fecha]]),MONTH(T_Stocks[[#This Row],[Fecha]]),DAY(T_Stocks[[#This Row],[Fecha]]))</f>
        <v>VTSAX-45656</v>
      </c>
    </row>
    <row r="8261" spans="1:4" ht="14.65" thickBot="1" x14ac:dyDescent="0.5">
      <c r="A8261" s="17">
        <v>45657.666666666664</v>
      </c>
      <c r="B8261" s="18">
        <v>141.03</v>
      </c>
      <c r="C8261" t="s">
        <v>32</v>
      </c>
      <c r="D8261" t="str">
        <f>T_Stocks[[#This Row],[Ticker]] &amp; "-" &amp; DATE(YEAR(T_Stocks[[#This Row],[Fecha]]),MONTH(T_Stocks[[#This Row],[Fecha]]),DAY(T_Stocks[[#This Row],[Fecha]]))</f>
        <v>VTSAX-45657</v>
      </c>
    </row>
    <row r="8262" spans="1:4" ht="14.65" thickBot="1" x14ac:dyDescent="0.5">
      <c r="A8262" s="17" vm="1">
        <v>45659</v>
      </c>
      <c r="B8262" s="18" vm="269">
        <v>140.80000000000001</v>
      </c>
      <c r="C8262" t="s">
        <v>32</v>
      </c>
      <c r="D8262" t="str">
        <f>T_Stocks[[#This Row],[Ticker]] &amp; "-" &amp; DATE(YEAR(T_Stocks[[#This Row],[Fecha]]),MONTH(T_Stocks[[#This Row],[Fecha]]),DAY(T_Stocks[[#This Row],[Fecha]]))</f>
        <v>VTSAX-45659</v>
      </c>
    </row>
    <row r="8263" spans="1:4" ht="14.65" thickBot="1" x14ac:dyDescent="0.5">
      <c r="A8263" s="17" vm="3">
        <v>45660</v>
      </c>
      <c r="B8263" s="18" vm="270">
        <v>142.66</v>
      </c>
      <c r="C8263" t="s">
        <v>32</v>
      </c>
      <c r="D8263" t="str">
        <f>T_Stocks[[#This Row],[Ticker]] &amp; "-" &amp; DATE(YEAR(T_Stocks[[#This Row],[Fecha]]),MONTH(T_Stocks[[#This Row],[Fecha]]),DAY(T_Stocks[[#This Row],[Fecha]]))</f>
        <v>VTSAX-45660</v>
      </c>
    </row>
    <row r="8264" spans="1:4" ht="14.65" thickBot="1" x14ac:dyDescent="0.5">
      <c r="A8264" s="17" vm="5">
        <v>45663</v>
      </c>
      <c r="B8264" s="18" vm="271">
        <v>143.41999999999999</v>
      </c>
      <c r="C8264" t="s">
        <v>32</v>
      </c>
      <c r="D8264" t="str">
        <f>T_Stocks[[#This Row],[Ticker]] &amp; "-" &amp; DATE(YEAR(T_Stocks[[#This Row],[Fecha]]),MONTH(T_Stocks[[#This Row],[Fecha]]),DAY(T_Stocks[[#This Row],[Fecha]]))</f>
        <v>VTSAX-45663</v>
      </c>
    </row>
    <row r="8265" spans="1:4" ht="14.65" thickBot="1" x14ac:dyDescent="0.5">
      <c r="A8265" s="17" vm="7">
        <v>45664</v>
      </c>
      <c r="B8265" s="18" vm="272">
        <v>141.84</v>
      </c>
      <c r="C8265" t="s">
        <v>32</v>
      </c>
      <c r="D8265" t="str">
        <f>T_Stocks[[#This Row],[Ticker]] &amp; "-" &amp; DATE(YEAR(T_Stocks[[#This Row],[Fecha]]),MONTH(T_Stocks[[#This Row],[Fecha]]),DAY(T_Stocks[[#This Row],[Fecha]]))</f>
        <v>VTSAX-45664</v>
      </c>
    </row>
    <row r="8266" spans="1:4" ht="14.65" thickBot="1" x14ac:dyDescent="0.5">
      <c r="A8266" s="17" vm="9">
        <v>45665</v>
      </c>
      <c r="B8266" s="18" vm="273">
        <v>142.02000000000001</v>
      </c>
      <c r="C8266" t="s">
        <v>32</v>
      </c>
      <c r="D8266" t="str">
        <f>T_Stocks[[#This Row],[Ticker]] &amp; "-" &amp; DATE(YEAR(T_Stocks[[#This Row],[Fecha]]),MONTH(T_Stocks[[#This Row],[Fecha]]),DAY(T_Stocks[[#This Row],[Fecha]]))</f>
        <v>VTSAX-45665</v>
      </c>
    </row>
    <row r="8267" spans="1:4" ht="14.65" thickBot="1" x14ac:dyDescent="0.5">
      <c r="A8267" s="17" vm="11">
        <v>45667</v>
      </c>
      <c r="B8267" s="18" vm="274">
        <v>139.84</v>
      </c>
      <c r="C8267" t="s">
        <v>32</v>
      </c>
      <c r="D8267" t="str">
        <f>T_Stocks[[#This Row],[Ticker]] &amp; "-" &amp; DATE(YEAR(T_Stocks[[#This Row],[Fecha]]),MONTH(T_Stocks[[#This Row],[Fecha]]),DAY(T_Stocks[[#This Row],[Fecha]]))</f>
        <v>VTSAX-45667</v>
      </c>
    </row>
    <row r="8268" spans="1:4" ht="14.65" thickBot="1" x14ac:dyDescent="0.5">
      <c r="A8268" s="17" vm="13">
        <v>45670</v>
      </c>
      <c r="B8268" s="18" vm="275">
        <v>140.09</v>
      </c>
      <c r="C8268" t="s">
        <v>32</v>
      </c>
      <c r="D8268" t="str">
        <f>T_Stocks[[#This Row],[Ticker]] &amp; "-" &amp; DATE(YEAR(T_Stocks[[#This Row],[Fecha]]),MONTH(T_Stocks[[#This Row],[Fecha]]),DAY(T_Stocks[[#This Row],[Fecha]]))</f>
        <v>VTSAX-45670</v>
      </c>
    </row>
    <row r="8269" spans="1:4" ht="14.65" thickBot="1" x14ac:dyDescent="0.5">
      <c r="A8269" s="17" vm="15">
        <v>45671</v>
      </c>
      <c r="B8269" s="18" vm="276">
        <v>140.41</v>
      </c>
      <c r="C8269" t="s">
        <v>32</v>
      </c>
      <c r="D8269" t="str">
        <f>T_Stocks[[#This Row],[Ticker]] &amp; "-" &amp; DATE(YEAR(T_Stocks[[#This Row],[Fecha]]),MONTH(T_Stocks[[#This Row],[Fecha]]),DAY(T_Stocks[[#This Row],[Fecha]]))</f>
        <v>VTSAX-45671</v>
      </c>
    </row>
    <row r="8270" spans="1:4" ht="14.65" thickBot="1" x14ac:dyDescent="0.5">
      <c r="A8270" s="17" vm="17">
        <v>45672</v>
      </c>
      <c r="B8270" s="18" vm="277">
        <v>142.97999999999999</v>
      </c>
      <c r="C8270" t="s">
        <v>32</v>
      </c>
      <c r="D8270" t="str">
        <f>T_Stocks[[#This Row],[Ticker]] &amp; "-" &amp; DATE(YEAR(T_Stocks[[#This Row],[Fecha]]),MONTH(T_Stocks[[#This Row],[Fecha]]),DAY(T_Stocks[[#This Row],[Fecha]]))</f>
        <v>VTSAX-45672</v>
      </c>
    </row>
    <row r="8271" spans="1:4" ht="14.65" thickBot="1" x14ac:dyDescent="0.5">
      <c r="A8271" s="17" vm="19">
        <v>45673</v>
      </c>
      <c r="B8271" s="18" vm="278">
        <v>142.84</v>
      </c>
      <c r="C8271" t="s">
        <v>32</v>
      </c>
      <c r="D8271" t="str">
        <f>T_Stocks[[#This Row],[Ticker]] &amp; "-" &amp; DATE(YEAR(T_Stocks[[#This Row],[Fecha]]),MONTH(T_Stocks[[#This Row],[Fecha]]),DAY(T_Stocks[[#This Row],[Fecha]]))</f>
        <v>VTSAX-45673</v>
      </c>
    </row>
    <row r="8272" spans="1:4" ht="14.65" thickBot="1" x14ac:dyDescent="0.5">
      <c r="A8272" s="17" vm="21">
        <v>45674</v>
      </c>
      <c r="B8272" s="18" vm="279">
        <v>144.19</v>
      </c>
      <c r="C8272" t="s">
        <v>32</v>
      </c>
      <c r="D8272" t="str">
        <f>T_Stocks[[#This Row],[Ticker]] &amp; "-" &amp; DATE(YEAR(T_Stocks[[#This Row],[Fecha]]),MONTH(T_Stocks[[#This Row],[Fecha]]),DAY(T_Stocks[[#This Row],[Fecha]]))</f>
        <v>VTSAX-45674</v>
      </c>
    </row>
    <row r="8273" spans="1:4" ht="14.65" thickBot="1" x14ac:dyDescent="0.5">
      <c r="A8273" s="17" vm="23">
        <v>45678</v>
      </c>
      <c r="B8273" s="18" vm="280">
        <v>145.6</v>
      </c>
      <c r="C8273" t="s">
        <v>32</v>
      </c>
      <c r="D8273" t="str">
        <f>T_Stocks[[#This Row],[Ticker]] &amp; "-" &amp; DATE(YEAR(T_Stocks[[#This Row],[Fecha]]),MONTH(T_Stocks[[#This Row],[Fecha]]),DAY(T_Stocks[[#This Row],[Fecha]]))</f>
        <v>VTSAX-45678</v>
      </c>
    </row>
    <row r="8274" spans="1:4" ht="14.65" thickBot="1" x14ac:dyDescent="0.5">
      <c r="A8274" s="17" vm="25">
        <v>45679</v>
      </c>
      <c r="B8274" s="18" vm="281">
        <v>146.32</v>
      </c>
      <c r="C8274" t="s">
        <v>32</v>
      </c>
      <c r="D8274" t="str">
        <f>T_Stocks[[#This Row],[Ticker]] &amp; "-" &amp; DATE(YEAR(T_Stocks[[#This Row],[Fecha]]),MONTH(T_Stocks[[#This Row],[Fecha]]),DAY(T_Stocks[[#This Row],[Fecha]]))</f>
        <v>VTSAX-45679</v>
      </c>
    </row>
    <row r="8275" spans="1:4" ht="14.65" thickBot="1" x14ac:dyDescent="0.5">
      <c r="A8275" s="17" vm="27">
        <v>45680</v>
      </c>
      <c r="B8275" s="18" vm="282">
        <v>147.07</v>
      </c>
      <c r="C8275" t="s">
        <v>32</v>
      </c>
      <c r="D8275" t="str">
        <f>T_Stocks[[#This Row],[Ticker]] &amp; "-" &amp; DATE(YEAR(T_Stocks[[#This Row],[Fecha]]),MONTH(T_Stocks[[#This Row],[Fecha]]),DAY(T_Stocks[[#This Row],[Fecha]]))</f>
        <v>VTSAX-45680</v>
      </c>
    </row>
    <row r="8276" spans="1:4" ht="14.65" thickBot="1" x14ac:dyDescent="0.5">
      <c r="A8276" s="17" vm="29">
        <v>45681</v>
      </c>
      <c r="B8276" s="18" vm="283">
        <v>146.69999999999999</v>
      </c>
      <c r="C8276" t="s">
        <v>32</v>
      </c>
      <c r="D8276" t="str">
        <f>T_Stocks[[#This Row],[Ticker]] &amp; "-" &amp; DATE(YEAR(T_Stocks[[#This Row],[Fecha]]),MONTH(T_Stocks[[#This Row],[Fecha]]),DAY(T_Stocks[[#This Row],[Fecha]]))</f>
        <v>VTSAX-45681</v>
      </c>
    </row>
    <row r="8277" spans="1:4" ht="14.65" thickBot="1" x14ac:dyDescent="0.5">
      <c r="A8277" s="17" vm="31">
        <v>45684</v>
      </c>
      <c r="B8277" s="18" vm="284">
        <v>144.6</v>
      </c>
      <c r="C8277" t="s">
        <v>32</v>
      </c>
      <c r="D8277" t="str">
        <f>T_Stocks[[#This Row],[Ticker]] &amp; "-" &amp; DATE(YEAR(T_Stocks[[#This Row],[Fecha]]),MONTH(T_Stocks[[#This Row],[Fecha]]),DAY(T_Stocks[[#This Row],[Fecha]]))</f>
        <v>VTSAX-45684</v>
      </c>
    </row>
    <row r="8278" spans="1:4" ht="14.65" thickBot="1" x14ac:dyDescent="0.5">
      <c r="A8278" s="17" vm="33">
        <v>45685</v>
      </c>
      <c r="B8278" s="18" vm="285">
        <v>145.88</v>
      </c>
      <c r="C8278" t="s">
        <v>32</v>
      </c>
      <c r="D8278" t="str">
        <f>T_Stocks[[#This Row],[Ticker]] &amp; "-" &amp; DATE(YEAR(T_Stocks[[#This Row],[Fecha]]),MONTH(T_Stocks[[#This Row],[Fecha]]),DAY(T_Stocks[[#This Row],[Fecha]]))</f>
        <v>VTSAX-45685</v>
      </c>
    </row>
    <row r="8279" spans="1:4" ht="14.65" thickBot="1" x14ac:dyDescent="0.5">
      <c r="A8279" s="17" vm="35">
        <v>45686</v>
      </c>
      <c r="B8279" s="18" vm="286">
        <v>145.25</v>
      </c>
      <c r="C8279" t="s">
        <v>32</v>
      </c>
      <c r="D8279" t="str">
        <f>T_Stocks[[#This Row],[Ticker]] &amp; "-" &amp; DATE(YEAR(T_Stocks[[#This Row],[Fecha]]),MONTH(T_Stocks[[#This Row],[Fecha]]),DAY(T_Stocks[[#This Row],[Fecha]]))</f>
        <v>VTSAX-45686</v>
      </c>
    </row>
    <row r="8280" spans="1:4" ht="14.65" thickBot="1" x14ac:dyDescent="0.5">
      <c r="A8280" s="17" vm="37">
        <v>45687</v>
      </c>
      <c r="B8280" s="18" vm="287">
        <v>146.13</v>
      </c>
      <c r="C8280" t="s">
        <v>32</v>
      </c>
      <c r="D8280" t="str">
        <f>T_Stocks[[#This Row],[Ticker]] &amp; "-" &amp; DATE(YEAR(T_Stocks[[#This Row],[Fecha]]),MONTH(T_Stocks[[#This Row],[Fecha]]),DAY(T_Stocks[[#This Row],[Fecha]]))</f>
        <v>VTSAX-45687</v>
      </c>
    </row>
    <row r="8281" spans="1:4" ht="14.65" thickBot="1" x14ac:dyDescent="0.5">
      <c r="A8281" s="17" vm="39">
        <v>45688</v>
      </c>
      <c r="B8281" s="18" vm="288">
        <v>145.38999999999999</v>
      </c>
      <c r="C8281" t="s">
        <v>32</v>
      </c>
      <c r="D8281" t="str">
        <f>T_Stocks[[#This Row],[Ticker]] &amp; "-" &amp; DATE(YEAR(T_Stocks[[#This Row],[Fecha]]),MONTH(T_Stocks[[#This Row],[Fecha]]),DAY(T_Stocks[[#This Row],[Fecha]]))</f>
        <v>VTSAX-45688</v>
      </c>
    </row>
    <row r="8282" spans="1:4" ht="14.65" thickBot="1" x14ac:dyDescent="0.5">
      <c r="A8282" s="17" vm="41">
        <v>45691</v>
      </c>
      <c r="B8282" s="18" vm="289">
        <v>144.26</v>
      </c>
      <c r="C8282" t="s">
        <v>32</v>
      </c>
      <c r="D8282" t="str">
        <f>T_Stocks[[#This Row],[Ticker]] &amp; "-" &amp; DATE(YEAR(T_Stocks[[#This Row],[Fecha]]),MONTH(T_Stocks[[#This Row],[Fecha]]),DAY(T_Stocks[[#This Row],[Fecha]]))</f>
        <v>VTSAX-45691</v>
      </c>
    </row>
    <row r="8283" spans="1:4" ht="14.65" thickBot="1" x14ac:dyDescent="0.5">
      <c r="A8283" s="17" vm="43">
        <v>45692</v>
      </c>
      <c r="B8283" s="18" vm="290">
        <v>145.32</v>
      </c>
      <c r="C8283" t="s">
        <v>32</v>
      </c>
      <c r="D8283" t="str">
        <f>T_Stocks[[#This Row],[Ticker]] &amp; "-" &amp; DATE(YEAR(T_Stocks[[#This Row],[Fecha]]),MONTH(T_Stocks[[#This Row],[Fecha]]),DAY(T_Stocks[[#This Row],[Fecha]]))</f>
        <v>VTSAX-45692</v>
      </c>
    </row>
    <row r="8284" spans="1:4" ht="14.65" thickBot="1" x14ac:dyDescent="0.5">
      <c r="A8284" s="17" vm="45">
        <v>45693</v>
      </c>
      <c r="B8284" s="18" vm="291">
        <v>145.97999999999999</v>
      </c>
      <c r="C8284" t="s">
        <v>32</v>
      </c>
      <c r="D8284" t="str">
        <f>T_Stocks[[#This Row],[Ticker]] &amp; "-" &amp; DATE(YEAR(T_Stocks[[#This Row],[Fecha]]),MONTH(T_Stocks[[#This Row],[Fecha]]),DAY(T_Stocks[[#This Row],[Fecha]]))</f>
        <v>VTSAX-45693</v>
      </c>
    </row>
    <row r="8285" spans="1:4" ht="14.65" thickBot="1" x14ac:dyDescent="0.5">
      <c r="A8285" s="17" vm="47">
        <v>45694</v>
      </c>
      <c r="B8285" s="18" vm="292">
        <v>146.41</v>
      </c>
      <c r="C8285" t="s">
        <v>32</v>
      </c>
      <c r="D8285" t="str">
        <f>T_Stocks[[#This Row],[Ticker]] &amp; "-" &amp; DATE(YEAR(T_Stocks[[#This Row],[Fecha]]),MONTH(T_Stocks[[#This Row],[Fecha]]),DAY(T_Stocks[[#This Row],[Fecha]]))</f>
        <v>VTSAX-45694</v>
      </c>
    </row>
    <row r="8286" spans="1:4" ht="14.65" thickBot="1" x14ac:dyDescent="0.5">
      <c r="A8286" s="17" vm="49">
        <v>45695</v>
      </c>
      <c r="B8286" s="18" vm="293">
        <v>145.03</v>
      </c>
      <c r="C8286" t="s">
        <v>32</v>
      </c>
      <c r="D8286" t="str">
        <f>T_Stocks[[#This Row],[Ticker]] &amp; "-" &amp; DATE(YEAR(T_Stocks[[#This Row],[Fecha]]),MONTH(T_Stocks[[#This Row],[Fecha]]),DAY(T_Stocks[[#This Row],[Fecha]]))</f>
        <v>VTSAX-45695</v>
      </c>
    </row>
    <row r="8287" spans="1:4" ht="14.65" thickBot="1" x14ac:dyDescent="0.5">
      <c r="A8287" s="17" vm="51">
        <v>45698</v>
      </c>
      <c r="B8287" s="18" vm="294">
        <v>145.97</v>
      </c>
      <c r="C8287" t="s">
        <v>32</v>
      </c>
      <c r="D8287" t="str">
        <f>T_Stocks[[#This Row],[Ticker]] &amp; "-" &amp; DATE(YEAR(T_Stocks[[#This Row],[Fecha]]),MONTH(T_Stocks[[#This Row],[Fecha]]),DAY(T_Stocks[[#This Row],[Fecha]]))</f>
        <v>VTSAX-45698</v>
      </c>
    </row>
    <row r="8288" spans="1:4" ht="14.65" thickBot="1" x14ac:dyDescent="0.5">
      <c r="A8288" s="17" vm="53">
        <v>45699</v>
      </c>
      <c r="B8288" s="18" vm="295">
        <v>145.86000000000001</v>
      </c>
      <c r="C8288" t="s">
        <v>32</v>
      </c>
      <c r="D8288" t="str">
        <f>T_Stocks[[#This Row],[Ticker]] &amp; "-" &amp; DATE(YEAR(T_Stocks[[#This Row],[Fecha]]),MONTH(T_Stocks[[#This Row],[Fecha]]),DAY(T_Stocks[[#This Row],[Fecha]]))</f>
        <v>VTSAX-45699</v>
      </c>
    </row>
    <row r="8289" spans="1:4" ht="14.65" thickBot="1" x14ac:dyDescent="0.5">
      <c r="A8289" s="17" vm="55">
        <v>45700</v>
      </c>
      <c r="B8289" s="18" vm="296">
        <v>145.41999999999999</v>
      </c>
      <c r="C8289" t="s">
        <v>32</v>
      </c>
      <c r="D8289" t="str">
        <f>T_Stocks[[#This Row],[Ticker]] &amp; "-" &amp; DATE(YEAR(T_Stocks[[#This Row],[Fecha]]),MONTH(T_Stocks[[#This Row],[Fecha]]),DAY(T_Stocks[[#This Row],[Fecha]]))</f>
        <v>VTSAX-45700</v>
      </c>
    </row>
    <row r="8290" spans="1:4" ht="14.65" thickBot="1" x14ac:dyDescent="0.5">
      <c r="A8290" s="17" vm="57">
        <v>45701</v>
      </c>
      <c r="B8290" s="18" vm="297">
        <v>146.94</v>
      </c>
      <c r="C8290" t="s">
        <v>32</v>
      </c>
      <c r="D8290" t="str">
        <f>T_Stocks[[#This Row],[Ticker]] &amp; "-" &amp; DATE(YEAR(T_Stocks[[#This Row],[Fecha]]),MONTH(T_Stocks[[#This Row],[Fecha]]),DAY(T_Stocks[[#This Row],[Fecha]]))</f>
        <v>VTSAX-45701</v>
      </c>
    </row>
    <row r="8291" spans="1:4" ht="14.65" thickBot="1" x14ac:dyDescent="0.5">
      <c r="A8291" s="17" vm="59">
        <v>45702</v>
      </c>
      <c r="B8291" s="18" vm="298">
        <v>146.94999999999999</v>
      </c>
      <c r="C8291" t="s">
        <v>32</v>
      </c>
      <c r="D8291" t="str">
        <f>T_Stocks[[#This Row],[Ticker]] &amp; "-" &amp; DATE(YEAR(T_Stocks[[#This Row],[Fecha]]),MONTH(T_Stocks[[#This Row],[Fecha]]),DAY(T_Stocks[[#This Row],[Fecha]]))</f>
        <v>VTSAX-45702</v>
      </c>
    </row>
    <row r="8292" spans="1:4" ht="14.65" thickBot="1" x14ac:dyDescent="0.5">
      <c r="A8292" s="17" vm="61">
        <v>45706</v>
      </c>
      <c r="B8292" s="18" vm="299">
        <v>147.36000000000001</v>
      </c>
      <c r="C8292" t="s">
        <v>32</v>
      </c>
      <c r="D8292" t="str">
        <f>T_Stocks[[#This Row],[Ticker]] &amp; "-" &amp; DATE(YEAR(T_Stocks[[#This Row],[Fecha]]),MONTH(T_Stocks[[#This Row],[Fecha]]),DAY(T_Stocks[[#This Row],[Fecha]]))</f>
        <v>VTSAX-45706</v>
      </c>
    </row>
    <row r="8293" spans="1:4" ht="14.65" thickBot="1" x14ac:dyDescent="0.5">
      <c r="A8293" s="17" vm="63">
        <v>45707</v>
      </c>
      <c r="B8293" s="18" vm="300">
        <v>147.54</v>
      </c>
      <c r="C8293" t="s">
        <v>32</v>
      </c>
      <c r="D8293" t="str">
        <f>T_Stocks[[#This Row],[Ticker]] &amp; "-" &amp; DATE(YEAR(T_Stocks[[#This Row],[Fecha]]),MONTH(T_Stocks[[#This Row],[Fecha]]),DAY(T_Stocks[[#This Row],[Fecha]]))</f>
        <v>VTSAX-45707</v>
      </c>
    </row>
    <row r="8294" spans="1:4" ht="14.65" thickBot="1" x14ac:dyDescent="0.5">
      <c r="A8294" s="17" vm="65">
        <v>45708</v>
      </c>
      <c r="B8294" s="18" vm="301">
        <v>146.76</v>
      </c>
      <c r="C8294" t="s">
        <v>32</v>
      </c>
      <c r="D8294" t="str">
        <f>T_Stocks[[#This Row],[Ticker]] &amp; "-" &amp; DATE(YEAR(T_Stocks[[#This Row],[Fecha]]),MONTH(T_Stocks[[#This Row],[Fecha]]),DAY(T_Stocks[[#This Row],[Fecha]]))</f>
        <v>VTSAX-45708</v>
      </c>
    </row>
    <row r="8295" spans="1:4" ht="14.65" thickBot="1" x14ac:dyDescent="0.5">
      <c r="A8295" s="17" vm="66">
        <v>45709</v>
      </c>
      <c r="B8295" s="18" vm="302">
        <v>144.03</v>
      </c>
      <c r="C8295" t="s">
        <v>32</v>
      </c>
      <c r="D8295" t="str">
        <f>T_Stocks[[#This Row],[Ticker]] &amp; "-" &amp; DATE(YEAR(T_Stocks[[#This Row],[Fecha]]),MONTH(T_Stocks[[#This Row],[Fecha]]),DAY(T_Stocks[[#This Row],[Fecha]]))</f>
        <v>VTSAX-45709</v>
      </c>
    </row>
    <row r="8296" spans="1:4" ht="14.65" thickBot="1" x14ac:dyDescent="0.5">
      <c r="A8296" s="17" vm="67">
        <v>45712</v>
      </c>
      <c r="B8296" s="18" vm="303">
        <v>143.29</v>
      </c>
      <c r="C8296" t="s">
        <v>32</v>
      </c>
      <c r="D8296" t="str">
        <f>T_Stocks[[#This Row],[Ticker]] &amp; "-" &amp; DATE(YEAR(T_Stocks[[#This Row],[Fecha]]),MONTH(T_Stocks[[#This Row],[Fecha]]),DAY(T_Stocks[[#This Row],[Fecha]]))</f>
        <v>VTSAX-45712</v>
      </c>
    </row>
    <row r="8297" spans="1:4" ht="14.65" thickBot="1" x14ac:dyDescent="0.5">
      <c r="A8297" s="17" vm="68">
        <v>45713</v>
      </c>
      <c r="B8297" s="18" vm="304">
        <v>142.57</v>
      </c>
      <c r="C8297" t="s">
        <v>32</v>
      </c>
      <c r="D8297" t="str">
        <f>T_Stocks[[#This Row],[Ticker]] &amp; "-" &amp; DATE(YEAR(T_Stocks[[#This Row],[Fecha]]),MONTH(T_Stocks[[#This Row],[Fecha]]),DAY(T_Stocks[[#This Row],[Fecha]]))</f>
        <v>VTSAX-45713</v>
      </c>
    </row>
    <row r="8298" spans="1:4" ht="14.65" thickBot="1" x14ac:dyDescent="0.5">
      <c r="A8298" s="17" vm="70">
        <v>45714</v>
      </c>
      <c r="B8298" s="18" vm="305">
        <v>142.63</v>
      </c>
      <c r="C8298" t="s">
        <v>32</v>
      </c>
      <c r="D8298" t="str">
        <f>T_Stocks[[#This Row],[Ticker]] &amp; "-" &amp; DATE(YEAR(T_Stocks[[#This Row],[Fecha]]),MONTH(T_Stocks[[#This Row],[Fecha]]),DAY(T_Stocks[[#This Row],[Fecha]]))</f>
        <v>VTSAX-45714</v>
      </c>
    </row>
    <row r="8299" spans="1:4" ht="14.65" thickBot="1" x14ac:dyDescent="0.5">
      <c r="A8299" s="17" vm="72">
        <v>45715</v>
      </c>
      <c r="B8299" s="18" vm="306">
        <v>140.41999999999999</v>
      </c>
      <c r="C8299" t="s">
        <v>32</v>
      </c>
      <c r="D8299" t="str">
        <f>T_Stocks[[#This Row],[Ticker]] &amp; "-" &amp; DATE(YEAR(T_Stocks[[#This Row],[Fecha]]),MONTH(T_Stocks[[#This Row],[Fecha]]),DAY(T_Stocks[[#This Row],[Fecha]]))</f>
        <v>VTSAX-45715</v>
      </c>
    </row>
    <row r="8300" spans="1:4" ht="14.65" thickBot="1" x14ac:dyDescent="0.5">
      <c r="A8300" s="17" vm="74">
        <v>45716</v>
      </c>
      <c r="B8300" s="18" vm="307">
        <v>142.61000000000001</v>
      </c>
      <c r="C8300" t="s">
        <v>32</v>
      </c>
      <c r="D8300" t="str">
        <f>T_Stocks[[#This Row],[Ticker]] &amp; "-" &amp; DATE(YEAR(T_Stocks[[#This Row],[Fecha]]),MONTH(T_Stocks[[#This Row],[Fecha]]),DAY(T_Stocks[[#This Row],[Fecha]]))</f>
        <v>VTSAX-45716</v>
      </c>
    </row>
    <row r="8301" spans="1:4" ht="14.65" thickBot="1" x14ac:dyDescent="0.5">
      <c r="A8301" s="17" vm="76">
        <v>45719</v>
      </c>
      <c r="B8301" s="18" vm="308">
        <v>139.99</v>
      </c>
      <c r="C8301" t="s">
        <v>32</v>
      </c>
      <c r="D8301" t="str">
        <f>T_Stocks[[#This Row],[Ticker]] &amp; "-" &amp; DATE(YEAR(T_Stocks[[#This Row],[Fecha]]),MONTH(T_Stocks[[#This Row],[Fecha]]),DAY(T_Stocks[[#This Row],[Fecha]]))</f>
        <v>VTSAX-45719</v>
      </c>
    </row>
    <row r="8302" spans="1:4" ht="14.65" thickBot="1" x14ac:dyDescent="0.5">
      <c r="A8302" s="17" vm="78">
        <v>45720</v>
      </c>
      <c r="B8302" s="18" vm="309">
        <v>138.29</v>
      </c>
      <c r="C8302" t="s">
        <v>32</v>
      </c>
      <c r="D8302" t="str">
        <f>T_Stocks[[#This Row],[Ticker]] &amp; "-" &amp; DATE(YEAR(T_Stocks[[#This Row],[Fecha]]),MONTH(T_Stocks[[#This Row],[Fecha]]),DAY(T_Stocks[[#This Row],[Fecha]]))</f>
        <v>VTSAX-45720</v>
      </c>
    </row>
    <row r="8303" spans="1:4" ht="14.65" thickBot="1" x14ac:dyDescent="0.5">
      <c r="A8303" s="17" vm="80">
        <v>45721</v>
      </c>
      <c r="B8303" s="18" vm="310">
        <v>139.88</v>
      </c>
      <c r="C8303" t="s">
        <v>32</v>
      </c>
      <c r="D8303" t="str">
        <f>T_Stocks[[#This Row],[Ticker]] &amp; "-" &amp; DATE(YEAR(T_Stocks[[#This Row],[Fecha]]),MONTH(T_Stocks[[#This Row],[Fecha]]),DAY(T_Stocks[[#This Row],[Fecha]]))</f>
        <v>VTSAX-45721</v>
      </c>
    </row>
    <row r="8304" spans="1:4" ht="14.65" thickBot="1" x14ac:dyDescent="0.5">
      <c r="A8304" s="17" vm="82">
        <v>45722</v>
      </c>
      <c r="B8304" s="18" vm="311">
        <v>137.24</v>
      </c>
      <c r="C8304" t="s">
        <v>32</v>
      </c>
      <c r="D8304" t="str">
        <f>T_Stocks[[#This Row],[Ticker]] &amp; "-" &amp; DATE(YEAR(T_Stocks[[#This Row],[Fecha]]),MONTH(T_Stocks[[#This Row],[Fecha]]),DAY(T_Stocks[[#This Row],[Fecha]]))</f>
        <v>VTSAX-45722</v>
      </c>
    </row>
    <row r="8305" spans="1:4" ht="14.65" thickBot="1" x14ac:dyDescent="0.5">
      <c r="A8305" s="17" vm="84">
        <v>45723</v>
      </c>
      <c r="B8305" s="18" vm="312">
        <v>137.97</v>
      </c>
      <c r="C8305" t="s">
        <v>32</v>
      </c>
      <c r="D8305" t="str">
        <f>T_Stocks[[#This Row],[Ticker]] &amp; "-" &amp; DATE(YEAR(T_Stocks[[#This Row],[Fecha]]),MONTH(T_Stocks[[#This Row],[Fecha]]),DAY(T_Stocks[[#This Row],[Fecha]]))</f>
        <v>VTSAX-45723</v>
      </c>
    </row>
    <row r="8306" spans="1:4" ht="14.65" thickBot="1" x14ac:dyDescent="0.5">
      <c r="A8306" s="17" vm="86">
        <v>45726</v>
      </c>
      <c r="B8306" s="18" vm="313">
        <v>134.15</v>
      </c>
      <c r="C8306" t="s">
        <v>32</v>
      </c>
      <c r="D8306" t="str">
        <f>T_Stocks[[#This Row],[Ticker]] &amp; "-" &amp; DATE(YEAR(T_Stocks[[#This Row],[Fecha]]),MONTH(T_Stocks[[#This Row],[Fecha]]),DAY(T_Stocks[[#This Row],[Fecha]]))</f>
        <v>VTSAX-45726</v>
      </c>
    </row>
    <row r="8307" spans="1:4" ht="14.65" thickBot="1" x14ac:dyDescent="0.5">
      <c r="A8307" s="17" vm="88">
        <v>45727</v>
      </c>
      <c r="B8307" s="18" vm="314">
        <v>133.29</v>
      </c>
      <c r="C8307" t="s">
        <v>32</v>
      </c>
      <c r="D8307" t="str">
        <f>T_Stocks[[#This Row],[Ticker]] &amp; "-" &amp; DATE(YEAR(T_Stocks[[#This Row],[Fecha]]),MONTH(T_Stocks[[#This Row],[Fecha]]),DAY(T_Stocks[[#This Row],[Fecha]]))</f>
        <v>VTSAX-45727</v>
      </c>
    </row>
    <row r="8308" spans="1:4" ht="14.65" thickBot="1" x14ac:dyDescent="0.5">
      <c r="A8308" s="17" vm="90">
        <v>45728</v>
      </c>
      <c r="B8308" s="18" vm="315">
        <v>133.91</v>
      </c>
      <c r="C8308" t="s">
        <v>32</v>
      </c>
      <c r="D8308" t="str">
        <f>T_Stocks[[#This Row],[Ticker]] &amp; "-" &amp; DATE(YEAR(T_Stocks[[#This Row],[Fecha]]),MONTH(T_Stocks[[#This Row],[Fecha]]),DAY(T_Stocks[[#This Row],[Fecha]]))</f>
        <v>VTSAX-45728</v>
      </c>
    </row>
    <row r="8309" spans="1:4" ht="14.65" thickBot="1" x14ac:dyDescent="0.5">
      <c r="A8309" s="17" vm="92">
        <v>45729</v>
      </c>
      <c r="B8309" s="18" vm="316">
        <v>131.94999999999999</v>
      </c>
      <c r="C8309" t="s">
        <v>32</v>
      </c>
      <c r="D8309" t="str">
        <f>T_Stocks[[#This Row],[Ticker]] &amp; "-" &amp; DATE(YEAR(T_Stocks[[#This Row],[Fecha]]),MONTH(T_Stocks[[#This Row],[Fecha]]),DAY(T_Stocks[[#This Row],[Fecha]]))</f>
        <v>VTSAX-45729</v>
      </c>
    </row>
    <row r="8310" spans="1:4" ht="14.65" thickBot="1" x14ac:dyDescent="0.5">
      <c r="A8310" s="17" vm="94">
        <v>45730</v>
      </c>
      <c r="B8310" s="18" vm="317">
        <v>134.88</v>
      </c>
      <c r="C8310" t="s">
        <v>32</v>
      </c>
      <c r="D8310" t="str">
        <f>T_Stocks[[#This Row],[Ticker]] &amp; "-" &amp; DATE(YEAR(T_Stocks[[#This Row],[Fecha]]),MONTH(T_Stocks[[#This Row],[Fecha]]),DAY(T_Stocks[[#This Row],[Fecha]]))</f>
        <v>VTSAX-45730</v>
      </c>
    </row>
    <row r="8311" spans="1:4" ht="14.65" thickBot="1" x14ac:dyDescent="0.5">
      <c r="A8311" s="17" vm="96">
        <v>45733</v>
      </c>
      <c r="B8311" s="18" vm="318">
        <v>135.9</v>
      </c>
      <c r="C8311" t="s">
        <v>32</v>
      </c>
      <c r="D8311" t="str">
        <f>T_Stocks[[#This Row],[Ticker]] &amp; "-" &amp; DATE(YEAR(T_Stocks[[#This Row],[Fecha]]),MONTH(T_Stocks[[#This Row],[Fecha]]),DAY(T_Stocks[[#This Row],[Fecha]]))</f>
        <v>VTSAX-45733</v>
      </c>
    </row>
    <row r="8312" spans="1:4" ht="14.65" thickBot="1" x14ac:dyDescent="0.5">
      <c r="A8312" s="17" vm="98">
        <v>45734</v>
      </c>
      <c r="B8312" s="18" vm="319">
        <v>134.44999999999999</v>
      </c>
      <c r="C8312" t="s">
        <v>32</v>
      </c>
      <c r="D8312" t="str">
        <f>T_Stocks[[#This Row],[Ticker]] &amp; "-" &amp; DATE(YEAR(T_Stocks[[#This Row],[Fecha]]),MONTH(T_Stocks[[#This Row],[Fecha]]),DAY(T_Stocks[[#This Row],[Fecha]]))</f>
        <v>VTSAX-45734</v>
      </c>
    </row>
    <row r="8313" spans="1:4" ht="14.65" thickBot="1" x14ac:dyDescent="0.5">
      <c r="A8313" s="17" vm="100">
        <v>45735</v>
      </c>
      <c r="B8313" s="18" vm="320">
        <v>136</v>
      </c>
      <c r="C8313" t="s">
        <v>32</v>
      </c>
      <c r="D8313" t="str">
        <f>T_Stocks[[#This Row],[Ticker]] &amp; "-" &amp; DATE(YEAR(T_Stocks[[#This Row],[Fecha]]),MONTH(T_Stocks[[#This Row],[Fecha]]),DAY(T_Stocks[[#This Row],[Fecha]]))</f>
        <v>VTSAX-45735</v>
      </c>
    </row>
    <row r="8314" spans="1:4" ht="14.65" thickBot="1" x14ac:dyDescent="0.5">
      <c r="A8314" s="17" vm="102">
        <v>45736</v>
      </c>
      <c r="B8314" s="18" vm="321">
        <v>135.66999999999999</v>
      </c>
      <c r="C8314" t="s">
        <v>32</v>
      </c>
      <c r="D8314" t="str">
        <f>T_Stocks[[#This Row],[Ticker]] &amp; "-" &amp; DATE(YEAR(T_Stocks[[#This Row],[Fecha]]),MONTH(T_Stocks[[#This Row],[Fecha]]),DAY(T_Stocks[[#This Row],[Fecha]]))</f>
        <v>VTSAX-45736</v>
      </c>
    </row>
    <row r="8315" spans="1:4" ht="14.65" thickBot="1" x14ac:dyDescent="0.5">
      <c r="A8315" s="17" vm="104">
        <v>45737</v>
      </c>
      <c r="B8315" s="18" vm="322">
        <v>135.74</v>
      </c>
      <c r="C8315" t="s">
        <v>32</v>
      </c>
      <c r="D8315" t="str">
        <f>T_Stocks[[#This Row],[Ticker]] &amp; "-" &amp; DATE(YEAR(T_Stocks[[#This Row],[Fecha]]),MONTH(T_Stocks[[#This Row],[Fecha]]),DAY(T_Stocks[[#This Row],[Fecha]]))</f>
        <v>VTSAX-45737</v>
      </c>
    </row>
    <row r="8316" spans="1:4" ht="14.65" thickBot="1" x14ac:dyDescent="0.5">
      <c r="A8316" s="17" vm="106">
        <v>45740</v>
      </c>
      <c r="B8316" s="18" vm="323">
        <v>138.31</v>
      </c>
      <c r="C8316" t="s">
        <v>32</v>
      </c>
      <c r="D8316" t="str">
        <f>T_Stocks[[#This Row],[Ticker]] &amp; "-" &amp; DATE(YEAR(T_Stocks[[#This Row],[Fecha]]),MONTH(T_Stocks[[#This Row],[Fecha]]),DAY(T_Stocks[[#This Row],[Fecha]]))</f>
        <v>VTSAX-45740</v>
      </c>
    </row>
    <row r="8317" spans="1:4" ht="14.65" thickBot="1" x14ac:dyDescent="0.5">
      <c r="A8317" s="17" vm="108">
        <v>45741</v>
      </c>
      <c r="B8317" s="18" vm="324">
        <v>138.44999999999999</v>
      </c>
      <c r="C8317" t="s">
        <v>32</v>
      </c>
      <c r="D8317" t="str">
        <f>T_Stocks[[#This Row],[Ticker]] &amp; "-" &amp; DATE(YEAR(T_Stocks[[#This Row],[Fecha]]),MONTH(T_Stocks[[#This Row],[Fecha]]),DAY(T_Stocks[[#This Row],[Fecha]]))</f>
        <v>VTSAX-45741</v>
      </c>
    </row>
    <row r="8318" spans="1:4" ht="14.65" thickBot="1" x14ac:dyDescent="0.5">
      <c r="A8318" s="17" vm="110">
        <v>45742</v>
      </c>
      <c r="B8318" s="18" vm="325">
        <v>136.88</v>
      </c>
      <c r="C8318" t="s">
        <v>32</v>
      </c>
      <c r="D8318" t="str">
        <f>T_Stocks[[#This Row],[Ticker]] &amp; "-" &amp; DATE(YEAR(T_Stocks[[#This Row],[Fecha]]),MONTH(T_Stocks[[#This Row],[Fecha]]),DAY(T_Stocks[[#This Row],[Fecha]]))</f>
        <v>VTSAX-45742</v>
      </c>
    </row>
    <row r="8319" spans="1:4" ht="14.65" thickBot="1" x14ac:dyDescent="0.5">
      <c r="A8319" s="17" vm="112">
        <v>45743</v>
      </c>
      <c r="B8319" s="18" vm="326">
        <v>135.84</v>
      </c>
      <c r="C8319" t="s">
        <v>32</v>
      </c>
      <c r="D8319" t="str">
        <f>T_Stocks[[#This Row],[Ticker]] &amp; "-" &amp; DATE(YEAR(T_Stocks[[#This Row],[Fecha]]),MONTH(T_Stocks[[#This Row],[Fecha]]),DAY(T_Stocks[[#This Row],[Fecha]]))</f>
        <v>VTSAX-45743</v>
      </c>
    </row>
    <row r="8320" spans="1:4" ht="14.65" thickBot="1" x14ac:dyDescent="0.5">
      <c r="A8320" s="17" vm="114">
        <v>45744</v>
      </c>
      <c r="B8320" s="18" vm="327">
        <v>133.13999999999999</v>
      </c>
      <c r="C8320" t="s">
        <v>32</v>
      </c>
      <c r="D8320" t="str">
        <f>T_Stocks[[#This Row],[Ticker]] &amp; "-" &amp; DATE(YEAR(T_Stocks[[#This Row],[Fecha]]),MONTH(T_Stocks[[#This Row],[Fecha]]),DAY(T_Stocks[[#This Row],[Fecha]]))</f>
        <v>VTSAX-45744</v>
      </c>
    </row>
    <row r="8321" spans="1:4" ht="14.65" thickBot="1" x14ac:dyDescent="0.5">
      <c r="A8321" s="17" vm="116">
        <v>45747</v>
      </c>
      <c r="B8321" s="18" vm="328">
        <v>133.75</v>
      </c>
      <c r="C8321" t="s">
        <v>32</v>
      </c>
      <c r="D8321" t="str">
        <f>T_Stocks[[#This Row],[Ticker]] &amp; "-" &amp; DATE(YEAR(T_Stocks[[#This Row],[Fecha]]),MONTH(T_Stocks[[#This Row],[Fecha]]),DAY(T_Stocks[[#This Row],[Fecha]]))</f>
        <v>VTSAX-45747</v>
      </c>
    </row>
    <row r="8322" spans="1:4" ht="14.65" thickBot="1" x14ac:dyDescent="0.5">
      <c r="A8322" s="17" vm="118">
        <v>45748</v>
      </c>
      <c r="B8322" s="18" vm="329">
        <v>134.28</v>
      </c>
      <c r="C8322" t="s">
        <v>32</v>
      </c>
      <c r="D8322" t="str">
        <f>T_Stocks[[#This Row],[Ticker]] &amp; "-" &amp; DATE(YEAR(T_Stocks[[#This Row],[Fecha]]),MONTH(T_Stocks[[#This Row],[Fecha]]),DAY(T_Stocks[[#This Row],[Fecha]]))</f>
        <v>VTSAX-45748</v>
      </c>
    </row>
    <row r="8323" spans="1:4" ht="14.65" thickBot="1" x14ac:dyDescent="0.5">
      <c r="A8323" s="17" vm="120">
        <v>45749</v>
      </c>
      <c r="B8323" s="18" vm="330">
        <v>135.36000000000001</v>
      </c>
      <c r="C8323" t="s">
        <v>32</v>
      </c>
      <c r="D8323" t="str">
        <f>T_Stocks[[#This Row],[Ticker]] &amp; "-" &amp; DATE(YEAR(T_Stocks[[#This Row],[Fecha]]),MONTH(T_Stocks[[#This Row],[Fecha]]),DAY(T_Stocks[[#This Row],[Fecha]]))</f>
        <v>VTSAX-45749</v>
      </c>
    </row>
    <row r="8324" spans="1:4" ht="14.65" thickBot="1" x14ac:dyDescent="0.5">
      <c r="A8324" s="17" vm="122">
        <v>45750</v>
      </c>
      <c r="B8324" s="18" vm="331">
        <v>128.49</v>
      </c>
      <c r="C8324" t="s">
        <v>32</v>
      </c>
      <c r="D8324" t="str">
        <f>T_Stocks[[#This Row],[Ticker]] &amp; "-" &amp; DATE(YEAR(T_Stocks[[#This Row],[Fecha]]),MONTH(T_Stocks[[#This Row],[Fecha]]),DAY(T_Stocks[[#This Row],[Fecha]]))</f>
        <v>VTSAX-45750</v>
      </c>
    </row>
    <row r="8325" spans="1:4" ht="14.65" thickBot="1" x14ac:dyDescent="0.5">
      <c r="A8325" s="17" vm="124">
        <v>45751</v>
      </c>
      <c r="B8325" s="18" vm="332">
        <v>120.94</v>
      </c>
      <c r="C8325" t="s">
        <v>32</v>
      </c>
      <c r="D8325" t="str">
        <f>T_Stocks[[#This Row],[Ticker]] &amp; "-" &amp; DATE(YEAR(T_Stocks[[#This Row],[Fecha]]),MONTH(T_Stocks[[#This Row],[Fecha]]),DAY(T_Stocks[[#This Row],[Fecha]]))</f>
        <v>VTSAX-45751</v>
      </c>
    </row>
    <row r="8326" spans="1:4" ht="14.65" thickBot="1" x14ac:dyDescent="0.5">
      <c r="A8326" s="17" vm="126">
        <v>45754</v>
      </c>
      <c r="B8326" s="18" vm="333">
        <v>120.57</v>
      </c>
      <c r="C8326" t="s">
        <v>32</v>
      </c>
      <c r="D8326" t="str">
        <f>T_Stocks[[#This Row],[Ticker]] &amp; "-" &amp; DATE(YEAR(T_Stocks[[#This Row],[Fecha]]),MONTH(T_Stocks[[#This Row],[Fecha]]),DAY(T_Stocks[[#This Row],[Fecha]]))</f>
        <v>VTSAX-45754</v>
      </c>
    </row>
    <row r="8327" spans="1:4" ht="14.65" thickBot="1" x14ac:dyDescent="0.5">
      <c r="A8327" s="17" vm="128">
        <v>45755</v>
      </c>
      <c r="B8327" s="18" vm="334">
        <v>118.56</v>
      </c>
      <c r="C8327" t="s">
        <v>32</v>
      </c>
      <c r="D8327" t="str">
        <f>T_Stocks[[#This Row],[Ticker]] &amp; "-" &amp; DATE(YEAR(T_Stocks[[#This Row],[Fecha]]),MONTH(T_Stocks[[#This Row],[Fecha]]),DAY(T_Stocks[[#This Row],[Fecha]]))</f>
        <v>VTSAX-45755</v>
      </c>
    </row>
    <row r="8328" spans="1:4" ht="14.65" thickBot="1" x14ac:dyDescent="0.5">
      <c r="A8328" s="17" vm="130">
        <v>45756</v>
      </c>
      <c r="B8328" s="18" vm="335">
        <v>129.87</v>
      </c>
      <c r="C8328" t="s">
        <v>32</v>
      </c>
      <c r="D8328" t="str">
        <f>T_Stocks[[#This Row],[Ticker]] &amp; "-" &amp; DATE(YEAR(T_Stocks[[#This Row],[Fecha]]),MONTH(T_Stocks[[#This Row],[Fecha]]),DAY(T_Stocks[[#This Row],[Fecha]]))</f>
        <v>VTSAX-45756</v>
      </c>
    </row>
    <row r="8329" spans="1:4" ht="14.65" thickBot="1" x14ac:dyDescent="0.5">
      <c r="A8329" s="17" vm="132">
        <v>45757</v>
      </c>
      <c r="B8329" s="18" vm="336">
        <v>125.27</v>
      </c>
      <c r="C8329" t="s">
        <v>32</v>
      </c>
      <c r="D8329" t="str">
        <f>T_Stocks[[#This Row],[Ticker]] &amp; "-" &amp; DATE(YEAR(T_Stocks[[#This Row],[Fecha]]),MONTH(T_Stocks[[#This Row],[Fecha]]),DAY(T_Stocks[[#This Row],[Fecha]]))</f>
        <v>VTSAX-45757</v>
      </c>
    </row>
    <row r="8330" spans="1:4" ht="14.65" thickBot="1" x14ac:dyDescent="0.5">
      <c r="A8330" s="17" vm="134">
        <v>45758</v>
      </c>
      <c r="B8330" s="18" vm="337">
        <v>127.49</v>
      </c>
      <c r="C8330" t="s">
        <v>32</v>
      </c>
      <c r="D8330" t="str">
        <f>T_Stocks[[#This Row],[Ticker]] &amp; "-" &amp; DATE(YEAR(T_Stocks[[#This Row],[Fecha]]),MONTH(T_Stocks[[#This Row],[Fecha]]),DAY(T_Stocks[[#This Row],[Fecha]]))</f>
        <v>VTSAX-45758</v>
      </c>
    </row>
    <row r="8331" spans="1:4" ht="14.65" thickBot="1" x14ac:dyDescent="0.5">
      <c r="A8331" s="17" vm="136">
        <v>45761</v>
      </c>
      <c r="B8331" s="18" vm="338">
        <v>128.54</v>
      </c>
      <c r="C8331" t="s">
        <v>32</v>
      </c>
      <c r="D8331" t="str">
        <f>T_Stocks[[#This Row],[Ticker]] &amp; "-" &amp; DATE(YEAR(T_Stocks[[#This Row],[Fecha]]),MONTH(T_Stocks[[#This Row],[Fecha]]),DAY(T_Stocks[[#This Row],[Fecha]]))</f>
        <v>VTSAX-45761</v>
      </c>
    </row>
    <row r="8332" spans="1:4" ht="14.65" thickBot="1" x14ac:dyDescent="0.5">
      <c r="A8332" s="17" vm="138">
        <v>45762</v>
      </c>
      <c r="B8332" s="18" vm="339">
        <v>128.38</v>
      </c>
      <c r="C8332" t="s">
        <v>32</v>
      </c>
      <c r="D8332" t="str">
        <f>T_Stocks[[#This Row],[Ticker]] &amp; "-" &amp; DATE(YEAR(T_Stocks[[#This Row],[Fecha]]),MONTH(T_Stocks[[#This Row],[Fecha]]),DAY(T_Stocks[[#This Row],[Fecha]]))</f>
        <v>VTSAX-45762</v>
      </c>
    </row>
    <row r="8333" spans="1:4" ht="14.65" thickBot="1" x14ac:dyDescent="0.5">
      <c r="A8333" s="17" vm="140">
        <v>45763</v>
      </c>
      <c r="B8333" s="18" vm="340">
        <v>125.68</v>
      </c>
      <c r="C8333" t="s">
        <v>32</v>
      </c>
      <c r="D8333" t="str">
        <f>T_Stocks[[#This Row],[Ticker]] &amp; "-" &amp; DATE(YEAR(T_Stocks[[#This Row],[Fecha]]),MONTH(T_Stocks[[#This Row],[Fecha]]),DAY(T_Stocks[[#This Row],[Fecha]]))</f>
        <v>VTSAX-45763</v>
      </c>
    </row>
    <row r="8334" spans="1:4" ht="14.65" thickBot="1" x14ac:dyDescent="0.5">
      <c r="A8334" s="17" vm="142">
        <v>45764</v>
      </c>
      <c r="B8334" s="18" vm="341">
        <v>125.97</v>
      </c>
      <c r="C8334" t="s">
        <v>32</v>
      </c>
      <c r="D8334" t="str">
        <f>T_Stocks[[#This Row],[Ticker]] &amp; "-" &amp; DATE(YEAR(T_Stocks[[#This Row],[Fecha]]),MONTH(T_Stocks[[#This Row],[Fecha]]),DAY(T_Stocks[[#This Row],[Fecha]]))</f>
        <v>VTSAX-45764</v>
      </c>
    </row>
    <row r="8335" spans="1:4" ht="14.65" thickBot="1" x14ac:dyDescent="0.5">
      <c r="A8335" s="17" vm="143">
        <v>45768</v>
      </c>
      <c r="B8335" s="18" vm="342">
        <v>123.01</v>
      </c>
      <c r="C8335" t="s">
        <v>32</v>
      </c>
      <c r="D8335" t="str">
        <f>T_Stocks[[#This Row],[Ticker]] &amp; "-" &amp; DATE(YEAR(T_Stocks[[#This Row],[Fecha]]),MONTH(T_Stocks[[#This Row],[Fecha]]),DAY(T_Stocks[[#This Row],[Fecha]]))</f>
        <v>VTSAX-45768</v>
      </c>
    </row>
    <row r="8336" spans="1:4" ht="14.65" thickBot="1" x14ac:dyDescent="0.5">
      <c r="A8336" s="17" vm="145">
        <v>45769</v>
      </c>
      <c r="B8336" s="18" vm="343">
        <v>126.14</v>
      </c>
      <c r="C8336" t="s">
        <v>32</v>
      </c>
      <c r="D8336" t="str">
        <f>T_Stocks[[#This Row],[Ticker]] &amp; "-" &amp; DATE(YEAR(T_Stocks[[#This Row],[Fecha]]),MONTH(T_Stocks[[#This Row],[Fecha]]),DAY(T_Stocks[[#This Row],[Fecha]]))</f>
        <v>VTSAX-45769</v>
      </c>
    </row>
    <row r="8337" spans="1:4" ht="14.65" thickBot="1" x14ac:dyDescent="0.5">
      <c r="A8337" s="17" vm="147">
        <v>45770</v>
      </c>
      <c r="B8337" s="18" vm="344">
        <v>128.27000000000001</v>
      </c>
      <c r="C8337" t="s">
        <v>32</v>
      </c>
      <c r="D8337" t="str">
        <f>T_Stocks[[#This Row],[Ticker]] &amp; "-" &amp; DATE(YEAR(T_Stocks[[#This Row],[Fecha]]),MONTH(T_Stocks[[#This Row],[Fecha]]),DAY(T_Stocks[[#This Row],[Fecha]]))</f>
        <v>VTSAX-45770</v>
      </c>
    </row>
    <row r="8338" spans="1:4" ht="14.65" thickBot="1" x14ac:dyDescent="0.5">
      <c r="A8338" s="17" vm="149">
        <v>45771</v>
      </c>
      <c r="B8338" s="18" vm="345">
        <v>130.93</v>
      </c>
      <c r="C8338" t="s">
        <v>32</v>
      </c>
      <c r="D8338" t="str">
        <f>T_Stocks[[#This Row],[Ticker]] &amp; "-" &amp; DATE(YEAR(T_Stocks[[#This Row],[Fecha]]),MONTH(T_Stocks[[#This Row],[Fecha]]),DAY(T_Stocks[[#This Row],[Fecha]]))</f>
        <v>VTSAX-45771</v>
      </c>
    </row>
    <row r="8339" spans="1:4" ht="14.65" thickBot="1" x14ac:dyDescent="0.5">
      <c r="A8339" s="17" vm="151">
        <v>45772</v>
      </c>
      <c r="B8339" s="18" vm="346">
        <v>131.81</v>
      </c>
      <c r="C8339" t="s">
        <v>32</v>
      </c>
      <c r="D8339" t="str">
        <f>T_Stocks[[#This Row],[Ticker]] &amp; "-" &amp; DATE(YEAR(T_Stocks[[#This Row],[Fecha]]),MONTH(T_Stocks[[#This Row],[Fecha]]),DAY(T_Stocks[[#This Row],[Fecha]]))</f>
        <v>VTSAX-45772</v>
      </c>
    </row>
    <row r="8340" spans="1:4" ht="14.65" thickBot="1" x14ac:dyDescent="0.5">
      <c r="A8340" s="17" vm="153">
        <v>45775</v>
      </c>
      <c r="B8340" s="18" vm="347">
        <v>131.96</v>
      </c>
      <c r="C8340" t="s">
        <v>32</v>
      </c>
      <c r="D8340" t="str">
        <f>T_Stocks[[#This Row],[Ticker]] &amp; "-" &amp; DATE(YEAR(T_Stocks[[#This Row],[Fecha]]),MONTH(T_Stocks[[#This Row],[Fecha]]),DAY(T_Stocks[[#This Row],[Fecha]]))</f>
        <v>VTSAX-45775</v>
      </c>
    </row>
    <row r="8341" spans="1:4" ht="14.65" thickBot="1" x14ac:dyDescent="0.5">
      <c r="A8341" s="17" vm="155">
        <v>45776</v>
      </c>
      <c r="B8341" s="18" vm="348">
        <v>132.74</v>
      </c>
      <c r="C8341" t="s">
        <v>32</v>
      </c>
      <c r="D8341" t="str">
        <f>T_Stocks[[#This Row],[Ticker]] &amp; "-" &amp; DATE(YEAR(T_Stocks[[#This Row],[Fecha]]),MONTH(T_Stocks[[#This Row],[Fecha]]),DAY(T_Stocks[[#This Row],[Fecha]]))</f>
        <v>VTSAX-45776</v>
      </c>
    </row>
    <row r="8342" spans="1:4" ht="14.65" thickBot="1" x14ac:dyDescent="0.5">
      <c r="A8342" s="17" vm="157">
        <v>45777</v>
      </c>
      <c r="B8342" s="18" vm="349">
        <v>132.85</v>
      </c>
      <c r="C8342" t="s">
        <v>32</v>
      </c>
      <c r="D8342" t="str">
        <f>T_Stocks[[#This Row],[Ticker]] &amp; "-" &amp; DATE(YEAR(T_Stocks[[#This Row],[Fecha]]),MONTH(T_Stocks[[#This Row],[Fecha]]),DAY(T_Stocks[[#This Row],[Fecha]]))</f>
        <v>VTSAX-45777</v>
      </c>
    </row>
    <row r="8343" spans="1:4" ht="14.65" thickBot="1" x14ac:dyDescent="0.5">
      <c r="A8343" s="17" vm="159">
        <v>45778</v>
      </c>
      <c r="B8343" s="18" vm="350">
        <v>133.66999999999999</v>
      </c>
      <c r="C8343" t="s">
        <v>32</v>
      </c>
      <c r="D8343" t="str">
        <f>T_Stocks[[#This Row],[Ticker]] &amp; "-" &amp; DATE(YEAR(T_Stocks[[#This Row],[Fecha]]),MONTH(T_Stocks[[#This Row],[Fecha]]),DAY(T_Stocks[[#This Row],[Fecha]]))</f>
        <v>VTSAX-45778</v>
      </c>
    </row>
    <row r="8344" spans="1:4" ht="14.65" thickBot="1" x14ac:dyDescent="0.5">
      <c r="A8344" s="17" vm="161">
        <v>45779</v>
      </c>
      <c r="B8344" s="18" vm="351">
        <v>135.75</v>
      </c>
      <c r="C8344" t="s">
        <v>32</v>
      </c>
      <c r="D8344" t="str">
        <f>T_Stocks[[#This Row],[Ticker]] &amp; "-" &amp; DATE(YEAR(T_Stocks[[#This Row],[Fecha]]),MONTH(T_Stocks[[#This Row],[Fecha]]),DAY(T_Stocks[[#This Row],[Fecha]]))</f>
        <v>VTSAX-45779</v>
      </c>
    </row>
    <row r="8345" spans="1:4" ht="14.65" thickBot="1" x14ac:dyDescent="0.5">
      <c r="A8345" s="17" vm="162">
        <v>45782</v>
      </c>
      <c r="B8345" s="18" vm="352">
        <v>134.93</v>
      </c>
      <c r="C8345" t="s">
        <v>32</v>
      </c>
      <c r="D8345" t="str">
        <f>T_Stocks[[#This Row],[Ticker]] &amp; "-" &amp; DATE(YEAR(T_Stocks[[#This Row],[Fecha]]),MONTH(T_Stocks[[#This Row],[Fecha]]),DAY(T_Stocks[[#This Row],[Fecha]]))</f>
        <v>VTSAX-45782</v>
      </c>
    </row>
    <row r="8346" spans="1:4" ht="14.65" thickBot="1" x14ac:dyDescent="0.5">
      <c r="A8346" s="17" vm="164">
        <v>45783</v>
      </c>
      <c r="B8346" s="18" vm="353">
        <v>133.86000000000001</v>
      </c>
      <c r="C8346" t="s">
        <v>32</v>
      </c>
      <c r="D8346" t="str">
        <f>T_Stocks[[#This Row],[Ticker]] &amp; "-" &amp; DATE(YEAR(T_Stocks[[#This Row],[Fecha]]),MONTH(T_Stocks[[#This Row],[Fecha]]),DAY(T_Stocks[[#This Row],[Fecha]]))</f>
        <v>VTSAX-45783</v>
      </c>
    </row>
    <row r="8347" spans="1:4" ht="14.65" thickBot="1" x14ac:dyDescent="0.5">
      <c r="A8347" s="17" vm="166">
        <v>45784</v>
      </c>
      <c r="B8347" s="18" vm="354">
        <v>134.41999999999999</v>
      </c>
      <c r="C8347" t="s">
        <v>32</v>
      </c>
      <c r="D8347" t="str">
        <f>T_Stocks[[#This Row],[Ticker]] &amp; "-" &amp; DATE(YEAR(T_Stocks[[#This Row],[Fecha]]),MONTH(T_Stocks[[#This Row],[Fecha]]),DAY(T_Stocks[[#This Row],[Fecha]]))</f>
        <v>VTSAX-45784</v>
      </c>
    </row>
    <row r="8348" spans="1:4" ht="14.65" thickBot="1" x14ac:dyDescent="0.5">
      <c r="A8348" s="17" vm="168">
        <v>45785</v>
      </c>
      <c r="B8348" s="18" vm="355">
        <v>135.4</v>
      </c>
      <c r="C8348" t="s">
        <v>32</v>
      </c>
      <c r="D8348" t="str">
        <f>T_Stocks[[#This Row],[Ticker]] &amp; "-" &amp; DATE(YEAR(T_Stocks[[#This Row],[Fecha]]),MONTH(T_Stocks[[#This Row],[Fecha]]),DAY(T_Stocks[[#This Row],[Fecha]]))</f>
        <v>VTSAX-45785</v>
      </c>
    </row>
    <row r="8349" spans="1:4" ht="14.65" thickBot="1" x14ac:dyDescent="0.5">
      <c r="A8349" s="17" vm="170">
        <v>45786</v>
      </c>
      <c r="B8349" s="18" vm="356">
        <v>135.32</v>
      </c>
      <c r="C8349" t="s">
        <v>32</v>
      </c>
      <c r="D8349" t="str">
        <f>T_Stocks[[#This Row],[Ticker]] &amp; "-" &amp; DATE(YEAR(T_Stocks[[#This Row],[Fecha]]),MONTH(T_Stocks[[#This Row],[Fecha]]),DAY(T_Stocks[[#This Row],[Fecha]]))</f>
        <v>VTSAX-45786</v>
      </c>
    </row>
    <row r="8350" spans="1:4" ht="14.65" thickBot="1" x14ac:dyDescent="0.5">
      <c r="A8350" s="17" vm="172">
        <v>45789</v>
      </c>
      <c r="B8350" s="18" vm="357">
        <v>139.80000000000001</v>
      </c>
      <c r="C8350" t="s">
        <v>32</v>
      </c>
      <c r="D8350" t="str">
        <f>T_Stocks[[#This Row],[Ticker]] &amp; "-" &amp; DATE(YEAR(T_Stocks[[#This Row],[Fecha]]),MONTH(T_Stocks[[#This Row],[Fecha]]),DAY(T_Stocks[[#This Row],[Fecha]]))</f>
        <v>VTSAX-45789</v>
      </c>
    </row>
    <row r="8351" spans="1:4" ht="14.65" thickBot="1" x14ac:dyDescent="0.5">
      <c r="A8351" s="17" vm="174">
        <v>45790</v>
      </c>
      <c r="B8351" s="18" vm="358">
        <v>140.83000000000001</v>
      </c>
      <c r="C8351" t="s">
        <v>32</v>
      </c>
      <c r="D8351" t="str">
        <f>T_Stocks[[#This Row],[Ticker]] &amp; "-" &amp; DATE(YEAR(T_Stocks[[#This Row],[Fecha]]),MONTH(T_Stocks[[#This Row],[Fecha]]),DAY(T_Stocks[[#This Row],[Fecha]]))</f>
        <v>VTSAX-45790</v>
      </c>
    </row>
    <row r="8352" spans="1:4" ht="14.65" thickBot="1" x14ac:dyDescent="0.5">
      <c r="A8352" s="17" vm="176">
        <v>45791</v>
      </c>
      <c r="B8352" s="18" vm="359">
        <v>140.88</v>
      </c>
      <c r="C8352" t="s">
        <v>32</v>
      </c>
      <c r="D8352" t="str">
        <f>T_Stocks[[#This Row],[Ticker]] &amp; "-" &amp; DATE(YEAR(T_Stocks[[#This Row],[Fecha]]),MONTH(T_Stocks[[#This Row],[Fecha]]),DAY(T_Stocks[[#This Row],[Fecha]]))</f>
        <v>VTSAX-45791</v>
      </c>
    </row>
    <row r="8353" spans="1:4" ht="14.65" thickBot="1" x14ac:dyDescent="0.5">
      <c r="A8353" s="17" vm="178">
        <v>45792</v>
      </c>
      <c r="B8353" s="18" vm="360">
        <v>141.43</v>
      </c>
      <c r="C8353" t="s">
        <v>32</v>
      </c>
      <c r="D8353" t="str">
        <f>T_Stocks[[#This Row],[Ticker]] &amp; "-" &amp; DATE(YEAR(T_Stocks[[#This Row],[Fecha]]),MONTH(T_Stocks[[#This Row],[Fecha]]),DAY(T_Stocks[[#This Row],[Fecha]]))</f>
        <v>VTSAX-45792</v>
      </c>
    </row>
    <row r="8354" spans="1:4" ht="14.65" thickBot="1" x14ac:dyDescent="0.5">
      <c r="A8354" s="17" vm="180">
        <v>45793</v>
      </c>
      <c r="B8354" s="18" vm="361">
        <v>142.5</v>
      </c>
      <c r="C8354" t="s">
        <v>32</v>
      </c>
      <c r="D8354" t="str">
        <f>T_Stocks[[#This Row],[Ticker]] &amp; "-" &amp; DATE(YEAR(T_Stocks[[#This Row],[Fecha]]),MONTH(T_Stocks[[#This Row],[Fecha]]),DAY(T_Stocks[[#This Row],[Fecha]]))</f>
        <v>VTSAX-45793</v>
      </c>
    </row>
    <row r="8355" spans="1:4" ht="14.65" thickBot="1" x14ac:dyDescent="0.5">
      <c r="A8355" s="17" vm="182">
        <v>45796</v>
      </c>
      <c r="B8355" s="18" vm="362">
        <v>142.59</v>
      </c>
      <c r="C8355" t="s">
        <v>32</v>
      </c>
      <c r="D8355" t="str">
        <f>T_Stocks[[#This Row],[Ticker]] &amp; "-" &amp; DATE(YEAR(T_Stocks[[#This Row],[Fecha]]),MONTH(T_Stocks[[#This Row],[Fecha]]),DAY(T_Stocks[[#This Row],[Fecha]]))</f>
        <v>VTSAX-45796</v>
      </c>
    </row>
    <row r="8356" spans="1:4" ht="14.65" thickBot="1" x14ac:dyDescent="0.5">
      <c r="A8356" s="17" vm="184">
        <v>45797</v>
      </c>
      <c r="B8356" s="18" vm="363">
        <v>142.08000000000001</v>
      </c>
      <c r="C8356" t="s">
        <v>32</v>
      </c>
      <c r="D8356" t="str">
        <f>T_Stocks[[#This Row],[Ticker]] &amp; "-" &amp; DATE(YEAR(T_Stocks[[#This Row],[Fecha]]),MONTH(T_Stocks[[#This Row],[Fecha]]),DAY(T_Stocks[[#This Row],[Fecha]]))</f>
        <v>VTSAX-45797</v>
      </c>
    </row>
    <row r="8357" spans="1:4" ht="14.65" thickBot="1" x14ac:dyDescent="0.5">
      <c r="A8357" s="17" vm="186">
        <v>45798</v>
      </c>
      <c r="B8357" s="18" vm="364">
        <v>139.61000000000001</v>
      </c>
      <c r="C8357" t="s">
        <v>32</v>
      </c>
      <c r="D8357" t="str">
        <f>T_Stocks[[#This Row],[Ticker]] &amp; "-" &amp; DATE(YEAR(T_Stocks[[#This Row],[Fecha]]),MONTH(T_Stocks[[#This Row],[Fecha]]),DAY(T_Stocks[[#This Row],[Fecha]]))</f>
        <v>VTSAX-45798</v>
      </c>
    </row>
    <row r="8358" spans="1:4" ht="14.65" thickBot="1" x14ac:dyDescent="0.5">
      <c r="A8358" s="17" vm="187">
        <v>45799</v>
      </c>
      <c r="B8358" s="18" vm="365">
        <v>139.59</v>
      </c>
      <c r="C8358" t="s">
        <v>32</v>
      </c>
      <c r="D8358" t="str">
        <f>T_Stocks[[#This Row],[Ticker]] &amp; "-" &amp; DATE(YEAR(T_Stocks[[#This Row],[Fecha]]),MONTH(T_Stocks[[#This Row],[Fecha]]),DAY(T_Stocks[[#This Row],[Fecha]]))</f>
        <v>VTSAX-45799</v>
      </c>
    </row>
    <row r="8359" spans="1:4" ht="14.65" thickBot="1" x14ac:dyDescent="0.5">
      <c r="A8359" s="17" vm="188">
        <v>45800</v>
      </c>
      <c r="B8359" s="18" vm="366">
        <v>138.71</v>
      </c>
      <c r="C8359" t="s">
        <v>32</v>
      </c>
      <c r="D8359" t="str">
        <f>T_Stocks[[#This Row],[Ticker]] &amp; "-" &amp; DATE(YEAR(T_Stocks[[#This Row],[Fecha]]),MONTH(T_Stocks[[#This Row],[Fecha]]),DAY(T_Stocks[[#This Row],[Fecha]]))</f>
        <v>VTSAX-45800</v>
      </c>
    </row>
    <row r="8360" spans="1:4" ht="14.65" thickBot="1" x14ac:dyDescent="0.5">
      <c r="A8360" s="17" vm="190">
        <v>45804</v>
      </c>
      <c r="B8360" s="18" vm="367">
        <v>141.6</v>
      </c>
      <c r="C8360" t="s">
        <v>32</v>
      </c>
      <c r="D8360" t="str">
        <f>T_Stocks[[#This Row],[Ticker]] &amp; "-" &amp; DATE(YEAR(T_Stocks[[#This Row],[Fecha]]),MONTH(T_Stocks[[#This Row],[Fecha]]),DAY(T_Stocks[[#This Row],[Fecha]]))</f>
        <v>VTSAX-45804</v>
      </c>
    </row>
    <row r="8361" spans="1:4" ht="14.65" thickBot="1" x14ac:dyDescent="0.5">
      <c r="A8361" s="17" vm="192">
        <v>45805</v>
      </c>
      <c r="B8361" s="18" vm="368">
        <v>140.75</v>
      </c>
      <c r="C8361" t="s">
        <v>32</v>
      </c>
      <c r="D8361" t="str">
        <f>T_Stocks[[#This Row],[Ticker]] &amp; "-" &amp; DATE(YEAR(T_Stocks[[#This Row],[Fecha]]),MONTH(T_Stocks[[#This Row],[Fecha]]),DAY(T_Stocks[[#This Row],[Fecha]]))</f>
        <v>VTSAX-45805</v>
      </c>
    </row>
    <row r="8362" spans="1:4" ht="14.65" thickBot="1" x14ac:dyDescent="0.5">
      <c r="A8362" s="17" vm="194">
        <v>45806</v>
      </c>
      <c r="B8362" s="18" vm="369">
        <v>141.28</v>
      </c>
      <c r="C8362" t="s">
        <v>32</v>
      </c>
      <c r="D8362" t="str">
        <f>T_Stocks[[#This Row],[Ticker]] &amp; "-" &amp; DATE(YEAR(T_Stocks[[#This Row],[Fecha]]),MONTH(T_Stocks[[#This Row],[Fecha]]),DAY(T_Stocks[[#This Row],[Fecha]]))</f>
        <v>VTSAX-45806</v>
      </c>
    </row>
    <row r="8363" spans="1:4" ht="14.65" thickBot="1" x14ac:dyDescent="0.5">
      <c r="A8363" s="17" vm="196">
        <v>45807</v>
      </c>
      <c r="B8363" s="18" vm="369">
        <v>141.28</v>
      </c>
      <c r="C8363" t="s">
        <v>32</v>
      </c>
      <c r="D8363" t="str">
        <f>T_Stocks[[#This Row],[Ticker]] &amp; "-" &amp; DATE(YEAR(T_Stocks[[#This Row],[Fecha]]),MONTH(T_Stocks[[#This Row],[Fecha]]),DAY(T_Stocks[[#This Row],[Fecha]]))</f>
        <v>VTSAX-45807</v>
      </c>
    </row>
    <row r="8364" spans="1:4" ht="14.65" thickBot="1" x14ac:dyDescent="0.5">
      <c r="A8364" s="17" vm="198">
        <v>45810</v>
      </c>
      <c r="B8364" s="18" vm="370">
        <v>141.83000000000001</v>
      </c>
      <c r="C8364" t="s">
        <v>32</v>
      </c>
      <c r="D8364" t="str">
        <f>T_Stocks[[#This Row],[Ticker]] &amp; "-" &amp; DATE(YEAR(T_Stocks[[#This Row],[Fecha]]),MONTH(T_Stocks[[#This Row],[Fecha]]),DAY(T_Stocks[[#This Row],[Fecha]]))</f>
        <v>VTSAX-45810</v>
      </c>
    </row>
    <row r="8365" spans="1:4" ht="14.65" thickBot="1" x14ac:dyDescent="0.5">
      <c r="A8365" s="17" vm="200">
        <v>45811</v>
      </c>
      <c r="B8365" s="18" vm="371">
        <v>142.78</v>
      </c>
      <c r="C8365" t="s">
        <v>32</v>
      </c>
      <c r="D8365" t="str">
        <f>T_Stocks[[#This Row],[Ticker]] &amp; "-" &amp; DATE(YEAR(T_Stocks[[#This Row],[Fecha]]),MONTH(T_Stocks[[#This Row],[Fecha]]),DAY(T_Stocks[[#This Row],[Fecha]]))</f>
        <v>VTSAX-45811</v>
      </c>
    </row>
    <row r="8366" spans="1:4" ht="14.65" thickBot="1" x14ac:dyDescent="0.5">
      <c r="A8366" s="17" vm="201">
        <v>45812</v>
      </c>
      <c r="B8366" s="18" vm="372">
        <v>142.80000000000001</v>
      </c>
      <c r="C8366" t="s">
        <v>32</v>
      </c>
      <c r="D8366" t="str">
        <f>T_Stocks[[#This Row],[Ticker]] &amp; "-" &amp; DATE(YEAR(T_Stocks[[#This Row],[Fecha]]),MONTH(T_Stocks[[#This Row],[Fecha]]),DAY(T_Stocks[[#This Row],[Fecha]]))</f>
        <v>VTSAX-45812</v>
      </c>
    </row>
    <row r="8367" spans="1:4" ht="14.65" thickBot="1" x14ac:dyDescent="0.5">
      <c r="A8367" s="17" vm="203">
        <v>45813</v>
      </c>
      <c r="B8367" s="18" vm="373">
        <v>142.15</v>
      </c>
      <c r="C8367" t="s">
        <v>32</v>
      </c>
      <c r="D8367" t="str">
        <f>T_Stocks[[#This Row],[Ticker]] &amp; "-" &amp; DATE(YEAR(T_Stocks[[#This Row],[Fecha]]),MONTH(T_Stocks[[#This Row],[Fecha]]),DAY(T_Stocks[[#This Row],[Fecha]]))</f>
        <v>VTSAX-45813</v>
      </c>
    </row>
    <row r="8368" spans="1:4" ht="14.65" thickBot="1" x14ac:dyDescent="0.5">
      <c r="A8368" s="17" vm="205">
        <v>45814</v>
      </c>
      <c r="B8368" s="18" vm="374">
        <v>143.66999999999999</v>
      </c>
      <c r="C8368" t="s">
        <v>32</v>
      </c>
      <c r="D8368" t="str">
        <f>T_Stocks[[#This Row],[Ticker]] &amp; "-" &amp; DATE(YEAR(T_Stocks[[#This Row],[Fecha]]),MONTH(T_Stocks[[#This Row],[Fecha]]),DAY(T_Stocks[[#This Row],[Fecha]]))</f>
        <v>VTSAX-45814</v>
      </c>
    </row>
    <row r="8369" spans="1:4" ht="14.65" thickBot="1" x14ac:dyDescent="0.5">
      <c r="A8369" s="17" vm="207">
        <v>45817</v>
      </c>
      <c r="B8369" s="18" vm="375">
        <v>143.81</v>
      </c>
      <c r="C8369" t="s">
        <v>32</v>
      </c>
      <c r="D8369" t="str">
        <f>T_Stocks[[#This Row],[Ticker]] &amp; "-" &amp; DATE(YEAR(T_Stocks[[#This Row],[Fecha]]),MONTH(T_Stocks[[#This Row],[Fecha]]),DAY(T_Stocks[[#This Row],[Fecha]]))</f>
        <v>VTSAX-45817</v>
      </c>
    </row>
    <row r="8370" spans="1:4" ht="14.65" thickBot="1" x14ac:dyDescent="0.5">
      <c r="A8370" s="17" vm="208">
        <v>45818</v>
      </c>
      <c r="B8370" s="18" vm="376">
        <v>144.54</v>
      </c>
      <c r="C8370" t="s">
        <v>32</v>
      </c>
      <c r="D8370" t="str">
        <f>T_Stocks[[#This Row],[Ticker]] &amp; "-" &amp; DATE(YEAR(T_Stocks[[#This Row],[Fecha]]),MONTH(T_Stocks[[#This Row],[Fecha]]),DAY(T_Stocks[[#This Row],[Fecha]]))</f>
        <v>VTSAX-45818</v>
      </c>
    </row>
    <row r="8371" spans="1:4" ht="14.65" thickBot="1" x14ac:dyDescent="0.5">
      <c r="A8371" s="17" vm="210">
        <v>45819</v>
      </c>
      <c r="B8371" s="18" vm="377">
        <v>144.15</v>
      </c>
      <c r="C8371" t="s">
        <v>32</v>
      </c>
      <c r="D8371" t="str">
        <f>T_Stocks[[#This Row],[Ticker]] &amp; "-" &amp; DATE(YEAR(T_Stocks[[#This Row],[Fecha]]),MONTH(T_Stocks[[#This Row],[Fecha]]),DAY(T_Stocks[[#This Row],[Fecha]]))</f>
        <v>VTSAX-45819</v>
      </c>
    </row>
    <row r="8372" spans="1:4" ht="14.65" thickBot="1" x14ac:dyDescent="0.5">
      <c r="A8372" s="17" vm="212">
        <v>45820</v>
      </c>
      <c r="B8372" s="18" vm="284">
        <v>144.6</v>
      </c>
      <c r="C8372" t="s">
        <v>32</v>
      </c>
      <c r="D8372" t="str">
        <f>T_Stocks[[#This Row],[Ticker]] &amp; "-" &amp; DATE(YEAR(T_Stocks[[#This Row],[Fecha]]),MONTH(T_Stocks[[#This Row],[Fecha]]),DAY(T_Stocks[[#This Row],[Fecha]]))</f>
        <v>VTSAX-45820</v>
      </c>
    </row>
    <row r="8373" spans="1:4" ht="14.65" thickBot="1" x14ac:dyDescent="0.5">
      <c r="A8373" s="17" vm="214">
        <v>45821</v>
      </c>
      <c r="B8373" s="18" vm="378">
        <v>142.91</v>
      </c>
      <c r="C8373" t="s">
        <v>32</v>
      </c>
      <c r="D8373" t="str">
        <f>T_Stocks[[#This Row],[Ticker]] &amp; "-" &amp; DATE(YEAR(T_Stocks[[#This Row],[Fecha]]),MONTH(T_Stocks[[#This Row],[Fecha]]),DAY(T_Stocks[[#This Row],[Fecha]]))</f>
        <v>VTSAX-45821</v>
      </c>
    </row>
    <row r="8374" spans="1:4" ht="14.65" thickBot="1" x14ac:dyDescent="0.5">
      <c r="A8374" s="17" vm="216">
        <v>45824</v>
      </c>
      <c r="B8374" s="18" vm="379">
        <v>144.31</v>
      </c>
      <c r="C8374" t="s">
        <v>32</v>
      </c>
      <c r="D8374" t="str">
        <f>T_Stocks[[#This Row],[Ticker]] &amp; "-" &amp; DATE(YEAR(T_Stocks[[#This Row],[Fecha]]),MONTH(T_Stocks[[#This Row],[Fecha]]),DAY(T_Stocks[[#This Row],[Fecha]]))</f>
        <v>VTSAX-45824</v>
      </c>
    </row>
    <row r="8375" spans="1:4" ht="14.65" thickBot="1" x14ac:dyDescent="0.5">
      <c r="A8375" s="17" vm="218">
        <v>45825</v>
      </c>
      <c r="B8375" s="18" vm="380">
        <v>143.11000000000001</v>
      </c>
      <c r="C8375" t="s">
        <v>32</v>
      </c>
      <c r="D8375" t="str">
        <f>T_Stocks[[#This Row],[Ticker]] &amp; "-" &amp; DATE(YEAR(T_Stocks[[#This Row],[Fecha]]),MONTH(T_Stocks[[#This Row],[Fecha]]),DAY(T_Stocks[[#This Row],[Fecha]]))</f>
        <v>VTSAX-45825</v>
      </c>
    </row>
    <row r="8376" spans="1:4" ht="14.65" thickBot="1" x14ac:dyDescent="0.5">
      <c r="A8376" s="17" vm="220">
        <v>45826</v>
      </c>
      <c r="B8376" s="18" vm="381">
        <v>143.16999999999999</v>
      </c>
      <c r="C8376" t="s">
        <v>32</v>
      </c>
      <c r="D8376" t="str">
        <f>T_Stocks[[#This Row],[Ticker]] &amp; "-" &amp; DATE(YEAR(T_Stocks[[#This Row],[Fecha]]),MONTH(T_Stocks[[#This Row],[Fecha]]),DAY(T_Stocks[[#This Row],[Fecha]]))</f>
        <v>VTSAX-45826</v>
      </c>
    </row>
    <row r="8377" spans="1:4" ht="14.65" thickBot="1" x14ac:dyDescent="0.5">
      <c r="A8377" s="17" vm="222">
        <v>45828</v>
      </c>
      <c r="B8377" s="18" vm="382">
        <v>142.87</v>
      </c>
      <c r="C8377" t="s">
        <v>32</v>
      </c>
      <c r="D8377" t="str">
        <f>T_Stocks[[#This Row],[Ticker]] &amp; "-" &amp; DATE(YEAR(T_Stocks[[#This Row],[Fecha]]),MONTH(T_Stocks[[#This Row],[Fecha]]),DAY(T_Stocks[[#This Row],[Fecha]]))</f>
        <v>VTSAX-45828</v>
      </c>
    </row>
    <row r="8378" spans="1:4" ht="14.65" thickBot="1" x14ac:dyDescent="0.5">
      <c r="A8378" s="17" vm="224">
        <v>45831</v>
      </c>
      <c r="B8378" s="18" vm="383">
        <v>144.22</v>
      </c>
      <c r="C8378" t="s">
        <v>32</v>
      </c>
      <c r="D8378" t="str">
        <f>T_Stocks[[#This Row],[Ticker]] &amp; "-" &amp; DATE(YEAR(T_Stocks[[#This Row],[Fecha]]),MONTH(T_Stocks[[#This Row],[Fecha]]),DAY(T_Stocks[[#This Row],[Fecha]]))</f>
        <v>VTSAX-45831</v>
      </c>
    </row>
    <row r="8379" spans="1:4" ht="14.65" thickBot="1" x14ac:dyDescent="0.5">
      <c r="A8379" s="17" vm="226">
        <v>45832</v>
      </c>
      <c r="B8379" s="18" vm="285">
        <v>145.88</v>
      </c>
      <c r="C8379" t="s">
        <v>32</v>
      </c>
      <c r="D8379" t="str">
        <f>T_Stocks[[#This Row],[Ticker]] &amp; "-" &amp; DATE(YEAR(T_Stocks[[#This Row],[Fecha]]),MONTH(T_Stocks[[#This Row],[Fecha]]),DAY(T_Stocks[[#This Row],[Fecha]]))</f>
        <v>VTSAX-45832</v>
      </c>
    </row>
    <row r="8380" spans="1:4" ht="14.65" thickBot="1" x14ac:dyDescent="0.5">
      <c r="A8380" s="17" vm="228">
        <v>45833</v>
      </c>
      <c r="B8380" s="18" vm="384">
        <v>145.69</v>
      </c>
      <c r="C8380" t="s">
        <v>32</v>
      </c>
      <c r="D8380" t="str">
        <f>T_Stocks[[#This Row],[Ticker]] &amp; "-" &amp; DATE(YEAR(T_Stocks[[#This Row],[Fecha]]),MONTH(T_Stocks[[#This Row],[Fecha]]),DAY(T_Stocks[[#This Row],[Fecha]]))</f>
        <v>VTSAX-45833</v>
      </c>
    </row>
    <row r="8381" spans="1:4" ht="14.65" thickBot="1" x14ac:dyDescent="0.5">
      <c r="A8381" s="17" vm="230">
        <v>45834</v>
      </c>
      <c r="B8381" s="18" vm="385">
        <v>146.97</v>
      </c>
      <c r="C8381" t="s">
        <v>32</v>
      </c>
      <c r="D8381" t="str">
        <f>T_Stocks[[#This Row],[Ticker]] &amp; "-" &amp; DATE(YEAR(T_Stocks[[#This Row],[Fecha]]),MONTH(T_Stocks[[#This Row],[Fecha]]),DAY(T_Stocks[[#This Row],[Fecha]]))</f>
        <v>VTSAX-45834</v>
      </c>
    </row>
    <row r="8382" spans="1:4" ht="14.65" thickBot="1" x14ac:dyDescent="0.5">
      <c r="A8382" s="17" vm="232">
        <v>45835</v>
      </c>
      <c r="B8382" s="18" vm="386">
        <v>147.66999999999999</v>
      </c>
      <c r="C8382" t="s">
        <v>32</v>
      </c>
      <c r="D8382" t="str">
        <f>T_Stocks[[#This Row],[Ticker]] &amp; "-" &amp; DATE(YEAR(T_Stocks[[#This Row],[Fecha]]),MONTH(T_Stocks[[#This Row],[Fecha]]),DAY(T_Stocks[[#This Row],[Fecha]]))</f>
        <v>VTSAX-45835</v>
      </c>
    </row>
    <row r="8383" spans="1:4" ht="14.65" thickBot="1" x14ac:dyDescent="0.5">
      <c r="A8383" s="17" vm="234">
        <v>45838</v>
      </c>
      <c r="B8383" s="18" vm="387">
        <v>148.01</v>
      </c>
      <c r="C8383" t="s">
        <v>32</v>
      </c>
      <c r="D8383" t="str">
        <f>T_Stocks[[#This Row],[Ticker]] &amp; "-" &amp; DATE(YEAR(T_Stocks[[#This Row],[Fecha]]),MONTH(T_Stocks[[#This Row],[Fecha]]),DAY(T_Stocks[[#This Row],[Fecha]]))</f>
        <v>VTSAX-45838</v>
      </c>
    </row>
    <row r="8384" spans="1:4" ht="14.65" thickBot="1" x14ac:dyDescent="0.5">
      <c r="A8384" s="17" vm="236">
        <v>45839</v>
      </c>
      <c r="B8384" s="18" vm="388">
        <v>147.93</v>
      </c>
      <c r="C8384" t="s">
        <v>32</v>
      </c>
      <c r="D8384" t="str">
        <f>T_Stocks[[#This Row],[Ticker]] &amp; "-" &amp; DATE(YEAR(T_Stocks[[#This Row],[Fecha]]),MONTH(T_Stocks[[#This Row],[Fecha]]),DAY(T_Stocks[[#This Row],[Fecha]]))</f>
        <v>VTSAX-45839</v>
      </c>
    </row>
    <row r="8385" spans="1:4" ht="14.65" thickBot="1" x14ac:dyDescent="0.5">
      <c r="A8385" s="17" vm="238">
        <v>45840</v>
      </c>
      <c r="B8385" s="18" vm="389">
        <v>148.72999999999999</v>
      </c>
      <c r="C8385" t="s">
        <v>32</v>
      </c>
      <c r="D8385" t="str">
        <f>T_Stocks[[#This Row],[Ticker]] &amp; "-" &amp; DATE(YEAR(T_Stocks[[#This Row],[Fecha]]),MONTH(T_Stocks[[#This Row],[Fecha]]),DAY(T_Stocks[[#This Row],[Fecha]]))</f>
        <v>VTSAX-45840</v>
      </c>
    </row>
    <row r="8386" spans="1:4" ht="14.65" thickBot="1" x14ac:dyDescent="0.5">
      <c r="A8386" s="17" vm="240">
        <v>45841</v>
      </c>
      <c r="B8386" s="18" vm="390">
        <v>150.01</v>
      </c>
      <c r="C8386" t="s">
        <v>32</v>
      </c>
      <c r="D8386" t="str">
        <f>T_Stocks[[#This Row],[Ticker]] &amp; "-" &amp; DATE(YEAR(T_Stocks[[#This Row],[Fecha]]),MONTH(T_Stocks[[#This Row],[Fecha]]),DAY(T_Stocks[[#This Row],[Fecha]]))</f>
        <v>VTSAX-45841</v>
      </c>
    </row>
    <row r="8387" spans="1:4" ht="14.65" thickBot="1" x14ac:dyDescent="0.5">
      <c r="A8387" s="17" vm="242">
        <v>45845</v>
      </c>
      <c r="B8387" s="18" vm="391">
        <v>148.80000000000001</v>
      </c>
      <c r="C8387" t="s">
        <v>32</v>
      </c>
      <c r="D8387" t="str">
        <f>T_Stocks[[#This Row],[Ticker]] &amp; "-" &amp; DATE(YEAR(T_Stocks[[#This Row],[Fecha]]),MONTH(T_Stocks[[#This Row],[Fecha]]),DAY(T_Stocks[[#This Row],[Fecha]]))</f>
        <v>VTSAX-45845</v>
      </c>
    </row>
    <row r="8388" spans="1:4" ht="14.65" thickBot="1" x14ac:dyDescent="0.5">
      <c r="A8388" s="17" vm="244">
        <v>45846</v>
      </c>
      <c r="B8388" s="18" vm="392">
        <v>148.74</v>
      </c>
      <c r="C8388" t="s">
        <v>32</v>
      </c>
      <c r="D8388" t="str">
        <f>T_Stocks[[#This Row],[Ticker]] &amp; "-" &amp; DATE(YEAR(T_Stocks[[#This Row],[Fecha]]),MONTH(T_Stocks[[#This Row],[Fecha]]),DAY(T_Stocks[[#This Row],[Fecha]]))</f>
        <v>VTSAX-45846</v>
      </c>
    </row>
    <row r="8389" spans="1:4" ht="14.65" thickBot="1" x14ac:dyDescent="0.5">
      <c r="A8389" s="17" vm="245">
        <v>45847</v>
      </c>
      <c r="B8389" s="18" vm="393">
        <v>149.69</v>
      </c>
      <c r="C8389" t="s">
        <v>32</v>
      </c>
      <c r="D8389" t="str">
        <f>T_Stocks[[#This Row],[Ticker]] &amp; "-" &amp; DATE(YEAR(T_Stocks[[#This Row],[Fecha]]),MONTH(T_Stocks[[#This Row],[Fecha]]),DAY(T_Stocks[[#This Row],[Fecha]]))</f>
        <v>VTSAX-45847</v>
      </c>
    </row>
    <row r="8390" spans="1:4" ht="14.65" thickBot="1" x14ac:dyDescent="0.5">
      <c r="A8390" s="17" vm="247">
        <v>45848</v>
      </c>
      <c r="B8390" s="18" vm="394">
        <v>150.1</v>
      </c>
      <c r="C8390" t="s">
        <v>32</v>
      </c>
      <c r="D8390" t="str">
        <f>T_Stocks[[#This Row],[Ticker]] &amp; "-" &amp; DATE(YEAR(T_Stocks[[#This Row],[Fecha]]),MONTH(T_Stocks[[#This Row],[Fecha]]),DAY(T_Stocks[[#This Row],[Fecha]]))</f>
        <v>VTSAX-45848</v>
      </c>
    </row>
    <row r="8391" spans="1:4" ht="14.65" thickBot="1" x14ac:dyDescent="0.5">
      <c r="A8391" s="17" vm="249">
        <v>45849</v>
      </c>
      <c r="B8391" s="18" vm="395">
        <v>149.47999999999999</v>
      </c>
      <c r="C8391" t="s">
        <v>32</v>
      </c>
      <c r="D8391" t="str">
        <f>T_Stocks[[#This Row],[Ticker]] &amp; "-" &amp; DATE(YEAR(T_Stocks[[#This Row],[Fecha]]),MONTH(T_Stocks[[#This Row],[Fecha]]),DAY(T_Stocks[[#This Row],[Fecha]]))</f>
        <v>VTSAX-45849</v>
      </c>
    </row>
    <row r="8392" spans="1:4" ht="14.65" thickBot="1" x14ac:dyDescent="0.5">
      <c r="A8392" s="17" vm="251">
        <v>45852</v>
      </c>
      <c r="B8392" s="18" vm="396">
        <v>149.82</v>
      </c>
      <c r="C8392" t="s">
        <v>32</v>
      </c>
      <c r="D8392" t="str">
        <f>T_Stocks[[#This Row],[Ticker]] &amp; "-" &amp; DATE(YEAR(T_Stocks[[#This Row],[Fecha]]),MONTH(T_Stocks[[#This Row],[Fecha]]),DAY(T_Stocks[[#This Row],[Fecha]]))</f>
        <v>VTSAX-45852</v>
      </c>
    </row>
    <row r="8393" spans="1:4" ht="14.65" thickBot="1" x14ac:dyDescent="0.5">
      <c r="A8393" s="17" vm="253">
        <v>45853</v>
      </c>
      <c r="B8393" s="18" vm="397">
        <v>149.02000000000001</v>
      </c>
      <c r="C8393" t="s">
        <v>32</v>
      </c>
      <c r="D8393" t="str">
        <f>T_Stocks[[#This Row],[Ticker]] &amp; "-" &amp; DATE(YEAR(T_Stocks[[#This Row],[Fecha]]),MONTH(T_Stocks[[#This Row],[Fecha]]),DAY(T_Stocks[[#This Row],[Fecha]]))</f>
        <v>VTSAX-45853</v>
      </c>
    </row>
    <row r="8394" spans="1:4" ht="14.65" thickBot="1" x14ac:dyDescent="0.5">
      <c r="A8394" s="17" vm="255">
        <v>45854</v>
      </c>
      <c r="B8394" s="18" vm="398">
        <v>149.59</v>
      </c>
      <c r="C8394" t="s">
        <v>32</v>
      </c>
      <c r="D8394" t="str">
        <f>T_Stocks[[#This Row],[Ticker]] &amp; "-" &amp; DATE(YEAR(T_Stocks[[#This Row],[Fecha]]),MONTH(T_Stocks[[#This Row],[Fecha]]),DAY(T_Stocks[[#This Row],[Fecha]]))</f>
        <v>VTSAX-45854</v>
      </c>
    </row>
    <row r="8395" spans="1:4" ht="14.65" thickBot="1" x14ac:dyDescent="0.5">
      <c r="A8395" s="17" vm="257">
        <v>45855</v>
      </c>
      <c r="B8395" s="18" vm="399">
        <v>150.5</v>
      </c>
      <c r="C8395" t="s">
        <v>32</v>
      </c>
      <c r="D8395" t="str">
        <f>T_Stocks[[#This Row],[Ticker]] &amp; "-" &amp; DATE(YEAR(T_Stocks[[#This Row],[Fecha]]),MONTH(T_Stocks[[#This Row],[Fecha]]),DAY(T_Stocks[[#This Row],[Fecha]]))</f>
        <v>VTSAX-45855</v>
      </c>
    </row>
    <row r="8396" spans="1:4" ht="14.65" thickBot="1" x14ac:dyDescent="0.5">
      <c r="A8396" s="17" vm="259">
        <v>45856</v>
      </c>
      <c r="B8396" s="18" vm="399">
        <v>150.5</v>
      </c>
      <c r="C8396" t="s">
        <v>32</v>
      </c>
      <c r="D8396" t="str">
        <f>T_Stocks[[#This Row],[Ticker]] &amp; "-" &amp; DATE(YEAR(T_Stocks[[#This Row],[Fecha]]),MONTH(T_Stocks[[#This Row],[Fecha]]),DAY(T_Stocks[[#This Row],[Fecha]]))</f>
        <v>VTSAX-45856</v>
      </c>
    </row>
    <row r="8397" spans="1:4" ht="14.65" thickBot="1" x14ac:dyDescent="0.5">
      <c r="A8397" s="17" vm="261">
        <v>45859</v>
      </c>
      <c r="B8397" s="18" vm="400">
        <v>150.58000000000001</v>
      </c>
      <c r="C8397" t="s">
        <v>32</v>
      </c>
      <c r="D8397" t="str">
        <f>T_Stocks[[#This Row],[Ticker]] &amp; "-" &amp; DATE(YEAR(T_Stocks[[#This Row],[Fecha]]),MONTH(T_Stocks[[#This Row],[Fecha]]),DAY(T_Stocks[[#This Row],[Fecha]]))</f>
        <v>VTSAX-45859</v>
      </c>
    </row>
    <row r="8398" spans="1:4" ht="14.65" thickBot="1" x14ac:dyDescent="0.5">
      <c r="A8398" s="17" vm="263">
        <v>45860</v>
      </c>
      <c r="B8398" s="18" vm="401">
        <v>150.81</v>
      </c>
      <c r="C8398" t="s">
        <v>32</v>
      </c>
      <c r="D8398" t="str">
        <f>T_Stocks[[#This Row],[Ticker]] &amp; "-" &amp; DATE(YEAR(T_Stocks[[#This Row],[Fecha]]),MONTH(T_Stocks[[#This Row],[Fecha]]),DAY(T_Stocks[[#This Row],[Fecha]]))</f>
        <v>VTSAX-45860</v>
      </c>
    </row>
    <row r="8399" spans="1:4" ht="14.65" thickBot="1" x14ac:dyDescent="0.5">
      <c r="A8399" s="17" vm="265">
        <v>45861</v>
      </c>
      <c r="B8399" s="18" vm="402">
        <v>152.04</v>
      </c>
      <c r="C8399" t="s">
        <v>32</v>
      </c>
      <c r="D8399" t="str">
        <f>T_Stocks[[#This Row],[Ticker]] &amp; "-" &amp; DATE(YEAR(T_Stocks[[#This Row],[Fecha]]),MONTH(T_Stocks[[#This Row],[Fecha]]),DAY(T_Stocks[[#This Row],[Fecha]]))</f>
        <v>VTSAX-45861</v>
      </c>
    </row>
    <row r="8400" spans="1:4" ht="14.65" thickBot="1" x14ac:dyDescent="0.5">
      <c r="A8400" s="17" vm="267">
        <v>45862</v>
      </c>
      <c r="B8400" s="18" vm="403">
        <v>151.97999999999999</v>
      </c>
      <c r="C8400" t="s">
        <v>32</v>
      </c>
      <c r="D8400" t="str">
        <f>T_Stocks[[#This Row],[Ticker]] &amp; "-" &amp; DATE(YEAR(T_Stocks[[#This Row],[Fecha]]),MONTH(T_Stocks[[#This Row],[Fecha]]),DAY(T_Stocks[[#This Row],[Fecha]]))</f>
        <v>VTSAX-45862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E27"/>
  <sheetViews>
    <sheetView workbookViewId="0">
      <selection activeCell="N28" sqref="N28"/>
    </sheetView>
  </sheetViews>
  <sheetFormatPr baseColWidth="10" defaultColWidth="9.1328125" defaultRowHeight="14.25" x14ac:dyDescent="0.45"/>
  <cols>
    <col min="3" max="3" width="16.73046875" customWidth="1"/>
    <col min="4" max="4" width="17.1328125" customWidth="1"/>
  </cols>
  <sheetData>
    <row r="1" spans="1:5" x14ac:dyDescent="0.45">
      <c r="A1" s="4" t="s">
        <v>16</v>
      </c>
      <c r="B1" s="4" t="s">
        <v>74</v>
      </c>
      <c r="C1" s="4" t="s">
        <v>75</v>
      </c>
      <c r="D1" s="4" t="s">
        <v>76</v>
      </c>
      <c r="E1" s="4" t="s">
        <v>33</v>
      </c>
    </row>
    <row r="2" spans="1:5" x14ac:dyDescent="0.45">
      <c r="A2" s="4">
        <v>2025</v>
      </c>
      <c r="B2" s="4"/>
      <c r="C2" s="4">
        <v>0</v>
      </c>
      <c r="D2" s="5">
        <v>6000</v>
      </c>
      <c r="E2" s="6">
        <v>0.19</v>
      </c>
    </row>
    <row r="3" spans="1:5" x14ac:dyDescent="0.45">
      <c r="A3" s="4">
        <v>2025</v>
      </c>
      <c r="B3" s="4"/>
      <c r="C3" s="7">
        <v>6000</v>
      </c>
      <c r="D3" s="5">
        <v>50000</v>
      </c>
      <c r="E3" s="6">
        <v>0.21</v>
      </c>
    </row>
    <row r="4" spans="1:5" x14ac:dyDescent="0.45">
      <c r="A4" s="4">
        <v>2025</v>
      </c>
      <c r="B4" s="4"/>
      <c r="C4" s="7">
        <v>50000</v>
      </c>
      <c r="D4" s="5">
        <v>200000</v>
      </c>
      <c r="E4" s="6">
        <v>0.23</v>
      </c>
    </row>
    <row r="5" spans="1:5" x14ac:dyDescent="0.45">
      <c r="A5" s="4">
        <v>2025</v>
      </c>
      <c r="B5" s="4"/>
      <c r="C5" s="7">
        <v>200000</v>
      </c>
      <c r="D5" s="7">
        <v>300000</v>
      </c>
      <c r="E5" s="6">
        <v>0.27</v>
      </c>
    </row>
    <row r="6" spans="1:5" x14ac:dyDescent="0.45">
      <c r="A6" s="4">
        <v>2025</v>
      </c>
      <c r="B6" s="4"/>
      <c r="C6" s="7">
        <v>300000</v>
      </c>
      <c r="D6" s="4"/>
      <c r="E6" s="6">
        <v>0.3</v>
      </c>
    </row>
    <row r="7" spans="1:5" x14ac:dyDescent="0.45">
      <c r="A7" s="4">
        <v>2023</v>
      </c>
      <c r="B7" s="4">
        <v>2024</v>
      </c>
      <c r="C7" s="4">
        <v>0</v>
      </c>
      <c r="D7" s="5">
        <v>1500</v>
      </c>
      <c r="E7" s="6">
        <v>0.19</v>
      </c>
    </row>
    <row r="8" spans="1:5" x14ac:dyDescent="0.45">
      <c r="A8" s="4">
        <v>2023</v>
      </c>
      <c r="B8" s="4">
        <v>2024</v>
      </c>
      <c r="C8" s="7">
        <v>1500</v>
      </c>
      <c r="D8" s="5">
        <v>50000</v>
      </c>
      <c r="E8" s="6">
        <v>0.21</v>
      </c>
    </row>
    <row r="9" spans="1:5" x14ac:dyDescent="0.45">
      <c r="A9" s="4">
        <v>2023</v>
      </c>
      <c r="B9" s="4">
        <v>2024</v>
      </c>
      <c r="C9" s="7">
        <v>50000</v>
      </c>
      <c r="D9" s="5">
        <v>200000</v>
      </c>
      <c r="E9" s="6">
        <v>0.23</v>
      </c>
    </row>
    <row r="10" spans="1:5" x14ac:dyDescent="0.45">
      <c r="A10" s="4">
        <v>2023</v>
      </c>
      <c r="B10" s="4">
        <v>2024</v>
      </c>
      <c r="C10" s="7">
        <v>200000</v>
      </c>
      <c r="D10" s="7">
        <v>300000</v>
      </c>
      <c r="E10" s="6">
        <v>0.27</v>
      </c>
    </row>
    <row r="11" spans="1:5" x14ac:dyDescent="0.45">
      <c r="A11" s="4">
        <v>2023</v>
      </c>
      <c r="B11" s="4">
        <v>2024</v>
      </c>
      <c r="C11" s="7">
        <v>300000</v>
      </c>
      <c r="D11" s="4"/>
      <c r="E11" s="6">
        <v>0.28000000000000003</v>
      </c>
    </row>
    <row r="12" spans="1:5" x14ac:dyDescent="0.45">
      <c r="A12" s="4">
        <v>2021</v>
      </c>
      <c r="B12" s="4">
        <v>2022</v>
      </c>
      <c r="C12" s="4">
        <v>0</v>
      </c>
      <c r="D12" s="5">
        <v>6000</v>
      </c>
      <c r="E12" s="6">
        <v>0.19</v>
      </c>
    </row>
    <row r="13" spans="1:5" x14ac:dyDescent="0.45">
      <c r="A13" s="4">
        <v>2021</v>
      </c>
      <c r="B13" s="4">
        <v>2022</v>
      </c>
      <c r="C13" s="7">
        <v>6000</v>
      </c>
      <c r="D13" s="5">
        <v>50000</v>
      </c>
      <c r="E13" s="6">
        <v>0.21</v>
      </c>
    </row>
    <row r="14" spans="1:5" x14ac:dyDescent="0.45">
      <c r="A14" s="4">
        <v>2021</v>
      </c>
      <c r="B14" s="4">
        <v>2022</v>
      </c>
      <c r="C14" s="7">
        <v>50000</v>
      </c>
      <c r="D14" s="5">
        <v>200000</v>
      </c>
      <c r="E14" s="6">
        <v>0.23</v>
      </c>
    </row>
    <row r="15" spans="1:5" x14ac:dyDescent="0.45">
      <c r="A15" s="4">
        <v>2021</v>
      </c>
      <c r="B15" s="4">
        <v>2022</v>
      </c>
      <c r="C15" s="7">
        <v>200000</v>
      </c>
      <c r="D15" s="4"/>
      <c r="E15" s="6">
        <v>0.26</v>
      </c>
    </row>
    <row r="16" spans="1:5" x14ac:dyDescent="0.45">
      <c r="A16" s="4">
        <v>2016</v>
      </c>
      <c r="B16" s="4">
        <v>2020</v>
      </c>
      <c r="C16" s="4">
        <v>0</v>
      </c>
      <c r="D16" s="5">
        <v>6000</v>
      </c>
      <c r="E16" s="6">
        <v>0.19</v>
      </c>
    </row>
    <row r="17" spans="1:5" x14ac:dyDescent="0.45">
      <c r="A17" s="4">
        <v>2016</v>
      </c>
      <c r="B17" s="4">
        <v>2020</v>
      </c>
      <c r="C17" s="7">
        <v>6000</v>
      </c>
      <c r="D17" s="5">
        <v>50000</v>
      </c>
      <c r="E17" s="6">
        <v>0.21</v>
      </c>
    </row>
    <row r="18" spans="1:5" x14ac:dyDescent="0.45">
      <c r="A18" s="4">
        <v>2016</v>
      </c>
      <c r="B18" s="4">
        <v>2020</v>
      </c>
      <c r="C18" s="7">
        <v>50000</v>
      </c>
      <c r="D18" s="5"/>
      <c r="E18" s="6">
        <v>0.23</v>
      </c>
    </row>
    <row r="19" spans="1:5" x14ac:dyDescent="0.45">
      <c r="A19" s="4">
        <v>2015</v>
      </c>
      <c r="B19" s="4">
        <v>2015</v>
      </c>
      <c r="C19" s="4">
        <v>0</v>
      </c>
      <c r="D19" s="5">
        <v>6000</v>
      </c>
      <c r="E19" s="6">
        <v>0.19500000000000001</v>
      </c>
    </row>
    <row r="20" spans="1:5" x14ac:dyDescent="0.45">
      <c r="A20" s="4">
        <v>2015</v>
      </c>
      <c r="B20" s="4">
        <v>2015</v>
      </c>
      <c r="C20" s="7">
        <v>6000</v>
      </c>
      <c r="D20" s="5">
        <v>50000</v>
      </c>
      <c r="E20" s="6">
        <v>0.215</v>
      </c>
    </row>
    <row r="21" spans="1:5" x14ac:dyDescent="0.45">
      <c r="A21" s="4">
        <v>2015</v>
      </c>
      <c r="B21" s="4">
        <v>2015</v>
      </c>
      <c r="C21" s="7">
        <v>50000</v>
      </c>
      <c r="D21" s="5"/>
      <c r="E21" s="6">
        <v>0.23499999999999999</v>
      </c>
    </row>
    <row r="22" spans="1:5" x14ac:dyDescent="0.45">
      <c r="A22" s="4">
        <v>2012</v>
      </c>
      <c r="B22" s="4">
        <v>2014</v>
      </c>
      <c r="C22" s="4">
        <v>0</v>
      </c>
      <c r="D22" s="5">
        <v>6000</v>
      </c>
      <c r="E22" s="6">
        <v>0.21</v>
      </c>
    </row>
    <row r="23" spans="1:5" x14ac:dyDescent="0.45">
      <c r="A23" s="4">
        <v>2012</v>
      </c>
      <c r="B23" s="4">
        <v>2014</v>
      </c>
      <c r="C23" s="4">
        <v>6000</v>
      </c>
      <c r="D23" s="5">
        <v>24000</v>
      </c>
      <c r="E23" s="6">
        <v>0.25</v>
      </c>
    </row>
    <row r="24" spans="1:5" x14ac:dyDescent="0.45">
      <c r="A24" s="4">
        <v>2012</v>
      </c>
      <c r="B24" s="4">
        <v>2014</v>
      </c>
      <c r="C24" s="4">
        <v>24000</v>
      </c>
      <c r="D24" s="5"/>
      <c r="E24" s="6">
        <v>0.27</v>
      </c>
    </row>
    <row r="25" spans="1:5" x14ac:dyDescent="0.45">
      <c r="A25" s="4">
        <v>2010</v>
      </c>
      <c r="B25" s="4">
        <v>2011</v>
      </c>
      <c r="C25" s="4">
        <v>0</v>
      </c>
      <c r="D25" s="5">
        <v>6000</v>
      </c>
      <c r="E25" s="6">
        <v>0.19</v>
      </c>
    </row>
    <row r="26" spans="1:5" x14ac:dyDescent="0.45">
      <c r="A26" s="4">
        <v>2010</v>
      </c>
      <c r="B26" s="4">
        <v>2011</v>
      </c>
      <c r="C26" s="4">
        <v>6000</v>
      </c>
      <c r="D26" s="5"/>
      <c r="E26" s="6">
        <v>0.21</v>
      </c>
    </row>
    <row r="27" spans="1:5" x14ac:dyDescent="0.45">
      <c r="A27" s="4">
        <v>2007</v>
      </c>
      <c r="B27" s="4">
        <v>2009</v>
      </c>
      <c r="C27" s="4"/>
      <c r="D27" s="5"/>
      <c r="E27" s="6">
        <v>0.18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2AF7-F45C-4E7E-AD06-E42BD003C0CF}">
  <sheetPr codeName="Hoja8"/>
  <dimension ref="A1:C1689"/>
  <sheetViews>
    <sheetView workbookViewId="0">
      <selection activeCell="B5" sqref="B5"/>
    </sheetView>
  </sheetViews>
  <sheetFormatPr baseColWidth="10" defaultRowHeight="14.25" x14ac:dyDescent="0.45"/>
  <cols>
    <col min="1" max="1" width="14.3984375" customWidth="1"/>
    <col min="2" max="2" width="14.73046875" customWidth="1"/>
    <col min="3" max="3" width="16.59765625" customWidth="1"/>
  </cols>
  <sheetData>
    <row r="1" spans="1:3" x14ac:dyDescent="0.45">
      <c r="A1" t="s">
        <v>25</v>
      </c>
      <c r="B1" t="s">
        <v>153</v>
      </c>
      <c r="C1" t="s">
        <v>154</v>
      </c>
    </row>
    <row r="2" spans="1:3" x14ac:dyDescent="0.45">
      <c r="A2" vm="404">
        <v>43496</v>
      </c>
      <c r="B2" vm="405">
        <v>0.87350000000000005</v>
      </c>
      <c r="C2">
        <f>1/T_USD_EUR[[#This Row],[USDEUR]]</f>
        <v>1.1448196908986834</v>
      </c>
    </row>
    <row r="3" spans="1:3" x14ac:dyDescent="0.45">
      <c r="A3" vm="406">
        <v>43497</v>
      </c>
      <c r="B3" vm="407">
        <v>0.87280000000000002</v>
      </c>
      <c r="C3">
        <f>1/T_USD_EUR[[#This Row],[USDEUR]]</f>
        <v>1.1457378551787352</v>
      </c>
    </row>
    <row r="4" spans="1:3" x14ac:dyDescent="0.45">
      <c r="A4" vm="408">
        <v>43500</v>
      </c>
      <c r="B4" vm="409">
        <v>0.874</v>
      </c>
      <c r="C4">
        <f>1/T_USD_EUR[[#This Row],[USDEUR]]</f>
        <v>1.1441647597254005</v>
      </c>
    </row>
    <row r="5" spans="1:3" x14ac:dyDescent="0.45">
      <c r="A5" vm="410">
        <v>43501</v>
      </c>
      <c r="B5" vm="411">
        <v>0.87590000000000001</v>
      </c>
      <c r="C5">
        <f>1/T_USD_EUR[[#This Row],[USDEUR]]</f>
        <v>1.1416828405069073</v>
      </c>
    </row>
    <row r="6" spans="1:3" x14ac:dyDescent="0.45">
      <c r="A6" vm="412">
        <v>43502</v>
      </c>
      <c r="B6" vm="413">
        <v>0.88</v>
      </c>
      <c r="C6">
        <f>1/T_USD_EUR[[#This Row],[USDEUR]]</f>
        <v>1.1363636363636365</v>
      </c>
    </row>
    <row r="7" spans="1:3" x14ac:dyDescent="0.45">
      <c r="A7" vm="414">
        <v>43503</v>
      </c>
      <c r="B7" vm="415">
        <v>0.88109999999999999</v>
      </c>
      <c r="C7">
        <f>1/T_USD_EUR[[#This Row],[USDEUR]]</f>
        <v>1.1349449551696742</v>
      </c>
    </row>
    <row r="8" spans="1:3" x14ac:dyDescent="0.45">
      <c r="A8" vm="416">
        <v>43504</v>
      </c>
      <c r="B8" vm="417">
        <v>0.88239999999999996</v>
      </c>
      <c r="C8">
        <f>1/T_USD_EUR[[#This Row],[USDEUR]]</f>
        <v>1.1332728921124207</v>
      </c>
    </row>
    <row r="9" spans="1:3" x14ac:dyDescent="0.45">
      <c r="A9" vm="418">
        <v>43507</v>
      </c>
      <c r="B9" vm="419">
        <v>0.88680000000000003</v>
      </c>
      <c r="C9">
        <f>1/T_USD_EUR[[#This Row],[USDEUR]]</f>
        <v>1.1276499774470004</v>
      </c>
    </row>
    <row r="10" spans="1:3" x14ac:dyDescent="0.45">
      <c r="A10" vm="420">
        <v>43508</v>
      </c>
      <c r="B10" vm="421">
        <v>0.88280000000000003</v>
      </c>
      <c r="C10">
        <f>1/T_USD_EUR[[#This Row],[USDEUR]]</f>
        <v>1.1327594019030358</v>
      </c>
    </row>
    <row r="11" spans="1:3" x14ac:dyDescent="0.45">
      <c r="A11" vm="422">
        <v>43509</v>
      </c>
      <c r="B11" vm="423">
        <v>0.88790000000000002</v>
      </c>
      <c r="C11">
        <f>1/T_USD_EUR[[#This Row],[USDEUR]]</f>
        <v>1.1262529564140105</v>
      </c>
    </row>
    <row r="12" spans="1:3" x14ac:dyDescent="0.45">
      <c r="A12" vm="424">
        <v>43510</v>
      </c>
      <c r="B12" vm="425">
        <v>0.88519999999999999</v>
      </c>
      <c r="C12">
        <f>1/T_USD_EUR[[#This Row],[USDEUR]]</f>
        <v>1.1296882060551288</v>
      </c>
    </row>
    <row r="13" spans="1:3" x14ac:dyDescent="0.45">
      <c r="A13" vm="426">
        <v>43511</v>
      </c>
      <c r="B13" vm="427">
        <v>0.88529999999999998</v>
      </c>
      <c r="C13">
        <f>1/T_USD_EUR[[#This Row],[USDEUR]]</f>
        <v>1.1295606009262398</v>
      </c>
    </row>
    <row r="14" spans="1:3" x14ac:dyDescent="0.45">
      <c r="A14" vm="428">
        <v>43514</v>
      </c>
      <c r="B14" vm="429">
        <v>0.88390000000000002</v>
      </c>
      <c r="C14">
        <f>1/T_USD_EUR[[#This Row],[USDEUR]]</f>
        <v>1.1313497001923294</v>
      </c>
    </row>
    <row r="15" spans="1:3" x14ac:dyDescent="0.45">
      <c r="A15" vm="430">
        <v>43515</v>
      </c>
      <c r="B15" vm="431">
        <v>0.88170000000000004</v>
      </c>
      <c r="C15">
        <f>1/T_USD_EUR[[#This Row],[USDEUR]]</f>
        <v>1.1341726210729273</v>
      </c>
    </row>
    <row r="16" spans="1:3" x14ac:dyDescent="0.45">
      <c r="A16" vm="432">
        <v>43516</v>
      </c>
      <c r="B16" vm="433">
        <v>0.88190000000000002</v>
      </c>
      <c r="C16">
        <f>1/T_USD_EUR[[#This Row],[USDEUR]]</f>
        <v>1.1339154099104207</v>
      </c>
    </row>
    <row r="17" spans="1:3" x14ac:dyDescent="0.45">
      <c r="A17" vm="434">
        <v>43517</v>
      </c>
      <c r="B17" vm="435">
        <v>0.88200000000000001</v>
      </c>
      <c r="C17">
        <f>1/T_USD_EUR[[#This Row],[USDEUR]]</f>
        <v>1.1337868480725624</v>
      </c>
    </row>
    <row r="18" spans="1:3" x14ac:dyDescent="0.45">
      <c r="A18" vm="436">
        <v>43518</v>
      </c>
      <c r="B18" vm="437">
        <v>0.88139999999999996</v>
      </c>
      <c r="C18">
        <f>1/T_USD_EUR[[#This Row],[USDEUR]]</f>
        <v>1.1345586566825505</v>
      </c>
    </row>
    <row r="19" spans="1:3" x14ac:dyDescent="0.45">
      <c r="A19" vm="438">
        <v>43521</v>
      </c>
      <c r="B19" vm="439">
        <v>0.88029999999999997</v>
      </c>
      <c r="C19">
        <f>1/T_USD_EUR[[#This Row],[USDEUR]]</f>
        <v>1.1359763716914688</v>
      </c>
    </row>
    <row r="20" spans="1:3" x14ac:dyDescent="0.45">
      <c r="A20" vm="440">
        <v>43522</v>
      </c>
      <c r="B20" vm="441">
        <v>0.87719999999999998</v>
      </c>
      <c r="C20">
        <f>1/T_USD_EUR[[#This Row],[USDEUR]]</f>
        <v>1.1399908800729595</v>
      </c>
    </row>
    <row r="21" spans="1:3" x14ac:dyDescent="0.45">
      <c r="A21" vm="442">
        <v>43523</v>
      </c>
      <c r="B21" vm="443">
        <v>0.87949999999999995</v>
      </c>
      <c r="C21">
        <f>1/T_USD_EUR[[#This Row],[USDEUR]]</f>
        <v>1.137009664582149</v>
      </c>
    </row>
    <row r="22" spans="1:3" x14ac:dyDescent="0.45">
      <c r="A22" vm="444">
        <v>43524</v>
      </c>
      <c r="B22" vm="445">
        <v>0.87939999999999996</v>
      </c>
      <c r="C22">
        <f>1/T_USD_EUR[[#This Row],[USDEUR]]</f>
        <v>1.1371389583807141</v>
      </c>
    </row>
    <row r="23" spans="1:3" x14ac:dyDescent="0.45">
      <c r="A23" vm="446">
        <v>43525</v>
      </c>
      <c r="B23" vm="447">
        <v>0.87880000000000003</v>
      </c>
      <c r="C23">
        <f>1/T_USD_EUR[[#This Row],[USDEUR]]</f>
        <v>1.1379153390987711</v>
      </c>
    </row>
    <row r="24" spans="1:3" x14ac:dyDescent="0.45">
      <c r="A24" vm="448">
        <v>43528</v>
      </c>
      <c r="B24" vm="431">
        <v>0.88170000000000004</v>
      </c>
      <c r="C24">
        <f>1/T_USD_EUR[[#This Row],[USDEUR]]</f>
        <v>1.1341726210729273</v>
      </c>
    </row>
    <row r="25" spans="1:3" x14ac:dyDescent="0.45">
      <c r="A25" vm="449">
        <v>43529</v>
      </c>
      <c r="B25" vm="450">
        <v>0.88419999999999999</v>
      </c>
      <c r="C25">
        <f>1/T_USD_EUR[[#This Row],[USDEUR]]</f>
        <v>1.1309658448314861</v>
      </c>
    </row>
    <row r="26" spans="1:3" x14ac:dyDescent="0.45">
      <c r="A26" vm="451">
        <v>43530</v>
      </c>
      <c r="B26" vm="452">
        <v>0.88429999999999997</v>
      </c>
      <c r="C26">
        <f>1/T_USD_EUR[[#This Row],[USDEUR]]</f>
        <v>1.1308379509216329</v>
      </c>
    </row>
    <row r="27" spans="1:3" x14ac:dyDescent="0.45">
      <c r="A27" vm="453">
        <v>43531</v>
      </c>
      <c r="B27" vm="454">
        <v>0.89319999999999999</v>
      </c>
      <c r="C27">
        <f>1/T_USD_EUR[[#This Row],[USDEUR]]</f>
        <v>1.1195700850873265</v>
      </c>
    </row>
    <row r="28" spans="1:3" x14ac:dyDescent="0.45">
      <c r="A28" vm="455">
        <v>43532</v>
      </c>
      <c r="B28" vm="456">
        <v>0.88939999999999997</v>
      </c>
      <c r="C28">
        <f>1/T_USD_EUR[[#This Row],[USDEUR]]</f>
        <v>1.1243534967393749</v>
      </c>
    </row>
    <row r="29" spans="1:3" x14ac:dyDescent="0.45">
      <c r="A29" vm="457">
        <v>43535</v>
      </c>
      <c r="B29" vm="458">
        <v>0.88870000000000005</v>
      </c>
      <c r="C29">
        <f>1/T_USD_EUR[[#This Row],[USDEUR]]</f>
        <v>1.1252391133115787</v>
      </c>
    </row>
    <row r="30" spans="1:3" x14ac:dyDescent="0.45">
      <c r="A30" vm="459">
        <v>43536</v>
      </c>
      <c r="B30" vm="460">
        <v>0.88570000000000004</v>
      </c>
      <c r="C30">
        <f>1/T_USD_EUR[[#This Row],[USDEUR]]</f>
        <v>1.1290504685559444</v>
      </c>
    </row>
    <row r="31" spans="1:3" x14ac:dyDescent="0.45">
      <c r="A31" vm="461">
        <v>43537</v>
      </c>
      <c r="B31" vm="421">
        <v>0.88280000000000003</v>
      </c>
      <c r="C31">
        <f>1/T_USD_EUR[[#This Row],[USDEUR]]</f>
        <v>1.1327594019030358</v>
      </c>
    </row>
    <row r="32" spans="1:3" x14ac:dyDescent="0.45">
      <c r="A32" vm="462">
        <v>43538</v>
      </c>
      <c r="B32" vm="463">
        <v>0.88449999999999995</v>
      </c>
      <c r="C32">
        <f>1/T_USD_EUR[[#This Row],[USDEUR]]</f>
        <v>1.1305822498586773</v>
      </c>
    </row>
    <row r="33" spans="1:3" x14ac:dyDescent="0.45">
      <c r="A33" vm="464">
        <v>43539</v>
      </c>
      <c r="B33" vm="465">
        <v>0.88290000000000002</v>
      </c>
      <c r="C33">
        <f>1/T_USD_EUR[[#This Row],[USDEUR]]</f>
        <v>1.1326311020500623</v>
      </c>
    </row>
    <row r="34" spans="1:3" x14ac:dyDescent="0.45">
      <c r="A34" vm="466">
        <v>43542</v>
      </c>
      <c r="B34" vm="467">
        <v>0.8821</v>
      </c>
      <c r="C34">
        <f>1/T_USD_EUR[[#This Row],[USDEUR]]</f>
        <v>1.1336583153837434</v>
      </c>
    </row>
    <row r="35" spans="1:3" x14ac:dyDescent="0.45">
      <c r="A35" vm="468">
        <v>43543</v>
      </c>
      <c r="B35" vm="469">
        <v>0.88070000000000004</v>
      </c>
      <c r="C35">
        <f>1/T_USD_EUR[[#This Row],[USDEUR]]</f>
        <v>1.1354604292040422</v>
      </c>
    </row>
    <row r="36" spans="1:3" x14ac:dyDescent="0.45">
      <c r="A36" vm="470">
        <v>43544</v>
      </c>
      <c r="B36" vm="471">
        <v>0.876</v>
      </c>
      <c r="C36">
        <f>1/T_USD_EUR[[#This Row],[USDEUR]]</f>
        <v>1.1415525114155252</v>
      </c>
    </row>
    <row r="37" spans="1:3" x14ac:dyDescent="0.45">
      <c r="A37" vm="472">
        <v>43545</v>
      </c>
      <c r="B37" vm="473">
        <v>0.879</v>
      </c>
      <c r="C37">
        <f>1/T_USD_EUR[[#This Row],[USDEUR]]</f>
        <v>1.1376564277588168</v>
      </c>
    </row>
    <row r="38" spans="1:3" x14ac:dyDescent="0.45">
      <c r="A38" vm="474">
        <v>43546</v>
      </c>
      <c r="B38" vm="475">
        <v>0.88380000000000003</v>
      </c>
      <c r="C38">
        <f>1/T_USD_EUR[[#This Row],[USDEUR]]</f>
        <v>1.1314777098891151</v>
      </c>
    </row>
    <row r="39" spans="1:3" x14ac:dyDescent="0.45">
      <c r="A39" vm="476">
        <v>43549</v>
      </c>
      <c r="B39" vm="475">
        <v>0.88380000000000003</v>
      </c>
      <c r="C39">
        <f>1/T_USD_EUR[[#This Row],[USDEUR]]</f>
        <v>1.1314777098891151</v>
      </c>
    </row>
    <row r="40" spans="1:3" x14ac:dyDescent="0.45">
      <c r="A40" vm="477">
        <v>43550</v>
      </c>
      <c r="B40" vm="478">
        <v>0.88749999999999996</v>
      </c>
      <c r="C40">
        <f>1/T_USD_EUR[[#This Row],[USDEUR]]</f>
        <v>1.1267605633802817</v>
      </c>
    </row>
    <row r="41" spans="1:3" x14ac:dyDescent="0.45">
      <c r="A41" vm="479">
        <v>43551</v>
      </c>
      <c r="B41" vm="480">
        <v>0.88919999999999999</v>
      </c>
      <c r="C41">
        <f>1/T_USD_EUR[[#This Row],[USDEUR]]</f>
        <v>1.1246063877642825</v>
      </c>
    </row>
    <row r="42" spans="1:3" x14ac:dyDescent="0.45">
      <c r="A42" vm="481">
        <v>43552</v>
      </c>
      <c r="B42" vm="482">
        <v>0.89029999999999998</v>
      </c>
      <c r="C42">
        <f>1/T_USD_EUR[[#This Row],[USDEUR]]</f>
        <v>1.1232168931820734</v>
      </c>
    </row>
    <row r="43" spans="1:3" x14ac:dyDescent="0.45">
      <c r="A43" vm="483">
        <v>43553</v>
      </c>
      <c r="B43" vm="484">
        <v>0.89129999999999998</v>
      </c>
      <c r="C43">
        <f>1/T_USD_EUR[[#This Row],[USDEUR]]</f>
        <v>1.1219566924716706</v>
      </c>
    </row>
    <row r="44" spans="1:3" x14ac:dyDescent="0.45">
      <c r="A44" vm="485">
        <v>43556</v>
      </c>
      <c r="B44" vm="486">
        <v>0.89170000000000005</v>
      </c>
      <c r="C44">
        <f>1/T_USD_EUR[[#This Row],[USDEUR]]</f>
        <v>1.1214534036110799</v>
      </c>
    </row>
    <row r="45" spans="1:3" x14ac:dyDescent="0.45">
      <c r="A45" vm="487">
        <v>43557</v>
      </c>
      <c r="B45" vm="488">
        <v>0.89229999999999998</v>
      </c>
      <c r="C45">
        <f>1/T_USD_EUR[[#This Row],[USDEUR]]</f>
        <v>1.1206993163734171</v>
      </c>
    </row>
    <row r="46" spans="1:3" x14ac:dyDescent="0.45">
      <c r="A46" vm="489">
        <v>43558</v>
      </c>
      <c r="B46" vm="490">
        <v>0.8901</v>
      </c>
      <c r="C46">
        <f>1/T_USD_EUR[[#This Row],[USDEUR]]</f>
        <v>1.1234692731153804</v>
      </c>
    </row>
    <row r="47" spans="1:3" x14ac:dyDescent="0.45">
      <c r="A47" vm="491">
        <v>43559</v>
      </c>
      <c r="B47" vm="492">
        <v>0.8911</v>
      </c>
      <c r="C47">
        <f>1/T_USD_EUR[[#This Row],[USDEUR]]</f>
        <v>1.1222085063404781</v>
      </c>
    </row>
    <row r="48" spans="1:3" x14ac:dyDescent="0.45">
      <c r="A48" vm="493">
        <v>43560</v>
      </c>
      <c r="B48" vm="494">
        <v>0.89139999999999997</v>
      </c>
      <c r="C48">
        <f>1/T_USD_EUR[[#This Row],[USDEUR]]</f>
        <v>1.1218308279111511</v>
      </c>
    </row>
    <row r="49" spans="1:3" x14ac:dyDescent="0.45">
      <c r="A49" vm="495">
        <v>43563</v>
      </c>
      <c r="B49" vm="423">
        <v>0.88790000000000002</v>
      </c>
      <c r="C49">
        <f>1/T_USD_EUR[[#This Row],[USDEUR]]</f>
        <v>1.1262529564140105</v>
      </c>
    </row>
    <row r="50" spans="1:3" x14ac:dyDescent="0.45">
      <c r="A50" vm="496">
        <v>43564</v>
      </c>
      <c r="B50" vm="423">
        <v>0.88790000000000002</v>
      </c>
      <c r="C50">
        <f>1/T_USD_EUR[[#This Row],[USDEUR]]</f>
        <v>1.1262529564140105</v>
      </c>
    </row>
    <row r="51" spans="1:3" x14ac:dyDescent="0.45">
      <c r="A51" vm="497">
        <v>43565</v>
      </c>
      <c r="B51" vm="498">
        <v>0.88700000000000001</v>
      </c>
      <c r="C51">
        <f>1/T_USD_EUR[[#This Row],[USDEUR]]</f>
        <v>1.1273957158962795</v>
      </c>
    </row>
    <row r="52" spans="1:3" x14ac:dyDescent="0.45">
      <c r="A52" vm="499">
        <v>43566</v>
      </c>
      <c r="B52" vm="500">
        <v>0.88849999999999996</v>
      </c>
      <c r="C52">
        <f>1/T_USD_EUR[[#This Row],[USDEUR]]</f>
        <v>1.1254924029262803</v>
      </c>
    </row>
    <row r="53" spans="1:3" x14ac:dyDescent="0.45">
      <c r="A53" vm="501">
        <v>43567</v>
      </c>
      <c r="B53" vm="502">
        <v>0.88460000000000005</v>
      </c>
      <c r="C53">
        <f>1/T_USD_EUR[[#This Row],[USDEUR]]</f>
        <v>1.1304544426859597</v>
      </c>
    </row>
    <row r="54" spans="1:3" x14ac:dyDescent="0.45">
      <c r="A54" vm="503">
        <v>43570</v>
      </c>
      <c r="B54" vm="504">
        <v>0.88400000000000001</v>
      </c>
      <c r="C54">
        <f>1/T_USD_EUR[[#This Row],[USDEUR]]</f>
        <v>1.1312217194570136</v>
      </c>
    </row>
    <row r="55" spans="1:3" x14ac:dyDescent="0.45">
      <c r="A55" vm="505">
        <v>43571</v>
      </c>
      <c r="B55" vm="506">
        <v>0.88639999999999997</v>
      </c>
      <c r="C55">
        <f>1/T_USD_EUR[[#This Row],[USDEUR]]</f>
        <v>1.128158844765343</v>
      </c>
    </row>
    <row r="56" spans="1:3" x14ac:dyDescent="0.45">
      <c r="A56" vm="507">
        <v>43572</v>
      </c>
      <c r="B56" vm="508">
        <v>0.88500000000000001</v>
      </c>
      <c r="C56">
        <f>1/T_USD_EUR[[#This Row],[USDEUR]]</f>
        <v>1.1299435028248588</v>
      </c>
    </row>
    <row r="57" spans="1:3" x14ac:dyDescent="0.45">
      <c r="A57" vm="509">
        <v>43573</v>
      </c>
      <c r="B57" vm="510">
        <v>0.89019999999999999</v>
      </c>
      <c r="C57">
        <f>1/T_USD_EUR[[#This Row],[USDEUR]]</f>
        <v>1.1233430689732644</v>
      </c>
    </row>
    <row r="58" spans="1:3" x14ac:dyDescent="0.45">
      <c r="A58" vm="511">
        <v>43574</v>
      </c>
      <c r="B58" vm="512">
        <v>0.88880000000000003</v>
      </c>
      <c r="C58">
        <f>1/T_USD_EUR[[#This Row],[USDEUR]]</f>
        <v>1.1251125112511251</v>
      </c>
    </row>
    <row r="59" spans="1:3" x14ac:dyDescent="0.45">
      <c r="A59" vm="513">
        <v>43577</v>
      </c>
      <c r="B59" vm="423">
        <v>0.88790000000000002</v>
      </c>
      <c r="C59">
        <f>1/T_USD_EUR[[#This Row],[USDEUR]]</f>
        <v>1.1262529564140105</v>
      </c>
    </row>
    <row r="60" spans="1:3" x14ac:dyDescent="0.45">
      <c r="A60" vm="514">
        <v>43578</v>
      </c>
      <c r="B60" vm="515">
        <v>0.89039999999999997</v>
      </c>
      <c r="C60">
        <f>1/T_USD_EUR[[#This Row],[USDEUR]]</f>
        <v>1.1230907457322552</v>
      </c>
    </row>
    <row r="61" spans="1:3" x14ac:dyDescent="0.45">
      <c r="A61" vm="516">
        <v>43579</v>
      </c>
      <c r="B61" vm="517">
        <v>0.89639999999999997</v>
      </c>
      <c r="C61">
        <f>1/T_USD_EUR[[#This Row],[USDEUR]]</f>
        <v>1.1155734047300312</v>
      </c>
    </row>
    <row r="62" spans="1:3" x14ac:dyDescent="0.45">
      <c r="A62" vm="518">
        <v>43580</v>
      </c>
      <c r="B62" vm="519">
        <v>0.89810000000000001</v>
      </c>
      <c r="C62">
        <f>1/T_USD_EUR[[#This Row],[USDEUR]]</f>
        <v>1.1134617525887986</v>
      </c>
    </row>
    <row r="63" spans="1:3" x14ac:dyDescent="0.45">
      <c r="A63" vm="520">
        <v>43581</v>
      </c>
      <c r="B63" vm="521">
        <v>0.89690000000000003</v>
      </c>
      <c r="C63">
        <f>1/T_USD_EUR[[#This Row],[USDEUR]]</f>
        <v>1.1149514996097669</v>
      </c>
    </row>
    <row r="64" spans="1:3" x14ac:dyDescent="0.45">
      <c r="A64" vm="522">
        <v>43584</v>
      </c>
      <c r="B64" vm="523">
        <v>0.89380000000000004</v>
      </c>
      <c r="C64">
        <f>1/T_USD_EUR[[#This Row],[USDEUR]]</f>
        <v>1.1188185276348175</v>
      </c>
    </row>
    <row r="65" spans="1:3" x14ac:dyDescent="0.45">
      <c r="A65" vm="524">
        <v>43585</v>
      </c>
      <c r="B65" vm="525">
        <v>0.89159999999999995</v>
      </c>
      <c r="C65">
        <f>1/T_USD_EUR[[#This Row],[USDEUR]]</f>
        <v>1.1215791834903546</v>
      </c>
    </row>
    <row r="66" spans="1:3" x14ac:dyDescent="0.45">
      <c r="A66" vm="526">
        <v>43586</v>
      </c>
      <c r="B66" vm="527">
        <v>0.89300000000000002</v>
      </c>
      <c r="C66">
        <f>1/T_USD_EUR[[#This Row],[USDEUR]]</f>
        <v>1.1198208286674132</v>
      </c>
    </row>
    <row r="67" spans="1:3" x14ac:dyDescent="0.45">
      <c r="A67" vm="528">
        <v>43587</v>
      </c>
      <c r="B67" vm="529">
        <v>0.89439999999999997</v>
      </c>
      <c r="C67">
        <f>1/T_USD_EUR[[#This Row],[USDEUR]]</f>
        <v>1.1180679785330949</v>
      </c>
    </row>
    <row r="68" spans="1:3" x14ac:dyDescent="0.45">
      <c r="A68" vm="530">
        <v>43588</v>
      </c>
      <c r="B68" vm="531">
        <v>0.89249999999999996</v>
      </c>
      <c r="C68">
        <f>1/T_USD_EUR[[#This Row],[USDEUR]]</f>
        <v>1.1204481792717087</v>
      </c>
    </row>
    <row r="69" spans="1:3" x14ac:dyDescent="0.45">
      <c r="A69" vm="532">
        <v>43591</v>
      </c>
      <c r="B69" vm="533">
        <v>0.89280000000000004</v>
      </c>
      <c r="C69">
        <f>1/T_USD_EUR[[#This Row],[USDEUR]]</f>
        <v>1.1200716845878136</v>
      </c>
    </row>
    <row r="70" spans="1:3" x14ac:dyDescent="0.45">
      <c r="A70" vm="534">
        <v>43592</v>
      </c>
      <c r="B70" vm="535">
        <v>0.89349999999999996</v>
      </c>
      <c r="C70">
        <f>1/T_USD_EUR[[#This Row],[USDEUR]]</f>
        <v>1.119194180190263</v>
      </c>
    </row>
    <row r="71" spans="1:3" x14ac:dyDescent="0.45">
      <c r="A71" vm="536">
        <v>43593</v>
      </c>
      <c r="B71" vm="535">
        <v>0.89349999999999996</v>
      </c>
      <c r="C71">
        <f>1/T_USD_EUR[[#This Row],[USDEUR]]</f>
        <v>1.119194180190263</v>
      </c>
    </row>
    <row r="72" spans="1:3" x14ac:dyDescent="0.45">
      <c r="A72" vm="537">
        <v>43594</v>
      </c>
      <c r="B72" vm="494">
        <v>0.89139999999999997</v>
      </c>
      <c r="C72">
        <f>1/T_USD_EUR[[#This Row],[USDEUR]]</f>
        <v>1.1218308279111511</v>
      </c>
    </row>
    <row r="73" spans="1:3" x14ac:dyDescent="0.45">
      <c r="A73" vm="538">
        <v>43595</v>
      </c>
      <c r="B73" vm="539">
        <v>0.88990000000000002</v>
      </c>
      <c r="C73">
        <f>1/T_USD_EUR[[#This Row],[USDEUR]]</f>
        <v>1.1237217664906169</v>
      </c>
    </row>
    <row r="74" spans="1:3" x14ac:dyDescent="0.45">
      <c r="A74" vm="540">
        <v>43598</v>
      </c>
      <c r="B74" vm="541">
        <v>0.89090000000000003</v>
      </c>
      <c r="C74">
        <f>1/T_USD_EUR[[#This Row],[USDEUR]]</f>
        <v>1.1224604332697272</v>
      </c>
    </row>
    <row r="75" spans="1:3" x14ac:dyDescent="0.45">
      <c r="A75" vm="542">
        <v>43599</v>
      </c>
      <c r="B75" vm="486">
        <v>0.89170000000000005</v>
      </c>
      <c r="C75">
        <f>1/T_USD_EUR[[#This Row],[USDEUR]]</f>
        <v>1.1214534036110799</v>
      </c>
    </row>
    <row r="76" spans="1:3" x14ac:dyDescent="0.45">
      <c r="A76" vm="543">
        <v>43601</v>
      </c>
      <c r="B76" vm="544">
        <v>0.89480000000000004</v>
      </c>
      <c r="C76">
        <f>1/T_USD_EUR[[#This Row],[USDEUR]]</f>
        <v>1.1175681716584711</v>
      </c>
    </row>
    <row r="77" spans="1:3" x14ac:dyDescent="0.45">
      <c r="A77" vm="545">
        <v>43602</v>
      </c>
      <c r="B77" vm="546">
        <v>0.89610000000000001</v>
      </c>
      <c r="C77">
        <f>1/T_USD_EUR[[#This Row],[USDEUR]]</f>
        <v>1.1159468809284678</v>
      </c>
    </row>
    <row r="78" spans="1:3" x14ac:dyDescent="0.45">
      <c r="A78" vm="547">
        <v>43605</v>
      </c>
      <c r="B78" vm="548">
        <v>0.89500000000000002</v>
      </c>
      <c r="C78">
        <f>1/T_USD_EUR[[#This Row],[USDEUR]]</f>
        <v>1.1173184357541899</v>
      </c>
    </row>
    <row r="79" spans="1:3" x14ac:dyDescent="0.45">
      <c r="A79" vm="549">
        <v>43606</v>
      </c>
      <c r="B79" vm="550">
        <v>0.89580000000000004</v>
      </c>
      <c r="C79">
        <f>1/T_USD_EUR[[#This Row],[USDEUR]]</f>
        <v>1.1163206072784102</v>
      </c>
    </row>
    <row r="80" spans="1:3" x14ac:dyDescent="0.45">
      <c r="A80" vm="551">
        <v>43607</v>
      </c>
      <c r="B80" vm="552">
        <v>0.89659999999999995</v>
      </c>
      <c r="C80">
        <f>1/T_USD_EUR[[#This Row],[USDEUR]]</f>
        <v>1.1153245594467991</v>
      </c>
    </row>
    <row r="81" spans="1:3" x14ac:dyDescent="0.45">
      <c r="A81" vm="553">
        <v>43608</v>
      </c>
      <c r="B81" vm="529">
        <v>0.89439999999999997</v>
      </c>
      <c r="C81">
        <f>1/T_USD_EUR[[#This Row],[USDEUR]]</f>
        <v>1.1180679785330949</v>
      </c>
    </row>
    <row r="82" spans="1:3" x14ac:dyDescent="0.45">
      <c r="A82" vm="554">
        <v>43609</v>
      </c>
      <c r="B82" vm="488">
        <v>0.89229999999999998</v>
      </c>
      <c r="C82">
        <f>1/T_USD_EUR[[#This Row],[USDEUR]]</f>
        <v>1.1206993163734171</v>
      </c>
    </row>
    <row r="83" spans="1:3" x14ac:dyDescent="0.45">
      <c r="A83" vm="555">
        <v>43612</v>
      </c>
      <c r="B83" vm="533">
        <v>0.89280000000000004</v>
      </c>
      <c r="C83">
        <f>1/T_USD_EUR[[#This Row],[USDEUR]]</f>
        <v>1.1200716845878136</v>
      </c>
    </row>
    <row r="84" spans="1:3" x14ac:dyDescent="0.45">
      <c r="A84" vm="556">
        <v>43613</v>
      </c>
      <c r="B84" vm="557">
        <v>0.89600000000000002</v>
      </c>
      <c r="C84">
        <f>1/T_USD_EUR[[#This Row],[USDEUR]]</f>
        <v>1.1160714285714286</v>
      </c>
    </row>
    <row r="85" spans="1:3" x14ac:dyDescent="0.45">
      <c r="A85" vm="558">
        <v>43614</v>
      </c>
      <c r="B85" vm="559">
        <v>0.8982</v>
      </c>
      <c r="C85">
        <f>1/T_USD_EUR[[#This Row],[USDEUR]]</f>
        <v>1.11333778668448</v>
      </c>
    </row>
    <row r="86" spans="1:3" x14ac:dyDescent="0.45">
      <c r="A86" vm="560">
        <v>43615</v>
      </c>
      <c r="B86" vm="561">
        <v>0.89839999999999998</v>
      </c>
      <c r="C86">
        <f>1/T_USD_EUR[[#This Row],[USDEUR]]</f>
        <v>1.1130899376669636</v>
      </c>
    </row>
    <row r="87" spans="1:3" x14ac:dyDescent="0.45">
      <c r="A87" vm="562">
        <v>43616</v>
      </c>
      <c r="B87" vm="563">
        <v>0.89400000000000002</v>
      </c>
      <c r="C87">
        <f>1/T_USD_EUR[[#This Row],[USDEUR]]</f>
        <v>1.1185682326621924</v>
      </c>
    </row>
    <row r="88" spans="1:3" x14ac:dyDescent="0.45">
      <c r="A88" vm="564">
        <v>43619</v>
      </c>
      <c r="B88" vm="565">
        <v>0.88949999999999996</v>
      </c>
      <c r="C88">
        <f>1/T_USD_EUR[[#This Row],[USDEUR]]</f>
        <v>1.1242270938729624</v>
      </c>
    </row>
    <row r="89" spans="1:3" x14ac:dyDescent="0.45">
      <c r="A89" vm="566">
        <v>43620</v>
      </c>
      <c r="B89" vm="458">
        <v>0.88870000000000005</v>
      </c>
      <c r="C89">
        <f>1/T_USD_EUR[[#This Row],[USDEUR]]</f>
        <v>1.1252391133115787</v>
      </c>
    </row>
    <row r="90" spans="1:3" x14ac:dyDescent="0.45">
      <c r="A90" vm="567">
        <v>43621</v>
      </c>
      <c r="B90" vm="568">
        <v>0.89100000000000001</v>
      </c>
      <c r="C90">
        <f>1/T_USD_EUR[[#This Row],[USDEUR]]</f>
        <v>1.122334455667789</v>
      </c>
    </row>
    <row r="91" spans="1:3" x14ac:dyDescent="0.45">
      <c r="A91" vm="569">
        <v>43622</v>
      </c>
      <c r="B91" vm="570">
        <v>0.88670000000000004</v>
      </c>
      <c r="C91">
        <f>1/T_USD_EUR[[#This Row],[USDEUR]]</f>
        <v>1.127777151234916</v>
      </c>
    </row>
    <row r="92" spans="1:3" x14ac:dyDescent="0.45">
      <c r="A92" vm="571">
        <v>43623</v>
      </c>
      <c r="B92" vm="572">
        <v>0.88219999999999998</v>
      </c>
      <c r="C92">
        <f>1/T_USD_EUR[[#This Row],[USDEUR]]</f>
        <v>1.1335298118340513</v>
      </c>
    </row>
    <row r="93" spans="1:3" x14ac:dyDescent="0.45">
      <c r="A93" vm="573">
        <v>43626</v>
      </c>
      <c r="B93" vm="574">
        <v>0.88360000000000005</v>
      </c>
      <c r="C93">
        <f>1/T_USD_EUR[[#This Row],[USDEUR]]</f>
        <v>1.1317338162064281</v>
      </c>
    </row>
    <row r="94" spans="1:3" x14ac:dyDescent="0.45">
      <c r="A94" vm="575">
        <v>43627</v>
      </c>
      <c r="B94" vm="576">
        <v>0.88229999999999997</v>
      </c>
      <c r="C94">
        <f>1/T_USD_EUR[[#This Row],[USDEUR]]</f>
        <v>1.1334013374135783</v>
      </c>
    </row>
    <row r="95" spans="1:3" x14ac:dyDescent="0.45">
      <c r="A95" vm="577">
        <v>43628</v>
      </c>
      <c r="B95" vm="578">
        <v>0.88560000000000005</v>
      </c>
      <c r="C95">
        <f>1/T_USD_EUR[[#This Row],[USDEUR]]</f>
        <v>1.1291779584462511</v>
      </c>
    </row>
    <row r="96" spans="1:3" x14ac:dyDescent="0.45">
      <c r="A96" vm="579">
        <v>43629</v>
      </c>
      <c r="B96" vm="580">
        <v>0.88660000000000005</v>
      </c>
      <c r="C96">
        <f>1/T_USD_EUR[[#This Row],[USDEUR]]</f>
        <v>1.1279043537108053</v>
      </c>
    </row>
    <row r="97" spans="1:3" x14ac:dyDescent="0.45">
      <c r="A97" vm="581">
        <v>43630</v>
      </c>
      <c r="B97" vm="582">
        <v>0.89200000000000002</v>
      </c>
      <c r="C97">
        <f>1/T_USD_EUR[[#This Row],[USDEUR]]</f>
        <v>1.1210762331838564</v>
      </c>
    </row>
    <row r="98" spans="1:3" x14ac:dyDescent="0.45">
      <c r="A98" vm="583">
        <v>43633</v>
      </c>
      <c r="B98" vm="484">
        <v>0.89129999999999998</v>
      </c>
      <c r="C98">
        <f>1/T_USD_EUR[[#This Row],[USDEUR]]</f>
        <v>1.1219566924716706</v>
      </c>
    </row>
    <row r="99" spans="1:3" x14ac:dyDescent="0.45">
      <c r="A99" vm="584">
        <v>43634</v>
      </c>
      <c r="B99" vm="585">
        <v>0.89329999999999998</v>
      </c>
      <c r="C99">
        <f>1/T_USD_EUR[[#This Row],[USDEUR]]</f>
        <v>1.1194447554013209</v>
      </c>
    </row>
    <row r="100" spans="1:3" x14ac:dyDescent="0.45">
      <c r="A100" vm="586">
        <v>43635</v>
      </c>
      <c r="B100" vm="587">
        <v>0.89059999999999995</v>
      </c>
      <c r="C100">
        <f>1/T_USD_EUR[[#This Row],[USDEUR]]</f>
        <v>1.1228385358185493</v>
      </c>
    </row>
    <row r="101" spans="1:3" x14ac:dyDescent="0.45">
      <c r="A101" vm="588">
        <v>43636</v>
      </c>
      <c r="B101" vm="427">
        <v>0.88529999999999998</v>
      </c>
      <c r="C101">
        <f>1/T_USD_EUR[[#This Row],[USDEUR]]</f>
        <v>1.1295606009262398</v>
      </c>
    </row>
    <row r="102" spans="1:3" x14ac:dyDescent="0.45">
      <c r="A102" vm="589">
        <v>43637</v>
      </c>
      <c r="B102" vm="443">
        <v>0.87949999999999995</v>
      </c>
      <c r="C102">
        <f>1/T_USD_EUR[[#This Row],[USDEUR]]</f>
        <v>1.137009664582149</v>
      </c>
    </row>
    <row r="103" spans="1:3" x14ac:dyDescent="0.45">
      <c r="A103" vm="590">
        <v>43640</v>
      </c>
      <c r="B103" vm="441">
        <v>0.87719999999999998</v>
      </c>
      <c r="C103">
        <f>1/T_USD_EUR[[#This Row],[USDEUR]]</f>
        <v>1.1399908800729595</v>
      </c>
    </row>
    <row r="104" spans="1:3" x14ac:dyDescent="0.45">
      <c r="A104" vm="591">
        <v>43641</v>
      </c>
      <c r="B104" vm="592">
        <v>0.87970000000000004</v>
      </c>
      <c r="C104">
        <f>1/T_USD_EUR[[#This Row],[USDEUR]]</f>
        <v>1.1367511651699442</v>
      </c>
    </row>
    <row r="105" spans="1:3" x14ac:dyDescent="0.45">
      <c r="A105" vm="593">
        <v>43642</v>
      </c>
      <c r="B105" vm="445">
        <v>0.87939999999999996</v>
      </c>
      <c r="C105">
        <f>1/T_USD_EUR[[#This Row],[USDEUR]]</f>
        <v>1.1371389583807141</v>
      </c>
    </row>
    <row r="106" spans="1:3" x14ac:dyDescent="0.45">
      <c r="A106" vm="594">
        <v>43643</v>
      </c>
      <c r="B106" vm="443">
        <v>0.87949999999999995</v>
      </c>
      <c r="C106">
        <f>1/T_USD_EUR[[#This Row],[USDEUR]]</f>
        <v>1.137009664582149</v>
      </c>
    </row>
    <row r="107" spans="1:3" x14ac:dyDescent="0.45">
      <c r="A107" vm="595">
        <v>43644</v>
      </c>
      <c r="B107" vm="445">
        <v>0.87939999999999996</v>
      </c>
      <c r="C107">
        <f>1/T_USD_EUR[[#This Row],[USDEUR]]</f>
        <v>1.1371389583807141</v>
      </c>
    </row>
    <row r="108" spans="1:3" x14ac:dyDescent="0.45">
      <c r="A108" vm="596">
        <v>43647</v>
      </c>
      <c r="B108" vm="597">
        <v>0.8861</v>
      </c>
      <c r="C108">
        <f>1/T_USD_EUR[[#This Row],[USDEUR]]</f>
        <v>1.1285407967498025</v>
      </c>
    </row>
    <row r="109" spans="1:3" x14ac:dyDescent="0.45">
      <c r="A109" vm="598">
        <v>43648</v>
      </c>
      <c r="B109" vm="599">
        <v>0.88600000000000001</v>
      </c>
      <c r="C109">
        <f>1/T_USD_EUR[[#This Row],[USDEUR]]</f>
        <v>1.1286681715575622</v>
      </c>
    </row>
    <row r="110" spans="1:3" x14ac:dyDescent="0.45">
      <c r="A110" vm="600">
        <v>43649</v>
      </c>
      <c r="B110" vm="580">
        <v>0.88660000000000005</v>
      </c>
      <c r="C110">
        <f>1/T_USD_EUR[[#This Row],[USDEUR]]</f>
        <v>1.1279043537108053</v>
      </c>
    </row>
    <row r="111" spans="1:3" x14ac:dyDescent="0.45">
      <c r="A111" vm="601">
        <v>43650</v>
      </c>
      <c r="B111" vm="597">
        <v>0.8861</v>
      </c>
      <c r="C111">
        <f>1/T_USD_EUR[[#This Row],[USDEUR]]</f>
        <v>1.1285407967498025</v>
      </c>
    </row>
    <row r="112" spans="1:3" x14ac:dyDescent="0.45">
      <c r="A112" vm="602">
        <v>43651</v>
      </c>
      <c r="B112" vm="603">
        <v>0.89070000000000005</v>
      </c>
      <c r="C112">
        <f>1/T_USD_EUR[[#This Row],[USDEUR]]</f>
        <v>1.1227124733355787</v>
      </c>
    </row>
    <row r="113" spans="1:3" x14ac:dyDescent="0.45">
      <c r="A113" vm="604">
        <v>43654</v>
      </c>
      <c r="B113" vm="525">
        <v>0.89159999999999995</v>
      </c>
      <c r="C113">
        <f>1/T_USD_EUR[[#This Row],[USDEUR]]</f>
        <v>1.1215791834903546</v>
      </c>
    </row>
    <row r="114" spans="1:3" x14ac:dyDescent="0.45">
      <c r="A114" vm="605">
        <v>43655</v>
      </c>
      <c r="B114" vm="606">
        <v>0.8921</v>
      </c>
      <c r="C114">
        <f>1/T_USD_EUR[[#This Row],[USDEUR]]</f>
        <v>1.1209505660800358</v>
      </c>
    </row>
    <row r="115" spans="1:3" x14ac:dyDescent="0.45">
      <c r="A115" vm="607">
        <v>43656</v>
      </c>
      <c r="B115" vm="458">
        <v>0.88870000000000005</v>
      </c>
      <c r="C115">
        <f>1/T_USD_EUR[[#This Row],[USDEUR]]</f>
        <v>1.1252391133115787</v>
      </c>
    </row>
    <row r="116" spans="1:3" x14ac:dyDescent="0.45">
      <c r="A116" vm="608">
        <v>43657</v>
      </c>
      <c r="B116" vm="500">
        <v>0.88849999999999996</v>
      </c>
      <c r="C116">
        <f>1/T_USD_EUR[[#This Row],[USDEUR]]</f>
        <v>1.1254924029262803</v>
      </c>
    </row>
    <row r="117" spans="1:3" x14ac:dyDescent="0.45">
      <c r="A117" vm="609">
        <v>43658</v>
      </c>
      <c r="B117" vm="610">
        <v>0.8871</v>
      </c>
      <c r="C117">
        <f>1/T_USD_EUR[[#This Row],[USDEUR]]</f>
        <v>1.1272686281140796</v>
      </c>
    </row>
    <row r="118" spans="1:3" x14ac:dyDescent="0.45">
      <c r="A118" vm="611">
        <v>43661</v>
      </c>
      <c r="B118" vm="612">
        <v>0.88819999999999999</v>
      </c>
      <c r="C118">
        <f>1/T_USD_EUR[[#This Row],[USDEUR]]</f>
        <v>1.1258725512272012</v>
      </c>
    </row>
    <row r="119" spans="1:3" x14ac:dyDescent="0.45">
      <c r="A119" vm="613">
        <v>43662</v>
      </c>
      <c r="B119" vm="614">
        <v>0.89180000000000004</v>
      </c>
      <c r="C119">
        <f>1/T_USD_EUR[[#This Row],[USDEUR]]</f>
        <v>1.1213276519398967</v>
      </c>
    </row>
    <row r="120" spans="1:3" x14ac:dyDescent="0.45">
      <c r="A120" vm="615">
        <v>43663</v>
      </c>
      <c r="B120" vm="541">
        <v>0.89090000000000003</v>
      </c>
      <c r="C120">
        <f>1/T_USD_EUR[[#This Row],[USDEUR]]</f>
        <v>1.1224604332697272</v>
      </c>
    </row>
    <row r="121" spans="1:3" x14ac:dyDescent="0.45">
      <c r="A121" vm="616">
        <v>43664</v>
      </c>
      <c r="B121" vm="580">
        <v>0.88660000000000005</v>
      </c>
      <c r="C121">
        <f>1/T_USD_EUR[[#This Row],[USDEUR]]</f>
        <v>1.1279043537108053</v>
      </c>
    </row>
    <row r="122" spans="1:3" x14ac:dyDescent="0.45">
      <c r="A122" vm="617">
        <v>43665</v>
      </c>
      <c r="B122" vm="541">
        <v>0.89090000000000003</v>
      </c>
      <c r="C122">
        <f>1/T_USD_EUR[[#This Row],[USDEUR]]</f>
        <v>1.1224604332697272</v>
      </c>
    </row>
    <row r="123" spans="1:3" x14ac:dyDescent="0.45">
      <c r="A123" vm="618">
        <v>43668</v>
      </c>
      <c r="B123" vm="619">
        <v>0.89190000000000003</v>
      </c>
      <c r="C123">
        <f>1/T_USD_EUR[[#This Row],[USDEUR]]</f>
        <v>1.1212019284673169</v>
      </c>
    </row>
    <row r="124" spans="1:3" x14ac:dyDescent="0.45">
      <c r="A124" vm="620">
        <v>43669</v>
      </c>
      <c r="B124" vm="621">
        <v>0.89649999999999996</v>
      </c>
      <c r="C124">
        <f>1/T_USD_EUR[[#This Row],[USDEUR]]</f>
        <v>1.1154489682097044</v>
      </c>
    </row>
    <row r="125" spans="1:3" x14ac:dyDescent="0.45">
      <c r="A125" vm="622">
        <v>43670</v>
      </c>
      <c r="B125" vm="623">
        <v>0.89759999999999995</v>
      </c>
      <c r="C125">
        <f>1/T_USD_EUR[[#This Row],[USDEUR]]</f>
        <v>1.1140819964349378</v>
      </c>
    </row>
    <row r="126" spans="1:3" x14ac:dyDescent="0.45">
      <c r="A126" vm="624">
        <v>43671</v>
      </c>
      <c r="B126" vm="625">
        <v>0.89700000000000002</v>
      </c>
      <c r="C126">
        <f>1/T_USD_EUR[[#This Row],[USDEUR]]</f>
        <v>1.1148272017837235</v>
      </c>
    </row>
    <row r="127" spans="1:3" x14ac:dyDescent="0.45">
      <c r="A127" vm="626">
        <v>43672</v>
      </c>
      <c r="B127" vm="627">
        <v>0.89859999999999995</v>
      </c>
      <c r="C127">
        <f>1/T_USD_EUR[[#This Row],[USDEUR]]</f>
        <v>1.1128421989761852</v>
      </c>
    </row>
    <row r="128" spans="1:3" x14ac:dyDescent="0.45">
      <c r="A128" vm="628">
        <v>43675</v>
      </c>
      <c r="B128" vm="629">
        <v>0.89729999999999999</v>
      </c>
      <c r="C128">
        <f>1/T_USD_EUR[[#This Row],[USDEUR]]</f>
        <v>1.1144544745347154</v>
      </c>
    </row>
    <row r="129" spans="1:3" x14ac:dyDescent="0.45">
      <c r="A129" vm="630">
        <v>43676</v>
      </c>
      <c r="B129" vm="631">
        <v>0.89629999999999999</v>
      </c>
      <c r="C129">
        <f>1/T_USD_EUR[[#This Row],[USDEUR]]</f>
        <v>1.1156978690170702</v>
      </c>
    </row>
    <row r="130" spans="1:3" x14ac:dyDescent="0.45">
      <c r="A130" vm="632">
        <v>43677</v>
      </c>
      <c r="B130" vm="633">
        <v>0.90269999999999995</v>
      </c>
      <c r="C130">
        <f>1/T_USD_EUR[[#This Row],[USDEUR]]</f>
        <v>1.1077877478675087</v>
      </c>
    </row>
    <row r="131" spans="1:3" x14ac:dyDescent="0.45">
      <c r="A131" vm="634">
        <v>43678</v>
      </c>
      <c r="B131" vm="635">
        <v>0.90200000000000002</v>
      </c>
      <c r="C131">
        <f>1/T_USD_EUR[[#This Row],[USDEUR]]</f>
        <v>1.1086474501108647</v>
      </c>
    </row>
    <row r="132" spans="1:3" x14ac:dyDescent="0.45">
      <c r="A132" vm="636">
        <v>43679</v>
      </c>
      <c r="B132" vm="637">
        <v>0.9</v>
      </c>
      <c r="C132">
        <f>1/T_USD_EUR[[#This Row],[USDEUR]]</f>
        <v>1.1111111111111112</v>
      </c>
    </row>
    <row r="133" spans="1:3" x14ac:dyDescent="0.45">
      <c r="A133" vm="638">
        <v>43682</v>
      </c>
      <c r="B133" vm="639">
        <v>0.89259999999999995</v>
      </c>
      <c r="C133">
        <f>1/T_USD_EUR[[#This Row],[USDEUR]]</f>
        <v>1.1203226529240422</v>
      </c>
    </row>
    <row r="134" spans="1:3" x14ac:dyDescent="0.45">
      <c r="A134" vm="640">
        <v>43683</v>
      </c>
      <c r="B134" vm="641">
        <v>0.89270000000000005</v>
      </c>
      <c r="C134">
        <f>1/T_USD_EUR[[#This Row],[USDEUR]]</f>
        <v>1.1201971546992271</v>
      </c>
    </row>
    <row r="135" spans="1:3" x14ac:dyDescent="0.45">
      <c r="A135" vm="642">
        <v>43684</v>
      </c>
      <c r="B135" vm="533">
        <v>0.89280000000000004</v>
      </c>
      <c r="C135">
        <f>1/T_USD_EUR[[#This Row],[USDEUR]]</f>
        <v>1.1200716845878136</v>
      </c>
    </row>
    <row r="136" spans="1:3" x14ac:dyDescent="0.45">
      <c r="A136" vm="643">
        <v>43685</v>
      </c>
      <c r="B136" vm="644">
        <v>0.89429999999999998</v>
      </c>
      <c r="C136">
        <f>1/T_USD_EUR[[#This Row],[USDEUR]]</f>
        <v>1.1181930001118192</v>
      </c>
    </row>
    <row r="137" spans="1:3" x14ac:dyDescent="0.45">
      <c r="A137" vm="645">
        <v>43686</v>
      </c>
      <c r="B137" vm="641">
        <v>0.89270000000000005</v>
      </c>
      <c r="C137">
        <f>1/T_USD_EUR[[#This Row],[USDEUR]]</f>
        <v>1.1201971546992271</v>
      </c>
    </row>
    <row r="138" spans="1:3" x14ac:dyDescent="0.45">
      <c r="A138" vm="646">
        <v>43689</v>
      </c>
      <c r="B138" vm="486">
        <v>0.89170000000000005</v>
      </c>
      <c r="C138">
        <f>1/T_USD_EUR[[#This Row],[USDEUR]]</f>
        <v>1.1214534036110799</v>
      </c>
    </row>
    <row r="139" spans="1:3" x14ac:dyDescent="0.45">
      <c r="A139" vm="647">
        <v>43690</v>
      </c>
      <c r="B139" vm="648">
        <v>0.89510000000000001</v>
      </c>
      <c r="C139">
        <f>1/T_USD_EUR[[#This Row],[USDEUR]]</f>
        <v>1.1171936096525528</v>
      </c>
    </row>
    <row r="140" spans="1:3" x14ac:dyDescent="0.45">
      <c r="A140" vm="649">
        <v>43691</v>
      </c>
      <c r="B140" vm="650">
        <v>0.89770000000000005</v>
      </c>
      <c r="C140">
        <f>1/T_USD_EUR[[#This Row],[USDEUR]]</f>
        <v>1.1139578923916675</v>
      </c>
    </row>
    <row r="141" spans="1:3" x14ac:dyDescent="0.45">
      <c r="A141" vm="651">
        <v>43692</v>
      </c>
      <c r="B141" vm="652">
        <v>0.90029999999999999</v>
      </c>
      <c r="C141">
        <f>1/T_USD_EUR[[#This Row],[USDEUR]]</f>
        <v>1.1107408641563923</v>
      </c>
    </row>
    <row r="142" spans="1:3" x14ac:dyDescent="0.45">
      <c r="A142" vm="653">
        <v>43693</v>
      </c>
      <c r="B142" vm="654">
        <v>0.90159999999999996</v>
      </c>
      <c r="C142">
        <f>1/T_USD_EUR[[#This Row],[USDEUR]]</f>
        <v>1.1091393078970719</v>
      </c>
    </row>
    <row r="143" spans="1:3" x14ac:dyDescent="0.45">
      <c r="A143" vm="655">
        <v>43696</v>
      </c>
      <c r="B143" vm="656">
        <v>0.90249999999999997</v>
      </c>
      <c r="C143">
        <f>1/T_USD_EUR[[#This Row],[USDEUR]]</f>
        <v>1.10803324099723</v>
      </c>
    </row>
    <row r="144" spans="1:3" x14ac:dyDescent="0.45">
      <c r="A144" vm="657">
        <v>43697</v>
      </c>
      <c r="B144" vm="658">
        <v>0.90069999999999995</v>
      </c>
      <c r="C144">
        <f>1/T_USD_EUR[[#This Row],[USDEUR]]</f>
        <v>1.1102475852115021</v>
      </c>
    </row>
    <row r="145" spans="1:3" x14ac:dyDescent="0.45">
      <c r="A145" vm="659">
        <v>43698</v>
      </c>
      <c r="B145" vm="635">
        <v>0.90200000000000002</v>
      </c>
      <c r="C145">
        <f>1/T_USD_EUR[[#This Row],[USDEUR]]</f>
        <v>1.1086474501108647</v>
      </c>
    </row>
    <row r="146" spans="1:3" x14ac:dyDescent="0.45">
      <c r="A146" vm="660">
        <v>43699</v>
      </c>
      <c r="B146" vm="661">
        <v>0.90239999999999998</v>
      </c>
      <c r="C146">
        <f>1/T_USD_EUR[[#This Row],[USDEUR]]</f>
        <v>1.1081560283687943</v>
      </c>
    </row>
    <row r="147" spans="1:3" x14ac:dyDescent="0.45">
      <c r="A147" vm="662">
        <v>43700</v>
      </c>
      <c r="B147" vm="629">
        <v>0.89729999999999999</v>
      </c>
      <c r="C147">
        <f>1/T_USD_EUR[[#This Row],[USDEUR]]</f>
        <v>1.1144544745347154</v>
      </c>
    </row>
    <row r="148" spans="1:3" x14ac:dyDescent="0.45">
      <c r="A148" vm="663">
        <v>43703</v>
      </c>
      <c r="B148" vm="664">
        <v>0.90059999999999996</v>
      </c>
      <c r="C148">
        <f>1/T_USD_EUR[[#This Row],[USDEUR]]</f>
        <v>1.1103708638685321</v>
      </c>
    </row>
    <row r="149" spans="1:3" x14ac:dyDescent="0.45">
      <c r="A149" vm="665">
        <v>43704</v>
      </c>
      <c r="B149" vm="654">
        <v>0.90159999999999996</v>
      </c>
      <c r="C149">
        <f>1/T_USD_EUR[[#This Row],[USDEUR]]</f>
        <v>1.1091393078970719</v>
      </c>
    </row>
    <row r="150" spans="1:3" x14ac:dyDescent="0.45">
      <c r="A150" vm="666">
        <v>43705</v>
      </c>
      <c r="B150" vm="633">
        <v>0.90269999999999995</v>
      </c>
      <c r="C150">
        <f>1/T_USD_EUR[[#This Row],[USDEUR]]</f>
        <v>1.1077877478675087</v>
      </c>
    </row>
    <row r="151" spans="1:3" x14ac:dyDescent="0.45">
      <c r="A151" vm="667">
        <v>43706</v>
      </c>
      <c r="B151" vm="668">
        <v>0.9042</v>
      </c>
      <c r="C151">
        <f>1/T_USD_EUR[[#This Row],[USDEUR]]</f>
        <v>1.1059500110595002</v>
      </c>
    </row>
    <row r="152" spans="1:3" x14ac:dyDescent="0.45">
      <c r="A152" vm="669">
        <v>43707</v>
      </c>
      <c r="B152" vm="670">
        <v>0.90969999999999995</v>
      </c>
      <c r="C152">
        <f>1/T_USD_EUR[[#This Row],[USDEUR]]</f>
        <v>1.0992634934593823</v>
      </c>
    </row>
    <row r="153" spans="1:3" x14ac:dyDescent="0.45">
      <c r="A153" vm="671">
        <v>43710</v>
      </c>
      <c r="B153" vm="672">
        <v>0.91159999999999997</v>
      </c>
      <c r="C153">
        <f>1/T_USD_EUR[[#This Row],[USDEUR]]</f>
        <v>1.0969723562966214</v>
      </c>
    </row>
    <row r="154" spans="1:3" x14ac:dyDescent="0.45">
      <c r="A154" vm="673">
        <v>43711</v>
      </c>
      <c r="B154" vm="674">
        <v>0.91110000000000002</v>
      </c>
      <c r="C154">
        <f>1/T_USD_EUR[[#This Row],[USDEUR]]</f>
        <v>1.0975743606629349</v>
      </c>
    </row>
    <row r="155" spans="1:3" x14ac:dyDescent="0.45">
      <c r="A155" vm="675">
        <v>43712</v>
      </c>
      <c r="B155" vm="676">
        <v>0.90600000000000003</v>
      </c>
      <c r="C155">
        <f>1/T_USD_EUR[[#This Row],[USDEUR]]</f>
        <v>1.1037527593818983</v>
      </c>
    </row>
    <row r="156" spans="1:3" x14ac:dyDescent="0.45">
      <c r="A156" vm="677">
        <v>43713</v>
      </c>
      <c r="B156" vm="678">
        <v>0.90610000000000002</v>
      </c>
      <c r="C156">
        <f>1/T_USD_EUR[[#This Row],[USDEUR]]</f>
        <v>1.1036309458117206</v>
      </c>
    </row>
    <row r="157" spans="1:3" x14ac:dyDescent="0.45">
      <c r="A157" vm="679">
        <v>43714</v>
      </c>
      <c r="B157" vm="680">
        <v>0.90649999999999997</v>
      </c>
      <c r="C157">
        <f>1/T_USD_EUR[[#This Row],[USDEUR]]</f>
        <v>1.1031439602868174</v>
      </c>
    </row>
    <row r="158" spans="1:3" x14ac:dyDescent="0.45">
      <c r="A158" vm="681">
        <v>43717</v>
      </c>
      <c r="B158" vm="682">
        <v>0.90500000000000003</v>
      </c>
      <c r="C158">
        <f>1/T_USD_EUR[[#This Row],[USDEUR]]</f>
        <v>1.1049723756906078</v>
      </c>
    </row>
    <row r="159" spans="1:3" x14ac:dyDescent="0.45">
      <c r="A159" vm="683">
        <v>43718</v>
      </c>
      <c r="B159" vm="684">
        <v>0.90549999999999997</v>
      </c>
      <c r="C159">
        <f>1/T_USD_EUR[[#This Row],[USDEUR]]</f>
        <v>1.1043622308117063</v>
      </c>
    </row>
    <row r="160" spans="1:3" x14ac:dyDescent="0.45">
      <c r="A160" vm="685">
        <v>43719</v>
      </c>
      <c r="B160" vm="686">
        <v>0.90820000000000001</v>
      </c>
      <c r="C160">
        <f>1/T_USD_EUR[[#This Row],[USDEUR]]</f>
        <v>1.1010790574763267</v>
      </c>
    </row>
    <row r="161" spans="1:3" x14ac:dyDescent="0.45">
      <c r="A161" vm="687">
        <v>43720</v>
      </c>
      <c r="B161" vm="688">
        <v>0.90380000000000005</v>
      </c>
      <c r="C161">
        <f>1/T_USD_EUR[[#This Row],[USDEUR]]</f>
        <v>1.1064394777605664</v>
      </c>
    </row>
    <row r="162" spans="1:3" x14ac:dyDescent="0.45">
      <c r="A162" vm="689">
        <v>43721</v>
      </c>
      <c r="B162" vm="690">
        <v>0.90280000000000005</v>
      </c>
      <c r="C162">
        <f>1/T_USD_EUR[[#This Row],[USDEUR]]</f>
        <v>1.1076650420912715</v>
      </c>
    </row>
    <row r="163" spans="1:3" x14ac:dyDescent="0.45">
      <c r="A163" vm="691">
        <v>43724</v>
      </c>
      <c r="B163" vm="692">
        <v>0.90880000000000005</v>
      </c>
      <c r="C163">
        <f>1/T_USD_EUR[[#This Row],[USDEUR]]</f>
        <v>1.1003521126760563</v>
      </c>
    </row>
    <row r="164" spans="1:3" x14ac:dyDescent="0.45">
      <c r="A164" vm="693">
        <v>43725</v>
      </c>
      <c r="B164" vm="694">
        <v>0.90300000000000002</v>
      </c>
      <c r="C164">
        <f>1/T_USD_EUR[[#This Row],[USDEUR]]</f>
        <v>1.1074197120708749</v>
      </c>
    </row>
    <row r="165" spans="1:3" x14ac:dyDescent="0.45">
      <c r="A165" vm="695">
        <v>43726</v>
      </c>
      <c r="B165" vm="680">
        <v>0.90649999999999997</v>
      </c>
      <c r="C165">
        <f>1/T_USD_EUR[[#This Row],[USDEUR]]</f>
        <v>1.1031439602868174</v>
      </c>
    </row>
    <row r="166" spans="1:3" x14ac:dyDescent="0.45">
      <c r="A166" vm="696">
        <v>43727</v>
      </c>
      <c r="B166" vm="697">
        <v>0.90559999999999996</v>
      </c>
      <c r="C166">
        <f>1/T_USD_EUR[[#This Row],[USDEUR]]</f>
        <v>1.1042402826855124</v>
      </c>
    </row>
    <row r="167" spans="1:3" x14ac:dyDescent="0.45">
      <c r="A167" vm="698">
        <v>43728</v>
      </c>
      <c r="B167" vm="699">
        <v>0.90749999999999997</v>
      </c>
      <c r="C167">
        <f>1/T_USD_EUR[[#This Row],[USDEUR]]</f>
        <v>1.1019283746556474</v>
      </c>
    </row>
    <row r="168" spans="1:3" x14ac:dyDescent="0.45">
      <c r="A168" vm="700">
        <v>43731</v>
      </c>
      <c r="B168" vm="701">
        <v>0.90949999999999998</v>
      </c>
      <c r="C168">
        <f>1/T_USD_EUR[[#This Row],[USDEUR]]</f>
        <v>1.0995052226498077</v>
      </c>
    </row>
    <row r="169" spans="1:3" x14ac:dyDescent="0.45">
      <c r="A169" vm="702">
        <v>43732</v>
      </c>
      <c r="B169" vm="703">
        <v>0.9073</v>
      </c>
      <c r="C169">
        <f>1/T_USD_EUR[[#This Row],[USDEUR]]</f>
        <v>1.1021712774165104</v>
      </c>
    </row>
    <row r="170" spans="1:3" x14ac:dyDescent="0.45">
      <c r="A170" vm="704">
        <v>43733</v>
      </c>
      <c r="B170" vm="705">
        <v>0.91369999999999996</v>
      </c>
      <c r="C170">
        <f>1/T_USD_EUR[[#This Row],[USDEUR]]</f>
        <v>1.0944511327569224</v>
      </c>
    </row>
    <row r="171" spans="1:3" x14ac:dyDescent="0.45">
      <c r="A171" vm="706">
        <v>43734</v>
      </c>
      <c r="B171" vm="707">
        <v>0.91549999999999998</v>
      </c>
      <c r="C171">
        <f>1/T_USD_EUR[[#This Row],[USDEUR]]</f>
        <v>1.0922992900054616</v>
      </c>
    </row>
    <row r="172" spans="1:3" x14ac:dyDescent="0.45">
      <c r="A172" vm="708">
        <v>43735</v>
      </c>
      <c r="B172" vm="709">
        <v>0.91410000000000002</v>
      </c>
      <c r="C172">
        <f>1/T_USD_EUR[[#This Row],[USDEUR]]</f>
        <v>1.0939722131057872</v>
      </c>
    </row>
    <row r="173" spans="1:3" x14ac:dyDescent="0.45">
      <c r="A173" vm="710">
        <v>43738</v>
      </c>
      <c r="B173" vm="711">
        <v>0.9173</v>
      </c>
      <c r="C173">
        <f>1/T_USD_EUR[[#This Row],[USDEUR]]</f>
        <v>1.0901558922925978</v>
      </c>
    </row>
    <row r="174" spans="1:3" x14ac:dyDescent="0.45">
      <c r="A174" vm="712">
        <v>43739</v>
      </c>
      <c r="B174" vm="713">
        <v>0.91459999999999997</v>
      </c>
      <c r="C174">
        <f>1/T_USD_EUR[[#This Row],[USDEUR]]</f>
        <v>1.0933741526350318</v>
      </c>
    </row>
    <row r="175" spans="1:3" x14ac:dyDescent="0.45">
      <c r="A175" vm="714">
        <v>43740</v>
      </c>
      <c r="B175" vm="715">
        <v>0.91239999999999999</v>
      </c>
      <c r="C175">
        <f>1/T_USD_EUR[[#This Row],[USDEUR]]</f>
        <v>1.0960105217010083</v>
      </c>
    </row>
    <row r="176" spans="1:3" x14ac:dyDescent="0.45">
      <c r="A176" vm="716">
        <v>43741</v>
      </c>
      <c r="B176" vm="717">
        <v>0.91169999999999995</v>
      </c>
      <c r="C176">
        <f>1/T_USD_EUR[[#This Row],[USDEUR]]</f>
        <v>1.0968520346605244</v>
      </c>
    </row>
    <row r="177" spans="1:3" x14ac:dyDescent="0.45">
      <c r="A177" vm="718">
        <v>43742</v>
      </c>
      <c r="B177" vm="719">
        <v>0.91069999999999995</v>
      </c>
      <c r="C177">
        <f>1/T_USD_EUR[[#This Row],[USDEUR]]</f>
        <v>1.0980564401010213</v>
      </c>
    </row>
    <row r="178" spans="1:3" x14ac:dyDescent="0.45">
      <c r="A178" vm="720">
        <v>43745</v>
      </c>
      <c r="B178" vm="721">
        <v>0.91139999999999999</v>
      </c>
      <c r="C178">
        <f>1/T_USD_EUR[[#This Row],[USDEUR]]</f>
        <v>1.097213078779899</v>
      </c>
    </row>
    <row r="179" spans="1:3" x14ac:dyDescent="0.45">
      <c r="A179" vm="722">
        <v>43746</v>
      </c>
      <c r="B179" vm="723">
        <v>0.91259999999999997</v>
      </c>
      <c r="C179">
        <f>1/T_USD_EUR[[#This Row],[USDEUR]]</f>
        <v>1.0957703265395573</v>
      </c>
    </row>
    <row r="180" spans="1:3" x14ac:dyDescent="0.45">
      <c r="A180" vm="724">
        <v>43747</v>
      </c>
      <c r="B180" vm="725">
        <v>0.9113</v>
      </c>
      <c r="C180">
        <f>1/T_USD_EUR[[#This Row],[USDEUR]]</f>
        <v>1.097333479644464</v>
      </c>
    </row>
    <row r="181" spans="1:3" x14ac:dyDescent="0.45">
      <c r="A181" vm="726">
        <v>43748</v>
      </c>
      <c r="B181" vm="727">
        <v>0.90839999999999999</v>
      </c>
      <c r="C181">
        <f>1/T_USD_EUR[[#This Row],[USDEUR]]</f>
        <v>1.1008366358432409</v>
      </c>
    </row>
    <row r="182" spans="1:3" x14ac:dyDescent="0.45">
      <c r="A182" vm="728">
        <v>43749</v>
      </c>
      <c r="B182" vm="684">
        <v>0.90549999999999997</v>
      </c>
      <c r="C182">
        <f>1/T_USD_EUR[[#This Row],[USDEUR]]</f>
        <v>1.1043622308117063</v>
      </c>
    </row>
    <row r="183" spans="1:3" x14ac:dyDescent="0.45">
      <c r="A183" vm="729">
        <v>43752</v>
      </c>
      <c r="B183" vm="730">
        <v>0.90659999999999996</v>
      </c>
      <c r="C183">
        <f>1/T_USD_EUR[[#This Row],[USDEUR]]</f>
        <v>1.1030222810500772</v>
      </c>
    </row>
    <row r="184" spans="1:3" x14ac:dyDescent="0.45">
      <c r="A184" vm="731">
        <v>43753</v>
      </c>
      <c r="B184" vm="732">
        <v>0.90620000000000001</v>
      </c>
      <c r="C184">
        <f>1/T_USD_EUR[[#This Row],[USDEUR]]</f>
        <v>1.1035091591260207</v>
      </c>
    </row>
    <row r="185" spans="1:3" x14ac:dyDescent="0.45">
      <c r="A185" vm="733">
        <v>43754</v>
      </c>
      <c r="B185" vm="694">
        <v>0.90300000000000002</v>
      </c>
      <c r="C185">
        <f>1/T_USD_EUR[[#This Row],[USDEUR]]</f>
        <v>1.1074197120708749</v>
      </c>
    </row>
    <row r="186" spans="1:3" x14ac:dyDescent="0.45">
      <c r="A186" vm="734">
        <v>43755</v>
      </c>
      <c r="B186" vm="735">
        <v>0.89880000000000004</v>
      </c>
      <c r="C186">
        <f>1/T_USD_EUR[[#This Row],[USDEUR]]</f>
        <v>1.1125945705384956</v>
      </c>
    </row>
    <row r="187" spans="1:3" x14ac:dyDescent="0.45">
      <c r="A187" vm="736">
        <v>43756</v>
      </c>
      <c r="B187" vm="548">
        <v>0.89500000000000002</v>
      </c>
      <c r="C187">
        <f>1/T_USD_EUR[[#This Row],[USDEUR]]</f>
        <v>1.1173184357541899</v>
      </c>
    </row>
    <row r="188" spans="1:3" x14ac:dyDescent="0.45">
      <c r="A188" vm="737">
        <v>43759</v>
      </c>
      <c r="B188" vm="521">
        <v>0.89690000000000003</v>
      </c>
      <c r="C188">
        <f>1/T_USD_EUR[[#This Row],[USDEUR]]</f>
        <v>1.1149514996097669</v>
      </c>
    </row>
    <row r="189" spans="1:3" x14ac:dyDescent="0.45">
      <c r="A189" vm="738">
        <v>43760</v>
      </c>
      <c r="B189" vm="735">
        <v>0.89880000000000004</v>
      </c>
      <c r="C189">
        <f>1/T_USD_EUR[[#This Row],[USDEUR]]</f>
        <v>1.1125945705384956</v>
      </c>
    </row>
    <row r="190" spans="1:3" x14ac:dyDescent="0.45">
      <c r="A190" vm="739">
        <v>43761</v>
      </c>
      <c r="B190" vm="740">
        <v>0.89829999999999999</v>
      </c>
      <c r="C190">
        <f>1/T_USD_EUR[[#This Row],[USDEUR]]</f>
        <v>1.1132138483802738</v>
      </c>
    </row>
    <row r="191" spans="1:3" x14ac:dyDescent="0.45">
      <c r="A191" vm="741">
        <v>43762</v>
      </c>
      <c r="B191" vm="742">
        <v>0.90049999999999997</v>
      </c>
      <c r="C191">
        <f>1/T_USD_EUR[[#This Row],[USDEUR]]</f>
        <v>1.1104941699056081</v>
      </c>
    </row>
    <row r="192" spans="1:3" x14ac:dyDescent="0.45">
      <c r="A192" vm="743">
        <v>43763</v>
      </c>
      <c r="B192" vm="661">
        <v>0.90239999999999998</v>
      </c>
      <c r="C192">
        <f>1/T_USD_EUR[[#This Row],[USDEUR]]</f>
        <v>1.1081560283687943</v>
      </c>
    </row>
    <row r="193" spans="1:3" x14ac:dyDescent="0.45">
      <c r="A193" vm="744">
        <v>43766</v>
      </c>
      <c r="B193" vm="658">
        <v>0.90069999999999995</v>
      </c>
      <c r="C193">
        <f>1/T_USD_EUR[[#This Row],[USDEUR]]</f>
        <v>1.1102475852115021</v>
      </c>
    </row>
    <row r="194" spans="1:3" x14ac:dyDescent="0.45">
      <c r="A194" vm="745">
        <v>43767</v>
      </c>
      <c r="B194" vm="746">
        <v>0.89980000000000004</v>
      </c>
      <c r="C194">
        <f>1/T_USD_EUR[[#This Row],[USDEUR]]</f>
        <v>1.1113580795732385</v>
      </c>
    </row>
    <row r="195" spans="1:3" x14ac:dyDescent="0.45">
      <c r="A195" vm="747">
        <v>43768</v>
      </c>
      <c r="B195" vm="748">
        <v>0.89670000000000005</v>
      </c>
      <c r="C195">
        <f>1/T_USD_EUR[[#This Row],[USDEUR]]</f>
        <v>1.1152001784320285</v>
      </c>
    </row>
    <row r="196" spans="1:3" x14ac:dyDescent="0.45">
      <c r="A196" vm="749">
        <v>43769</v>
      </c>
      <c r="B196" vm="621">
        <v>0.89649999999999996</v>
      </c>
      <c r="C196">
        <f>1/T_USD_EUR[[#This Row],[USDEUR]]</f>
        <v>1.1154489682097044</v>
      </c>
    </row>
    <row r="197" spans="1:3" x14ac:dyDescent="0.45">
      <c r="A197" vm="750">
        <v>43770</v>
      </c>
      <c r="B197" vm="751">
        <v>0.89529999999999998</v>
      </c>
      <c r="C197">
        <f>1/T_USD_EUR[[#This Row],[USDEUR]]</f>
        <v>1.1169440411035407</v>
      </c>
    </row>
    <row r="198" spans="1:3" x14ac:dyDescent="0.45">
      <c r="A198" vm="752">
        <v>43773</v>
      </c>
      <c r="B198" vm="753">
        <v>0.89849999999999997</v>
      </c>
      <c r="C198">
        <f>1/T_USD_EUR[[#This Row],[USDEUR]]</f>
        <v>1.1129660545353368</v>
      </c>
    </row>
    <row r="199" spans="1:3" x14ac:dyDescent="0.45">
      <c r="A199" vm="754">
        <v>43774</v>
      </c>
      <c r="B199" vm="755">
        <v>0.90290000000000004</v>
      </c>
      <c r="C199">
        <f>1/T_USD_EUR[[#This Row],[USDEUR]]</f>
        <v>1.1075423634954036</v>
      </c>
    </row>
    <row r="200" spans="1:3" x14ac:dyDescent="0.45">
      <c r="A200" vm="756">
        <v>43775</v>
      </c>
      <c r="B200" vm="757">
        <v>0.90369999999999995</v>
      </c>
      <c r="C200">
        <f>1/T_USD_EUR[[#This Row],[USDEUR]]</f>
        <v>1.1065619121389842</v>
      </c>
    </row>
    <row r="201" spans="1:3" x14ac:dyDescent="0.45">
      <c r="A201" vm="758">
        <v>43776</v>
      </c>
      <c r="B201" vm="759">
        <v>0.90480000000000005</v>
      </c>
      <c r="C201">
        <f>1/T_USD_EUR[[#This Row],[USDEUR]]</f>
        <v>1.1052166224580018</v>
      </c>
    </row>
    <row r="202" spans="1:3" x14ac:dyDescent="0.45">
      <c r="A202" vm="760">
        <v>43777</v>
      </c>
      <c r="B202" vm="703">
        <v>0.9073</v>
      </c>
      <c r="C202">
        <f>1/T_USD_EUR[[#This Row],[USDEUR]]</f>
        <v>1.1021712774165104</v>
      </c>
    </row>
    <row r="203" spans="1:3" x14ac:dyDescent="0.45">
      <c r="A203" vm="761">
        <v>43780</v>
      </c>
      <c r="B203" vm="762">
        <v>0.90629999999999999</v>
      </c>
      <c r="C203">
        <f>1/T_USD_EUR[[#This Row],[USDEUR]]</f>
        <v>1.1033873993158998</v>
      </c>
    </row>
    <row r="204" spans="1:3" x14ac:dyDescent="0.45">
      <c r="A204" vm="763">
        <v>43781</v>
      </c>
      <c r="B204" vm="686">
        <v>0.90820000000000001</v>
      </c>
      <c r="C204">
        <f>1/T_USD_EUR[[#This Row],[USDEUR]]</f>
        <v>1.1010790574763267</v>
      </c>
    </row>
    <row r="205" spans="1:3" x14ac:dyDescent="0.45">
      <c r="A205" vm="764">
        <v>43782</v>
      </c>
      <c r="B205" vm="727">
        <v>0.90839999999999999</v>
      </c>
      <c r="C205">
        <f>1/T_USD_EUR[[#This Row],[USDEUR]]</f>
        <v>1.1008366358432409</v>
      </c>
    </row>
    <row r="206" spans="1:3" x14ac:dyDescent="0.45">
      <c r="A206" vm="765">
        <v>43783</v>
      </c>
      <c r="B206" vm="766">
        <v>0.90700000000000003</v>
      </c>
      <c r="C206">
        <f>1/T_USD_EUR[[#This Row],[USDEUR]]</f>
        <v>1.1025358324145533</v>
      </c>
    </row>
    <row r="207" spans="1:3" x14ac:dyDescent="0.45">
      <c r="A207" vm="767">
        <v>43784</v>
      </c>
      <c r="B207" vm="768">
        <v>0.90459999999999996</v>
      </c>
      <c r="C207">
        <f>1/T_USD_EUR[[#This Row],[USDEUR]]</f>
        <v>1.1054609772275039</v>
      </c>
    </row>
    <row r="208" spans="1:3" x14ac:dyDescent="0.45">
      <c r="A208" vm="769">
        <v>43787</v>
      </c>
      <c r="B208" vm="694">
        <v>0.90300000000000002</v>
      </c>
      <c r="C208">
        <f>1/T_USD_EUR[[#This Row],[USDEUR]]</f>
        <v>1.1074197120708749</v>
      </c>
    </row>
    <row r="209" spans="1:3" x14ac:dyDescent="0.45">
      <c r="A209" vm="770">
        <v>43788</v>
      </c>
      <c r="B209" vm="656">
        <v>0.90249999999999997</v>
      </c>
      <c r="C209">
        <f>1/T_USD_EUR[[#This Row],[USDEUR]]</f>
        <v>1.10803324099723</v>
      </c>
    </row>
    <row r="210" spans="1:3" x14ac:dyDescent="0.45">
      <c r="A210" vm="771">
        <v>43789</v>
      </c>
      <c r="B210" vm="694">
        <v>0.90300000000000002</v>
      </c>
      <c r="C210">
        <f>1/T_USD_EUR[[#This Row],[USDEUR]]</f>
        <v>1.1074197120708749</v>
      </c>
    </row>
    <row r="211" spans="1:3" x14ac:dyDescent="0.45">
      <c r="A211" vm="772">
        <v>43790</v>
      </c>
      <c r="B211" vm="668">
        <v>0.9042</v>
      </c>
      <c r="C211">
        <f>1/T_USD_EUR[[#This Row],[USDEUR]]</f>
        <v>1.1059500110595002</v>
      </c>
    </row>
    <row r="212" spans="1:3" x14ac:dyDescent="0.45">
      <c r="A212" vm="773">
        <v>43791</v>
      </c>
      <c r="B212" vm="774">
        <v>0.90690000000000004</v>
      </c>
      <c r="C212">
        <f>1/T_USD_EUR[[#This Row],[USDEUR]]</f>
        <v>1.1026574043444701</v>
      </c>
    </row>
    <row r="213" spans="1:3" x14ac:dyDescent="0.45">
      <c r="A213" vm="775">
        <v>43794</v>
      </c>
      <c r="B213" vm="776">
        <v>0.90790000000000004</v>
      </c>
      <c r="C213">
        <f>1/T_USD_EUR[[#This Row],[USDEUR]]</f>
        <v>1.1014428901861437</v>
      </c>
    </row>
    <row r="214" spans="1:3" x14ac:dyDescent="0.45">
      <c r="A214" vm="777">
        <v>43795</v>
      </c>
      <c r="B214" vm="703">
        <v>0.9073</v>
      </c>
      <c r="C214">
        <f>1/T_USD_EUR[[#This Row],[USDEUR]]</f>
        <v>1.1021712774165104</v>
      </c>
    </row>
    <row r="215" spans="1:3" x14ac:dyDescent="0.45">
      <c r="A215" vm="778">
        <v>43796</v>
      </c>
      <c r="B215" vm="779">
        <v>0.90910000000000002</v>
      </c>
      <c r="C215">
        <f>1/T_USD_EUR[[#This Row],[USDEUR]]</f>
        <v>1.0999890001099988</v>
      </c>
    </row>
    <row r="216" spans="1:3" x14ac:dyDescent="0.45">
      <c r="A216" vm="780">
        <v>43797</v>
      </c>
      <c r="B216" vm="686">
        <v>0.90820000000000001</v>
      </c>
      <c r="C216">
        <f>1/T_USD_EUR[[#This Row],[USDEUR]]</f>
        <v>1.1010790574763267</v>
      </c>
    </row>
    <row r="217" spans="1:3" x14ac:dyDescent="0.45">
      <c r="A217" vm="781">
        <v>43798</v>
      </c>
      <c r="B217" vm="699">
        <v>0.90749999999999997</v>
      </c>
      <c r="C217">
        <f>1/T_USD_EUR[[#This Row],[USDEUR]]</f>
        <v>1.1019283746556474</v>
      </c>
    </row>
    <row r="218" spans="1:3" x14ac:dyDescent="0.45">
      <c r="A218" vm="782">
        <v>43801</v>
      </c>
      <c r="B218" vm="661">
        <v>0.90239999999999998</v>
      </c>
      <c r="C218">
        <f>1/T_USD_EUR[[#This Row],[USDEUR]]</f>
        <v>1.1081560283687943</v>
      </c>
    </row>
    <row r="219" spans="1:3" x14ac:dyDescent="0.45">
      <c r="A219" vm="783">
        <v>43802</v>
      </c>
      <c r="B219" vm="784">
        <v>0.90210000000000001</v>
      </c>
      <c r="C219">
        <f>1/T_USD_EUR[[#This Row],[USDEUR]]</f>
        <v>1.1085245538188671</v>
      </c>
    </row>
    <row r="220" spans="1:3" x14ac:dyDescent="0.45">
      <c r="A220" vm="785">
        <v>43803</v>
      </c>
      <c r="B220" vm="656">
        <v>0.90249999999999997</v>
      </c>
      <c r="C220">
        <f>1/T_USD_EUR[[#This Row],[USDEUR]]</f>
        <v>1.10803324099723</v>
      </c>
    </row>
    <row r="221" spans="1:3" x14ac:dyDescent="0.45">
      <c r="A221" vm="786">
        <v>43804</v>
      </c>
      <c r="B221" vm="742">
        <v>0.90049999999999997</v>
      </c>
      <c r="C221">
        <f>1/T_USD_EUR[[#This Row],[USDEUR]]</f>
        <v>1.1104941699056081</v>
      </c>
    </row>
    <row r="222" spans="1:3" x14ac:dyDescent="0.45">
      <c r="A222" vm="787">
        <v>43805</v>
      </c>
      <c r="B222" vm="788">
        <v>0.90410000000000001</v>
      </c>
      <c r="C222">
        <f>1/T_USD_EUR[[#This Row],[USDEUR]]</f>
        <v>1.1060723371308483</v>
      </c>
    </row>
    <row r="223" spans="1:3" x14ac:dyDescent="0.45">
      <c r="A223" vm="789">
        <v>43808</v>
      </c>
      <c r="B223" vm="757">
        <v>0.90369999999999995</v>
      </c>
      <c r="C223">
        <f>1/T_USD_EUR[[#This Row],[USDEUR]]</f>
        <v>1.1065619121389842</v>
      </c>
    </row>
    <row r="224" spans="1:3" x14ac:dyDescent="0.45">
      <c r="A224" vm="790">
        <v>43809</v>
      </c>
      <c r="B224" vm="791">
        <v>0.90139999999999998</v>
      </c>
      <c r="C224">
        <f>1/T_USD_EUR[[#This Row],[USDEUR]]</f>
        <v>1.1093854004881296</v>
      </c>
    </row>
    <row r="225" spans="1:3" x14ac:dyDescent="0.45">
      <c r="A225" vm="792">
        <v>43810</v>
      </c>
      <c r="B225" vm="740">
        <v>0.89829999999999999</v>
      </c>
      <c r="C225">
        <f>1/T_USD_EUR[[#This Row],[USDEUR]]</f>
        <v>1.1132138483802738</v>
      </c>
    </row>
    <row r="226" spans="1:3" x14ac:dyDescent="0.45">
      <c r="A226" vm="793">
        <v>43811</v>
      </c>
      <c r="B226" vm="740">
        <v>0.89829999999999999</v>
      </c>
      <c r="C226">
        <f>1/T_USD_EUR[[#This Row],[USDEUR]]</f>
        <v>1.1132138483802738</v>
      </c>
    </row>
    <row r="227" spans="1:3" x14ac:dyDescent="0.45">
      <c r="A227" vm="794">
        <v>43812</v>
      </c>
      <c r="B227" vm="795">
        <v>0.89900000000000002</v>
      </c>
      <c r="C227">
        <f>1/T_USD_EUR[[#This Row],[USDEUR]]</f>
        <v>1.1123470522803114</v>
      </c>
    </row>
    <row r="228" spans="1:3" x14ac:dyDescent="0.45">
      <c r="A228" vm="796">
        <v>43815</v>
      </c>
      <c r="B228" vm="797">
        <v>0.8972</v>
      </c>
      <c r="C228">
        <f>1/T_USD_EUR[[#This Row],[USDEUR]]</f>
        <v>1.1145786892554614</v>
      </c>
    </row>
    <row r="229" spans="1:3" x14ac:dyDescent="0.45">
      <c r="A229" vm="798">
        <v>43816</v>
      </c>
      <c r="B229" vm="799">
        <v>0.89680000000000004</v>
      </c>
      <c r="C229">
        <f>1/T_USD_EUR[[#This Row],[USDEUR]]</f>
        <v>1.1150758251561106</v>
      </c>
    </row>
    <row r="230" spans="1:3" x14ac:dyDescent="0.45">
      <c r="A230" vm="800">
        <v>43817</v>
      </c>
      <c r="B230" vm="801">
        <v>0.89970000000000006</v>
      </c>
      <c r="C230">
        <f>1/T_USD_EUR[[#This Row],[USDEUR]]</f>
        <v>1.1114816049794376</v>
      </c>
    </row>
    <row r="231" spans="1:3" x14ac:dyDescent="0.45">
      <c r="A231" vm="802">
        <v>43818</v>
      </c>
      <c r="B231" vm="795">
        <v>0.89900000000000002</v>
      </c>
      <c r="C231">
        <f>1/T_USD_EUR[[#This Row],[USDEUR]]</f>
        <v>1.1123470522803114</v>
      </c>
    </row>
    <row r="232" spans="1:3" x14ac:dyDescent="0.45">
      <c r="A232" vm="803">
        <v>43819</v>
      </c>
      <c r="B232" vm="656">
        <v>0.90249999999999997</v>
      </c>
      <c r="C232">
        <f>1/T_USD_EUR[[#This Row],[USDEUR]]</f>
        <v>1.10803324099723</v>
      </c>
    </row>
    <row r="233" spans="1:3" x14ac:dyDescent="0.45">
      <c r="A233" vm="804">
        <v>43822</v>
      </c>
      <c r="B233" vm="805">
        <v>0.90169999999999995</v>
      </c>
      <c r="C233">
        <f>1/T_USD_EUR[[#This Row],[USDEUR]]</f>
        <v>1.1090163025396473</v>
      </c>
    </row>
    <row r="234" spans="1:3" x14ac:dyDescent="0.45">
      <c r="A234" vm="806">
        <v>43823</v>
      </c>
      <c r="B234" vm="807">
        <v>0.90180000000000005</v>
      </c>
      <c r="C234">
        <f>1/T_USD_EUR[[#This Row],[USDEUR]]</f>
        <v>1.1088933244621866</v>
      </c>
    </row>
    <row r="235" spans="1:3" x14ac:dyDescent="0.45">
      <c r="A235" vm="808">
        <v>43824</v>
      </c>
      <c r="B235" vm="809">
        <v>0.90149999999999997</v>
      </c>
      <c r="C235">
        <f>1/T_USD_EUR[[#This Row],[USDEUR]]</f>
        <v>1.1092623405435387</v>
      </c>
    </row>
    <row r="236" spans="1:3" x14ac:dyDescent="0.45">
      <c r="A236" vm="810">
        <v>43825</v>
      </c>
      <c r="B236" vm="811">
        <v>0.90090000000000003</v>
      </c>
      <c r="C236">
        <f>1/T_USD_EUR[[#This Row],[USDEUR]]</f>
        <v>1.11000111000111</v>
      </c>
    </row>
    <row r="237" spans="1:3" x14ac:dyDescent="0.45">
      <c r="A237" vm="812">
        <v>43826</v>
      </c>
      <c r="B237" vm="813">
        <v>0.89459999999999995</v>
      </c>
      <c r="C237">
        <f>1/T_USD_EUR[[#This Row],[USDEUR]]</f>
        <v>1.1178180192264699</v>
      </c>
    </row>
    <row r="238" spans="1:3" x14ac:dyDescent="0.45">
      <c r="A238" vm="814">
        <v>43829</v>
      </c>
      <c r="B238" vm="533">
        <v>0.89280000000000004</v>
      </c>
      <c r="C238">
        <f>1/T_USD_EUR[[#This Row],[USDEUR]]</f>
        <v>1.1200716845878136</v>
      </c>
    </row>
    <row r="239" spans="1:3" x14ac:dyDescent="0.45">
      <c r="A239" vm="815">
        <v>43830</v>
      </c>
      <c r="B239" vm="486">
        <v>0.89170000000000005</v>
      </c>
      <c r="C239">
        <f>1/T_USD_EUR[[#This Row],[USDEUR]]</f>
        <v>1.1214534036110799</v>
      </c>
    </row>
    <row r="240" spans="1:3" x14ac:dyDescent="0.45">
      <c r="A240" vm="816">
        <v>43831</v>
      </c>
      <c r="B240" vm="486">
        <v>0.89170000000000005</v>
      </c>
      <c r="C240">
        <f>1/T_USD_EUR[[#This Row],[USDEUR]]</f>
        <v>1.1214534036110799</v>
      </c>
    </row>
    <row r="241" spans="1:3" x14ac:dyDescent="0.45">
      <c r="A241" vm="817">
        <v>43832</v>
      </c>
      <c r="B241" vm="818">
        <v>0.89490000000000003</v>
      </c>
      <c r="C241">
        <f>1/T_USD_EUR[[#This Row],[USDEUR]]</f>
        <v>1.1174432897530451</v>
      </c>
    </row>
    <row r="242" spans="1:3" x14ac:dyDescent="0.45">
      <c r="A242" vm="819">
        <v>43833</v>
      </c>
      <c r="B242" vm="550">
        <v>0.89580000000000004</v>
      </c>
      <c r="C242">
        <f>1/T_USD_EUR[[#This Row],[USDEUR]]</f>
        <v>1.1163206072784102</v>
      </c>
    </row>
    <row r="243" spans="1:3" x14ac:dyDescent="0.45">
      <c r="A243" vm="820">
        <v>43836</v>
      </c>
      <c r="B243" vm="821">
        <v>0.89290000000000003</v>
      </c>
      <c r="C243">
        <f>1/T_USD_EUR[[#This Row],[USDEUR]]</f>
        <v>1.1199462425803561</v>
      </c>
    </row>
    <row r="244" spans="1:3" x14ac:dyDescent="0.45">
      <c r="A244" vm="822">
        <v>43837</v>
      </c>
      <c r="B244" vm="517">
        <v>0.89639999999999997</v>
      </c>
      <c r="C244">
        <f>1/T_USD_EUR[[#This Row],[USDEUR]]</f>
        <v>1.1155734047300312</v>
      </c>
    </row>
    <row r="245" spans="1:3" x14ac:dyDescent="0.45">
      <c r="A245" vm="823">
        <v>43838</v>
      </c>
      <c r="B245" vm="652">
        <v>0.90029999999999999</v>
      </c>
      <c r="C245">
        <f>1/T_USD_EUR[[#This Row],[USDEUR]]</f>
        <v>1.1107408641563923</v>
      </c>
    </row>
    <row r="246" spans="1:3" x14ac:dyDescent="0.45">
      <c r="A246" vm="824">
        <v>43839</v>
      </c>
      <c r="B246" vm="652">
        <v>0.90029999999999999</v>
      </c>
      <c r="C246">
        <f>1/T_USD_EUR[[#This Row],[USDEUR]]</f>
        <v>1.1107408641563923</v>
      </c>
    </row>
    <row r="247" spans="1:3" x14ac:dyDescent="0.45">
      <c r="A247" vm="825">
        <v>43840</v>
      </c>
      <c r="B247" vm="795">
        <v>0.89900000000000002</v>
      </c>
      <c r="C247">
        <f>1/T_USD_EUR[[#This Row],[USDEUR]]</f>
        <v>1.1123470522803114</v>
      </c>
    </row>
    <row r="248" spans="1:3" x14ac:dyDescent="0.45">
      <c r="A248" vm="826">
        <v>43843</v>
      </c>
      <c r="B248" vm="827">
        <v>0.89790000000000003</v>
      </c>
      <c r="C248">
        <f>1/T_USD_EUR[[#This Row],[USDEUR]]</f>
        <v>1.1137097672346585</v>
      </c>
    </row>
    <row r="249" spans="1:3" x14ac:dyDescent="0.45">
      <c r="A249" vm="828">
        <v>43844</v>
      </c>
      <c r="B249" vm="561">
        <v>0.89839999999999998</v>
      </c>
      <c r="C249">
        <f>1/T_USD_EUR[[#This Row],[USDEUR]]</f>
        <v>1.1130899376669636</v>
      </c>
    </row>
    <row r="250" spans="1:3" x14ac:dyDescent="0.45">
      <c r="A250" vm="829">
        <v>43845</v>
      </c>
      <c r="B250" vm="552">
        <v>0.89659999999999995</v>
      </c>
      <c r="C250">
        <f>1/T_USD_EUR[[#This Row],[USDEUR]]</f>
        <v>1.1153245594467991</v>
      </c>
    </row>
    <row r="251" spans="1:3" x14ac:dyDescent="0.45">
      <c r="A251" vm="830">
        <v>43846</v>
      </c>
      <c r="B251" vm="650">
        <v>0.89770000000000005</v>
      </c>
      <c r="C251">
        <f>1/T_USD_EUR[[#This Row],[USDEUR]]</f>
        <v>1.1139578923916675</v>
      </c>
    </row>
    <row r="252" spans="1:3" x14ac:dyDescent="0.45">
      <c r="A252" vm="831">
        <v>43847</v>
      </c>
      <c r="B252" vm="654">
        <v>0.90159999999999996</v>
      </c>
      <c r="C252">
        <f>1/T_USD_EUR[[#This Row],[USDEUR]]</f>
        <v>1.1091393078970719</v>
      </c>
    </row>
    <row r="253" spans="1:3" x14ac:dyDescent="0.45">
      <c r="A253" vm="832">
        <v>43850</v>
      </c>
      <c r="B253" vm="833">
        <v>0.9012</v>
      </c>
      <c r="C253">
        <f>1/T_USD_EUR[[#This Row],[USDEUR]]</f>
        <v>1.1096316023080337</v>
      </c>
    </row>
    <row r="254" spans="1:3" x14ac:dyDescent="0.45">
      <c r="A254" vm="834">
        <v>43851</v>
      </c>
      <c r="B254" vm="635">
        <v>0.90200000000000002</v>
      </c>
      <c r="C254">
        <f>1/T_USD_EUR[[#This Row],[USDEUR]]</f>
        <v>1.1086474501108647</v>
      </c>
    </row>
    <row r="255" spans="1:3" x14ac:dyDescent="0.45">
      <c r="A255" vm="835">
        <v>43852</v>
      </c>
      <c r="B255" vm="836">
        <v>0.90129999999999999</v>
      </c>
      <c r="C255">
        <f>1/T_USD_EUR[[#This Row],[USDEUR]]</f>
        <v>1.1095084877399313</v>
      </c>
    </row>
    <row r="256" spans="1:3" x14ac:dyDescent="0.45">
      <c r="A256" vm="837">
        <v>43853</v>
      </c>
      <c r="B256" vm="838">
        <v>0.90449999999999997</v>
      </c>
      <c r="C256">
        <f>1/T_USD_EUR[[#This Row],[USDEUR]]</f>
        <v>1.105583195135434</v>
      </c>
    </row>
    <row r="257" spans="1:3" x14ac:dyDescent="0.45">
      <c r="A257" vm="839">
        <v>43854</v>
      </c>
      <c r="B257" vm="774">
        <v>0.90690000000000004</v>
      </c>
      <c r="C257">
        <f>1/T_USD_EUR[[#This Row],[USDEUR]]</f>
        <v>1.1026574043444701</v>
      </c>
    </row>
    <row r="258" spans="1:3" x14ac:dyDescent="0.45">
      <c r="A258" vm="840">
        <v>43857</v>
      </c>
      <c r="B258" vm="841">
        <v>0.90739999999999998</v>
      </c>
      <c r="C258">
        <f>1/T_USD_EUR[[#This Row],[USDEUR]]</f>
        <v>1.1020498126515319</v>
      </c>
    </row>
    <row r="259" spans="1:3" x14ac:dyDescent="0.45">
      <c r="A259" vm="842">
        <v>43858</v>
      </c>
      <c r="B259" vm="843">
        <v>0.90710000000000002</v>
      </c>
      <c r="C259">
        <f>1/T_USD_EUR[[#This Row],[USDEUR]]</f>
        <v>1.1024142872891634</v>
      </c>
    </row>
    <row r="260" spans="1:3" x14ac:dyDescent="0.45">
      <c r="A260" vm="844">
        <v>43859</v>
      </c>
      <c r="B260" vm="845">
        <v>0.90800000000000003</v>
      </c>
      <c r="C260">
        <f>1/T_USD_EUR[[#This Row],[USDEUR]]</f>
        <v>1.1013215859030836</v>
      </c>
    </row>
    <row r="261" spans="1:3" x14ac:dyDescent="0.45">
      <c r="A261" vm="846">
        <v>43860</v>
      </c>
      <c r="B261" vm="762">
        <v>0.90629999999999999</v>
      </c>
      <c r="C261">
        <f>1/T_USD_EUR[[#This Row],[USDEUR]]</f>
        <v>1.1033873993158998</v>
      </c>
    </row>
    <row r="262" spans="1:3" x14ac:dyDescent="0.45">
      <c r="A262" vm="847">
        <v>43861</v>
      </c>
      <c r="B262" vm="836">
        <v>0.90129999999999999</v>
      </c>
      <c r="C262">
        <f>1/T_USD_EUR[[#This Row],[USDEUR]]</f>
        <v>1.1095084877399313</v>
      </c>
    </row>
    <row r="263" spans="1:3" x14ac:dyDescent="0.45">
      <c r="A263" vm="848">
        <v>43864</v>
      </c>
      <c r="B263" vm="849">
        <v>0.90400000000000003</v>
      </c>
      <c r="C263">
        <f>1/T_USD_EUR[[#This Row],[USDEUR]]</f>
        <v>1.1061946902654867</v>
      </c>
    </row>
    <row r="264" spans="1:3" x14ac:dyDescent="0.45">
      <c r="A264" vm="850">
        <v>43865</v>
      </c>
      <c r="B264" vm="851">
        <v>0.90539999999999998</v>
      </c>
      <c r="C264">
        <f>1/T_USD_EUR[[#This Row],[USDEUR]]</f>
        <v>1.1044842058758559</v>
      </c>
    </row>
    <row r="265" spans="1:3" x14ac:dyDescent="0.45">
      <c r="A265" vm="852">
        <v>43866</v>
      </c>
      <c r="B265" vm="853">
        <v>0.90900000000000003</v>
      </c>
      <c r="C265">
        <f>1/T_USD_EUR[[#This Row],[USDEUR]]</f>
        <v>1.1001100110011002</v>
      </c>
    </row>
    <row r="266" spans="1:3" x14ac:dyDescent="0.45">
      <c r="A266" vm="854">
        <v>43867</v>
      </c>
      <c r="B266" vm="719">
        <v>0.91069999999999995</v>
      </c>
      <c r="C266">
        <f>1/T_USD_EUR[[#This Row],[USDEUR]]</f>
        <v>1.0980564401010213</v>
      </c>
    </row>
    <row r="267" spans="1:3" x14ac:dyDescent="0.45">
      <c r="A267" vm="855">
        <v>43868</v>
      </c>
      <c r="B267" vm="856">
        <v>0.91349999999999998</v>
      </c>
      <c r="C267">
        <f>1/T_USD_EUR[[#This Row],[USDEUR]]</f>
        <v>1.0946907498631637</v>
      </c>
    </row>
    <row r="268" spans="1:3" x14ac:dyDescent="0.45">
      <c r="A268" vm="857">
        <v>43871</v>
      </c>
      <c r="B268" vm="858">
        <v>0.91639999999999999</v>
      </c>
      <c r="C268">
        <f>1/T_USD_EUR[[#This Row],[USDEUR]]</f>
        <v>1.0912265386294195</v>
      </c>
    </row>
    <row r="269" spans="1:3" x14ac:dyDescent="0.45">
      <c r="A269" vm="859">
        <v>43872</v>
      </c>
      <c r="B269" vm="860">
        <v>0.91590000000000005</v>
      </c>
      <c r="C269">
        <f>1/T_USD_EUR[[#This Row],[USDEUR]]</f>
        <v>1.0918222513374822</v>
      </c>
    </row>
    <row r="270" spans="1:3" x14ac:dyDescent="0.45">
      <c r="A270" vm="861">
        <v>43873</v>
      </c>
      <c r="B270" vm="862">
        <v>0.91949999999999998</v>
      </c>
      <c r="C270">
        <f>1/T_USD_EUR[[#This Row],[USDEUR]]</f>
        <v>1.0875475802066341</v>
      </c>
    </row>
    <row r="271" spans="1:3" x14ac:dyDescent="0.45">
      <c r="A271" vm="863">
        <v>43874</v>
      </c>
      <c r="B271" vm="864">
        <v>0.92230000000000001</v>
      </c>
      <c r="C271">
        <f>1/T_USD_EUR[[#This Row],[USDEUR]]</f>
        <v>1.0842459069717012</v>
      </c>
    </row>
    <row r="272" spans="1:3" x14ac:dyDescent="0.45">
      <c r="A272" vm="865">
        <v>43875</v>
      </c>
      <c r="B272" vm="866">
        <v>0.92300000000000004</v>
      </c>
      <c r="C272">
        <f>1/T_USD_EUR[[#This Row],[USDEUR]]</f>
        <v>1.0834236186348862</v>
      </c>
    </row>
    <row r="273" spans="1:3" x14ac:dyDescent="0.45">
      <c r="A273" vm="867">
        <v>43878</v>
      </c>
      <c r="B273" vm="868">
        <v>0.92279999999999995</v>
      </c>
      <c r="C273">
        <f>1/T_USD_EUR[[#This Row],[USDEUR]]</f>
        <v>1.0836584308625921</v>
      </c>
    </row>
    <row r="274" spans="1:3" x14ac:dyDescent="0.45">
      <c r="A274" vm="869">
        <v>43879</v>
      </c>
      <c r="B274" vm="870">
        <v>0.92649999999999999</v>
      </c>
      <c r="C274">
        <f>1/T_USD_EUR[[#This Row],[USDEUR]]</f>
        <v>1.0793308148947653</v>
      </c>
    </row>
    <row r="275" spans="1:3" x14ac:dyDescent="0.45">
      <c r="A275" vm="871">
        <v>43880</v>
      </c>
      <c r="B275" vm="872">
        <v>0.92520000000000002</v>
      </c>
      <c r="C275">
        <f>1/T_USD_EUR[[#This Row],[USDEUR]]</f>
        <v>1.0808473843493298</v>
      </c>
    </row>
    <row r="276" spans="1:3" x14ac:dyDescent="0.45">
      <c r="A276" vm="873">
        <v>43881</v>
      </c>
      <c r="B276" vm="874">
        <v>0.92710000000000004</v>
      </c>
      <c r="C276">
        <f>1/T_USD_EUR[[#This Row],[USDEUR]]</f>
        <v>1.0786322942508899</v>
      </c>
    </row>
    <row r="277" spans="1:3" x14ac:dyDescent="0.45">
      <c r="A277" vm="875">
        <v>43882</v>
      </c>
      <c r="B277" vm="876">
        <v>0.92190000000000005</v>
      </c>
      <c r="C277">
        <f>1/T_USD_EUR[[#This Row],[USDEUR]]</f>
        <v>1.0847163466753444</v>
      </c>
    </row>
    <row r="278" spans="1:3" x14ac:dyDescent="0.45">
      <c r="A278" vm="877">
        <v>43885</v>
      </c>
      <c r="B278" vm="878">
        <v>0.92110000000000003</v>
      </c>
      <c r="C278">
        <f>1/T_USD_EUR[[#This Row],[USDEUR]]</f>
        <v>1.0856584518510477</v>
      </c>
    </row>
    <row r="279" spans="1:3" x14ac:dyDescent="0.45">
      <c r="A279" vm="879">
        <v>43886</v>
      </c>
      <c r="B279" vm="880">
        <v>0.91890000000000005</v>
      </c>
      <c r="C279">
        <f>1/T_USD_EUR[[#This Row],[USDEUR]]</f>
        <v>1.0882576994232234</v>
      </c>
    </row>
    <row r="280" spans="1:3" x14ac:dyDescent="0.45">
      <c r="A280" vm="881">
        <v>43887</v>
      </c>
      <c r="B280" vm="880">
        <v>0.91890000000000005</v>
      </c>
      <c r="C280">
        <f>1/T_USD_EUR[[#This Row],[USDEUR]]</f>
        <v>1.0882576994232234</v>
      </c>
    </row>
    <row r="281" spans="1:3" x14ac:dyDescent="0.45">
      <c r="A281" vm="882">
        <v>43888</v>
      </c>
      <c r="B281" vm="883">
        <v>0.90890000000000004</v>
      </c>
      <c r="C281">
        <f>1/T_USD_EUR[[#This Row],[USDEUR]]</f>
        <v>1.1002310485201892</v>
      </c>
    </row>
    <row r="282" spans="1:3" x14ac:dyDescent="0.45">
      <c r="A282" vm="884">
        <v>43889</v>
      </c>
      <c r="B282" vm="885">
        <v>0.90680000000000005</v>
      </c>
      <c r="C282">
        <f>1/T_USD_EUR[[#This Row],[USDEUR]]</f>
        <v>1.1027790030877811</v>
      </c>
    </row>
    <row r="283" spans="1:3" x14ac:dyDescent="0.45">
      <c r="A283" vm="886">
        <v>43892</v>
      </c>
      <c r="B283" vm="887">
        <v>0.89800000000000002</v>
      </c>
      <c r="C283">
        <f>1/T_USD_EUR[[#This Row],[USDEUR]]</f>
        <v>1.1135857461024499</v>
      </c>
    </row>
    <row r="284" spans="1:3" x14ac:dyDescent="0.45">
      <c r="A284" vm="888">
        <v>43893</v>
      </c>
      <c r="B284" vm="818">
        <v>0.89490000000000003</v>
      </c>
      <c r="C284">
        <f>1/T_USD_EUR[[#This Row],[USDEUR]]</f>
        <v>1.1174432897530451</v>
      </c>
    </row>
    <row r="285" spans="1:3" x14ac:dyDescent="0.45">
      <c r="A285" vm="889">
        <v>43894</v>
      </c>
      <c r="B285" vm="890">
        <v>0.89780000000000004</v>
      </c>
      <c r="C285">
        <f>1/T_USD_EUR[[#This Row],[USDEUR]]</f>
        <v>1.1138338159946535</v>
      </c>
    </row>
    <row r="286" spans="1:3" x14ac:dyDescent="0.45">
      <c r="A286" vm="891">
        <v>43895</v>
      </c>
      <c r="B286" vm="565">
        <v>0.88949999999999996</v>
      </c>
      <c r="C286">
        <f>1/T_USD_EUR[[#This Row],[USDEUR]]</f>
        <v>1.1242270938729624</v>
      </c>
    </row>
    <row r="287" spans="1:3" x14ac:dyDescent="0.45">
      <c r="A287" vm="892">
        <v>43896</v>
      </c>
      <c r="B287" vm="599">
        <v>0.88600000000000001</v>
      </c>
      <c r="C287">
        <f>1/T_USD_EUR[[#This Row],[USDEUR]]</f>
        <v>1.1286681715575622</v>
      </c>
    </row>
    <row r="288" spans="1:3" x14ac:dyDescent="0.45">
      <c r="A288" vm="893">
        <v>43899</v>
      </c>
      <c r="B288" vm="894">
        <v>0.87329999999999997</v>
      </c>
      <c r="C288">
        <f>1/T_USD_EUR[[#This Row],[USDEUR]]</f>
        <v>1.145081873353945</v>
      </c>
    </row>
    <row r="289" spans="1:3" x14ac:dyDescent="0.45">
      <c r="A289" vm="895">
        <v>43900</v>
      </c>
      <c r="B289" vm="506">
        <v>0.88639999999999997</v>
      </c>
      <c r="C289">
        <f>1/T_USD_EUR[[#This Row],[USDEUR]]</f>
        <v>1.128158844765343</v>
      </c>
    </row>
    <row r="290" spans="1:3" x14ac:dyDescent="0.45">
      <c r="A290" vm="896">
        <v>43901</v>
      </c>
      <c r="B290" vm="897">
        <v>0.88719999999999999</v>
      </c>
      <c r="C290">
        <f>1/T_USD_EUR[[#This Row],[USDEUR]]</f>
        <v>1.127141568981064</v>
      </c>
    </row>
    <row r="291" spans="1:3" x14ac:dyDescent="0.45">
      <c r="A291" vm="898">
        <v>43902</v>
      </c>
      <c r="B291" vm="899">
        <v>0.89390000000000003</v>
      </c>
      <c r="C291">
        <f>1/T_USD_EUR[[#This Row],[USDEUR]]</f>
        <v>1.1186933661483387</v>
      </c>
    </row>
    <row r="292" spans="1:3" x14ac:dyDescent="0.45">
      <c r="A292" vm="900">
        <v>43903</v>
      </c>
      <c r="B292" vm="652">
        <v>0.90029999999999999</v>
      </c>
      <c r="C292">
        <f>1/T_USD_EUR[[#This Row],[USDEUR]]</f>
        <v>1.1107408641563923</v>
      </c>
    </row>
    <row r="293" spans="1:3" x14ac:dyDescent="0.45">
      <c r="A293" vm="901">
        <v>43906</v>
      </c>
      <c r="B293" vm="902">
        <v>0.89410000000000001</v>
      </c>
      <c r="C293">
        <f>1/T_USD_EUR[[#This Row],[USDEUR]]</f>
        <v>1.1184431271669835</v>
      </c>
    </row>
    <row r="294" spans="1:3" x14ac:dyDescent="0.45">
      <c r="A294" vm="903">
        <v>43907</v>
      </c>
      <c r="B294" vm="904">
        <v>0.9093</v>
      </c>
      <c r="C294">
        <f>1/T_USD_EUR[[#This Row],[USDEUR]]</f>
        <v>1.0997470581766193</v>
      </c>
    </row>
    <row r="295" spans="1:3" x14ac:dyDescent="0.45">
      <c r="A295" vm="905">
        <v>43908</v>
      </c>
      <c r="B295" vm="906">
        <v>0.91600000000000004</v>
      </c>
      <c r="C295">
        <f>1/T_USD_EUR[[#This Row],[USDEUR]]</f>
        <v>1.0917030567685588</v>
      </c>
    </row>
    <row r="296" spans="1:3" x14ac:dyDescent="0.45">
      <c r="A296" vm="907">
        <v>43909</v>
      </c>
      <c r="B296" vm="908">
        <v>0.93510000000000004</v>
      </c>
      <c r="C296">
        <f>1/T_USD_EUR[[#This Row],[USDEUR]]</f>
        <v>1.0694043417816277</v>
      </c>
    </row>
    <row r="297" spans="1:3" x14ac:dyDescent="0.45">
      <c r="A297" vm="909">
        <v>43910</v>
      </c>
      <c r="B297" vm="910">
        <v>0.93489999999999995</v>
      </c>
      <c r="C297">
        <f>1/T_USD_EUR[[#This Row],[USDEUR]]</f>
        <v>1.0696331158412664</v>
      </c>
    </row>
    <row r="298" spans="1:3" x14ac:dyDescent="0.45">
      <c r="A298" vm="911">
        <v>43913</v>
      </c>
      <c r="B298" vm="912">
        <v>0.93240000000000001</v>
      </c>
      <c r="C298">
        <f>1/T_USD_EUR[[#This Row],[USDEUR]]</f>
        <v>1.0725010725010724</v>
      </c>
    </row>
    <row r="299" spans="1:3" x14ac:dyDescent="0.45">
      <c r="A299" vm="913">
        <v>43914</v>
      </c>
      <c r="B299" vm="914">
        <v>0.92669999999999997</v>
      </c>
      <c r="C299">
        <f>1/T_USD_EUR[[#This Row],[USDEUR]]</f>
        <v>1.0790978741771879</v>
      </c>
    </row>
    <row r="300" spans="1:3" x14ac:dyDescent="0.45">
      <c r="A300" vm="915">
        <v>43915</v>
      </c>
      <c r="B300" vm="916">
        <v>0.91879999999999995</v>
      </c>
      <c r="C300">
        <f>1/T_USD_EUR[[#This Row],[USDEUR]]</f>
        <v>1.0883761427949501</v>
      </c>
    </row>
    <row r="301" spans="1:3" x14ac:dyDescent="0.45">
      <c r="A301" vm="917">
        <v>43916</v>
      </c>
      <c r="B301" vm="680">
        <v>0.90649999999999997</v>
      </c>
      <c r="C301">
        <f>1/T_USD_EUR[[#This Row],[USDEUR]]</f>
        <v>1.1031439602868174</v>
      </c>
    </row>
    <row r="302" spans="1:3" x14ac:dyDescent="0.45">
      <c r="A302" vm="918">
        <v>43917</v>
      </c>
      <c r="B302" vm="629">
        <v>0.89729999999999999</v>
      </c>
      <c r="C302">
        <f>1/T_USD_EUR[[#This Row],[USDEUR]]</f>
        <v>1.1144544745347154</v>
      </c>
    </row>
    <row r="303" spans="1:3" x14ac:dyDescent="0.45">
      <c r="A303" vm="919">
        <v>43920</v>
      </c>
      <c r="B303" vm="682">
        <v>0.90500000000000003</v>
      </c>
      <c r="C303">
        <f>1/T_USD_EUR[[#This Row],[USDEUR]]</f>
        <v>1.1049723756906078</v>
      </c>
    </row>
    <row r="304" spans="1:3" x14ac:dyDescent="0.45">
      <c r="A304" vm="920">
        <v>43921</v>
      </c>
      <c r="B304" vm="921">
        <v>0.90639999999999998</v>
      </c>
      <c r="C304">
        <f>1/T_USD_EUR[[#This Row],[USDEUR]]</f>
        <v>1.1032656663724625</v>
      </c>
    </row>
    <row r="305" spans="1:3" x14ac:dyDescent="0.45">
      <c r="A305" vm="922">
        <v>43922</v>
      </c>
      <c r="B305" vm="923">
        <v>0.91190000000000004</v>
      </c>
      <c r="C305">
        <f>1/T_USD_EUR[[#This Row],[USDEUR]]</f>
        <v>1.096611470555982</v>
      </c>
    </row>
    <row r="306" spans="1:3" x14ac:dyDescent="0.45">
      <c r="A306" vm="924">
        <v>43923</v>
      </c>
      <c r="B306" vm="925">
        <v>0.92079999999999995</v>
      </c>
      <c r="C306">
        <f>1/T_USD_EUR[[#This Row],[USDEUR]]</f>
        <v>1.0860121633362294</v>
      </c>
    </row>
    <row r="307" spans="1:3" x14ac:dyDescent="0.45">
      <c r="A307" vm="926">
        <v>43924</v>
      </c>
      <c r="B307" vm="927">
        <v>0.92510000000000003</v>
      </c>
      <c r="C307">
        <f>1/T_USD_EUR[[#This Row],[USDEUR]]</f>
        <v>1.0809642200843153</v>
      </c>
    </row>
    <row r="308" spans="1:3" x14ac:dyDescent="0.45">
      <c r="A308" vm="928">
        <v>43927</v>
      </c>
      <c r="B308" vm="929">
        <v>0.9264</v>
      </c>
      <c r="C308">
        <f>1/T_USD_EUR[[#This Row],[USDEUR]]</f>
        <v>1.0794473229706389</v>
      </c>
    </row>
    <row r="309" spans="1:3" x14ac:dyDescent="0.45">
      <c r="A309" vm="930">
        <v>43928</v>
      </c>
      <c r="B309" vm="931">
        <v>0.91800000000000004</v>
      </c>
      <c r="C309">
        <f>1/T_USD_EUR[[#This Row],[USDEUR]]</f>
        <v>1.0893246187363834</v>
      </c>
    </row>
    <row r="310" spans="1:3" x14ac:dyDescent="0.45">
      <c r="A310" vm="932">
        <v>43929</v>
      </c>
      <c r="B310" vm="925">
        <v>0.92079999999999995</v>
      </c>
      <c r="C310">
        <f>1/T_USD_EUR[[#This Row],[USDEUR]]</f>
        <v>1.0860121633362294</v>
      </c>
    </row>
    <row r="311" spans="1:3" x14ac:dyDescent="0.45">
      <c r="A311" vm="933">
        <v>43930</v>
      </c>
      <c r="B311" vm="934">
        <v>0.91479999999999995</v>
      </c>
      <c r="C311">
        <f>1/T_USD_EUR[[#This Row],[USDEUR]]</f>
        <v>1.0931351114997814</v>
      </c>
    </row>
    <row r="312" spans="1:3" x14ac:dyDescent="0.45">
      <c r="A312" vm="935">
        <v>43931</v>
      </c>
      <c r="B312" vm="936">
        <v>0.91420000000000001</v>
      </c>
      <c r="C312">
        <f>1/T_USD_EUR[[#This Row],[USDEUR]]</f>
        <v>1.0938525486764383</v>
      </c>
    </row>
    <row r="313" spans="1:3" x14ac:dyDescent="0.45">
      <c r="A313" vm="937">
        <v>43934</v>
      </c>
      <c r="B313" vm="938">
        <v>0.91610000000000003</v>
      </c>
      <c r="C313">
        <f>1/T_USD_EUR[[#This Row],[USDEUR]]</f>
        <v>1.0915838882218099</v>
      </c>
    </row>
    <row r="314" spans="1:3" x14ac:dyDescent="0.45">
      <c r="A314" vm="939">
        <v>43935</v>
      </c>
      <c r="B314" vm="940">
        <v>0.91049999999999998</v>
      </c>
      <c r="C314">
        <f>1/T_USD_EUR[[#This Row],[USDEUR]]</f>
        <v>1.0982976386600769</v>
      </c>
    </row>
    <row r="315" spans="1:3" x14ac:dyDescent="0.45">
      <c r="A315" vm="941">
        <v>43936</v>
      </c>
      <c r="B315" vm="942">
        <v>0.91649999999999998</v>
      </c>
      <c r="C315">
        <f>1/T_USD_EUR[[#This Row],[USDEUR]]</f>
        <v>1.0911074740861975</v>
      </c>
    </row>
    <row r="316" spans="1:3" x14ac:dyDescent="0.45">
      <c r="A316" vm="943">
        <v>43937</v>
      </c>
      <c r="B316" vm="944">
        <v>0.92259999999999998</v>
      </c>
      <c r="C316">
        <f>1/T_USD_EUR[[#This Row],[USDEUR]]</f>
        <v>1.0838933448948624</v>
      </c>
    </row>
    <row r="317" spans="1:3" x14ac:dyDescent="0.45">
      <c r="A317" vm="945">
        <v>43938</v>
      </c>
      <c r="B317" vm="862">
        <v>0.91949999999999998</v>
      </c>
      <c r="C317">
        <f>1/T_USD_EUR[[#This Row],[USDEUR]]</f>
        <v>1.0875475802066341</v>
      </c>
    </row>
    <row r="318" spans="1:3" x14ac:dyDescent="0.45">
      <c r="A318" vm="946">
        <v>43941</v>
      </c>
      <c r="B318" vm="947">
        <v>0.92049999999999998</v>
      </c>
      <c r="C318">
        <f>1/T_USD_EUR[[#This Row],[USDEUR]]</f>
        <v>1.0863661053775122</v>
      </c>
    </row>
    <row r="319" spans="1:3" x14ac:dyDescent="0.45">
      <c r="A319" vm="948">
        <v>43942</v>
      </c>
      <c r="B319" vm="925">
        <v>0.92079999999999995</v>
      </c>
      <c r="C319">
        <f>1/T_USD_EUR[[#This Row],[USDEUR]]</f>
        <v>1.0860121633362294</v>
      </c>
    </row>
    <row r="320" spans="1:3" x14ac:dyDescent="0.45">
      <c r="A320" vm="949">
        <v>43943</v>
      </c>
      <c r="B320" vm="950">
        <v>0.92390000000000005</v>
      </c>
      <c r="C320">
        <f>1/T_USD_EUR[[#This Row],[USDEUR]]</f>
        <v>1.0823682216690118</v>
      </c>
    </row>
    <row r="321" spans="1:3" x14ac:dyDescent="0.45">
      <c r="A321" vm="951">
        <v>43944</v>
      </c>
      <c r="B321" vm="952">
        <v>0.92759999999999998</v>
      </c>
      <c r="C321">
        <f>1/T_USD_EUR[[#This Row],[USDEUR]]</f>
        <v>1.0780508840017249</v>
      </c>
    </row>
    <row r="322" spans="1:3" x14ac:dyDescent="0.45">
      <c r="A322" vm="953">
        <v>43945</v>
      </c>
      <c r="B322" vm="950">
        <v>0.92390000000000005</v>
      </c>
      <c r="C322">
        <f>1/T_USD_EUR[[#This Row],[USDEUR]]</f>
        <v>1.0823682216690118</v>
      </c>
    </row>
    <row r="323" spans="1:3" x14ac:dyDescent="0.45">
      <c r="A323" vm="954">
        <v>43948</v>
      </c>
      <c r="B323" vm="955">
        <v>0.92320000000000002</v>
      </c>
      <c r="C323">
        <f>1/T_USD_EUR[[#This Row],[USDEUR]]</f>
        <v>1.0831889081455806</v>
      </c>
    </row>
    <row r="324" spans="1:3" x14ac:dyDescent="0.45">
      <c r="A324" vm="956">
        <v>43949</v>
      </c>
      <c r="B324" vm="957">
        <v>0.92400000000000004</v>
      </c>
      <c r="C324">
        <f>1/T_USD_EUR[[#This Row],[USDEUR]]</f>
        <v>1.0822510822510822</v>
      </c>
    </row>
    <row r="325" spans="1:3" x14ac:dyDescent="0.45">
      <c r="A325" vm="958">
        <v>43950</v>
      </c>
      <c r="B325" vm="959">
        <v>0.9194</v>
      </c>
      <c r="C325">
        <f>1/T_USD_EUR[[#This Row],[USDEUR]]</f>
        <v>1.0876658690450294</v>
      </c>
    </row>
    <row r="326" spans="1:3" x14ac:dyDescent="0.45">
      <c r="A326" vm="960">
        <v>43951</v>
      </c>
      <c r="B326" vm="961">
        <v>0.91249999999999998</v>
      </c>
      <c r="C326">
        <f>1/T_USD_EUR[[#This Row],[USDEUR]]</f>
        <v>1.095890410958904</v>
      </c>
    </row>
    <row r="327" spans="1:3" x14ac:dyDescent="0.45">
      <c r="A327" vm="962">
        <v>43952</v>
      </c>
      <c r="B327" vm="940">
        <v>0.91049999999999998</v>
      </c>
      <c r="C327">
        <f>1/T_USD_EUR[[#This Row],[USDEUR]]</f>
        <v>1.0982976386600769</v>
      </c>
    </row>
    <row r="328" spans="1:3" x14ac:dyDescent="0.45">
      <c r="A328" vm="963">
        <v>43955</v>
      </c>
      <c r="B328" vm="964">
        <v>0.91659999999999997</v>
      </c>
      <c r="C328">
        <f>1/T_USD_EUR[[#This Row],[USDEUR]]</f>
        <v>1.0909884355225834</v>
      </c>
    </row>
    <row r="329" spans="1:3" x14ac:dyDescent="0.45">
      <c r="A329" vm="965">
        <v>43956</v>
      </c>
      <c r="B329" vm="966">
        <v>0.92269999999999996</v>
      </c>
      <c r="C329">
        <f>1/T_USD_EUR[[#This Row],[USDEUR]]</f>
        <v>1.0837758751490192</v>
      </c>
    </row>
    <row r="330" spans="1:3" x14ac:dyDescent="0.45">
      <c r="A330" vm="967">
        <v>43957</v>
      </c>
      <c r="B330" vm="968">
        <v>0.92630000000000001</v>
      </c>
      <c r="C330">
        <f>1/T_USD_EUR[[#This Row],[USDEUR]]</f>
        <v>1.0795638562020944</v>
      </c>
    </row>
    <row r="331" spans="1:3" x14ac:dyDescent="0.45">
      <c r="A331" vm="969">
        <v>43958</v>
      </c>
      <c r="B331" vm="868">
        <v>0.92279999999999995</v>
      </c>
      <c r="C331">
        <f>1/T_USD_EUR[[#This Row],[USDEUR]]</f>
        <v>1.0836584308625921</v>
      </c>
    </row>
    <row r="332" spans="1:3" x14ac:dyDescent="0.45">
      <c r="A332" vm="970">
        <v>43959</v>
      </c>
      <c r="B332" vm="971">
        <v>0.9224</v>
      </c>
      <c r="C332">
        <f>1/T_USD_EUR[[#This Row],[USDEUR]]</f>
        <v>1.0841283607979184</v>
      </c>
    </row>
    <row r="333" spans="1:3" x14ac:dyDescent="0.45">
      <c r="A333" vm="972">
        <v>43962</v>
      </c>
      <c r="B333" vm="927">
        <v>0.92510000000000003</v>
      </c>
      <c r="C333">
        <f>1/T_USD_EUR[[#This Row],[USDEUR]]</f>
        <v>1.0809642200843153</v>
      </c>
    </row>
    <row r="334" spans="1:3" x14ac:dyDescent="0.45">
      <c r="A334" vm="973">
        <v>43963</v>
      </c>
      <c r="B334" vm="974">
        <v>0.92169999999999996</v>
      </c>
      <c r="C334">
        <f>1/T_USD_EUR[[#This Row],[USDEUR]]</f>
        <v>1.0849517196484757</v>
      </c>
    </row>
    <row r="335" spans="1:3" x14ac:dyDescent="0.45">
      <c r="A335" vm="975">
        <v>43964</v>
      </c>
      <c r="B335" vm="976">
        <v>0.92430000000000001</v>
      </c>
      <c r="C335">
        <f>1/T_USD_EUR[[#This Row],[USDEUR]]</f>
        <v>1.0818998160770312</v>
      </c>
    </row>
    <row r="336" spans="1:3" x14ac:dyDescent="0.45">
      <c r="A336" vm="977">
        <v>43965</v>
      </c>
      <c r="B336" vm="978">
        <v>0.9254</v>
      </c>
      <c r="C336">
        <f>1/T_USD_EUR[[#This Row],[USDEUR]]</f>
        <v>1.0806137886319429</v>
      </c>
    </row>
    <row r="337" spans="1:3" x14ac:dyDescent="0.45">
      <c r="A337" vm="979">
        <v>43966</v>
      </c>
      <c r="B337" vm="980">
        <v>0.92449999999999999</v>
      </c>
      <c r="C337">
        <f>1/T_USD_EUR[[#This Row],[USDEUR]]</f>
        <v>1.0816657652785289</v>
      </c>
    </row>
    <row r="338" spans="1:3" x14ac:dyDescent="0.45">
      <c r="A338" vm="981">
        <v>43969</v>
      </c>
      <c r="B338" vm="982">
        <v>0.9163</v>
      </c>
      <c r="C338">
        <f>1/T_USD_EUR[[#This Row],[USDEUR]]</f>
        <v>1.0913456291607553</v>
      </c>
    </row>
    <row r="339" spans="1:3" x14ac:dyDescent="0.45">
      <c r="A339" vm="983">
        <v>43970</v>
      </c>
      <c r="B339" vm="984">
        <v>0.9153</v>
      </c>
      <c r="C339">
        <f>1/T_USD_EUR[[#This Row],[USDEUR]]</f>
        <v>1.0925379656943079</v>
      </c>
    </row>
    <row r="340" spans="1:3" x14ac:dyDescent="0.45">
      <c r="A340" vm="985">
        <v>43971</v>
      </c>
      <c r="B340" vm="719">
        <v>0.91069999999999995</v>
      </c>
      <c r="C340">
        <f>1/T_USD_EUR[[#This Row],[USDEUR]]</f>
        <v>1.0980564401010213</v>
      </c>
    </row>
    <row r="341" spans="1:3" x14ac:dyDescent="0.45">
      <c r="A341" vm="986">
        <v>43972</v>
      </c>
      <c r="B341" vm="987">
        <v>0.91310000000000002</v>
      </c>
      <c r="C341">
        <f>1/T_USD_EUR[[#This Row],[USDEUR]]</f>
        <v>1.0951702989814915</v>
      </c>
    </row>
    <row r="342" spans="1:3" x14ac:dyDescent="0.45">
      <c r="A342" vm="988">
        <v>43973</v>
      </c>
      <c r="B342" vm="989">
        <v>0.91720000000000002</v>
      </c>
      <c r="C342">
        <f>1/T_USD_EUR[[#This Row],[USDEUR]]</f>
        <v>1.0902747492368077</v>
      </c>
    </row>
    <row r="343" spans="1:3" x14ac:dyDescent="0.45">
      <c r="A343" vm="990">
        <v>43976</v>
      </c>
      <c r="B343" vm="711">
        <v>0.9173</v>
      </c>
      <c r="C343">
        <f>1/T_USD_EUR[[#This Row],[USDEUR]]</f>
        <v>1.0901558922925978</v>
      </c>
    </row>
    <row r="344" spans="1:3" x14ac:dyDescent="0.45">
      <c r="A344" vm="991">
        <v>43977</v>
      </c>
      <c r="B344" vm="940">
        <v>0.91049999999999998</v>
      </c>
      <c r="C344">
        <f>1/T_USD_EUR[[#This Row],[USDEUR]]</f>
        <v>1.0982976386600769</v>
      </c>
    </row>
    <row r="345" spans="1:3" x14ac:dyDescent="0.45">
      <c r="A345" vm="992">
        <v>43978</v>
      </c>
      <c r="B345" vm="993">
        <v>0.90849999999999997</v>
      </c>
      <c r="C345">
        <f>1/T_USD_EUR[[#This Row],[USDEUR]]</f>
        <v>1.1007154650522841</v>
      </c>
    </row>
    <row r="346" spans="1:3" x14ac:dyDescent="0.45">
      <c r="A346" vm="994">
        <v>43979</v>
      </c>
      <c r="B346" vm="995">
        <v>0.90259999999999996</v>
      </c>
      <c r="C346">
        <f>1/T_USD_EUR[[#This Row],[USDEUR]]</f>
        <v>1.1079104808331488</v>
      </c>
    </row>
    <row r="347" spans="1:3" x14ac:dyDescent="0.45">
      <c r="A347" vm="996">
        <v>43980</v>
      </c>
      <c r="B347" vm="811">
        <v>0.90090000000000003</v>
      </c>
      <c r="C347">
        <f>1/T_USD_EUR[[#This Row],[USDEUR]]</f>
        <v>1.11000111000111</v>
      </c>
    </row>
    <row r="348" spans="1:3" x14ac:dyDescent="0.45">
      <c r="A348" vm="997">
        <v>43983</v>
      </c>
      <c r="B348" vm="887">
        <v>0.89800000000000002</v>
      </c>
      <c r="C348">
        <f>1/T_USD_EUR[[#This Row],[USDEUR]]</f>
        <v>1.1135857461024499</v>
      </c>
    </row>
    <row r="349" spans="1:3" x14ac:dyDescent="0.45">
      <c r="A349" vm="998">
        <v>43984</v>
      </c>
      <c r="B349" vm="548">
        <v>0.89500000000000002</v>
      </c>
      <c r="C349">
        <f>1/T_USD_EUR[[#This Row],[USDEUR]]</f>
        <v>1.1173184357541899</v>
      </c>
    </row>
    <row r="350" spans="1:3" x14ac:dyDescent="0.45">
      <c r="A350" vm="999">
        <v>43985</v>
      </c>
      <c r="B350" vm="1000">
        <v>0.89</v>
      </c>
      <c r="C350">
        <f>1/T_USD_EUR[[#This Row],[USDEUR]]</f>
        <v>1.1235955056179776</v>
      </c>
    </row>
    <row r="351" spans="1:3" x14ac:dyDescent="0.45">
      <c r="A351" vm="1001">
        <v>43986</v>
      </c>
      <c r="B351" vm="1002">
        <v>0.88180000000000003</v>
      </c>
      <c r="C351">
        <f>1/T_USD_EUR[[#This Row],[USDEUR]]</f>
        <v>1.1340440009072352</v>
      </c>
    </row>
    <row r="352" spans="1:3" x14ac:dyDescent="0.45">
      <c r="A352" vm="1003">
        <v>43987</v>
      </c>
      <c r="B352" vm="1004">
        <v>0.88590000000000002</v>
      </c>
      <c r="C352">
        <f>1/T_USD_EUR[[#This Row],[USDEUR]]</f>
        <v>1.1287955751213454</v>
      </c>
    </row>
    <row r="353" spans="1:3" x14ac:dyDescent="0.45">
      <c r="A353" vm="1005">
        <v>43990</v>
      </c>
      <c r="B353" vm="427">
        <v>0.88529999999999998</v>
      </c>
      <c r="C353">
        <f>1/T_USD_EUR[[#This Row],[USDEUR]]</f>
        <v>1.1295606009262398</v>
      </c>
    </row>
    <row r="354" spans="1:3" x14ac:dyDescent="0.45">
      <c r="A354" vm="1006">
        <v>43991</v>
      </c>
      <c r="B354" vm="1002">
        <v>0.88180000000000003</v>
      </c>
      <c r="C354">
        <f>1/T_USD_EUR[[#This Row],[USDEUR]]</f>
        <v>1.1340440009072352</v>
      </c>
    </row>
    <row r="355" spans="1:3" x14ac:dyDescent="0.45">
      <c r="A355" vm="1007">
        <v>43992</v>
      </c>
      <c r="B355" vm="1008">
        <v>0.87929999999999997</v>
      </c>
      <c r="C355">
        <f>1/T_USD_EUR[[#This Row],[USDEUR]]</f>
        <v>1.1372682815876265</v>
      </c>
    </row>
    <row r="356" spans="1:3" x14ac:dyDescent="0.45">
      <c r="A356" vm="1009">
        <v>43993</v>
      </c>
      <c r="B356" vm="1010">
        <v>0.88490000000000002</v>
      </c>
      <c r="C356">
        <f>1/T_USD_EUR[[#This Row],[USDEUR]]</f>
        <v>1.1300711944852526</v>
      </c>
    </row>
    <row r="357" spans="1:3" x14ac:dyDescent="0.45">
      <c r="A357" vm="1011">
        <v>43994</v>
      </c>
      <c r="B357" vm="1012">
        <v>0.88829999999999998</v>
      </c>
      <c r="C357">
        <f>1/T_USD_EUR[[#This Row],[USDEUR]]</f>
        <v>1.1257458065968704</v>
      </c>
    </row>
    <row r="358" spans="1:3" x14ac:dyDescent="0.45">
      <c r="A358" vm="1013">
        <v>43997</v>
      </c>
      <c r="B358" vm="1014">
        <v>0.88300000000000001</v>
      </c>
      <c r="C358">
        <f>1/T_USD_EUR[[#This Row],[USDEUR]]</f>
        <v>1.1325028312570782</v>
      </c>
    </row>
    <row r="359" spans="1:3" x14ac:dyDescent="0.45">
      <c r="A359" vm="1015">
        <v>43998</v>
      </c>
      <c r="B359" vm="1016">
        <v>0.88759999999999994</v>
      </c>
      <c r="C359">
        <f>1/T_USD_EUR[[#This Row],[USDEUR]]</f>
        <v>1.1266336187471835</v>
      </c>
    </row>
    <row r="360" spans="1:3" x14ac:dyDescent="0.45">
      <c r="A360" vm="1017">
        <v>43999</v>
      </c>
      <c r="B360" vm="480">
        <v>0.88919999999999999</v>
      </c>
      <c r="C360">
        <f>1/T_USD_EUR[[#This Row],[USDEUR]]</f>
        <v>1.1246063877642825</v>
      </c>
    </row>
    <row r="361" spans="1:3" x14ac:dyDescent="0.45">
      <c r="A361" vm="1018">
        <v>44000</v>
      </c>
      <c r="B361" vm="531">
        <v>0.89249999999999996</v>
      </c>
      <c r="C361">
        <f>1/T_USD_EUR[[#This Row],[USDEUR]]</f>
        <v>1.1204481792717087</v>
      </c>
    </row>
    <row r="362" spans="1:3" x14ac:dyDescent="0.45">
      <c r="A362" vm="1019">
        <v>44001</v>
      </c>
      <c r="B362" vm="1020">
        <v>0.89449999999999996</v>
      </c>
      <c r="C362">
        <f>1/T_USD_EUR[[#This Row],[USDEUR]]</f>
        <v>1.1179429849077698</v>
      </c>
    </row>
    <row r="363" spans="1:3" x14ac:dyDescent="0.45">
      <c r="A363" vm="1021">
        <v>44004</v>
      </c>
      <c r="B363" vm="423">
        <v>0.88790000000000002</v>
      </c>
      <c r="C363">
        <f>1/T_USD_EUR[[#This Row],[USDEUR]]</f>
        <v>1.1262529564140105</v>
      </c>
    </row>
    <row r="364" spans="1:3" x14ac:dyDescent="0.45">
      <c r="A364" vm="1022">
        <v>44005</v>
      </c>
      <c r="B364" vm="450">
        <v>0.88419999999999999</v>
      </c>
      <c r="C364">
        <f>1/T_USD_EUR[[#This Row],[USDEUR]]</f>
        <v>1.1309658448314861</v>
      </c>
    </row>
    <row r="365" spans="1:3" x14ac:dyDescent="0.45">
      <c r="A365" vm="1023">
        <v>44006</v>
      </c>
      <c r="B365" vm="458">
        <v>0.88870000000000005</v>
      </c>
      <c r="C365">
        <f>1/T_USD_EUR[[#This Row],[USDEUR]]</f>
        <v>1.1252391133115787</v>
      </c>
    </row>
    <row r="366" spans="1:3" x14ac:dyDescent="0.45">
      <c r="A366" vm="1024">
        <v>44007</v>
      </c>
      <c r="B366" vm="484">
        <v>0.89129999999999998</v>
      </c>
      <c r="C366">
        <f>1/T_USD_EUR[[#This Row],[USDEUR]]</f>
        <v>1.1219566924716706</v>
      </c>
    </row>
    <row r="367" spans="1:3" x14ac:dyDescent="0.45">
      <c r="A367" vm="1025">
        <v>44008</v>
      </c>
      <c r="B367" vm="1026">
        <v>0.89119999999999999</v>
      </c>
      <c r="C367">
        <f>1/T_USD_EUR[[#This Row],[USDEUR]]</f>
        <v>1.1220825852782765</v>
      </c>
    </row>
    <row r="368" spans="1:3" x14ac:dyDescent="0.45">
      <c r="A368" vm="1027">
        <v>44011</v>
      </c>
      <c r="B368" vm="456">
        <v>0.88939999999999997</v>
      </c>
      <c r="C368">
        <f>1/T_USD_EUR[[#This Row],[USDEUR]]</f>
        <v>1.1243534967393749</v>
      </c>
    </row>
    <row r="369" spans="1:3" x14ac:dyDescent="0.45">
      <c r="A369" vm="1028">
        <v>44012</v>
      </c>
      <c r="B369" vm="490">
        <v>0.8901</v>
      </c>
      <c r="C369">
        <f>1/T_USD_EUR[[#This Row],[USDEUR]]</f>
        <v>1.1234692731153804</v>
      </c>
    </row>
    <row r="370" spans="1:3" x14ac:dyDescent="0.45">
      <c r="A370" vm="1029">
        <v>44013</v>
      </c>
      <c r="B370" vm="1030">
        <v>0.88859999999999995</v>
      </c>
      <c r="C370">
        <f>1/T_USD_EUR[[#This Row],[USDEUR]]</f>
        <v>1.1253657438667568</v>
      </c>
    </row>
    <row r="371" spans="1:3" x14ac:dyDescent="0.45">
      <c r="A371" vm="1031">
        <v>44014</v>
      </c>
      <c r="B371" vm="1032">
        <v>0.88970000000000005</v>
      </c>
      <c r="C371">
        <f>1/T_USD_EUR[[#This Row],[USDEUR]]</f>
        <v>1.1239743733842869</v>
      </c>
    </row>
    <row r="372" spans="1:3" x14ac:dyDescent="0.45">
      <c r="A372" vm="1033">
        <v>44015</v>
      </c>
      <c r="B372" vm="1034">
        <v>0.88890000000000002</v>
      </c>
      <c r="C372">
        <f>1/T_USD_EUR[[#This Row],[USDEUR]]</f>
        <v>1.1249859376757789</v>
      </c>
    </row>
    <row r="373" spans="1:3" x14ac:dyDescent="0.45">
      <c r="A373" vm="1035">
        <v>44018</v>
      </c>
      <c r="B373" vm="450">
        <v>0.88419999999999999</v>
      </c>
      <c r="C373">
        <f>1/T_USD_EUR[[#This Row],[USDEUR]]</f>
        <v>1.1309658448314861</v>
      </c>
    </row>
    <row r="374" spans="1:3" x14ac:dyDescent="0.45">
      <c r="A374" vm="1036">
        <v>44019</v>
      </c>
      <c r="B374" vm="498">
        <v>0.88700000000000001</v>
      </c>
      <c r="C374">
        <f>1/T_USD_EUR[[#This Row],[USDEUR]]</f>
        <v>1.1273957158962795</v>
      </c>
    </row>
    <row r="375" spans="1:3" x14ac:dyDescent="0.45">
      <c r="A375" vm="1037">
        <v>44020</v>
      </c>
      <c r="B375" vm="1038">
        <v>0.88249999999999995</v>
      </c>
      <c r="C375">
        <f>1/T_USD_EUR[[#This Row],[USDEUR]]</f>
        <v>1.1331444759206799</v>
      </c>
    </row>
    <row r="376" spans="1:3" x14ac:dyDescent="0.45">
      <c r="A376" vm="1039">
        <v>44021</v>
      </c>
      <c r="B376" vm="597">
        <v>0.8861</v>
      </c>
      <c r="C376">
        <f>1/T_USD_EUR[[#This Row],[USDEUR]]</f>
        <v>1.1285407967498025</v>
      </c>
    </row>
    <row r="377" spans="1:3" x14ac:dyDescent="0.45">
      <c r="A377" vm="1040">
        <v>44022</v>
      </c>
      <c r="B377" vm="1041">
        <v>0.88480000000000003</v>
      </c>
      <c r="C377">
        <f>1/T_USD_EUR[[#This Row],[USDEUR]]</f>
        <v>1.1301989150090415</v>
      </c>
    </row>
    <row r="378" spans="1:3" x14ac:dyDescent="0.45">
      <c r="A378" vm="1042">
        <v>44025</v>
      </c>
      <c r="B378" vm="437">
        <v>0.88139999999999996</v>
      </c>
      <c r="C378">
        <f>1/T_USD_EUR[[#This Row],[USDEUR]]</f>
        <v>1.1345586566825505</v>
      </c>
    </row>
    <row r="379" spans="1:3" x14ac:dyDescent="0.45">
      <c r="A379" vm="1043">
        <v>44026</v>
      </c>
      <c r="B379" vm="441">
        <v>0.87719999999999998</v>
      </c>
      <c r="C379">
        <f>1/T_USD_EUR[[#This Row],[USDEUR]]</f>
        <v>1.1399908800729595</v>
      </c>
    </row>
    <row r="380" spans="1:3" x14ac:dyDescent="0.45">
      <c r="A380" vm="1044">
        <v>44027</v>
      </c>
      <c r="B380" vm="1045">
        <v>0.87619999999999998</v>
      </c>
      <c r="C380">
        <f>1/T_USD_EUR[[#This Row],[USDEUR]]</f>
        <v>1.1412919424788861</v>
      </c>
    </row>
    <row r="381" spans="1:3" x14ac:dyDescent="0.45">
      <c r="A381" vm="1046">
        <v>44028</v>
      </c>
      <c r="B381" vm="1047">
        <v>0.87829999999999997</v>
      </c>
      <c r="C381">
        <f>1/T_USD_EUR[[#This Row],[USDEUR]]</f>
        <v>1.1385631333257429</v>
      </c>
    </row>
    <row r="382" spans="1:3" x14ac:dyDescent="0.45">
      <c r="A382" vm="1048">
        <v>44029</v>
      </c>
      <c r="B382" vm="1049">
        <v>0.87490000000000001</v>
      </c>
      <c r="C382">
        <f>1/T_USD_EUR[[#This Row],[USDEUR]]</f>
        <v>1.1429877700308606</v>
      </c>
    </row>
    <row r="383" spans="1:3" x14ac:dyDescent="0.45">
      <c r="A383" vm="1050">
        <v>44032</v>
      </c>
      <c r="B383" vm="405">
        <v>0.87350000000000005</v>
      </c>
      <c r="C383">
        <f>1/T_USD_EUR[[#This Row],[USDEUR]]</f>
        <v>1.1448196908986834</v>
      </c>
    </row>
    <row r="384" spans="1:3" x14ac:dyDescent="0.45">
      <c r="A384" vm="1051">
        <v>44033</v>
      </c>
      <c r="B384" vm="1052">
        <v>0.86739999999999995</v>
      </c>
      <c r="C384">
        <f>1/T_USD_EUR[[#This Row],[USDEUR]]</f>
        <v>1.1528706479133042</v>
      </c>
    </row>
    <row r="385" spans="1:3" x14ac:dyDescent="0.45">
      <c r="A385" vm="1053">
        <v>44034</v>
      </c>
      <c r="B385" vm="1054">
        <v>0.86419999999999997</v>
      </c>
      <c r="C385">
        <f>1/T_USD_EUR[[#This Row],[USDEUR]]</f>
        <v>1.1571395510298543</v>
      </c>
    </row>
    <row r="386" spans="1:3" x14ac:dyDescent="0.45">
      <c r="A386" vm="1055">
        <v>44035</v>
      </c>
      <c r="B386" vm="1056">
        <v>0.86219999999999997</v>
      </c>
      <c r="C386">
        <f>1/T_USD_EUR[[#This Row],[USDEUR]]</f>
        <v>1.1598237067965669</v>
      </c>
    </row>
    <row r="387" spans="1:3" x14ac:dyDescent="0.45">
      <c r="A387" vm="1057">
        <v>44036</v>
      </c>
      <c r="B387" vm="1058">
        <v>0.85780000000000001</v>
      </c>
      <c r="C387">
        <f>1/T_USD_EUR[[#This Row],[USDEUR]]</f>
        <v>1.1657729074376311</v>
      </c>
    </row>
    <row r="388" spans="1:3" x14ac:dyDescent="0.45">
      <c r="A388" vm="1059">
        <v>44039</v>
      </c>
      <c r="B388" vm="1060">
        <v>0.85089999999999999</v>
      </c>
      <c r="C388">
        <f>1/T_USD_EUR[[#This Row],[USDEUR]]</f>
        <v>1.175226231049477</v>
      </c>
    </row>
    <row r="389" spans="1:3" x14ac:dyDescent="0.45">
      <c r="A389" vm="1061">
        <v>44040</v>
      </c>
      <c r="B389" vm="1062">
        <v>0.85340000000000005</v>
      </c>
      <c r="C389">
        <f>1/T_USD_EUR[[#This Row],[USDEUR]]</f>
        <v>1.1717834544176235</v>
      </c>
    </row>
    <row r="390" spans="1:3" x14ac:dyDescent="0.45">
      <c r="A390" vm="1063">
        <v>44041</v>
      </c>
      <c r="B390" vm="1064">
        <v>0.84789999999999999</v>
      </c>
      <c r="C390">
        <f>1/T_USD_EUR[[#This Row],[USDEUR]]</f>
        <v>1.1793843613633683</v>
      </c>
    </row>
    <row r="391" spans="1:3" x14ac:dyDescent="0.45">
      <c r="A391" vm="1065">
        <v>44042</v>
      </c>
      <c r="B391" vm="1066">
        <v>0.84399999999999997</v>
      </c>
      <c r="C391">
        <f>1/T_USD_EUR[[#This Row],[USDEUR]]</f>
        <v>1.1848341232227488</v>
      </c>
    </row>
    <row r="392" spans="1:3" x14ac:dyDescent="0.45">
      <c r="A392" vm="1067">
        <v>44043</v>
      </c>
      <c r="B392" vm="1068">
        <v>0.8488</v>
      </c>
      <c r="C392">
        <f>1/T_USD_EUR[[#This Row],[USDEUR]]</f>
        <v>1.1781338360037701</v>
      </c>
    </row>
    <row r="393" spans="1:3" x14ac:dyDescent="0.45">
      <c r="A393" vm="1069">
        <v>44046</v>
      </c>
      <c r="B393" vm="1070">
        <v>0.85</v>
      </c>
      <c r="C393">
        <f>1/T_USD_EUR[[#This Row],[USDEUR]]</f>
        <v>1.1764705882352942</v>
      </c>
    </row>
    <row r="394" spans="1:3" x14ac:dyDescent="0.45">
      <c r="A394" vm="1071">
        <v>44047</v>
      </c>
      <c r="B394" vm="1072">
        <v>0.84709999999999996</v>
      </c>
      <c r="C394">
        <f>1/T_USD_EUR[[#This Row],[USDEUR]]</f>
        <v>1.1804981702278361</v>
      </c>
    </row>
    <row r="395" spans="1:3" x14ac:dyDescent="0.45">
      <c r="A395" vm="1073">
        <v>44048</v>
      </c>
      <c r="B395" vm="1074">
        <v>0.84279999999999999</v>
      </c>
      <c r="C395">
        <f>1/T_USD_EUR[[#This Row],[USDEUR]]</f>
        <v>1.1865211200759374</v>
      </c>
    </row>
    <row r="396" spans="1:3" x14ac:dyDescent="0.45">
      <c r="A396" vm="1075">
        <v>44049</v>
      </c>
      <c r="B396" vm="1076">
        <v>0.84189999999999998</v>
      </c>
      <c r="C396">
        <f>1/T_USD_EUR[[#This Row],[USDEUR]]</f>
        <v>1.1877895236964011</v>
      </c>
    </row>
    <row r="397" spans="1:3" x14ac:dyDescent="0.45">
      <c r="A397" vm="1077">
        <v>44050</v>
      </c>
      <c r="B397" vm="1078">
        <v>0.84819999999999995</v>
      </c>
      <c r="C397">
        <f>1/T_USD_EUR[[#This Row],[USDEUR]]</f>
        <v>1.1789672247111531</v>
      </c>
    </row>
    <row r="398" spans="1:3" x14ac:dyDescent="0.45">
      <c r="A398" vm="1079">
        <v>44053</v>
      </c>
      <c r="B398" vm="1080">
        <v>0.8518</v>
      </c>
      <c r="C398">
        <f>1/T_USD_EUR[[#This Row],[USDEUR]]</f>
        <v>1.1739845034045551</v>
      </c>
    </row>
    <row r="399" spans="1:3" x14ac:dyDescent="0.45">
      <c r="A399" vm="1081">
        <v>44054</v>
      </c>
      <c r="B399" vm="1082">
        <v>0.85170000000000001</v>
      </c>
      <c r="C399">
        <f>1/T_USD_EUR[[#This Row],[USDEUR]]</f>
        <v>1.1741223435481978</v>
      </c>
    </row>
    <row r="400" spans="1:3" x14ac:dyDescent="0.45">
      <c r="A400" vm="1083">
        <v>44055</v>
      </c>
      <c r="B400" vm="1084">
        <v>0.84850000000000003</v>
      </c>
      <c r="C400">
        <f>1/T_USD_EUR[[#This Row],[USDEUR]]</f>
        <v>1.1785503830288744</v>
      </c>
    </row>
    <row r="401" spans="1:3" x14ac:dyDescent="0.45">
      <c r="A401" vm="1085">
        <v>44056</v>
      </c>
      <c r="B401" vm="1086">
        <v>0.84630000000000005</v>
      </c>
      <c r="C401">
        <f>1/T_USD_EUR[[#This Row],[USDEUR]]</f>
        <v>1.1816140848398913</v>
      </c>
    </row>
    <row r="402" spans="1:3" x14ac:dyDescent="0.45">
      <c r="A402" vm="1087">
        <v>44057</v>
      </c>
      <c r="B402" vm="1088">
        <v>0.84430000000000005</v>
      </c>
      <c r="C402">
        <f>1/T_USD_EUR[[#This Row],[USDEUR]]</f>
        <v>1.184413123297406</v>
      </c>
    </row>
    <row r="403" spans="1:3" x14ac:dyDescent="0.45">
      <c r="A403" vm="1089">
        <v>44060</v>
      </c>
      <c r="B403" vm="1090">
        <v>0.84240000000000004</v>
      </c>
      <c r="C403">
        <f>1/T_USD_EUR[[#This Row],[USDEUR]]</f>
        <v>1.1870845204178537</v>
      </c>
    </row>
    <row r="404" spans="1:3" x14ac:dyDescent="0.45">
      <c r="A404" vm="1091">
        <v>44061</v>
      </c>
      <c r="B404" vm="1092">
        <v>0.83809999999999996</v>
      </c>
      <c r="C404">
        <f>1/T_USD_EUR[[#This Row],[USDEUR]]</f>
        <v>1.1931750387781888</v>
      </c>
    </row>
    <row r="405" spans="1:3" x14ac:dyDescent="0.45">
      <c r="A405" vm="1093">
        <v>44062</v>
      </c>
      <c r="B405" vm="1094">
        <v>0.84470000000000001</v>
      </c>
      <c r="C405">
        <f>1/T_USD_EUR[[#This Row],[USDEUR]]</f>
        <v>1.1838522552385462</v>
      </c>
    </row>
    <row r="406" spans="1:3" x14ac:dyDescent="0.45">
      <c r="A406" vm="1095">
        <v>44063</v>
      </c>
      <c r="B406" vm="1096">
        <v>0.84299999999999997</v>
      </c>
      <c r="C406">
        <f>1/T_USD_EUR[[#This Row],[USDEUR]]</f>
        <v>1.1862396204033214</v>
      </c>
    </row>
    <row r="407" spans="1:3" x14ac:dyDescent="0.45">
      <c r="A407" vm="1097">
        <v>44064</v>
      </c>
      <c r="B407" vm="1098">
        <v>0.84750000000000003</v>
      </c>
      <c r="C407">
        <f>1/T_USD_EUR[[#This Row],[USDEUR]]</f>
        <v>1.1799410029498525</v>
      </c>
    </row>
    <row r="408" spans="1:3" x14ac:dyDescent="0.45">
      <c r="A408" vm="1099">
        <v>44067</v>
      </c>
      <c r="B408" vm="1078">
        <v>0.84819999999999995</v>
      </c>
      <c r="C408">
        <f>1/T_USD_EUR[[#This Row],[USDEUR]]</f>
        <v>1.1789672247111531</v>
      </c>
    </row>
    <row r="409" spans="1:3" x14ac:dyDescent="0.45">
      <c r="A409" vm="1100">
        <v>44068</v>
      </c>
      <c r="B409" vm="1101">
        <v>0.84489999999999998</v>
      </c>
      <c r="C409">
        <f>1/T_USD_EUR[[#This Row],[USDEUR]]</f>
        <v>1.1835720203574387</v>
      </c>
    </row>
    <row r="410" spans="1:3" x14ac:dyDescent="0.45">
      <c r="A410" vm="1102">
        <v>44069</v>
      </c>
      <c r="B410" vm="1103">
        <v>0.84519999999999995</v>
      </c>
      <c r="C410">
        <f>1/T_USD_EUR[[#This Row],[USDEUR]]</f>
        <v>1.1831519167061051</v>
      </c>
    </row>
    <row r="411" spans="1:3" x14ac:dyDescent="0.45">
      <c r="A411" vm="1104">
        <v>44070</v>
      </c>
      <c r="B411" vm="1105">
        <v>0.8458</v>
      </c>
      <c r="C411">
        <f>1/T_USD_EUR[[#This Row],[USDEUR]]</f>
        <v>1.1823126034523528</v>
      </c>
    </row>
    <row r="412" spans="1:3" x14ac:dyDescent="0.45">
      <c r="A412" vm="1106">
        <v>44071</v>
      </c>
      <c r="B412" vm="1107">
        <v>0.83979999999999999</v>
      </c>
      <c r="C412">
        <f>1/T_USD_EUR[[#This Row],[USDEUR]]</f>
        <v>1.1907597046915932</v>
      </c>
    </row>
    <row r="413" spans="1:3" x14ac:dyDescent="0.45">
      <c r="A413" vm="1108">
        <v>44074</v>
      </c>
      <c r="B413" vm="1109">
        <v>0.8377</v>
      </c>
      <c r="C413">
        <f>1/T_USD_EUR[[#This Row],[USDEUR]]</f>
        <v>1.193744777366599</v>
      </c>
    </row>
    <row r="414" spans="1:3" x14ac:dyDescent="0.45">
      <c r="A414" vm="1110">
        <v>44075</v>
      </c>
      <c r="B414" vm="1111">
        <v>0.83930000000000005</v>
      </c>
      <c r="C414">
        <f>1/T_USD_EUR[[#This Row],[USDEUR]]</f>
        <v>1.1914690813773381</v>
      </c>
    </row>
    <row r="415" spans="1:3" x14ac:dyDescent="0.45">
      <c r="A415" vm="1112">
        <v>44076</v>
      </c>
      <c r="B415" vm="1113">
        <v>0.84340000000000004</v>
      </c>
      <c r="C415">
        <f>1/T_USD_EUR[[#This Row],[USDEUR]]</f>
        <v>1.1856770215793218</v>
      </c>
    </row>
    <row r="416" spans="1:3" x14ac:dyDescent="0.45">
      <c r="A416" vm="1114">
        <v>44077</v>
      </c>
      <c r="B416" vm="1115">
        <v>0.84370000000000001</v>
      </c>
      <c r="C416">
        <f>1/T_USD_EUR[[#This Row],[USDEUR]]</f>
        <v>1.1852554225435581</v>
      </c>
    </row>
    <row r="417" spans="1:3" x14ac:dyDescent="0.45">
      <c r="A417" vm="1116">
        <v>44078</v>
      </c>
      <c r="B417" vm="1117">
        <v>0.84450000000000003</v>
      </c>
      <c r="C417">
        <f>1/T_USD_EUR[[#This Row],[USDEUR]]</f>
        <v>1.1841326228537596</v>
      </c>
    </row>
    <row r="418" spans="1:3" x14ac:dyDescent="0.45">
      <c r="A418" vm="1118">
        <v>44081</v>
      </c>
      <c r="B418" vm="1119">
        <v>0.84609999999999996</v>
      </c>
      <c r="C418">
        <f>1/T_USD_EUR[[#This Row],[USDEUR]]</f>
        <v>1.1818933932159319</v>
      </c>
    </row>
    <row r="419" spans="1:3" x14ac:dyDescent="0.45">
      <c r="A419" vm="1120">
        <v>44082</v>
      </c>
      <c r="B419" vm="1121">
        <v>0.84899999999999998</v>
      </c>
      <c r="C419">
        <f>1/T_USD_EUR[[#This Row],[USDEUR]]</f>
        <v>1.1778563015312131</v>
      </c>
    </row>
    <row r="420" spans="1:3" x14ac:dyDescent="0.45">
      <c r="A420" vm="1122">
        <v>44083</v>
      </c>
      <c r="B420" vm="1123">
        <v>0.84719999999999995</v>
      </c>
      <c r="C420">
        <f>1/T_USD_EUR[[#This Row],[USDEUR]]</f>
        <v>1.1803588290840417</v>
      </c>
    </row>
    <row r="421" spans="1:3" x14ac:dyDescent="0.45">
      <c r="A421" vm="1124">
        <v>44084</v>
      </c>
      <c r="B421" vm="1125">
        <v>0.84619999999999995</v>
      </c>
      <c r="C421">
        <f>1/T_USD_EUR[[#This Row],[USDEUR]]</f>
        <v>1.1817537225242261</v>
      </c>
    </row>
    <row r="422" spans="1:3" x14ac:dyDescent="0.45">
      <c r="A422" vm="1126">
        <v>44085</v>
      </c>
      <c r="B422" vm="1066">
        <v>0.84399999999999997</v>
      </c>
      <c r="C422">
        <f>1/T_USD_EUR[[#This Row],[USDEUR]]</f>
        <v>1.1848341232227488</v>
      </c>
    </row>
    <row r="423" spans="1:3" x14ac:dyDescent="0.45">
      <c r="A423" vm="1127">
        <v>44088</v>
      </c>
      <c r="B423" vm="1128">
        <v>0.84250000000000003</v>
      </c>
      <c r="C423">
        <f>1/T_USD_EUR[[#This Row],[USDEUR]]</f>
        <v>1.1869436201780414</v>
      </c>
    </row>
    <row r="424" spans="1:3" x14ac:dyDescent="0.45">
      <c r="A424" vm="1129">
        <v>44089</v>
      </c>
      <c r="B424" vm="1066">
        <v>0.84399999999999997</v>
      </c>
      <c r="C424">
        <f>1/T_USD_EUR[[#This Row],[USDEUR]]</f>
        <v>1.1848341232227488</v>
      </c>
    </row>
    <row r="425" spans="1:3" x14ac:dyDescent="0.45">
      <c r="A425" vm="1130">
        <v>44090</v>
      </c>
      <c r="B425" vm="1125">
        <v>0.84619999999999995</v>
      </c>
      <c r="C425">
        <f>1/T_USD_EUR[[#This Row],[USDEUR]]</f>
        <v>1.1817537225242261</v>
      </c>
    </row>
    <row r="426" spans="1:3" x14ac:dyDescent="0.45">
      <c r="A426" vm="1131">
        <v>44091</v>
      </c>
      <c r="B426" vm="1132">
        <v>0.84389999999999998</v>
      </c>
      <c r="C426">
        <f>1/T_USD_EUR[[#This Row],[USDEUR]]</f>
        <v>1.1849745230477544</v>
      </c>
    </row>
    <row r="427" spans="1:3" x14ac:dyDescent="0.45">
      <c r="A427" vm="1133">
        <v>44092</v>
      </c>
      <c r="B427" vm="1117">
        <v>0.84450000000000003</v>
      </c>
      <c r="C427">
        <f>1/T_USD_EUR[[#This Row],[USDEUR]]</f>
        <v>1.1841326228537596</v>
      </c>
    </row>
    <row r="428" spans="1:3" x14ac:dyDescent="0.45">
      <c r="A428" vm="1134">
        <v>44095</v>
      </c>
      <c r="B428" vm="1135">
        <v>0.84940000000000004</v>
      </c>
      <c r="C428">
        <f>1/T_USD_EUR[[#This Row],[USDEUR]]</f>
        <v>1.177301624676242</v>
      </c>
    </row>
    <row r="429" spans="1:3" x14ac:dyDescent="0.45">
      <c r="A429" vm="1136">
        <v>44096</v>
      </c>
      <c r="B429" vm="1137">
        <v>0.85399999999999998</v>
      </c>
      <c r="C429">
        <f>1/T_USD_EUR[[#This Row],[USDEUR]]</f>
        <v>1.1709601873536299</v>
      </c>
    </row>
    <row r="430" spans="1:3" x14ac:dyDescent="0.45">
      <c r="A430" vm="1138">
        <v>44097</v>
      </c>
      <c r="B430" vm="1139">
        <v>0.85740000000000005</v>
      </c>
      <c r="C430">
        <f>1/T_USD_EUR[[#This Row],[USDEUR]]</f>
        <v>1.1663167716351761</v>
      </c>
    </row>
    <row r="431" spans="1:3" x14ac:dyDescent="0.45">
      <c r="A431" vm="1140">
        <v>44098</v>
      </c>
      <c r="B431" vm="1141">
        <v>0.85650000000000004</v>
      </c>
      <c r="C431">
        <f>1/T_USD_EUR[[#This Row],[USDEUR]]</f>
        <v>1.1675423234092235</v>
      </c>
    </row>
    <row r="432" spans="1:3" x14ac:dyDescent="0.45">
      <c r="A432" vm="1142">
        <v>44099</v>
      </c>
      <c r="B432" vm="1143">
        <v>0.85950000000000004</v>
      </c>
      <c r="C432">
        <f>1/T_USD_EUR[[#This Row],[USDEUR]]</f>
        <v>1.1634671320535195</v>
      </c>
    </row>
    <row r="433" spans="1:3" x14ac:dyDescent="0.45">
      <c r="A433" vm="1144">
        <v>44102</v>
      </c>
      <c r="B433" vm="1145">
        <v>0.85699999999999998</v>
      </c>
      <c r="C433">
        <f>1/T_USD_EUR[[#This Row],[USDEUR]]</f>
        <v>1.1668611435239207</v>
      </c>
    </row>
    <row r="434" spans="1:3" x14ac:dyDescent="0.45">
      <c r="A434" vm="1146">
        <v>44103</v>
      </c>
      <c r="B434" vm="1147">
        <v>0.85140000000000005</v>
      </c>
      <c r="C434">
        <f>1/T_USD_EUR[[#This Row],[USDEUR]]</f>
        <v>1.1745360582569884</v>
      </c>
    </row>
    <row r="435" spans="1:3" x14ac:dyDescent="0.45">
      <c r="A435" vm="1148">
        <v>44104</v>
      </c>
      <c r="B435" vm="1149">
        <v>0.85309999999999997</v>
      </c>
      <c r="C435">
        <f>1/T_USD_EUR[[#This Row],[USDEUR]]</f>
        <v>1.1721955222131051</v>
      </c>
    </row>
    <row r="436" spans="1:3" x14ac:dyDescent="0.45">
      <c r="A436" vm="1150">
        <v>44105</v>
      </c>
      <c r="B436" vm="1151">
        <v>0.85099999999999998</v>
      </c>
      <c r="C436">
        <f>1/T_USD_EUR[[#This Row],[USDEUR]]</f>
        <v>1.1750881316098707</v>
      </c>
    </row>
    <row r="437" spans="1:3" x14ac:dyDescent="0.45">
      <c r="A437" vm="1152">
        <v>44106</v>
      </c>
      <c r="B437" vm="1062">
        <v>0.85340000000000005</v>
      </c>
      <c r="C437">
        <f>1/T_USD_EUR[[#This Row],[USDEUR]]</f>
        <v>1.1717834544176235</v>
      </c>
    </row>
    <row r="438" spans="1:3" x14ac:dyDescent="0.45">
      <c r="A438" vm="1153">
        <v>44109</v>
      </c>
      <c r="B438" vm="1084">
        <v>0.84850000000000003</v>
      </c>
      <c r="C438">
        <f>1/T_USD_EUR[[#This Row],[USDEUR]]</f>
        <v>1.1785503830288744</v>
      </c>
    </row>
    <row r="439" spans="1:3" x14ac:dyDescent="0.45">
      <c r="A439" vm="1154">
        <v>44110</v>
      </c>
      <c r="B439" vm="1155">
        <v>0.85209999999999997</v>
      </c>
      <c r="C439">
        <f>1/T_USD_EUR[[#This Row],[USDEUR]]</f>
        <v>1.1735711770918906</v>
      </c>
    </row>
    <row r="440" spans="1:3" x14ac:dyDescent="0.45">
      <c r="A440" vm="1156">
        <v>44111</v>
      </c>
      <c r="B440" vm="1157">
        <v>0.85009999999999997</v>
      </c>
      <c r="C440">
        <f>1/T_USD_EUR[[#This Row],[USDEUR]]</f>
        <v>1.1763321962122104</v>
      </c>
    </row>
    <row r="441" spans="1:3" x14ac:dyDescent="0.45">
      <c r="A441" vm="1158">
        <v>44112</v>
      </c>
      <c r="B441" vm="1159">
        <v>0.85029999999999994</v>
      </c>
      <c r="C441">
        <f>1/T_USD_EUR[[#This Row],[USDEUR]]</f>
        <v>1.1760555098200636</v>
      </c>
    </row>
    <row r="442" spans="1:3" x14ac:dyDescent="0.45">
      <c r="A442" vm="1160">
        <v>44113</v>
      </c>
      <c r="B442" vm="1161">
        <v>0.84550000000000003</v>
      </c>
      <c r="C442">
        <f>1/T_USD_EUR[[#This Row],[USDEUR]]</f>
        <v>1.1827321111768183</v>
      </c>
    </row>
    <row r="443" spans="1:3" x14ac:dyDescent="0.45">
      <c r="A443" vm="1162">
        <v>44116</v>
      </c>
      <c r="B443" vm="1163">
        <v>0.84640000000000004</v>
      </c>
      <c r="C443">
        <f>1/T_USD_EUR[[#This Row],[USDEUR]]</f>
        <v>1.1814744801512287</v>
      </c>
    </row>
    <row r="444" spans="1:3" x14ac:dyDescent="0.45">
      <c r="A444" vm="1164">
        <v>44117</v>
      </c>
      <c r="B444" vm="1165">
        <v>0.85119999999999996</v>
      </c>
      <c r="C444">
        <f>1/T_USD_EUR[[#This Row],[USDEUR]]</f>
        <v>1.1748120300751881</v>
      </c>
    </row>
    <row r="445" spans="1:3" x14ac:dyDescent="0.45">
      <c r="A445" vm="1166">
        <v>44118</v>
      </c>
      <c r="B445" vm="1165">
        <v>0.85119999999999996</v>
      </c>
      <c r="C445">
        <f>1/T_USD_EUR[[#This Row],[USDEUR]]</f>
        <v>1.1748120300751881</v>
      </c>
    </row>
    <row r="446" spans="1:3" x14ac:dyDescent="0.45">
      <c r="A446" vm="1167">
        <v>44119</v>
      </c>
      <c r="B446" vm="1137">
        <v>0.85399999999999998</v>
      </c>
      <c r="C446">
        <f>1/T_USD_EUR[[#This Row],[USDEUR]]</f>
        <v>1.1709601873536299</v>
      </c>
    </row>
    <row r="447" spans="1:3" x14ac:dyDescent="0.45">
      <c r="A447" vm="1168">
        <v>44120</v>
      </c>
      <c r="B447" vm="1169">
        <v>0.85319999999999996</v>
      </c>
      <c r="C447">
        <f>1/T_USD_EUR[[#This Row],[USDEUR]]</f>
        <v>1.1720581340834506</v>
      </c>
    </row>
    <row r="448" spans="1:3" x14ac:dyDescent="0.45">
      <c r="A448" vm="1170">
        <v>44123</v>
      </c>
      <c r="B448" vm="1171">
        <v>0.8498</v>
      </c>
      <c r="C448">
        <f>1/T_USD_EUR[[#This Row],[USDEUR]]</f>
        <v>1.1767474699929394</v>
      </c>
    </row>
    <row r="449" spans="1:3" x14ac:dyDescent="0.45">
      <c r="A449" vm="1172">
        <v>44124</v>
      </c>
      <c r="B449" vm="1173">
        <v>0.84570000000000001</v>
      </c>
      <c r="C449">
        <f>1/T_USD_EUR[[#This Row],[USDEUR]]</f>
        <v>1.1824524062906467</v>
      </c>
    </row>
    <row r="450" spans="1:3" x14ac:dyDescent="0.45">
      <c r="A450" vm="1174">
        <v>44125</v>
      </c>
      <c r="B450" vm="1096">
        <v>0.84299999999999997</v>
      </c>
      <c r="C450">
        <f>1/T_USD_EUR[[#This Row],[USDEUR]]</f>
        <v>1.1862396204033214</v>
      </c>
    </row>
    <row r="451" spans="1:3" x14ac:dyDescent="0.45">
      <c r="A451" vm="1175">
        <v>44126</v>
      </c>
      <c r="B451" vm="1176">
        <v>0.84599999999999997</v>
      </c>
      <c r="C451">
        <f>1/T_USD_EUR[[#This Row],[USDEUR]]</f>
        <v>1.1820330969267139</v>
      </c>
    </row>
    <row r="452" spans="1:3" x14ac:dyDescent="0.45">
      <c r="A452" vm="1177">
        <v>44127</v>
      </c>
      <c r="B452" vm="1096">
        <v>0.84299999999999997</v>
      </c>
      <c r="C452">
        <f>1/T_USD_EUR[[#This Row],[USDEUR]]</f>
        <v>1.1862396204033214</v>
      </c>
    </row>
    <row r="453" spans="1:3" x14ac:dyDescent="0.45">
      <c r="A453" vm="1178">
        <v>44130</v>
      </c>
      <c r="B453" vm="1179">
        <v>0.84670000000000001</v>
      </c>
      <c r="C453">
        <f>1/T_USD_EUR[[#This Row],[USDEUR]]</f>
        <v>1.1810558639423645</v>
      </c>
    </row>
    <row r="454" spans="1:3" x14ac:dyDescent="0.45">
      <c r="A454" vm="1180">
        <v>44131</v>
      </c>
      <c r="B454" vm="1181">
        <v>0.84770000000000001</v>
      </c>
      <c r="C454">
        <f>1/T_USD_EUR[[#This Row],[USDEUR]]</f>
        <v>1.1796626164916835</v>
      </c>
    </row>
    <row r="455" spans="1:3" x14ac:dyDescent="0.45">
      <c r="A455" vm="1182">
        <v>44132</v>
      </c>
      <c r="B455" vm="1147">
        <v>0.85140000000000005</v>
      </c>
      <c r="C455">
        <f>1/T_USD_EUR[[#This Row],[USDEUR]]</f>
        <v>1.1745360582569884</v>
      </c>
    </row>
    <row r="456" spans="1:3" x14ac:dyDescent="0.45">
      <c r="A456" vm="1183">
        <v>44133</v>
      </c>
      <c r="B456" vm="1141">
        <v>0.85650000000000004</v>
      </c>
      <c r="C456">
        <f>1/T_USD_EUR[[#This Row],[USDEUR]]</f>
        <v>1.1675423234092235</v>
      </c>
    </row>
    <row r="457" spans="1:3" x14ac:dyDescent="0.45">
      <c r="A457" vm="1184">
        <v>44134</v>
      </c>
      <c r="B457" vm="1185">
        <v>0.85829999999999995</v>
      </c>
      <c r="C457">
        <f>1/T_USD_EUR[[#This Row],[USDEUR]]</f>
        <v>1.1650937900500991</v>
      </c>
    </row>
    <row r="458" spans="1:3" x14ac:dyDescent="0.45">
      <c r="A458" vm="1186">
        <v>44137</v>
      </c>
      <c r="B458" vm="1187">
        <v>0.8589</v>
      </c>
      <c r="C458">
        <f>1/T_USD_EUR[[#This Row],[USDEUR]]</f>
        <v>1.1642798928862499</v>
      </c>
    </row>
    <row r="459" spans="1:3" x14ac:dyDescent="0.45">
      <c r="A459" vm="1188">
        <v>44138</v>
      </c>
      <c r="B459" vm="1062">
        <v>0.85340000000000005</v>
      </c>
      <c r="C459">
        <f>1/T_USD_EUR[[#This Row],[USDEUR]]</f>
        <v>1.1717834544176235</v>
      </c>
    </row>
    <row r="460" spans="1:3" x14ac:dyDescent="0.45">
      <c r="A460" vm="1189">
        <v>44139</v>
      </c>
      <c r="B460" vm="1190">
        <v>0.85270000000000001</v>
      </c>
      <c r="C460">
        <f>1/T_USD_EUR[[#This Row],[USDEUR]]</f>
        <v>1.1727453969743169</v>
      </c>
    </row>
    <row r="461" spans="1:3" x14ac:dyDescent="0.45">
      <c r="A461" vm="1191">
        <v>44140</v>
      </c>
      <c r="B461" vm="1192">
        <v>0.84540000000000004</v>
      </c>
      <c r="C461">
        <f>1/T_USD_EUR[[#This Row],[USDEUR]]</f>
        <v>1.1828720132481665</v>
      </c>
    </row>
    <row r="462" spans="1:3" x14ac:dyDescent="0.45">
      <c r="A462" vm="1193">
        <v>44141</v>
      </c>
      <c r="B462" vm="1194">
        <v>0.84199999999999997</v>
      </c>
      <c r="C462">
        <f>1/T_USD_EUR[[#This Row],[USDEUR]]</f>
        <v>1.1876484560570071</v>
      </c>
    </row>
    <row r="463" spans="1:3" x14ac:dyDescent="0.45">
      <c r="A463" vm="1195">
        <v>44144</v>
      </c>
      <c r="B463" vm="1163">
        <v>0.84640000000000004</v>
      </c>
      <c r="C463">
        <f>1/T_USD_EUR[[#This Row],[USDEUR]]</f>
        <v>1.1814744801512287</v>
      </c>
    </row>
    <row r="464" spans="1:3" x14ac:dyDescent="0.45">
      <c r="A464" vm="1196">
        <v>44145</v>
      </c>
      <c r="B464" vm="1125">
        <v>0.84619999999999995</v>
      </c>
      <c r="C464">
        <f>1/T_USD_EUR[[#This Row],[USDEUR]]</f>
        <v>1.1817537225242261</v>
      </c>
    </row>
    <row r="465" spans="1:3" x14ac:dyDescent="0.45">
      <c r="A465" vm="1197">
        <v>44146</v>
      </c>
      <c r="B465" vm="1121">
        <v>0.84899999999999998</v>
      </c>
      <c r="C465">
        <f>1/T_USD_EUR[[#This Row],[USDEUR]]</f>
        <v>1.1778563015312131</v>
      </c>
    </row>
    <row r="466" spans="1:3" x14ac:dyDescent="0.45">
      <c r="A466" vm="1198">
        <v>44147</v>
      </c>
      <c r="B466" vm="1199">
        <v>0.84689999999999999</v>
      </c>
      <c r="C466">
        <f>1/T_USD_EUR[[#This Row],[USDEUR]]</f>
        <v>1.1807769512339119</v>
      </c>
    </row>
    <row r="467" spans="1:3" x14ac:dyDescent="0.45">
      <c r="A467" vm="1200">
        <v>44148</v>
      </c>
      <c r="B467" vm="1101">
        <v>0.84489999999999998</v>
      </c>
      <c r="C467">
        <f>1/T_USD_EUR[[#This Row],[USDEUR]]</f>
        <v>1.1835720203574387</v>
      </c>
    </row>
    <row r="468" spans="1:3" x14ac:dyDescent="0.45">
      <c r="A468" vm="1201">
        <v>44151</v>
      </c>
      <c r="B468" vm="1202">
        <v>0.84350000000000003</v>
      </c>
      <c r="C468">
        <f>1/T_USD_EUR[[#This Row],[USDEUR]]</f>
        <v>1.1855364552459988</v>
      </c>
    </row>
    <row r="469" spans="1:3" x14ac:dyDescent="0.45">
      <c r="A469" vm="1203">
        <v>44152</v>
      </c>
      <c r="B469" vm="1074">
        <v>0.84279999999999999</v>
      </c>
      <c r="C469">
        <f>1/T_USD_EUR[[#This Row],[USDEUR]]</f>
        <v>1.1865211200759374</v>
      </c>
    </row>
    <row r="470" spans="1:3" x14ac:dyDescent="0.45">
      <c r="A470" vm="1204">
        <v>44153</v>
      </c>
      <c r="B470" vm="1202">
        <v>0.84350000000000003</v>
      </c>
      <c r="C470">
        <f>1/T_USD_EUR[[#This Row],[USDEUR]]</f>
        <v>1.1855364552459988</v>
      </c>
    </row>
    <row r="471" spans="1:3" x14ac:dyDescent="0.45">
      <c r="A471" vm="1205">
        <v>44154</v>
      </c>
      <c r="B471" vm="1194">
        <v>0.84199999999999997</v>
      </c>
      <c r="C471">
        <f>1/T_USD_EUR[[#This Row],[USDEUR]]</f>
        <v>1.1876484560570071</v>
      </c>
    </row>
    <row r="472" spans="1:3" x14ac:dyDescent="0.45">
      <c r="A472" vm="1206">
        <v>44155</v>
      </c>
      <c r="B472" vm="1113">
        <v>0.84340000000000004</v>
      </c>
      <c r="C472">
        <f>1/T_USD_EUR[[#This Row],[USDEUR]]</f>
        <v>1.1856770215793218</v>
      </c>
    </row>
    <row r="473" spans="1:3" x14ac:dyDescent="0.45">
      <c r="A473" vm="1207">
        <v>44158</v>
      </c>
      <c r="B473" vm="1117">
        <v>0.84450000000000003</v>
      </c>
      <c r="C473">
        <f>1/T_USD_EUR[[#This Row],[USDEUR]]</f>
        <v>1.1841326228537596</v>
      </c>
    </row>
    <row r="474" spans="1:3" x14ac:dyDescent="0.45">
      <c r="A474" vm="1208">
        <v>44159</v>
      </c>
      <c r="B474" vm="1209">
        <v>0.84079999999999999</v>
      </c>
      <c r="C474">
        <f>1/T_USD_EUR[[#This Row],[USDEUR]]</f>
        <v>1.1893434823977165</v>
      </c>
    </row>
    <row r="475" spans="1:3" x14ac:dyDescent="0.45">
      <c r="A475" vm="1210">
        <v>44160</v>
      </c>
      <c r="B475" vm="1211">
        <v>0.83919999999999995</v>
      </c>
      <c r="C475">
        <f>1/T_USD_EUR[[#This Row],[USDEUR]]</f>
        <v>1.1916110581506196</v>
      </c>
    </row>
    <row r="476" spans="1:3" x14ac:dyDescent="0.45">
      <c r="A476" vm="1212">
        <v>44161</v>
      </c>
      <c r="B476" vm="1211">
        <v>0.83919999999999995</v>
      </c>
      <c r="C476">
        <f>1/T_USD_EUR[[#This Row],[USDEUR]]</f>
        <v>1.1916110581506196</v>
      </c>
    </row>
    <row r="477" spans="1:3" x14ac:dyDescent="0.45">
      <c r="A477" vm="1213">
        <v>44162</v>
      </c>
      <c r="B477" vm="1214">
        <v>0.83579999999999999</v>
      </c>
      <c r="C477">
        <f>1/T_USD_EUR[[#This Row],[USDEUR]]</f>
        <v>1.1964584828906437</v>
      </c>
    </row>
    <row r="478" spans="1:3" x14ac:dyDescent="0.45">
      <c r="A478" vm="1215">
        <v>44165</v>
      </c>
      <c r="B478" vm="1092">
        <v>0.83809999999999996</v>
      </c>
      <c r="C478">
        <f>1/T_USD_EUR[[#This Row],[USDEUR]]</f>
        <v>1.1931750387781888</v>
      </c>
    </row>
    <row r="479" spans="1:3" x14ac:dyDescent="0.45">
      <c r="A479" vm="1216">
        <v>44166</v>
      </c>
      <c r="B479" vm="1217">
        <v>0.82840000000000003</v>
      </c>
      <c r="C479">
        <f>1/T_USD_EUR[[#This Row],[USDEUR]]</f>
        <v>1.2071463061323031</v>
      </c>
    </row>
    <row r="480" spans="1:3" x14ac:dyDescent="0.45">
      <c r="A480" vm="1218">
        <v>44167</v>
      </c>
      <c r="B480" vm="1219">
        <v>0.82530000000000003</v>
      </c>
      <c r="C480">
        <f>1/T_USD_EUR[[#This Row],[USDEUR]]</f>
        <v>1.2116806009935781</v>
      </c>
    </row>
    <row r="481" spans="1:3" x14ac:dyDescent="0.45">
      <c r="A481" vm="1220">
        <v>44168</v>
      </c>
      <c r="B481" vm="1221">
        <v>0.82340000000000002</v>
      </c>
      <c r="C481">
        <f>1/T_USD_EUR[[#This Row],[USDEUR]]</f>
        <v>1.2144765606023804</v>
      </c>
    </row>
    <row r="482" spans="1:3" x14ac:dyDescent="0.45">
      <c r="A482" vm="1222">
        <v>44169</v>
      </c>
      <c r="B482" vm="1223">
        <v>0.82479999999999998</v>
      </c>
      <c r="C482">
        <f>1/T_USD_EUR[[#This Row],[USDEUR]]</f>
        <v>1.2124151309408342</v>
      </c>
    </row>
    <row r="483" spans="1:3" x14ac:dyDescent="0.45">
      <c r="A483" vm="1224">
        <v>44172</v>
      </c>
      <c r="B483" vm="1225">
        <v>0.82569999999999999</v>
      </c>
      <c r="C483">
        <f>1/T_USD_EUR[[#This Row],[USDEUR]]</f>
        <v>1.2110936175366356</v>
      </c>
    </row>
    <row r="484" spans="1:3" x14ac:dyDescent="0.45">
      <c r="A484" vm="1226">
        <v>44173</v>
      </c>
      <c r="B484" vm="1227">
        <v>0.82609999999999995</v>
      </c>
      <c r="C484">
        <f>1/T_USD_EUR[[#This Row],[USDEUR]]</f>
        <v>1.2105072025178552</v>
      </c>
    </row>
    <row r="485" spans="1:3" x14ac:dyDescent="0.45">
      <c r="A485" vm="1228">
        <v>44174</v>
      </c>
      <c r="B485" vm="1229">
        <v>0.8276</v>
      </c>
      <c r="C485">
        <f>1/T_USD_EUR[[#This Row],[USDEUR]]</f>
        <v>1.2083131947800869</v>
      </c>
    </row>
    <row r="486" spans="1:3" x14ac:dyDescent="0.45">
      <c r="A486" vm="1230">
        <v>44175</v>
      </c>
      <c r="B486" vm="1231">
        <v>0.82369999999999999</v>
      </c>
      <c r="C486">
        <f>1/T_USD_EUR[[#This Row],[USDEUR]]</f>
        <v>1.2140342357654486</v>
      </c>
    </row>
    <row r="487" spans="1:3" x14ac:dyDescent="0.45">
      <c r="A487" vm="1232">
        <v>44176</v>
      </c>
      <c r="B487" vm="1233">
        <v>0.82540000000000002</v>
      </c>
      <c r="C487">
        <f>1/T_USD_EUR[[#This Row],[USDEUR]]</f>
        <v>1.2115338017930699</v>
      </c>
    </row>
    <row r="488" spans="1:3" x14ac:dyDescent="0.45">
      <c r="A488" vm="1234">
        <v>44179</v>
      </c>
      <c r="B488" vm="1235">
        <v>0.82330000000000003</v>
      </c>
      <c r="C488">
        <f>1/T_USD_EUR[[#This Row],[USDEUR]]</f>
        <v>1.2146240738491436</v>
      </c>
    </row>
    <row r="489" spans="1:3" x14ac:dyDescent="0.45">
      <c r="A489" vm="1236">
        <v>44180</v>
      </c>
      <c r="B489" vm="1237">
        <v>0.82269999999999999</v>
      </c>
      <c r="C489">
        <f>1/T_USD_EUR[[#This Row],[USDEUR]]</f>
        <v>1.2155099064057373</v>
      </c>
    </row>
    <row r="490" spans="1:3" x14ac:dyDescent="0.45">
      <c r="A490" vm="1238">
        <v>44181</v>
      </c>
      <c r="B490" vm="1239">
        <v>0.8196</v>
      </c>
      <c r="C490">
        <f>1/T_USD_EUR[[#This Row],[USDEUR]]</f>
        <v>1.2201073694485114</v>
      </c>
    </row>
    <row r="491" spans="1:3" x14ac:dyDescent="0.45">
      <c r="A491" vm="1240">
        <v>44182</v>
      </c>
      <c r="B491" vm="1241">
        <v>0.81499999999999995</v>
      </c>
      <c r="C491">
        <f>1/T_USD_EUR[[#This Row],[USDEUR]]</f>
        <v>1.2269938650306749</v>
      </c>
    </row>
    <row r="492" spans="1:3" x14ac:dyDescent="0.45">
      <c r="A492" vm="1242">
        <v>44183</v>
      </c>
      <c r="B492" vm="1243">
        <v>0.81569999999999998</v>
      </c>
      <c r="C492">
        <f>1/T_USD_EUR[[#This Row],[USDEUR]]</f>
        <v>1.2259409096481551</v>
      </c>
    </row>
    <row r="493" spans="1:3" x14ac:dyDescent="0.45">
      <c r="A493" vm="1244">
        <v>44186</v>
      </c>
      <c r="B493" vm="1245">
        <v>0.81669999999999998</v>
      </c>
      <c r="C493">
        <f>1/T_USD_EUR[[#This Row],[USDEUR]]</f>
        <v>1.2244398187829069</v>
      </c>
    </row>
    <row r="494" spans="1:3" x14ac:dyDescent="0.45">
      <c r="A494" vm="1246">
        <v>44187</v>
      </c>
      <c r="B494" vm="1247">
        <v>0.82199999999999995</v>
      </c>
      <c r="C494">
        <f>1/T_USD_EUR[[#This Row],[USDEUR]]</f>
        <v>1.2165450121654502</v>
      </c>
    </row>
    <row r="495" spans="1:3" x14ac:dyDescent="0.45">
      <c r="A495" vm="1248">
        <v>44188</v>
      </c>
      <c r="B495" vm="1249">
        <v>0.82040000000000002</v>
      </c>
      <c r="C495">
        <f>1/T_USD_EUR[[#This Row],[USDEUR]]</f>
        <v>1.2189176011701608</v>
      </c>
    </row>
    <row r="496" spans="1:3" x14ac:dyDescent="0.45">
      <c r="A496" vm="1250">
        <v>44189</v>
      </c>
      <c r="B496" vm="1251">
        <v>0.82050000000000001</v>
      </c>
      <c r="C496">
        <f>1/T_USD_EUR[[#This Row],[USDEUR]]</f>
        <v>1.218769043266301</v>
      </c>
    </row>
    <row r="497" spans="1:3" x14ac:dyDescent="0.45">
      <c r="A497" vm="1252">
        <v>44190</v>
      </c>
      <c r="B497" vm="1253">
        <v>0.81910000000000005</v>
      </c>
      <c r="C497">
        <f>1/T_USD_EUR[[#This Row],[USDEUR]]</f>
        <v>1.2208521548040532</v>
      </c>
    </row>
    <row r="498" spans="1:3" x14ac:dyDescent="0.45">
      <c r="A498" vm="1254">
        <v>44193</v>
      </c>
      <c r="B498" vm="1255">
        <v>0.81840000000000002</v>
      </c>
      <c r="C498">
        <f>1/T_USD_EUR[[#This Row],[USDEUR]]</f>
        <v>1.2218963831867058</v>
      </c>
    </row>
    <row r="499" spans="1:3" x14ac:dyDescent="0.45">
      <c r="A499" vm="1256">
        <v>44194</v>
      </c>
      <c r="B499" vm="1257">
        <v>0.81630000000000003</v>
      </c>
      <c r="C499">
        <f>1/T_USD_EUR[[#This Row],[USDEUR]]</f>
        <v>1.2250398137939482</v>
      </c>
    </row>
    <row r="500" spans="1:3" x14ac:dyDescent="0.45">
      <c r="A500" vm="1258">
        <v>44195</v>
      </c>
      <c r="B500" vm="1259">
        <v>0.81310000000000004</v>
      </c>
      <c r="C500">
        <f>1/T_USD_EUR[[#This Row],[USDEUR]]</f>
        <v>1.2298610257040954</v>
      </c>
    </row>
    <row r="501" spans="1:3" x14ac:dyDescent="0.45">
      <c r="A501" vm="1260">
        <v>44196</v>
      </c>
      <c r="B501" vm="1261">
        <v>0.81850000000000001</v>
      </c>
      <c r="C501">
        <f>1/T_USD_EUR[[#This Row],[USDEUR]]</f>
        <v>1.2217470983506413</v>
      </c>
    </row>
    <row r="502" spans="1:3" x14ac:dyDescent="0.45">
      <c r="A502" vm="1262">
        <v>44197</v>
      </c>
      <c r="B502" vm="1231">
        <v>0.82369999999999999</v>
      </c>
      <c r="C502">
        <f>1/T_USD_EUR[[#This Row],[USDEUR]]</f>
        <v>1.2140342357654486</v>
      </c>
    </row>
    <row r="503" spans="1:3" x14ac:dyDescent="0.45">
      <c r="A503" vm="1263">
        <v>44200</v>
      </c>
      <c r="B503" vm="1264">
        <v>0.81620000000000004</v>
      </c>
      <c r="C503">
        <f>1/T_USD_EUR[[#This Row],[USDEUR]]</f>
        <v>1.2251899044351875</v>
      </c>
    </row>
    <row r="504" spans="1:3" x14ac:dyDescent="0.45">
      <c r="A504" vm="1265">
        <v>44201</v>
      </c>
      <c r="B504" vm="1266">
        <v>0.81299999999999994</v>
      </c>
      <c r="C504">
        <f>1/T_USD_EUR[[#This Row],[USDEUR]]</f>
        <v>1.2300123001230012</v>
      </c>
    </row>
    <row r="505" spans="1:3" x14ac:dyDescent="0.45">
      <c r="A505" vm="1267">
        <v>44202</v>
      </c>
      <c r="B505" vm="1268">
        <v>0.81110000000000004</v>
      </c>
      <c r="C505">
        <f>1/T_USD_EUR[[#This Row],[USDEUR]]</f>
        <v>1.2328936012822094</v>
      </c>
    </row>
    <row r="506" spans="1:3" x14ac:dyDescent="0.45">
      <c r="A506" vm="1269">
        <v>44203</v>
      </c>
      <c r="B506" vm="1270">
        <v>0.81469999999999998</v>
      </c>
      <c r="C506">
        <f>1/T_USD_EUR[[#This Row],[USDEUR]]</f>
        <v>1.2274456855284155</v>
      </c>
    </row>
    <row r="507" spans="1:3" x14ac:dyDescent="0.45">
      <c r="A507" vm="1271">
        <v>44204</v>
      </c>
      <c r="B507" vm="1272">
        <v>0.81830000000000003</v>
      </c>
      <c r="C507">
        <f>1/T_USD_EUR[[#This Row],[USDEUR]]</f>
        <v>1.2220457045093487</v>
      </c>
    </row>
    <row r="508" spans="1:3" x14ac:dyDescent="0.45">
      <c r="A508" vm="1273">
        <v>44207</v>
      </c>
      <c r="B508" vm="1274">
        <v>0.82279999999999998</v>
      </c>
      <c r="C508">
        <f>1/T_USD_EUR[[#This Row],[USDEUR]]</f>
        <v>1.2153621779290229</v>
      </c>
    </row>
    <row r="509" spans="1:3" x14ac:dyDescent="0.45">
      <c r="A509" vm="1275">
        <v>44208</v>
      </c>
      <c r="B509" vm="1253">
        <v>0.81910000000000005</v>
      </c>
      <c r="C509">
        <f>1/T_USD_EUR[[#This Row],[USDEUR]]</f>
        <v>1.2208521548040532</v>
      </c>
    </row>
    <row r="510" spans="1:3" x14ac:dyDescent="0.45">
      <c r="A510" vm="1276">
        <v>44209</v>
      </c>
      <c r="B510" vm="1277">
        <v>0.82250000000000001</v>
      </c>
      <c r="C510">
        <f>1/T_USD_EUR[[#This Row],[USDEUR]]</f>
        <v>1.21580547112462</v>
      </c>
    </row>
    <row r="511" spans="1:3" x14ac:dyDescent="0.45">
      <c r="A511" vm="1278">
        <v>44210</v>
      </c>
      <c r="B511" vm="1279">
        <v>0.82240000000000002</v>
      </c>
      <c r="C511">
        <f>1/T_USD_EUR[[#This Row],[USDEUR]]</f>
        <v>1.215953307392996</v>
      </c>
    </row>
    <row r="512" spans="1:3" x14ac:dyDescent="0.45">
      <c r="A512" vm="1280">
        <v>44211</v>
      </c>
      <c r="B512" vm="1281">
        <v>0.82769999999999999</v>
      </c>
      <c r="C512">
        <f>1/T_USD_EUR[[#This Row],[USDEUR]]</f>
        <v>1.2081672103419114</v>
      </c>
    </row>
    <row r="513" spans="1:3" x14ac:dyDescent="0.45">
      <c r="A513" vm="1282">
        <v>44214</v>
      </c>
      <c r="B513" vm="1283">
        <v>0.82779999999999998</v>
      </c>
      <c r="C513">
        <f>1/T_USD_EUR[[#This Row],[USDEUR]]</f>
        <v>1.2080212611741967</v>
      </c>
    </row>
    <row r="514" spans="1:3" x14ac:dyDescent="0.45">
      <c r="A514" vm="1284">
        <v>44215</v>
      </c>
      <c r="B514" vm="1285">
        <v>0.82440000000000002</v>
      </c>
      <c r="C514">
        <f>1/T_USD_EUR[[#This Row],[USDEUR]]</f>
        <v>1.2130033964095099</v>
      </c>
    </row>
    <row r="515" spans="1:3" x14ac:dyDescent="0.45">
      <c r="A515" vm="1286">
        <v>44216</v>
      </c>
      <c r="B515" vm="1287">
        <v>0.82589999999999997</v>
      </c>
      <c r="C515">
        <f>1/T_USD_EUR[[#This Row],[USDEUR]]</f>
        <v>1.2108003390240949</v>
      </c>
    </row>
    <row r="516" spans="1:3" x14ac:dyDescent="0.45">
      <c r="A516" vm="1288">
        <v>44217</v>
      </c>
      <c r="B516" vm="1247">
        <v>0.82199999999999995</v>
      </c>
      <c r="C516">
        <f>1/T_USD_EUR[[#This Row],[USDEUR]]</f>
        <v>1.2165450121654502</v>
      </c>
    </row>
    <row r="517" spans="1:3" x14ac:dyDescent="0.45">
      <c r="A517" vm="1289">
        <v>44218</v>
      </c>
      <c r="B517" vm="1290">
        <v>0.82179999999999997</v>
      </c>
      <c r="C517">
        <f>1/T_USD_EUR[[#This Row],[USDEUR]]</f>
        <v>1.2168410805548795</v>
      </c>
    </row>
    <row r="518" spans="1:3" x14ac:dyDescent="0.45">
      <c r="A518" vm="1291">
        <v>44221</v>
      </c>
      <c r="B518" vm="1231">
        <v>0.82369999999999999</v>
      </c>
      <c r="C518">
        <f>1/T_USD_EUR[[#This Row],[USDEUR]]</f>
        <v>1.2140342357654486</v>
      </c>
    </row>
    <row r="519" spans="1:3" x14ac:dyDescent="0.45">
      <c r="A519" vm="1292">
        <v>44222</v>
      </c>
      <c r="B519" vm="1293">
        <v>0.82220000000000004</v>
      </c>
      <c r="C519">
        <f>1/T_USD_EUR[[#This Row],[USDEUR]]</f>
        <v>1.216249087813184</v>
      </c>
    </row>
    <row r="520" spans="1:3" x14ac:dyDescent="0.45">
      <c r="A520" vm="1294">
        <v>44223</v>
      </c>
      <c r="B520" vm="1295">
        <v>0.8256</v>
      </c>
      <c r="C520">
        <f>1/T_USD_EUR[[#This Row],[USDEUR]]</f>
        <v>1.2112403100775193</v>
      </c>
    </row>
    <row r="521" spans="1:3" x14ac:dyDescent="0.45">
      <c r="A521" vm="1296">
        <v>44224</v>
      </c>
      <c r="B521" vm="1297">
        <v>0.82469999999999999</v>
      </c>
      <c r="C521">
        <f>1/T_USD_EUR[[#This Row],[USDEUR]]</f>
        <v>1.2125621438098704</v>
      </c>
    </row>
    <row r="522" spans="1:3" x14ac:dyDescent="0.45">
      <c r="A522" vm="1298">
        <v>44225</v>
      </c>
      <c r="B522" vm="1299">
        <v>0.82389999999999997</v>
      </c>
      <c r="C522">
        <f>1/T_USD_EUR[[#This Row],[USDEUR]]</f>
        <v>1.2137395314965409</v>
      </c>
    </row>
    <row r="523" spans="1:3" x14ac:dyDescent="0.45">
      <c r="A523" vm="1300">
        <v>44228</v>
      </c>
      <c r="B523" vm="1301">
        <v>0.82909999999999995</v>
      </c>
      <c r="C523">
        <f>1/T_USD_EUR[[#This Row],[USDEUR]]</f>
        <v>1.2061271257990593</v>
      </c>
    </row>
    <row r="524" spans="1:3" x14ac:dyDescent="0.45">
      <c r="A524" vm="1302">
        <v>44229</v>
      </c>
      <c r="B524" vm="1303">
        <v>0.83020000000000005</v>
      </c>
      <c r="C524">
        <f>1/T_USD_EUR[[#This Row],[USDEUR]]</f>
        <v>1.2045290291496025</v>
      </c>
    </row>
    <row r="525" spans="1:3" x14ac:dyDescent="0.45">
      <c r="A525" vm="1304">
        <v>44230</v>
      </c>
      <c r="B525" vm="1305">
        <v>0.83099999999999996</v>
      </c>
      <c r="C525">
        <f>1/T_USD_EUR[[#This Row],[USDEUR]]</f>
        <v>1.2033694344163659</v>
      </c>
    </row>
    <row r="526" spans="1:3" x14ac:dyDescent="0.45">
      <c r="A526" vm="1306">
        <v>44231</v>
      </c>
      <c r="B526" vm="1307">
        <v>0.83589999999999998</v>
      </c>
      <c r="C526">
        <f>1/T_USD_EUR[[#This Row],[USDEUR]]</f>
        <v>1.1963153487259242</v>
      </c>
    </row>
    <row r="527" spans="1:3" x14ac:dyDescent="0.45">
      <c r="A527" vm="1308">
        <v>44232</v>
      </c>
      <c r="B527" vm="1303">
        <v>0.83020000000000005</v>
      </c>
      <c r="C527">
        <f>1/T_USD_EUR[[#This Row],[USDEUR]]</f>
        <v>1.2045290291496025</v>
      </c>
    </row>
    <row r="528" spans="1:3" x14ac:dyDescent="0.45">
      <c r="A528" vm="1309">
        <v>44235</v>
      </c>
      <c r="B528" vm="1310">
        <v>0.82989999999999997</v>
      </c>
      <c r="C528">
        <f>1/T_USD_EUR[[#This Row],[USDEUR]]</f>
        <v>1.2049644535486204</v>
      </c>
    </row>
    <row r="529" spans="1:3" x14ac:dyDescent="0.45">
      <c r="A529" vm="1311">
        <v>44236</v>
      </c>
      <c r="B529" vm="1312">
        <v>0.82499999999999996</v>
      </c>
      <c r="C529">
        <f>1/T_USD_EUR[[#This Row],[USDEUR]]</f>
        <v>1.2121212121212122</v>
      </c>
    </row>
    <row r="530" spans="1:3" x14ac:dyDescent="0.45">
      <c r="A530" vm="1313">
        <v>44237</v>
      </c>
      <c r="B530" vm="1314">
        <v>0.82509999999999994</v>
      </c>
      <c r="C530">
        <f>1/T_USD_EUR[[#This Row],[USDEUR]]</f>
        <v>1.2119743061447099</v>
      </c>
    </row>
    <row r="531" spans="1:3" x14ac:dyDescent="0.45">
      <c r="A531" vm="1315">
        <v>44238</v>
      </c>
      <c r="B531" vm="1316">
        <v>0.82430000000000003</v>
      </c>
      <c r="C531">
        <f>1/T_USD_EUR[[#This Row],[USDEUR]]</f>
        <v>1.2131505519835011</v>
      </c>
    </row>
    <row r="532" spans="1:3" x14ac:dyDescent="0.45">
      <c r="A532" vm="1317">
        <v>44239</v>
      </c>
      <c r="B532" vm="1318">
        <v>0.82489999999999997</v>
      </c>
      <c r="C532">
        <f>1/T_USD_EUR[[#This Row],[USDEUR]]</f>
        <v>1.2122681537156019</v>
      </c>
    </row>
    <row r="533" spans="1:3" x14ac:dyDescent="0.45">
      <c r="A533" vm="1319">
        <v>44242</v>
      </c>
      <c r="B533" vm="1316">
        <v>0.82430000000000003</v>
      </c>
      <c r="C533">
        <f>1/T_USD_EUR[[#This Row],[USDEUR]]</f>
        <v>1.2131505519835011</v>
      </c>
    </row>
    <row r="534" spans="1:3" x14ac:dyDescent="0.45">
      <c r="A534" vm="1320">
        <v>44243</v>
      </c>
      <c r="B534" vm="1321">
        <v>0.82579999999999998</v>
      </c>
      <c r="C534">
        <f>1/T_USD_EUR[[#This Row],[USDEUR]]</f>
        <v>1.2109469605231291</v>
      </c>
    </row>
    <row r="535" spans="1:3" x14ac:dyDescent="0.45">
      <c r="A535" vm="1322">
        <v>44244</v>
      </c>
      <c r="B535" vm="1323">
        <v>0.8306</v>
      </c>
      <c r="C535">
        <f>1/T_USD_EUR[[#This Row],[USDEUR]]</f>
        <v>1.2039489525644114</v>
      </c>
    </row>
    <row r="536" spans="1:3" x14ac:dyDescent="0.45">
      <c r="A536" vm="1324">
        <v>44245</v>
      </c>
      <c r="B536" vm="1325">
        <v>0.82699999999999996</v>
      </c>
      <c r="C536">
        <f>1/T_USD_EUR[[#This Row],[USDEUR]]</f>
        <v>1.2091898428053205</v>
      </c>
    </row>
    <row r="537" spans="1:3" x14ac:dyDescent="0.45">
      <c r="A537" vm="1326">
        <v>44246</v>
      </c>
      <c r="B537" vm="1312">
        <v>0.82499999999999996</v>
      </c>
      <c r="C537">
        <f>1/T_USD_EUR[[#This Row],[USDEUR]]</f>
        <v>1.2121212121212122</v>
      </c>
    </row>
    <row r="538" spans="1:3" x14ac:dyDescent="0.45">
      <c r="A538" vm="1327">
        <v>44249</v>
      </c>
      <c r="B538" vm="1277">
        <v>0.82250000000000001</v>
      </c>
      <c r="C538">
        <f>1/T_USD_EUR[[#This Row],[USDEUR]]</f>
        <v>1.21580547112462</v>
      </c>
    </row>
    <row r="539" spans="1:3" x14ac:dyDescent="0.45">
      <c r="A539" vm="1328">
        <v>44250</v>
      </c>
      <c r="B539" vm="1329">
        <v>0.82299999999999995</v>
      </c>
      <c r="C539">
        <f>1/T_USD_EUR[[#This Row],[USDEUR]]</f>
        <v>1.2150668286755772</v>
      </c>
    </row>
    <row r="540" spans="1:3" x14ac:dyDescent="0.45">
      <c r="A540" vm="1330">
        <v>44251</v>
      </c>
      <c r="B540" vm="1247">
        <v>0.82199999999999995</v>
      </c>
      <c r="C540">
        <f>1/T_USD_EUR[[#This Row],[USDEUR]]</f>
        <v>1.2165450121654502</v>
      </c>
    </row>
    <row r="541" spans="1:3" x14ac:dyDescent="0.45">
      <c r="A541" vm="1331">
        <v>44252</v>
      </c>
      <c r="B541" vm="1332">
        <v>0.82110000000000005</v>
      </c>
      <c r="C541">
        <f>1/T_USD_EUR[[#This Row],[USDEUR]]</f>
        <v>1.2178784557301181</v>
      </c>
    </row>
    <row r="542" spans="1:3" x14ac:dyDescent="0.45">
      <c r="A542" vm="1333">
        <v>44253</v>
      </c>
      <c r="B542" vm="1334">
        <v>0.82799999999999996</v>
      </c>
      <c r="C542">
        <f>1/T_USD_EUR[[#This Row],[USDEUR]]</f>
        <v>1.2077294685990339</v>
      </c>
    </row>
    <row r="543" spans="1:3" x14ac:dyDescent="0.45">
      <c r="A543" vm="1335">
        <v>44256</v>
      </c>
      <c r="B543" vm="1336">
        <v>0.82979999999999998</v>
      </c>
      <c r="C543">
        <f>1/T_USD_EUR[[#This Row],[USDEUR]]</f>
        <v>1.2051096649795132</v>
      </c>
    </row>
    <row r="544" spans="1:3" x14ac:dyDescent="0.45">
      <c r="A544" vm="1337">
        <v>44257</v>
      </c>
      <c r="B544" vm="1338">
        <v>0.82689999999999997</v>
      </c>
      <c r="C544">
        <f>1/T_USD_EUR[[#This Row],[USDEUR]]</f>
        <v>1.2093360744951023</v>
      </c>
    </row>
    <row r="545" spans="1:3" x14ac:dyDescent="0.45">
      <c r="A545" vm="1339">
        <v>44258</v>
      </c>
      <c r="B545" vm="1340">
        <v>0.82879999999999998</v>
      </c>
      <c r="C545">
        <f>1/T_USD_EUR[[#This Row],[USDEUR]]</f>
        <v>1.2065637065637065</v>
      </c>
    </row>
    <row r="546" spans="1:3" x14ac:dyDescent="0.45">
      <c r="A546" vm="1341">
        <v>44259</v>
      </c>
      <c r="B546" vm="1342">
        <v>0.83540000000000003</v>
      </c>
      <c r="C546">
        <f>1/T_USD_EUR[[#This Row],[USDEUR]]</f>
        <v>1.1970313622216902</v>
      </c>
    </row>
    <row r="547" spans="1:3" x14ac:dyDescent="0.45">
      <c r="A547" vm="1343">
        <v>44260</v>
      </c>
      <c r="B547" vm="1344">
        <v>0.83899999999999997</v>
      </c>
      <c r="C547">
        <f>1/T_USD_EUR[[#This Row],[USDEUR]]</f>
        <v>1.1918951132300357</v>
      </c>
    </row>
    <row r="548" spans="1:3" x14ac:dyDescent="0.45">
      <c r="A548" vm="1345">
        <v>44263</v>
      </c>
      <c r="B548" vm="1346">
        <v>0.84409999999999996</v>
      </c>
      <c r="C548">
        <f>1/T_USD_EUR[[#This Row],[USDEUR]]</f>
        <v>1.1846937566639024</v>
      </c>
    </row>
    <row r="549" spans="1:3" x14ac:dyDescent="0.45">
      <c r="A549" vm="1347">
        <v>44264</v>
      </c>
      <c r="B549" vm="1348">
        <v>0.84019999999999995</v>
      </c>
      <c r="C549">
        <f>1/T_USD_EUR[[#This Row],[USDEUR]]</f>
        <v>1.1901928112354203</v>
      </c>
    </row>
    <row r="550" spans="1:3" x14ac:dyDescent="0.45">
      <c r="A550" vm="1349">
        <v>44265</v>
      </c>
      <c r="B550" vm="1350">
        <v>0.83830000000000005</v>
      </c>
      <c r="C550">
        <f>1/T_USD_EUR[[#This Row],[USDEUR]]</f>
        <v>1.1928903733746867</v>
      </c>
    </row>
    <row r="551" spans="1:3" x14ac:dyDescent="0.45">
      <c r="A551" vm="1351">
        <v>44266</v>
      </c>
      <c r="B551" vm="1352">
        <v>0.83420000000000005</v>
      </c>
      <c r="C551">
        <f>1/T_USD_EUR[[#This Row],[USDEUR]]</f>
        <v>1.1987532965715655</v>
      </c>
    </row>
    <row r="552" spans="1:3" x14ac:dyDescent="0.45">
      <c r="A552" vm="1353">
        <v>44267</v>
      </c>
      <c r="B552" vm="1354">
        <v>0.83640000000000003</v>
      </c>
      <c r="C552">
        <f>1/T_USD_EUR[[#This Row],[USDEUR]]</f>
        <v>1.1956001912960306</v>
      </c>
    </row>
    <row r="553" spans="1:3" x14ac:dyDescent="0.45">
      <c r="A553" vm="1355">
        <v>44270</v>
      </c>
      <c r="B553" vm="1092">
        <v>0.83809999999999996</v>
      </c>
      <c r="C553">
        <f>1/T_USD_EUR[[#This Row],[USDEUR]]</f>
        <v>1.1931750387781888</v>
      </c>
    </row>
    <row r="554" spans="1:3" x14ac:dyDescent="0.45">
      <c r="A554" vm="1356">
        <v>44271</v>
      </c>
      <c r="B554" vm="1357">
        <v>0.84009999999999996</v>
      </c>
      <c r="C554">
        <f>1/T_USD_EUR[[#This Row],[USDEUR]]</f>
        <v>1.1903344839900012</v>
      </c>
    </row>
    <row r="555" spans="1:3" x14ac:dyDescent="0.45">
      <c r="A555" vm="1358">
        <v>44272</v>
      </c>
      <c r="B555" vm="1359">
        <v>0.8347</v>
      </c>
      <c r="C555">
        <f>1/T_USD_EUR[[#This Row],[USDEUR]]</f>
        <v>1.1980352222355337</v>
      </c>
    </row>
    <row r="556" spans="1:3" x14ac:dyDescent="0.45">
      <c r="A556" vm="1360">
        <v>44273</v>
      </c>
      <c r="B556" vm="1211">
        <v>0.83919999999999995</v>
      </c>
      <c r="C556">
        <f>1/T_USD_EUR[[#This Row],[USDEUR]]</f>
        <v>1.1916110581506196</v>
      </c>
    </row>
    <row r="557" spans="1:3" x14ac:dyDescent="0.45">
      <c r="A557" vm="1361">
        <v>44274</v>
      </c>
      <c r="B557" vm="1362">
        <v>0.84</v>
      </c>
      <c r="C557">
        <f>1/T_USD_EUR[[#This Row],[USDEUR]]</f>
        <v>1.1904761904761905</v>
      </c>
    </row>
    <row r="558" spans="1:3" x14ac:dyDescent="0.45">
      <c r="A558" vm="1363">
        <v>44277</v>
      </c>
      <c r="B558" vm="1109">
        <v>0.8377</v>
      </c>
      <c r="C558">
        <f>1/T_USD_EUR[[#This Row],[USDEUR]]</f>
        <v>1.193744777366599</v>
      </c>
    </row>
    <row r="559" spans="1:3" x14ac:dyDescent="0.45">
      <c r="A559" vm="1364">
        <v>44278</v>
      </c>
      <c r="B559" vm="1115">
        <v>0.84370000000000001</v>
      </c>
      <c r="C559">
        <f>1/T_USD_EUR[[#This Row],[USDEUR]]</f>
        <v>1.1852554225435581</v>
      </c>
    </row>
    <row r="560" spans="1:3" x14ac:dyDescent="0.45">
      <c r="A560" vm="1365">
        <v>44279</v>
      </c>
      <c r="B560" vm="1366">
        <v>0.84650000000000003</v>
      </c>
      <c r="C560">
        <f>1/T_USD_EUR[[#This Row],[USDEUR]]</f>
        <v>1.1813349084465445</v>
      </c>
    </row>
    <row r="561" spans="1:3" x14ac:dyDescent="0.45">
      <c r="A561" vm="1367">
        <v>44280</v>
      </c>
      <c r="B561" vm="1070">
        <v>0.85</v>
      </c>
      <c r="C561">
        <f>1/T_USD_EUR[[#This Row],[USDEUR]]</f>
        <v>1.1764705882352942</v>
      </c>
    </row>
    <row r="562" spans="1:3" x14ac:dyDescent="0.45">
      <c r="A562" vm="1368">
        <v>44281</v>
      </c>
      <c r="B562" vm="1369">
        <v>0.8478</v>
      </c>
      <c r="C562">
        <f>1/T_USD_EUR[[#This Row],[USDEUR]]</f>
        <v>1.1795234725171031</v>
      </c>
    </row>
    <row r="563" spans="1:3" x14ac:dyDescent="0.45">
      <c r="A563" vm="1370">
        <v>44284</v>
      </c>
      <c r="B563" vm="1371">
        <v>0.84989999999999999</v>
      </c>
      <c r="C563">
        <f>1/T_USD_EUR[[#This Row],[USDEUR]]</f>
        <v>1.1766090128250382</v>
      </c>
    </row>
    <row r="564" spans="1:3" x14ac:dyDescent="0.45">
      <c r="A564" vm="1372">
        <v>44285</v>
      </c>
      <c r="B564" vm="1062">
        <v>0.85340000000000005</v>
      </c>
      <c r="C564">
        <f>1/T_USD_EUR[[#This Row],[USDEUR]]</f>
        <v>1.1717834544176235</v>
      </c>
    </row>
    <row r="565" spans="1:3" x14ac:dyDescent="0.45">
      <c r="A565" vm="1373">
        <v>44286</v>
      </c>
      <c r="B565" vm="1374">
        <v>0.85240000000000005</v>
      </c>
      <c r="C565">
        <f>1/T_USD_EUR[[#This Row],[USDEUR]]</f>
        <v>1.1731581417175034</v>
      </c>
    </row>
    <row r="566" spans="1:3" x14ac:dyDescent="0.45">
      <c r="A566" vm="1375">
        <v>44287</v>
      </c>
      <c r="B566" vm="1121">
        <v>0.84899999999999998</v>
      </c>
      <c r="C566">
        <f>1/T_USD_EUR[[#This Row],[USDEUR]]</f>
        <v>1.1778563015312131</v>
      </c>
    </row>
    <row r="567" spans="1:3" x14ac:dyDescent="0.45">
      <c r="A567" vm="1376">
        <v>44288</v>
      </c>
      <c r="B567" vm="1371">
        <v>0.84989999999999999</v>
      </c>
      <c r="C567">
        <f>1/T_USD_EUR[[#This Row],[USDEUR]]</f>
        <v>1.1766090128250382</v>
      </c>
    </row>
    <row r="568" spans="1:3" x14ac:dyDescent="0.45">
      <c r="A568" vm="1377">
        <v>44291</v>
      </c>
      <c r="B568" vm="1163">
        <v>0.84640000000000004</v>
      </c>
      <c r="C568">
        <f>1/T_USD_EUR[[#This Row],[USDEUR]]</f>
        <v>1.1814744801512287</v>
      </c>
    </row>
    <row r="569" spans="1:3" x14ac:dyDescent="0.45">
      <c r="A569" vm="1378">
        <v>44292</v>
      </c>
      <c r="B569" vm="1076">
        <v>0.84189999999999998</v>
      </c>
      <c r="C569">
        <f>1/T_USD_EUR[[#This Row],[USDEUR]]</f>
        <v>1.1877895236964011</v>
      </c>
    </row>
    <row r="570" spans="1:3" x14ac:dyDescent="0.45">
      <c r="A570" vm="1379">
        <v>44293</v>
      </c>
      <c r="B570" vm="1380">
        <v>0.84219999999999995</v>
      </c>
      <c r="C570">
        <f>1/T_USD_EUR[[#This Row],[USDEUR]]</f>
        <v>1.1873664212776063</v>
      </c>
    </row>
    <row r="571" spans="1:3" x14ac:dyDescent="0.45">
      <c r="A571" vm="1381">
        <v>44294</v>
      </c>
      <c r="B571" vm="1111">
        <v>0.83930000000000005</v>
      </c>
      <c r="C571">
        <f>1/T_USD_EUR[[#This Row],[USDEUR]]</f>
        <v>1.1914690813773381</v>
      </c>
    </row>
    <row r="572" spans="1:3" x14ac:dyDescent="0.45">
      <c r="A572" vm="1382">
        <v>44295</v>
      </c>
      <c r="B572" vm="1362">
        <v>0.84</v>
      </c>
      <c r="C572">
        <f>1/T_USD_EUR[[#This Row],[USDEUR]]</f>
        <v>1.1904761904761905</v>
      </c>
    </row>
    <row r="573" spans="1:3" x14ac:dyDescent="0.45">
      <c r="A573" vm="1383">
        <v>44298</v>
      </c>
      <c r="B573" vm="1384">
        <v>0.83940000000000003</v>
      </c>
      <c r="C573">
        <f>1/T_USD_EUR[[#This Row],[USDEUR]]</f>
        <v>1.1913271384322135</v>
      </c>
    </row>
    <row r="574" spans="1:3" x14ac:dyDescent="0.45">
      <c r="A574" vm="1385">
        <v>44299</v>
      </c>
      <c r="B574" vm="1386">
        <v>0.83679999999999999</v>
      </c>
      <c r="C574">
        <f>1/T_USD_EUR[[#This Row],[USDEUR]]</f>
        <v>1.1950286806883366</v>
      </c>
    </row>
    <row r="575" spans="1:3" x14ac:dyDescent="0.45">
      <c r="A575" vm="1387">
        <v>44300</v>
      </c>
      <c r="B575" vm="1388">
        <v>0.83460000000000001</v>
      </c>
      <c r="C575">
        <f>1/T_USD_EUR[[#This Row],[USDEUR]]</f>
        <v>1.1981787682722262</v>
      </c>
    </row>
    <row r="576" spans="1:3" x14ac:dyDescent="0.45">
      <c r="A576" vm="1389">
        <v>44301</v>
      </c>
      <c r="B576" vm="1390">
        <v>0.83550000000000002</v>
      </c>
      <c r="C576">
        <f>1/T_USD_EUR[[#This Row],[USDEUR]]</f>
        <v>1.1968880909634949</v>
      </c>
    </row>
    <row r="577" spans="1:3" x14ac:dyDescent="0.45">
      <c r="A577" vm="1391">
        <v>44302</v>
      </c>
      <c r="B577" vm="1352">
        <v>0.83420000000000005</v>
      </c>
      <c r="C577">
        <f>1/T_USD_EUR[[#This Row],[USDEUR]]</f>
        <v>1.1987532965715655</v>
      </c>
    </row>
    <row r="578" spans="1:3" x14ac:dyDescent="0.45">
      <c r="A578" vm="1392">
        <v>44305</v>
      </c>
      <c r="B578" vm="1393">
        <v>0.83079999999999998</v>
      </c>
      <c r="C578">
        <f>1/T_USD_EUR[[#This Row],[USDEUR]]</f>
        <v>1.203659123736158</v>
      </c>
    </row>
    <row r="579" spans="1:3" x14ac:dyDescent="0.45">
      <c r="A579" vm="1394">
        <v>44306</v>
      </c>
      <c r="B579" vm="1393">
        <v>0.83079999999999998</v>
      </c>
      <c r="C579">
        <f>1/T_USD_EUR[[#This Row],[USDEUR]]</f>
        <v>1.203659123736158</v>
      </c>
    </row>
    <row r="580" spans="1:3" x14ac:dyDescent="0.45">
      <c r="A580" vm="1395">
        <v>44307</v>
      </c>
      <c r="B580" vm="1393">
        <v>0.83079999999999998</v>
      </c>
      <c r="C580">
        <f>1/T_USD_EUR[[#This Row],[USDEUR]]</f>
        <v>1.203659123736158</v>
      </c>
    </row>
    <row r="581" spans="1:3" x14ac:dyDescent="0.45">
      <c r="A581" vm="1396">
        <v>44308</v>
      </c>
      <c r="B581" vm="1397">
        <v>0.83220000000000005</v>
      </c>
      <c r="C581">
        <f>1/T_USD_EUR[[#This Row],[USDEUR]]</f>
        <v>1.2016342225426579</v>
      </c>
    </row>
    <row r="582" spans="1:3" x14ac:dyDescent="0.45">
      <c r="A582" vm="1398">
        <v>44309</v>
      </c>
      <c r="B582" vm="1399">
        <v>0.82640000000000002</v>
      </c>
      <c r="C582">
        <f>1/T_USD_EUR[[#This Row],[USDEUR]]</f>
        <v>1.2100677637947725</v>
      </c>
    </row>
    <row r="583" spans="1:3" x14ac:dyDescent="0.45">
      <c r="A583" vm="1400">
        <v>44312</v>
      </c>
      <c r="B583" vm="1229">
        <v>0.8276</v>
      </c>
      <c r="C583">
        <f>1/T_USD_EUR[[#This Row],[USDEUR]]</f>
        <v>1.2083131947800869</v>
      </c>
    </row>
    <row r="584" spans="1:3" x14ac:dyDescent="0.45">
      <c r="A584" vm="1401">
        <v>44313</v>
      </c>
      <c r="B584" vm="1338">
        <v>0.82689999999999997</v>
      </c>
      <c r="C584">
        <f>1/T_USD_EUR[[#This Row],[USDEUR]]</f>
        <v>1.2093360744951023</v>
      </c>
    </row>
    <row r="585" spans="1:3" x14ac:dyDescent="0.45">
      <c r="A585" vm="1402">
        <v>44314</v>
      </c>
      <c r="B585" vm="1403">
        <v>0.8246</v>
      </c>
      <c r="C585">
        <f>1/T_USD_EUR[[#This Row],[USDEUR]]</f>
        <v>1.2127091923356779</v>
      </c>
    </row>
    <row r="586" spans="1:3" x14ac:dyDescent="0.45">
      <c r="A586" vm="1404">
        <v>44315</v>
      </c>
      <c r="B586" vm="1318">
        <v>0.82489999999999997</v>
      </c>
      <c r="C586">
        <f>1/T_USD_EUR[[#This Row],[USDEUR]]</f>
        <v>1.2122681537156019</v>
      </c>
    </row>
    <row r="587" spans="1:3" x14ac:dyDescent="0.45">
      <c r="A587" vm="1405">
        <v>44316</v>
      </c>
      <c r="B587" vm="1406">
        <v>0.83179999999999998</v>
      </c>
      <c r="C587">
        <f>1/T_USD_EUR[[#This Row],[USDEUR]]</f>
        <v>1.202212070209185</v>
      </c>
    </row>
    <row r="588" spans="1:3" x14ac:dyDescent="0.45">
      <c r="A588" vm="1407">
        <v>44319</v>
      </c>
      <c r="B588" vm="1340">
        <v>0.82879999999999998</v>
      </c>
      <c r="C588">
        <f>1/T_USD_EUR[[#This Row],[USDEUR]]</f>
        <v>1.2065637065637065</v>
      </c>
    </row>
    <row r="589" spans="1:3" x14ac:dyDescent="0.45">
      <c r="A589" vm="1408">
        <v>44320</v>
      </c>
      <c r="B589" vm="1397">
        <v>0.83220000000000005</v>
      </c>
      <c r="C589">
        <f>1/T_USD_EUR[[#This Row],[USDEUR]]</f>
        <v>1.2016342225426579</v>
      </c>
    </row>
    <row r="590" spans="1:3" x14ac:dyDescent="0.45">
      <c r="A590" vm="1409">
        <v>44321</v>
      </c>
      <c r="B590" vm="1410">
        <v>0.83279999999999998</v>
      </c>
      <c r="C590">
        <f>1/T_USD_EUR[[#This Row],[USDEUR]]</f>
        <v>1.2007684918347743</v>
      </c>
    </row>
    <row r="591" spans="1:3" x14ac:dyDescent="0.45">
      <c r="A591" vm="1411">
        <v>44322</v>
      </c>
      <c r="B591" vm="1412">
        <v>0.8286</v>
      </c>
      <c r="C591">
        <f>1/T_USD_EUR[[#This Row],[USDEUR]]</f>
        <v>1.2068549360366885</v>
      </c>
    </row>
    <row r="592" spans="1:3" x14ac:dyDescent="0.45">
      <c r="A592" vm="1413">
        <v>44323</v>
      </c>
      <c r="B592" vm="1247">
        <v>0.82199999999999995</v>
      </c>
      <c r="C592">
        <f>1/T_USD_EUR[[#This Row],[USDEUR]]</f>
        <v>1.2165450121654502</v>
      </c>
    </row>
    <row r="593" spans="1:3" x14ac:dyDescent="0.45">
      <c r="A593" vm="1414">
        <v>44326</v>
      </c>
      <c r="B593" vm="1316">
        <v>0.82430000000000003</v>
      </c>
      <c r="C593">
        <f>1/T_USD_EUR[[#This Row],[USDEUR]]</f>
        <v>1.2131505519835011</v>
      </c>
    </row>
    <row r="594" spans="1:3" x14ac:dyDescent="0.45">
      <c r="A594" vm="1415">
        <v>44327</v>
      </c>
      <c r="B594" vm="1329">
        <v>0.82299999999999995</v>
      </c>
      <c r="C594">
        <f>1/T_USD_EUR[[#This Row],[USDEUR]]</f>
        <v>1.2150668286755772</v>
      </c>
    </row>
    <row r="595" spans="1:3" x14ac:dyDescent="0.45">
      <c r="A595" vm="1416">
        <v>44328</v>
      </c>
      <c r="B595" vm="1417">
        <v>0.82820000000000005</v>
      </c>
      <c r="C595">
        <f>1/T_USD_EUR[[#This Row],[USDEUR]]</f>
        <v>1.2074378169524269</v>
      </c>
    </row>
    <row r="596" spans="1:3" x14ac:dyDescent="0.45">
      <c r="A596" vm="1418">
        <v>44329</v>
      </c>
      <c r="B596" vm="1281">
        <v>0.82769999999999999</v>
      </c>
      <c r="C596">
        <f>1/T_USD_EUR[[#This Row],[USDEUR]]</f>
        <v>1.2081672103419114</v>
      </c>
    </row>
    <row r="597" spans="1:3" x14ac:dyDescent="0.45">
      <c r="A597" vm="1419">
        <v>44330</v>
      </c>
      <c r="B597" vm="1420">
        <v>0.82350000000000001</v>
      </c>
      <c r="C597">
        <f>1/T_USD_EUR[[#This Row],[USDEUR]]</f>
        <v>1.2143290831815421</v>
      </c>
    </row>
    <row r="598" spans="1:3" x14ac:dyDescent="0.45">
      <c r="A598" vm="1421">
        <v>44333</v>
      </c>
      <c r="B598" vm="1237">
        <v>0.82269999999999999</v>
      </c>
      <c r="C598">
        <f>1/T_USD_EUR[[#This Row],[USDEUR]]</f>
        <v>1.2155099064057373</v>
      </c>
    </row>
    <row r="599" spans="1:3" x14ac:dyDescent="0.45">
      <c r="A599" vm="1422">
        <v>44334</v>
      </c>
      <c r="B599" vm="1423">
        <v>0.81810000000000005</v>
      </c>
      <c r="C599">
        <f>1/T_USD_EUR[[#This Row],[USDEUR]]</f>
        <v>1.2223444566678889</v>
      </c>
    </row>
    <row r="600" spans="1:3" x14ac:dyDescent="0.45">
      <c r="A600" vm="1424">
        <v>44335</v>
      </c>
      <c r="B600" vm="1425">
        <v>0.82130000000000003</v>
      </c>
      <c r="C600">
        <f>1/T_USD_EUR[[#This Row],[USDEUR]]</f>
        <v>1.21758188238159</v>
      </c>
    </row>
    <row r="601" spans="1:3" x14ac:dyDescent="0.45">
      <c r="A601" vm="1426">
        <v>44336</v>
      </c>
      <c r="B601" vm="1427">
        <v>0.81769999999999998</v>
      </c>
      <c r="C601">
        <f>1/T_USD_EUR[[#This Row],[USDEUR]]</f>
        <v>1.2229423994129878</v>
      </c>
    </row>
    <row r="602" spans="1:3" x14ac:dyDescent="0.45">
      <c r="A602" vm="1428">
        <v>44337</v>
      </c>
      <c r="B602" vm="1429">
        <v>0.82079999999999997</v>
      </c>
      <c r="C602">
        <f>1/T_USD_EUR[[#This Row],[USDEUR]]</f>
        <v>1.2183235867446394</v>
      </c>
    </row>
    <row r="603" spans="1:3" x14ac:dyDescent="0.45">
      <c r="A603" vm="1430">
        <v>44340</v>
      </c>
      <c r="B603" vm="1431">
        <v>0.81859999999999999</v>
      </c>
      <c r="C603">
        <f>1/T_USD_EUR[[#This Row],[USDEUR]]</f>
        <v>1.221597849987784</v>
      </c>
    </row>
    <row r="604" spans="1:3" x14ac:dyDescent="0.45">
      <c r="A604" vm="1432">
        <v>44341</v>
      </c>
      <c r="B604" vm="1433">
        <v>0.81610000000000005</v>
      </c>
      <c r="C604">
        <f>1/T_USD_EUR[[#This Row],[USDEUR]]</f>
        <v>1.2253400318588408</v>
      </c>
    </row>
    <row r="605" spans="1:3" x14ac:dyDescent="0.45">
      <c r="A605" vm="1434">
        <v>44342</v>
      </c>
      <c r="B605" vm="1435">
        <v>0.82010000000000005</v>
      </c>
      <c r="C605">
        <f>1/T_USD_EUR[[#This Row],[USDEUR]]</f>
        <v>1.2193634922570418</v>
      </c>
    </row>
    <row r="606" spans="1:3" x14ac:dyDescent="0.45">
      <c r="A606" vm="1436">
        <v>44343</v>
      </c>
      <c r="B606" vm="1437">
        <v>0.81989999999999996</v>
      </c>
      <c r="C606">
        <f>1/T_USD_EUR[[#This Row],[USDEUR]]</f>
        <v>1.2196609342602758</v>
      </c>
    </row>
    <row r="607" spans="1:3" x14ac:dyDescent="0.45">
      <c r="A607" vm="1438">
        <v>44344</v>
      </c>
      <c r="B607" vm="1439">
        <v>0.82</v>
      </c>
      <c r="C607">
        <f>1/T_USD_EUR[[#This Row],[USDEUR]]</f>
        <v>1.2195121951219512</v>
      </c>
    </row>
    <row r="608" spans="1:3" x14ac:dyDescent="0.45">
      <c r="A608" vm="1440">
        <v>44347</v>
      </c>
      <c r="B608" vm="1427">
        <v>0.81769999999999998</v>
      </c>
      <c r="C608">
        <f>1/T_USD_EUR[[#This Row],[USDEUR]]</f>
        <v>1.2229423994129878</v>
      </c>
    </row>
    <row r="609" spans="1:3" x14ac:dyDescent="0.45">
      <c r="A609" vm="1441">
        <v>44348</v>
      </c>
      <c r="B609" vm="1442">
        <v>0.81869999999999998</v>
      </c>
      <c r="C609">
        <f>1/T_USD_EUR[[#This Row],[USDEUR]]</f>
        <v>1.2214486380847687</v>
      </c>
    </row>
    <row r="610" spans="1:3" x14ac:dyDescent="0.45">
      <c r="A610" vm="1443">
        <v>44349</v>
      </c>
      <c r="B610" vm="1444">
        <v>0.81879999999999997</v>
      </c>
      <c r="C610">
        <f>1/T_USD_EUR[[#This Row],[USDEUR]]</f>
        <v>1.2212994626282365</v>
      </c>
    </row>
    <row r="611" spans="1:3" x14ac:dyDescent="0.45">
      <c r="A611" vm="1445">
        <v>44350</v>
      </c>
      <c r="B611" vm="1446">
        <v>0.82450000000000001</v>
      </c>
      <c r="C611">
        <f>1/T_USD_EUR[[#This Row],[USDEUR]]</f>
        <v>1.212856276531231</v>
      </c>
    </row>
    <row r="612" spans="1:3" x14ac:dyDescent="0.45">
      <c r="A612" vm="1447">
        <v>44351</v>
      </c>
      <c r="B612" vm="1290">
        <v>0.82179999999999997</v>
      </c>
      <c r="C612">
        <f>1/T_USD_EUR[[#This Row],[USDEUR]]</f>
        <v>1.2168410805548795</v>
      </c>
    </row>
    <row r="613" spans="1:3" x14ac:dyDescent="0.45">
      <c r="A613" vm="1448">
        <v>44354</v>
      </c>
      <c r="B613" vm="1449">
        <v>0.82030000000000003</v>
      </c>
      <c r="C613">
        <f>1/T_USD_EUR[[#This Row],[USDEUR]]</f>
        <v>1.2190661952944044</v>
      </c>
    </row>
    <row r="614" spans="1:3" x14ac:dyDescent="0.45">
      <c r="A614" vm="1450">
        <v>44355</v>
      </c>
      <c r="B614" vm="1451">
        <v>0.82140000000000002</v>
      </c>
      <c r="C614">
        <f>1/T_USD_EUR[[#This Row],[USDEUR]]</f>
        <v>1.2174336498660823</v>
      </c>
    </row>
    <row r="615" spans="1:3" x14ac:dyDescent="0.45">
      <c r="A615" vm="1452">
        <v>44356</v>
      </c>
      <c r="B615" vm="1453">
        <v>0.82089999999999996</v>
      </c>
      <c r="C615">
        <f>1/T_USD_EUR[[#This Row],[USDEUR]]</f>
        <v>1.2181751735899622</v>
      </c>
    </row>
    <row r="616" spans="1:3" x14ac:dyDescent="0.45">
      <c r="A616" vm="1454">
        <v>44357</v>
      </c>
      <c r="B616" vm="1455">
        <v>0.82150000000000001</v>
      </c>
      <c r="C616">
        <f>1/T_USD_EUR[[#This Row],[USDEUR]]</f>
        <v>1.2172854534388313</v>
      </c>
    </row>
    <row r="617" spans="1:3" x14ac:dyDescent="0.45">
      <c r="A617" vm="1456">
        <v>44358</v>
      </c>
      <c r="B617" vm="1321">
        <v>0.82579999999999998</v>
      </c>
      <c r="C617">
        <f>1/T_USD_EUR[[#This Row],[USDEUR]]</f>
        <v>1.2109469605231291</v>
      </c>
    </row>
    <row r="618" spans="1:3" x14ac:dyDescent="0.45">
      <c r="A618" vm="1457">
        <v>44361</v>
      </c>
      <c r="B618" vm="1312">
        <v>0.82499999999999996</v>
      </c>
      <c r="C618">
        <f>1/T_USD_EUR[[#This Row],[USDEUR]]</f>
        <v>1.2121212121212122</v>
      </c>
    </row>
    <row r="619" spans="1:3" x14ac:dyDescent="0.45">
      <c r="A619" vm="1458">
        <v>44362</v>
      </c>
      <c r="B619" vm="1446">
        <v>0.82450000000000001</v>
      </c>
      <c r="C619">
        <f>1/T_USD_EUR[[#This Row],[USDEUR]]</f>
        <v>1.212856276531231</v>
      </c>
    </row>
    <row r="620" spans="1:3" x14ac:dyDescent="0.45">
      <c r="A620" vm="1459">
        <v>44363</v>
      </c>
      <c r="B620" vm="1460">
        <v>0.8337</v>
      </c>
      <c r="C620">
        <f>1/T_USD_EUR[[#This Row],[USDEUR]]</f>
        <v>1.1994722322178242</v>
      </c>
    </row>
    <row r="621" spans="1:3" x14ac:dyDescent="0.45">
      <c r="A621" vm="1461">
        <v>44364</v>
      </c>
      <c r="B621" vm="1462">
        <v>0.83960000000000001</v>
      </c>
      <c r="C621">
        <f>1/T_USD_EUR[[#This Row],[USDEUR]]</f>
        <v>1.1910433539780847</v>
      </c>
    </row>
    <row r="622" spans="1:3" x14ac:dyDescent="0.45">
      <c r="A622" vm="1463">
        <v>44365</v>
      </c>
      <c r="B622" vm="1464">
        <v>0.84289999999999998</v>
      </c>
      <c r="C622">
        <f>1/T_USD_EUR[[#This Row],[USDEUR]]</f>
        <v>1.1863803535413453</v>
      </c>
    </row>
    <row r="623" spans="1:3" x14ac:dyDescent="0.45">
      <c r="A623" vm="1465">
        <v>44368</v>
      </c>
      <c r="B623" vm="1466">
        <v>0.83909999999999996</v>
      </c>
      <c r="C623">
        <f>1/T_USD_EUR[[#This Row],[USDEUR]]</f>
        <v>1.1917530687641522</v>
      </c>
    </row>
    <row r="624" spans="1:3" x14ac:dyDescent="0.45">
      <c r="A624" vm="1467">
        <v>44369</v>
      </c>
      <c r="B624" vm="1468">
        <v>0.83740000000000003</v>
      </c>
      <c r="C624">
        <f>1/T_USD_EUR[[#This Row],[USDEUR]]</f>
        <v>1.1941724385001193</v>
      </c>
    </row>
    <row r="625" spans="1:3" x14ac:dyDescent="0.45">
      <c r="A625" vm="1469">
        <v>44370</v>
      </c>
      <c r="B625" vm="1470">
        <v>0.83840000000000003</v>
      </c>
      <c r="C625">
        <f>1/T_USD_EUR[[#This Row],[USDEUR]]</f>
        <v>1.1927480916030533</v>
      </c>
    </row>
    <row r="626" spans="1:3" x14ac:dyDescent="0.45">
      <c r="A626" vm="1471">
        <v>44371</v>
      </c>
      <c r="B626" vm="1472">
        <v>0.83789999999999998</v>
      </c>
      <c r="C626">
        <f>1/T_USD_EUR[[#This Row],[USDEUR]]</f>
        <v>1.1934598400763814</v>
      </c>
    </row>
    <row r="627" spans="1:3" x14ac:dyDescent="0.45">
      <c r="A627" vm="1473">
        <v>44372</v>
      </c>
      <c r="B627" vm="1109">
        <v>0.8377</v>
      </c>
      <c r="C627">
        <f>1/T_USD_EUR[[#This Row],[USDEUR]]</f>
        <v>1.193744777366599</v>
      </c>
    </row>
    <row r="628" spans="1:3" x14ac:dyDescent="0.45">
      <c r="A628" vm="1474">
        <v>44375</v>
      </c>
      <c r="B628" vm="1470">
        <v>0.83840000000000003</v>
      </c>
      <c r="C628">
        <f>1/T_USD_EUR[[#This Row],[USDEUR]]</f>
        <v>1.1927480916030533</v>
      </c>
    </row>
    <row r="629" spans="1:3" x14ac:dyDescent="0.45">
      <c r="A629" vm="1475">
        <v>44376</v>
      </c>
      <c r="B629" vm="1476">
        <v>0.84040000000000004</v>
      </c>
      <c r="C629">
        <f>1/T_USD_EUR[[#This Row],[USDEUR]]</f>
        <v>1.1899095668729176</v>
      </c>
    </row>
    <row r="630" spans="1:3" x14ac:dyDescent="0.45">
      <c r="A630" vm="1477">
        <v>44377</v>
      </c>
      <c r="B630" vm="1478">
        <v>0.84330000000000005</v>
      </c>
      <c r="C630">
        <f>1/T_USD_EUR[[#This Row],[USDEUR]]</f>
        <v>1.1858176212498517</v>
      </c>
    </row>
    <row r="631" spans="1:3" x14ac:dyDescent="0.45">
      <c r="A631" vm="1479">
        <v>44378</v>
      </c>
      <c r="B631" vm="1115">
        <v>0.84370000000000001</v>
      </c>
      <c r="C631">
        <f>1/T_USD_EUR[[#This Row],[USDEUR]]</f>
        <v>1.1852554225435581</v>
      </c>
    </row>
    <row r="632" spans="1:3" x14ac:dyDescent="0.45">
      <c r="A632" vm="1480">
        <v>44379</v>
      </c>
      <c r="B632" vm="1481">
        <v>0.84260000000000002</v>
      </c>
      <c r="C632">
        <f>1/T_USD_EUR[[#This Row],[USDEUR]]</f>
        <v>1.1868027533823877</v>
      </c>
    </row>
    <row r="633" spans="1:3" x14ac:dyDescent="0.45">
      <c r="A633" vm="1482">
        <v>44382</v>
      </c>
      <c r="B633" vm="1074">
        <v>0.84279999999999999</v>
      </c>
      <c r="C633">
        <f>1/T_USD_EUR[[#This Row],[USDEUR]]</f>
        <v>1.1865211200759374</v>
      </c>
    </row>
    <row r="634" spans="1:3" x14ac:dyDescent="0.45">
      <c r="A634" vm="1483">
        <v>44383</v>
      </c>
      <c r="B634" vm="1484">
        <v>0.84560000000000002</v>
      </c>
      <c r="C634">
        <f>1/T_USD_EUR[[#This Row],[USDEUR]]</f>
        <v>1.1825922421948911</v>
      </c>
    </row>
    <row r="635" spans="1:3" x14ac:dyDescent="0.45">
      <c r="A635" vm="1485">
        <v>44384</v>
      </c>
      <c r="B635" vm="1486">
        <v>0.84799999999999998</v>
      </c>
      <c r="C635">
        <f>1/T_USD_EUR[[#This Row],[USDEUR]]</f>
        <v>1.179245283018868</v>
      </c>
    </row>
    <row r="636" spans="1:3" x14ac:dyDescent="0.45">
      <c r="A636" vm="1487">
        <v>44385</v>
      </c>
      <c r="B636" vm="1488">
        <v>0.84419999999999995</v>
      </c>
      <c r="C636">
        <f>1/T_USD_EUR[[#This Row],[USDEUR]]</f>
        <v>1.1845534233593935</v>
      </c>
    </row>
    <row r="637" spans="1:3" x14ac:dyDescent="0.45">
      <c r="A637" vm="1489">
        <v>44386</v>
      </c>
      <c r="B637" vm="1194">
        <v>0.84199999999999997</v>
      </c>
      <c r="C637">
        <f>1/T_USD_EUR[[#This Row],[USDEUR]]</f>
        <v>1.1876484560570071</v>
      </c>
    </row>
    <row r="638" spans="1:3" x14ac:dyDescent="0.45">
      <c r="A638" vm="1490">
        <v>44389</v>
      </c>
      <c r="B638" vm="1096">
        <v>0.84299999999999997</v>
      </c>
      <c r="C638">
        <f>1/T_USD_EUR[[#This Row],[USDEUR]]</f>
        <v>1.1862396204033214</v>
      </c>
    </row>
    <row r="639" spans="1:3" x14ac:dyDescent="0.45">
      <c r="A639" vm="1491">
        <v>44390</v>
      </c>
      <c r="B639" vm="1121">
        <v>0.84899999999999998</v>
      </c>
      <c r="C639">
        <f>1/T_USD_EUR[[#This Row],[USDEUR]]</f>
        <v>1.1778563015312131</v>
      </c>
    </row>
    <row r="640" spans="1:3" x14ac:dyDescent="0.45">
      <c r="A640" vm="1492">
        <v>44391</v>
      </c>
      <c r="B640" vm="1094">
        <v>0.84470000000000001</v>
      </c>
      <c r="C640">
        <f>1/T_USD_EUR[[#This Row],[USDEUR]]</f>
        <v>1.1838522552385462</v>
      </c>
    </row>
    <row r="641" spans="1:3" x14ac:dyDescent="0.45">
      <c r="A641" vm="1493">
        <v>44392</v>
      </c>
      <c r="B641" vm="1086">
        <v>0.84630000000000005</v>
      </c>
      <c r="C641">
        <f>1/T_USD_EUR[[#This Row],[USDEUR]]</f>
        <v>1.1816140848398913</v>
      </c>
    </row>
    <row r="642" spans="1:3" x14ac:dyDescent="0.45">
      <c r="A642" vm="1494">
        <v>44393</v>
      </c>
      <c r="B642" vm="1495">
        <v>0.8468</v>
      </c>
      <c r="C642">
        <f>1/T_USD_EUR[[#This Row],[USDEUR]]</f>
        <v>1.1809163911195086</v>
      </c>
    </row>
    <row r="643" spans="1:3" x14ac:dyDescent="0.45">
      <c r="A643" vm="1496">
        <v>44396</v>
      </c>
      <c r="B643" vm="1497">
        <v>0.84730000000000005</v>
      </c>
      <c r="C643">
        <f>1/T_USD_EUR[[#This Row],[USDEUR]]</f>
        <v>1.1802195208308746</v>
      </c>
    </row>
    <row r="644" spans="1:3" x14ac:dyDescent="0.45">
      <c r="A644" vm="1498">
        <v>44397</v>
      </c>
      <c r="B644" vm="1499">
        <v>0.84870000000000001</v>
      </c>
      <c r="C644">
        <f>1/T_USD_EUR[[#This Row],[USDEUR]]</f>
        <v>1.1782726522917404</v>
      </c>
    </row>
    <row r="645" spans="1:3" x14ac:dyDescent="0.45">
      <c r="A645" vm="1500">
        <v>44398</v>
      </c>
      <c r="B645" vm="1181">
        <v>0.84770000000000001</v>
      </c>
      <c r="C645">
        <f>1/T_USD_EUR[[#This Row],[USDEUR]]</f>
        <v>1.1796626164916835</v>
      </c>
    </row>
    <row r="646" spans="1:3" x14ac:dyDescent="0.45">
      <c r="A646" vm="1501">
        <v>44399</v>
      </c>
      <c r="B646" vm="1502">
        <v>0.84950000000000003</v>
      </c>
      <c r="C646">
        <f>1/T_USD_EUR[[#This Row],[USDEUR]]</f>
        <v>1.1771630370806356</v>
      </c>
    </row>
    <row r="647" spans="1:3" x14ac:dyDescent="0.45">
      <c r="A647" vm="1503">
        <v>44400</v>
      </c>
      <c r="B647" vm="1504">
        <v>0.84930000000000005</v>
      </c>
      <c r="C647">
        <f>1/T_USD_EUR[[#This Row],[USDEUR]]</f>
        <v>1.1774402449075709</v>
      </c>
    </row>
    <row r="648" spans="1:3" x14ac:dyDescent="0.45">
      <c r="A648" vm="1505">
        <v>44403</v>
      </c>
      <c r="B648" vm="1123">
        <v>0.84719999999999995</v>
      </c>
      <c r="C648">
        <f>1/T_USD_EUR[[#This Row],[USDEUR]]</f>
        <v>1.1803588290840417</v>
      </c>
    </row>
    <row r="649" spans="1:3" x14ac:dyDescent="0.45">
      <c r="A649" vm="1506">
        <v>44404</v>
      </c>
      <c r="B649" vm="1125">
        <v>0.84619999999999995</v>
      </c>
      <c r="C649">
        <f>1/T_USD_EUR[[#This Row],[USDEUR]]</f>
        <v>1.1817537225242261</v>
      </c>
    </row>
    <row r="650" spans="1:3" x14ac:dyDescent="0.45">
      <c r="A650" vm="1507">
        <v>44405</v>
      </c>
      <c r="B650" vm="1488">
        <v>0.84419999999999995</v>
      </c>
      <c r="C650">
        <f>1/T_USD_EUR[[#This Row],[USDEUR]]</f>
        <v>1.1845534233593935</v>
      </c>
    </row>
    <row r="651" spans="1:3" x14ac:dyDescent="0.45">
      <c r="A651" vm="1508">
        <v>44406</v>
      </c>
      <c r="B651" vm="1509">
        <v>0.84099999999999997</v>
      </c>
      <c r="C651">
        <f>1/T_USD_EUR[[#This Row],[USDEUR]]</f>
        <v>1.1890606420927468</v>
      </c>
    </row>
    <row r="652" spans="1:3" x14ac:dyDescent="0.45">
      <c r="A652" vm="1510">
        <v>44407</v>
      </c>
      <c r="B652" vm="1511">
        <v>0.84230000000000005</v>
      </c>
      <c r="C652">
        <f>1/T_USD_EUR[[#This Row],[USDEUR]]</f>
        <v>1.1872254541137361</v>
      </c>
    </row>
    <row r="653" spans="1:3" x14ac:dyDescent="0.45">
      <c r="A653" vm="1512">
        <v>44410</v>
      </c>
      <c r="B653" vm="1090">
        <v>0.84240000000000004</v>
      </c>
      <c r="C653">
        <f>1/T_USD_EUR[[#This Row],[USDEUR]]</f>
        <v>1.1870845204178537</v>
      </c>
    </row>
    <row r="654" spans="1:3" x14ac:dyDescent="0.45">
      <c r="A654" vm="1513">
        <v>44411</v>
      </c>
      <c r="B654" vm="1464">
        <v>0.84289999999999998</v>
      </c>
      <c r="C654">
        <f>1/T_USD_EUR[[#This Row],[USDEUR]]</f>
        <v>1.1863803535413453</v>
      </c>
    </row>
    <row r="655" spans="1:3" x14ac:dyDescent="0.45">
      <c r="A655" vm="1514">
        <v>44412</v>
      </c>
      <c r="B655" vm="1094">
        <v>0.84470000000000001</v>
      </c>
      <c r="C655">
        <f>1/T_USD_EUR[[#This Row],[USDEUR]]</f>
        <v>1.1838522552385462</v>
      </c>
    </row>
    <row r="656" spans="1:3" x14ac:dyDescent="0.45">
      <c r="A656" vm="1515">
        <v>44413</v>
      </c>
      <c r="B656" vm="1101">
        <v>0.84489999999999998</v>
      </c>
      <c r="C656">
        <f>1/T_USD_EUR[[#This Row],[USDEUR]]</f>
        <v>1.1835720203574387</v>
      </c>
    </row>
    <row r="657" spans="1:3" x14ac:dyDescent="0.45">
      <c r="A657" vm="1516">
        <v>44414</v>
      </c>
      <c r="B657" vm="1157">
        <v>0.85009999999999997</v>
      </c>
      <c r="C657">
        <f>1/T_USD_EUR[[#This Row],[USDEUR]]</f>
        <v>1.1763321962122104</v>
      </c>
    </row>
    <row r="658" spans="1:3" x14ac:dyDescent="0.45">
      <c r="A658" vm="1517">
        <v>44417</v>
      </c>
      <c r="B658" vm="1082">
        <v>0.85170000000000001</v>
      </c>
      <c r="C658">
        <f>1/T_USD_EUR[[#This Row],[USDEUR]]</f>
        <v>1.1741223435481978</v>
      </c>
    </row>
    <row r="659" spans="1:3" x14ac:dyDescent="0.45">
      <c r="A659" vm="1518">
        <v>44418</v>
      </c>
      <c r="B659" vm="1149">
        <v>0.85309999999999997</v>
      </c>
      <c r="C659">
        <f>1/T_USD_EUR[[#This Row],[USDEUR]]</f>
        <v>1.1721955222131051</v>
      </c>
    </row>
    <row r="660" spans="1:3" x14ac:dyDescent="0.45">
      <c r="A660" vm="1519">
        <v>44419</v>
      </c>
      <c r="B660" vm="1082">
        <v>0.85170000000000001</v>
      </c>
      <c r="C660">
        <f>1/T_USD_EUR[[#This Row],[USDEUR]]</f>
        <v>1.1741223435481978</v>
      </c>
    </row>
    <row r="661" spans="1:3" x14ac:dyDescent="0.45">
      <c r="A661" vm="1520">
        <v>44420</v>
      </c>
      <c r="B661" vm="1374">
        <v>0.85240000000000005</v>
      </c>
      <c r="C661">
        <f>1/T_USD_EUR[[#This Row],[USDEUR]]</f>
        <v>1.1731581417175034</v>
      </c>
    </row>
    <row r="662" spans="1:3" x14ac:dyDescent="0.45">
      <c r="A662" vm="1521">
        <v>44421</v>
      </c>
      <c r="B662" vm="1369">
        <v>0.8478</v>
      </c>
      <c r="C662">
        <f>1/T_USD_EUR[[#This Row],[USDEUR]]</f>
        <v>1.1795234725171031</v>
      </c>
    </row>
    <row r="663" spans="1:3" x14ac:dyDescent="0.45">
      <c r="A663" vm="1522">
        <v>44424</v>
      </c>
      <c r="B663" vm="1068">
        <v>0.8488</v>
      </c>
      <c r="C663">
        <f>1/T_USD_EUR[[#This Row],[USDEUR]]</f>
        <v>1.1781338360037701</v>
      </c>
    </row>
    <row r="664" spans="1:3" x14ac:dyDescent="0.45">
      <c r="A664" vm="1523">
        <v>44425</v>
      </c>
      <c r="B664" vm="1524">
        <v>0.85389999999999999</v>
      </c>
      <c r="C664">
        <f>1/T_USD_EUR[[#This Row],[USDEUR]]</f>
        <v>1.1710973181871414</v>
      </c>
    </row>
    <row r="665" spans="1:3" x14ac:dyDescent="0.45">
      <c r="A665" vm="1525">
        <v>44426</v>
      </c>
      <c r="B665" vm="1526">
        <v>0.85370000000000001</v>
      </c>
      <c r="C665">
        <f>1/T_USD_EUR[[#This Row],[USDEUR]]</f>
        <v>1.1713716762328688</v>
      </c>
    </row>
    <row r="666" spans="1:3" x14ac:dyDescent="0.45">
      <c r="A666" vm="1527">
        <v>44427</v>
      </c>
      <c r="B666" vm="1528">
        <v>0.85629999999999995</v>
      </c>
      <c r="C666">
        <f>1/T_USD_EUR[[#This Row],[USDEUR]]</f>
        <v>1.1678150181011329</v>
      </c>
    </row>
    <row r="667" spans="1:3" x14ac:dyDescent="0.45">
      <c r="A667" vm="1529">
        <v>44428</v>
      </c>
      <c r="B667" vm="1530">
        <v>0.8548</v>
      </c>
      <c r="C667">
        <f>1/T_USD_EUR[[#This Row],[USDEUR]]</f>
        <v>1.169864295741694</v>
      </c>
    </row>
    <row r="668" spans="1:3" x14ac:dyDescent="0.45">
      <c r="A668" vm="1531">
        <v>44431</v>
      </c>
      <c r="B668" vm="1532">
        <v>0.85129999999999995</v>
      </c>
      <c r="C668">
        <f>1/T_USD_EUR[[#This Row],[USDEUR]]</f>
        <v>1.1746740279572419</v>
      </c>
    </row>
    <row r="669" spans="1:3" x14ac:dyDescent="0.45">
      <c r="A669" vm="1533">
        <v>44432</v>
      </c>
      <c r="B669" vm="1534">
        <v>0.85060000000000002</v>
      </c>
      <c r="C669">
        <f>1/T_USD_EUR[[#This Row],[USDEUR]]</f>
        <v>1.175640724194686</v>
      </c>
    </row>
    <row r="670" spans="1:3" x14ac:dyDescent="0.45">
      <c r="A670" vm="1535">
        <v>44433</v>
      </c>
      <c r="B670" vm="1504">
        <v>0.84930000000000005</v>
      </c>
      <c r="C670">
        <f>1/T_USD_EUR[[#This Row],[USDEUR]]</f>
        <v>1.1774402449075709</v>
      </c>
    </row>
    <row r="671" spans="1:3" x14ac:dyDescent="0.45">
      <c r="A671" vm="1536">
        <v>44434</v>
      </c>
      <c r="B671" vm="1537">
        <v>0.8508</v>
      </c>
      <c r="C671">
        <f>1/T_USD_EUR[[#This Row],[USDEUR]]</f>
        <v>1.1753643629525152</v>
      </c>
    </row>
    <row r="672" spans="1:3" x14ac:dyDescent="0.45">
      <c r="A672" vm="1538">
        <v>44435</v>
      </c>
      <c r="B672" vm="1181">
        <v>0.84770000000000001</v>
      </c>
      <c r="C672">
        <f>1/T_USD_EUR[[#This Row],[USDEUR]]</f>
        <v>1.1796626164916835</v>
      </c>
    </row>
    <row r="673" spans="1:3" x14ac:dyDescent="0.45">
      <c r="A673" vm="1539">
        <v>44438</v>
      </c>
      <c r="B673" vm="1098">
        <v>0.84750000000000003</v>
      </c>
      <c r="C673">
        <f>1/T_USD_EUR[[#This Row],[USDEUR]]</f>
        <v>1.1799410029498525</v>
      </c>
    </row>
    <row r="674" spans="1:3" x14ac:dyDescent="0.45">
      <c r="A674" vm="1540">
        <v>44439</v>
      </c>
      <c r="B674" vm="1179">
        <v>0.84670000000000001</v>
      </c>
      <c r="C674">
        <f>1/T_USD_EUR[[#This Row],[USDEUR]]</f>
        <v>1.1810558639423645</v>
      </c>
    </row>
    <row r="675" spans="1:3" x14ac:dyDescent="0.45">
      <c r="A675" vm="1541">
        <v>44440</v>
      </c>
      <c r="B675" vm="1542">
        <v>0.84460000000000002</v>
      </c>
      <c r="C675">
        <f>1/T_USD_EUR[[#This Row],[USDEUR]]</f>
        <v>1.1839924224484963</v>
      </c>
    </row>
    <row r="676" spans="1:3" x14ac:dyDescent="0.45">
      <c r="A676" vm="1543">
        <v>44441</v>
      </c>
      <c r="B676" vm="1194">
        <v>0.84199999999999997</v>
      </c>
      <c r="C676">
        <f>1/T_USD_EUR[[#This Row],[USDEUR]]</f>
        <v>1.1876484560570071</v>
      </c>
    </row>
    <row r="677" spans="1:3" x14ac:dyDescent="0.45">
      <c r="A677" vm="1544">
        <v>44442</v>
      </c>
      <c r="B677" vm="1545">
        <v>0.84150000000000003</v>
      </c>
      <c r="C677">
        <f>1/T_USD_EUR[[#This Row],[USDEUR]]</f>
        <v>1.1883541295306002</v>
      </c>
    </row>
    <row r="678" spans="1:3" x14ac:dyDescent="0.45">
      <c r="A678" vm="1546">
        <v>44445</v>
      </c>
      <c r="B678" vm="1511">
        <v>0.84230000000000005</v>
      </c>
      <c r="C678">
        <f>1/T_USD_EUR[[#This Row],[USDEUR]]</f>
        <v>1.1872254541137361</v>
      </c>
    </row>
    <row r="679" spans="1:3" x14ac:dyDescent="0.45">
      <c r="A679" vm="1547">
        <v>44446</v>
      </c>
      <c r="B679" vm="1117">
        <v>0.84450000000000003</v>
      </c>
      <c r="C679">
        <f>1/T_USD_EUR[[#This Row],[USDEUR]]</f>
        <v>1.1841326228537596</v>
      </c>
    </row>
    <row r="680" spans="1:3" x14ac:dyDescent="0.45">
      <c r="A680" vm="1548">
        <v>44447</v>
      </c>
      <c r="B680" vm="1125">
        <v>0.84619999999999995</v>
      </c>
      <c r="C680">
        <f>1/T_USD_EUR[[#This Row],[USDEUR]]</f>
        <v>1.1817537225242261</v>
      </c>
    </row>
    <row r="681" spans="1:3" x14ac:dyDescent="0.45">
      <c r="A681" vm="1549">
        <v>44448</v>
      </c>
      <c r="B681" vm="1161">
        <v>0.84550000000000003</v>
      </c>
      <c r="C681">
        <f>1/T_USD_EUR[[#This Row],[USDEUR]]</f>
        <v>1.1827321111768183</v>
      </c>
    </row>
    <row r="682" spans="1:3" x14ac:dyDescent="0.45">
      <c r="A682" vm="1550">
        <v>44449</v>
      </c>
      <c r="B682" vm="1086">
        <v>0.84630000000000005</v>
      </c>
      <c r="C682">
        <f>1/T_USD_EUR[[#This Row],[USDEUR]]</f>
        <v>1.1816140848398913</v>
      </c>
    </row>
    <row r="683" spans="1:3" x14ac:dyDescent="0.45">
      <c r="A683" vm="1551">
        <v>44452</v>
      </c>
      <c r="B683" vm="1552">
        <v>0.84660000000000002</v>
      </c>
      <c r="C683">
        <f>1/T_USD_EUR[[#This Row],[USDEUR]]</f>
        <v>1.1811953697141506</v>
      </c>
    </row>
    <row r="684" spans="1:3" x14ac:dyDescent="0.45">
      <c r="A684" vm="1553">
        <v>44453</v>
      </c>
      <c r="B684" vm="1554">
        <v>0.84699999999999998</v>
      </c>
      <c r="C684">
        <f>1/T_USD_EUR[[#This Row],[USDEUR]]</f>
        <v>1.1806375442739079</v>
      </c>
    </row>
    <row r="685" spans="1:3" x14ac:dyDescent="0.45">
      <c r="A685" vm="1555">
        <v>44454</v>
      </c>
      <c r="B685" vm="1119">
        <v>0.84609999999999996</v>
      </c>
      <c r="C685">
        <f>1/T_USD_EUR[[#This Row],[USDEUR]]</f>
        <v>1.1818933932159319</v>
      </c>
    </row>
    <row r="686" spans="1:3" x14ac:dyDescent="0.45">
      <c r="A686" vm="1556">
        <v>44455</v>
      </c>
      <c r="B686" vm="1171">
        <v>0.8498</v>
      </c>
      <c r="C686">
        <f>1/T_USD_EUR[[#This Row],[USDEUR]]</f>
        <v>1.1767474699929394</v>
      </c>
    </row>
    <row r="687" spans="1:3" x14ac:dyDescent="0.45">
      <c r="A687" vm="1557">
        <v>44456</v>
      </c>
      <c r="B687" vm="1558">
        <v>0.85260000000000002</v>
      </c>
      <c r="C687">
        <f>1/T_USD_EUR[[#This Row],[USDEUR]]</f>
        <v>1.172882946281961</v>
      </c>
    </row>
    <row r="688" spans="1:3" x14ac:dyDescent="0.45">
      <c r="A688" vm="1559">
        <v>44459</v>
      </c>
      <c r="B688" vm="1558">
        <v>0.85260000000000002</v>
      </c>
      <c r="C688">
        <f>1/T_USD_EUR[[#This Row],[USDEUR]]</f>
        <v>1.172882946281961</v>
      </c>
    </row>
    <row r="689" spans="1:3" x14ac:dyDescent="0.45">
      <c r="A689" vm="1560">
        <v>44460</v>
      </c>
      <c r="B689" vm="1190">
        <v>0.85270000000000001</v>
      </c>
      <c r="C689">
        <f>1/T_USD_EUR[[#This Row],[USDEUR]]</f>
        <v>1.1727453969743169</v>
      </c>
    </row>
    <row r="690" spans="1:3" x14ac:dyDescent="0.45">
      <c r="A690" vm="1561">
        <v>44461</v>
      </c>
      <c r="B690" vm="1562">
        <v>0.85540000000000005</v>
      </c>
      <c r="C690">
        <f>1/T_USD_EUR[[#This Row],[USDEUR]]</f>
        <v>1.1690437222352115</v>
      </c>
    </row>
    <row r="691" spans="1:3" x14ac:dyDescent="0.45">
      <c r="A691" vm="1563">
        <v>44462</v>
      </c>
      <c r="B691" vm="1080">
        <v>0.8518</v>
      </c>
      <c r="C691">
        <f>1/T_USD_EUR[[#This Row],[USDEUR]]</f>
        <v>1.1739845034045551</v>
      </c>
    </row>
    <row r="692" spans="1:3" x14ac:dyDescent="0.45">
      <c r="A692" vm="1564">
        <v>44463</v>
      </c>
      <c r="B692" vm="1062">
        <v>0.85340000000000005</v>
      </c>
      <c r="C692">
        <f>1/T_USD_EUR[[#This Row],[USDEUR]]</f>
        <v>1.1717834544176235</v>
      </c>
    </row>
    <row r="693" spans="1:3" x14ac:dyDescent="0.45">
      <c r="A693" vm="1565">
        <v>44466</v>
      </c>
      <c r="B693" vm="1566">
        <v>0.85489999999999999</v>
      </c>
      <c r="C693">
        <f>1/T_USD_EUR[[#This Row],[USDEUR]]</f>
        <v>1.1697274535033337</v>
      </c>
    </row>
    <row r="694" spans="1:3" x14ac:dyDescent="0.45">
      <c r="A694" vm="1567">
        <v>44467</v>
      </c>
      <c r="B694" vm="1568">
        <v>0.85580000000000001</v>
      </c>
      <c r="C694">
        <f>1/T_USD_EUR[[#This Row],[USDEUR]]</f>
        <v>1.1684973124561813</v>
      </c>
    </row>
    <row r="695" spans="1:3" x14ac:dyDescent="0.45">
      <c r="A695" vm="1569">
        <v>44468</v>
      </c>
      <c r="B695" vm="1570">
        <v>0.86209999999999998</v>
      </c>
      <c r="C695">
        <f>1/T_USD_EUR[[#This Row],[USDEUR]]</f>
        <v>1.1599582415033058</v>
      </c>
    </row>
    <row r="696" spans="1:3" x14ac:dyDescent="0.45">
      <c r="A696" vm="1571">
        <v>44469</v>
      </c>
      <c r="B696" vm="1572">
        <v>0.86319999999999997</v>
      </c>
      <c r="C696">
        <f>1/T_USD_EUR[[#This Row],[USDEUR]]</f>
        <v>1.1584800741427248</v>
      </c>
    </row>
    <row r="697" spans="1:3" x14ac:dyDescent="0.45">
      <c r="A697" vm="1573">
        <v>44470</v>
      </c>
      <c r="B697" vm="1056">
        <v>0.86219999999999997</v>
      </c>
      <c r="C697">
        <f>1/T_USD_EUR[[#This Row],[USDEUR]]</f>
        <v>1.1598237067965669</v>
      </c>
    </row>
    <row r="698" spans="1:3" x14ac:dyDescent="0.45">
      <c r="A698" vm="1574">
        <v>44473</v>
      </c>
      <c r="B698" vm="1575">
        <v>0.86029999999999995</v>
      </c>
      <c r="C698">
        <f>1/T_USD_EUR[[#This Row],[USDEUR]]</f>
        <v>1.1623852144600721</v>
      </c>
    </row>
    <row r="699" spans="1:3" x14ac:dyDescent="0.45">
      <c r="A699" vm="1576">
        <v>44474</v>
      </c>
      <c r="B699" vm="1570">
        <v>0.86209999999999998</v>
      </c>
      <c r="C699">
        <f>1/T_USD_EUR[[#This Row],[USDEUR]]</f>
        <v>1.1599582415033058</v>
      </c>
    </row>
    <row r="700" spans="1:3" x14ac:dyDescent="0.45">
      <c r="A700" vm="1577">
        <v>44475</v>
      </c>
      <c r="B700" vm="1578">
        <v>0.86509999999999998</v>
      </c>
      <c r="C700">
        <f>1/T_USD_EUR[[#This Row],[USDEUR]]</f>
        <v>1.1559357299734134</v>
      </c>
    </row>
    <row r="701" spans="1:3" x14ac:dyDescent="0.45">
      <c r="A701" vm="1579">
        <v>44476</v>
      </c>
      <c r="B701" vm="1580">
        <v>0.86550000000000005</v>
      </c>
      <c r="C701">
        <f>1/T_USD_EUR[[#This Row],[USDEUR]]</f>
        <v>1.1554015020219526</v>
      </c>
    </row>
    <row r="702" spans="1:3" x14ac:dyDescent="0.45">
      <c r="A702" vm="1581">
        <v>44477</v>
      </c>
      <c r="B702" vm="1054">
        <v>0.86419999999999997</v>
      </c>
      <c r="C702">
        <f>1/T_USD_EUR[[#This Row],[USDEUR]]</f>
        <v>1.1571395510298543</v>
      </c>
    </row>
    <row r="703" spans="1:3" x14ac:dyDescent="0.45">
      <c r="A703" vm="1582">
        <v>44480</v>
      </c>
      <c r="B703" vm="1583">
        <v>0.86560000000000004</v>
      </c>
      <c r="C703">
        <f>1/T_USD_EUR[[#This Row],[USDEUR]]</f>
        <v>1.155268022181146</v>
      </c>
    </row>
    <row r="704" spans="1:3" x14ac:dyDescent="0.45">
      <c r="A704" vm="1584">
        <v>44481</v>
      </c>
      <c r="B704" vm="1585">
        <v>0.86719999999999997</v>
      </c>
      <c r="C704">
        <f>1/T_USD_EUR[[#This Row],[USDEUR]]</f>
        <v>1.1531365313653137</v>
      </c>
    </row>
    <row r="705" spans="1:3" x14ac:dyDescent="0.45">
      <c r="A705" vm="1586">
        <v>44482</v>
      </c>
      <c r="B705" vm="1587">
        <v>0.86250000000000004</v>
      </c>
      <c r="C705">
        <f>1/T_USD_EUR[[#This Row],[USDEUR]]</f>
        <v>1.1594202898550725</v>
      </c>
    </row>
    <row r="706" spans="1:3" x14ac:dyDescent="0.45">
      <c r="A706" vm="1588">
        <v>44483</v>
      </c>
      <c r="B706" vm="1056">
        <v>0.86219999999999997</v>
      </c>
      <c r="C706">
        <f>1/T_USD_EUR[[#This Row],[USDEUR]]</f>
        <v>1.1598237067965669</v>
      </c>
    </row>
    <row r="707" spans="1:3" x14ac:dyDescent="0.45">
      <c r="A707" vm="1589">
        <v>44484</v>
      </c>
      <c r="B707" vm="1590">
        <v>0.8619</v>
      </c>
      <c r="C707">
        <f>1/T_USD_EUR[[#This Row],[USDEUR]]</f>
        <v>1.1602274045712959</v>
      </c>
    </row>
    <row r="708" spans="1:3" x14ac:dyDescent="0.45">
      <c r="A708" vm="1591">
        <v>44487</v>
      </c>
      <c r="B708" vm="1592">
        <v>0.86109999999999998</v>
      </c>
      <c r="C708">
        <f>1/T_USD_EUR[[#This Row],[USDEUR]]</f>
        <v>1.1613053071652537</v>
      </c>
    </row>
    <row r="709" spans="1:3" x14ac:dyDescent="0.45">
      <c r="A709" vm="1593">
        <v>44488</v>
      </c>
      <c r="B709" vm="1594">
        <v>0.85940000000000005</v>
      </c>
      <c r="C709">
        <f>1/T_USD_EUR[[#This Row],[USDEUR]]</f>
        <v>1.1636025133814287</v>
      </c>
    </row>
    <row r="710" spans="1:3" x14ac:dyDescent="0.45">
      <c r="A710" vm="1595">
        <v>44489</v>
      </c>
      <c r="B710" vm="1596">
        <v>0.85809999999999997</v>
      </c>
      <c r="C710">
        <f>1/T_USD_EUR[[#This Row],[USDEUR]]</f>
        <v>1.1653653420347279</v>
      </c>
    </row>
    <row r="711" spans="1:3" x14ac:dyDescent="0.45">
      <c r="A711" vm="1597">
        <v>44490</v>
      </c>
      <c r="B711" vm="1598">
        <v>0.86019999999999996</v>
      </c>
      <c r="C711">
        <f>1/T_USD_EUR[[#This Row],[USDEUR]]</f>
        <v>1.1625203441060219</v>
      </c>
    </row>
    <row r="712" spans="1:3" x14ac:dyDescent="0.45">
      <c r="A712" vm="1599">
        <v>44491</v>
      </c>
      <c r="B712" vm="1185">
        <v>0.85829999999999995</v>
      </c>
      <c r="C712">
        <f>1/T_USD_EUR[[#This Row],[USDEUR]]</f>
        <v>1.1650937900500991</v>
      </c>
    </row>
    <row r="713" spans="1:3" x14ac:dyDescent="0.45">
      <c r="A713" vm="1600">
        <v>44494</v>
      </c>
      <c r="B713" vm="1601">
        <v>0.86129999999999995</v>
      </c>
      <c r="C713">
        <f>1/T_USD_EUR[[#This Row],[USDEUR]]</f>
        <v>1.1610356437942646</v>
      </c>
    </row>
    <row r="714" spans="1:3" x14ac:dyDescent="0.45">
      <c r="A714" vm="1602">
        <v>44495</v>
      </c>
      <c r="B714" vm="1603">
        <v>0.86229999999999996</v>
      </c>
      <c r="C714">
        <f>1/T_USD_EUR[[#This Row],[USDEUR]]</f>
        <v>1.1596892032935173</v>
      </c>
    </row>
    <row r="715" spans="1:3" x14ac:dyDescent="0.45">
      <c r="A715" vm="1604">
        <v>44496</v>
      </c>
      <c r="B715" vm="1605">
        <v>0.86150000000000004</v>
      </c>
      <c r="C715">
        <f>1/T_USD_EUR[[#This Row],[USDEUR]]</f>
        <v>1.1607661056297156</v>
      </c>
    </row>
    <row r="716" spans="1:3" x14ac:dyDescent="0.45">
      <c r="A716" vm="1606">
        <v>44497</v>
      </c>
      <c r="B716" vm="1607">
        <v>0.85589999999999999</v>
      </c>
      <c r="C716">
        <f>1/T_USD_EUR[[#This Row],[USDEUR]]</f>
        <v>1.168360789811894</v>
      </c>
    </row>
    <row r="717" spans="1:3" x14ac:dyDescent="0.45">
      <c r="A717" vm="1608">
        <v>44498</v>
      </c>
      <c r="B717" vm="1609">
        <v>0.86470000000000002</v>
      </c>
      <c r="C717">
        <f>1/T_USD_EUR[[#This Row],[USDEUR]]</f>
        <v>1.1564704521799467</v>
      </c>
    </row>
    <row r="718" spans="1:3" x14ac:dyDescent="0.45">
      <c r="A718" vm="1610">
        <v>44501</v>
      </c>
      <c r="B718" vm="1605">
        <v>0.86150000000000004</v>
      </c>
      <c r="C718">
        <f>1/T_USD_EUR[[#This Row],[USDEUR]]</f>
        <v>1.1607661056297156</v>
      </c>
    </row>
    <row r="719" spans="1:3" x14ac:dyDescent="0.45">
      <c r="A719" vm="1611">
        <v>44502</v>
      </c>
      <c r="B719" vm="1612">
        <v>0.86350000000000005</v>
      </c>
      <c r="C719">
        <f>1/T_USD_EUR[[#This Row],[USDEUR]]</f>
        <v>1.1580775911986103</v>
      </c>
    </row>
    <row r="720" spans="1:3" x14ac:dyDescent="0.45">
      <c r="A720" vm="1613">
        <v>44503</v>
      </c>
      <c r="B720" vm="1614">
        <v>0.86099999999999999</v>
      </c>
      <c r="C720">
        <f>1/T_USD_EUR[[#This Row],[USDEUR]]</f>
        <v>1.1614401858304297</v>
      </c>
    </row>
    <row r="721" spans="1:3" x14ac:dyDescent="0.45">
      <c r="A721" vm="1615">
        <v>44504</v>
      </c>
      <c r="B721" vm="1616">
        <v>0.86539999999999995</v>
      </c>
      <c r="C721">
        <f>1/T_USD_EUR[[#This Row],[USDEUR]]</f>
        <v>1.1555350127108852</v>
      </c>
    </row>
    <row r="722" spans="1:3" x14ac:dyDescent="0.45">
      <c r="A722" vm="1617">
        <v>44505</v>
      </c>
      <c r="B722" vm="1618">
        <v>0.86439999999999995</v>
      </c>
      <c r="C722">
        <f>1/T_USD_EUR[[#This Row],[USDEUR]]</f>
        <v>1.1568718186024989</v>
      </c>
    </row>
    <row r="723" spans="1:3" x14ac:dyDescent="0.45">
      <c r="A723" vm="1619">
        <v>44508</v>
      </c>
      <c r="B723" vm="1620">
        <v>0.86280000000000001</v>
      </c>
      <c r="C723">
        <f>1/T_USD_EUR[[#This Row],[USDEUR]]</f>
        <v>1.1590171534538711</v>
      </c>
    </row>
    <row r="724" spans="1:3" x14ac:dyDescent="0.45">
      <c r="A724" vm="1621">
        <v>44509</v>
      </c>
      <c r="B724" vm="1622">
        <v>0.86240000000000006</v>
      </c>
      <c r="C724">
        <f>1/T_USD_EUR[[#This Row],[USDEUR]]</f>
        <v>1.1595547309833023</v>
      </c>
    </row>
    <row r="725" spans="1:3" x14ac:dyDescent="0.45">
      <c r="A725" vm="1623">
        <v>44510</v>
      </c>
      <c r="B725" vm="1624">
        <v>0.87090000000000001</v>
      </c>
      <c r="C725">
        <f>1/T_USD_EUR[[#This Row],[USDEUR]]</f>
        <v>1.1482374555057986</v>
      </c>
    </row>
    <row r="726" spans="1:3" x14ac:dyDescent="0.45">
      <c r="A726" vm="1625">
        <v>44511</v>
      </c>
      <c r="B726" vm="1626">
        <v>0.87319999999999998</v>
      </c>
      <c r="C726">
        <f>1/T_USD_EUR[[#This Row],[USDEUR]]</f>
        <v>1.1452130096197892</v>
      </c>
    </row>
    <row r="727" spans="1:3" x14ac:dyDescent="0.45">
      <c r="A727" vm="1627">
        <v>44512</v>
      </c>
      <c r="B727" vm="1628">
        <v>0.87309999999999999</v>
      </c>
      <c r="C727">
        <f>1/T_USD_EUR[[#This Row],[USDEUR]]</f>
        <v>1.1453441759248655</v>
      </c>
    </row>
    <row r="728" spans="1:3" x14ac:dyDescent="0.45">
      <c r="A728" vm="1629">
        <v>44515</v>
      </c>
      <c r="B728" vm="445">
        <v>0.87939999999999996</v>
      </c>
      <c r="C728">
        <f>1/T_USD_EUR[[#This Row],[USDEUR]]</f>
        <v>1.1371389583807141</v>
      </c>
    </row>
    <row r="729" spans="1:3" x14ac:dyDescent="0.45">
      <c r="A729" vm="1630">
        <v>44516</v>
      </c>
      <c r="B729" vm="1631">
        <v>0.88319999999999999</v>
      </c>
      <c r="C729">
        <f>1/T_USD_EUR[[#This Row],[USDEUR]]</f>
        <v>1.1322463768115942</v>
      </c>
    </row>
    <row r="730" spans="1:3" x14ac:dyDescent="0.45">
      <c r="A730" vm="1632">
        <v>44517</v>
      </c>
      <c r="B730" vm="1633">
        <v>0.88339999999999996</v>
      </c>
      <c r="C730">
        <f>1/T_USD_EUR[[#This Row],[USDEUR]]</f>
        <v>1.1319900384876613</v>
      </c>
    </row>
    <row r="731" spans="1:3" x14ac:dyDescent="0.45">
      <c r="A731" vm="1634">
        <v>44518</v>
      </c>
      <c r="B731" vm="1008">
        <v>0.87929999999999997</v>
      </c>
      <c r="C731">
        <f>1/T_USD_EUR[[#This Row],[USDEUR]]</f>
        <v>1.1372682815876265</v>
      </c>
    </row>
    <row r="732" spans="1:3" x14ac:dyDescent="0.45">
      <c r="A732" vm="1635">
        <v>44519</v>
      </c>
      <c r="B732" vm="460">
        <v>0.88570000000000004</v>
      </c>
      <c r="C732">
        <f>1/T_USD_EUR[[#This Row],[USDEUR]]</f>
        <v>1.1290504685559444</v>
      </c>
    </row>
    <row r="733" spans="1:3" x14ac:dyDescent="0.45">
      <c r="A733" vm="1636">
        <v>44522</v>
      </c>
      <c r="B733" vm="1637">
        <v>0.88980000000000004</v>
      </c>
      <c r="C733">
        <f>1/T_USD_EUR[[#This Row],[USDEUR]]</f>
        <v>1.1238480557428636</v>
      </c>
    </row>
    <row r="734" spans="1:3" x14ac:dyDescent="0.45">
      <c r="A734" vm="1638">
        <v>44523</v>
      </c>
      <c r="B734" vm="1034">
        <v>0.88890000000000002</v>
      </c>
      <c r="C734">
        <f>1/T_USD_EUR[[#This Row],[USDEUR]]</f>
        <v>1.1249859376757789</v>
      </c>
    </row>
    <row r="735" spans="1:3" x14ac:dyDescent="0.45">
      <c r="A735" vm="1639">
        <v>44524</v>
      </c>
      <c r="B735" vm="821">
        <v>0.89290000000000003</v>
      </c>
      <c r="C735">
        <f>1/T_USD_EUR[[#This Row],[USDEUR]]</f>
        <v>1.1199462425803561</v>
      </c>
    </row>
    <row r="736" spans="1:3" x14ac:dyDescent="0.45">
      <c r="A736" vm="1640">
        <v>44525</v>
      </c>
      <c r="B736" vm="606">
        <v>0.8921</v>
      </c>
      <c r="C736">
        <f>1/T_USD_EUR[[#This Row],[USDEUR]]</f>
        <v>1.1209505660800358</v>
      </c>
    </row>
    <row r="737" spans="1:3" x14ac:dyDescent="0.45">
      <c r="A737" vm="1641">
        <v>44526</v>
      </c>
      <c r="B737" vm="1642">
        <v>0.88329999999999997</v>
      </c>
      <c r="C737">
        <f>1/T_USD_EUR[[#This Row],[USDEUR]]</f>
        <v>1.1321181931393638</v>
      </c>
    </row>
    <row r="738" spans="1:3" x14ac:dyDescent="0.45">
      <c r="A738" vm="1643">
        <v>44529</v>
      </c>
      <c r="B738" vm="1644">
        <v>0.88549999999999995</v>
      </c>
      <c r="C738">
        <f>1/T_USD_EUR[[#This Row],[USDEUR]]</f>
        <v>1.129305477131564</v>
      </c>
    </row>
    <row r="739" spans="1:3" x14ac:dyDescent="0.45">
      <c r="A739" vm="1645">
        <v>44530</v>
      </c>
      <c r="B739" vm="433">
        <v>0.88190000000000002</v>
      </c>
      <c r="C739">
        <f>1/T_USD_EUR[[#This Row],[USDEUR]]</f>
        <v>1.1339154099104207</v>
      </c>
    </row>
    <row r="740" spans="1:3" x14ac:dyDescent="0.45">
      <c r="A740" vm="1646">
        <v>44531</v>
      </c>
      <c r="B740" vm="1642">
        <v>0.88329999999999997</v>
      </c>
      <c r="C740">
        <f>1/T_USD_EUR[[#This Row],[USDEUR]]</f>
        <v>1.1321181931393638</v>
      </c>
    </row>
    <row r="741" spans="1:3" x14ac:dyDescent="0.45">
      <c r="A741" vm="1647">
        <v>44532</v>
      </c>
      <c r="B741" vm="1648">
        <v>0.88470000000000004</v>
      </c>
      <c r="C741">
        <f>1/T_USD_EUR[[#This Row],[USDEUR]]</f>
        <v>1.1303266644060133</v>
      </c>
    </row>
    <row r="742" spans="1:3" x14ac:dyDescent="0.45">
      <c r="A742" vm="1649">
        <v>44533</v>
      </c>
      <c r="B742" vm="574">
        <v>0.88360000000000005</v>
      </c>
      <c r="C742">
        <f>1/T_USD_EUR[[#This Row],[USDEUR]]</f>
        <v>1.1317338162064281</v>
      </c>
    </row>
    <row r="743" spans="1:3" x14ac:dyDescent="0.45">
      <c r="A743" vm="1650">
        <v>44536</v>
      </c>
      <c r="B743" vm="1004">
        <v>0.88590000000000002</v>
      </c>
      <c r="C743">
        <f>1/T_USD_EUR[[#This Row],[USDEUR]]</f>
        <v>1.1287955751213454</v>
      </c>
    </row>
    <row r="744" spans="1:3" x14ac:dyDescent="0.45">
      <c r="A744" vm="1651">
        <v>44537</v>
      </c>
      <c r="B744" vm="1652">
        <v>0.88739999999999997</v>
      </c>
      <c r="C744">
        <f>1/T_USD_EUR[[#This Row],[USDEUR]]</f>
        <v>1.1268875366238449</v>
      </c>
    </row>
    <row r="745" spans="1:3" x14ac:dyDescent="0.45">
      <c r="A745" vm="1653">
        <v>44538</v>
      </c>
      <c r="B745" vm="1654">
        <v>0.88160000000000005</v>
      </c>
      <c r="C745">
        <f>1/T_USD_EUR[[#This Row],[USDEUR]]</f>
        <v>1.1343012704174229</v>
      </c>
    </row>
    <row r="746" spans="1:3" x14ac:dyDescent="0.45">
      <c r="A746" vm="1655">
        <v>44539</v>
      </c>
      <c r="B746" vm="1656">
        <v>0.88539999999999996</v>
      </c>
      <c r="C746">
        <f>1/T_USD_EUR[[#This Row],[USDEUR]]</f>
        <v>1.12943302462164</v>
      </c>
    </row>
    <row r="747" spans="1:3" x14ac:dyDescent="0.45">
      <c r="A747" vm="1657">
        <v>44540</v>
      </c>
      <c r="B747" vm="475">
        <v>0.88380000000000003</v>
      </c>
      <c r="C747">
        <f>1/T_USD_EUR[[#This Row],[USDEUR]]</f>
        <v>1.1314777098891151</v>
      </c>
    </row>
    <row r="748" spans="1:3" x14ac:dyDescent="0.45">
      <c r="A748" vm="1658">
        <v>44543</v>
      </c>
      <c r="B748" vm="597">
        <v>0.8861</v>
      </c>
      <c r="C748">
        <f>1/T_USD_EUR[[#This Row],[USDEUR]]</f>
        <v>1.1285407967498025</v>
      </c>
    </row>
    <row r="749" spans="1:3" x14ac:dyDescent="0.45">
      <c r="A749" vm="1659">
        <v>44544</v>
      </c>
      <c r="B749" vm="1660">
        <v>0.88800000000000001</v>
      </c>
      <c r="C749">
        <f>1/T_USD_EUR[[#This Row],[USDEUR]]</f>
        <v>1.1261261261261262</v>
      </c>
    </row>
    <row r="750" spans="1:3" x14ac:dyDescent="0.45">
      <c r="A750" vm="1661">
        <v>44545</v>
      </c>
      <c r="B750" vm="1662">
        <v>0.88580000000000003</v>
      </c>
      <c r="C750">
        <f>1/T_USD_EUR[[#This Row],[USDEUR]]</f>
        <v>1.1289230074508918</v>
      </c>
    </row>
    <row r="751" spans="1:3" x14ac:dyDescent="0.45">
      <c r="A751" vm="1663">
        <v>44546</v>
      </c>
      <c r="B751" vm="1038">
        <v>0.88249999999999995</v>
      </c>
      <c r="C751">
        <f>1/T_USD_EUR[[#This Row],[USDEUR]]</f>
        <v>1.1331444759206799</v>
      </c>
    </row>
    <row r="752" spans="1:3" x14ac:dyDescent="0.45">
      <c r="A752" vm="1664">
        <v>44547</v>
      </c>
      <c r="B752" vm="565">
        <v>0.88949999999999996</v>
      </c>
      <c r="C752">
        <f>1/T_USD_EUR[[#This Row],[USDEUR]]</f>
        <v>1.1242270938729624</v>
      </c>
    </row>
    <row r="753" spans="1:3" x14ac:dyDescent="0.45">
      <c r="A753" vm="1665">
        <v>44550</v>
      </c>
      <c r="B753" vm="580">
        <v>0.88660000000000005</v>
      </c>
      <c r="C753">
        <f>1/T_USD_EUR[[#This Row],[USDEUR]]</f>
        <v>1.1279043537108053</v>
      </c>
    </row>
    <row r="754" spans="1:3" x14ac:dyDescent="0.45">
      <c r="A754" vm="1666">
        <v>44551</v>
      </c>
      <c r="B754" vm="599">
        <v>0.88600000000000001</v>
      </c>
      <c r="C754">
        <f>1/T_USD_EUR[[#This Row],[USDEUR]]</f>
        <v>1.1286681715575622</v>
      </c>
    </row>
    <row r="755" spans="1:3" x14ac:dyDescent="0.45">
      <c r="A755" vm="1667">
        <v>44552</v>
      </c>
      <c r="B755" vm="421">
        <v>0.88280000000000003</v>
      </c>
      <c r="C755">
        <f>1/T_USD_EUR[[#This Row],[USDEUR]]</f>
        <v>1.1327594019030358</v>
      </c>
    </row>
    <row r="756" spans="1:3" x14ac:dyDescent="0.45">
      <c r="A756" vm="1668">
        <v>44553</v>
      </c>
      <c r="B756" vm="1669">
        <v>0.88260000000000005</v>
      </c>
      <c r="C756">
        <f>1/T_USD_EUR[[#This Row],[USDEUR]]</f>
        <v>1.1330160888284613</v>
      </c>
    </row>
    <row r="757" spans="1:3" x14ac:dyDescent="0.45">
      <c r="A757" vm="1670">
        <v>44554</v>
      </c>
      <c r="B757" vm="1642">
        <v>0.88329999999999997</v>
      </c>
      <c r="C757">
        <f>1/T_USD_EUR[[#This Row],[USDEUR]]</f>
        <v>1.1321181931393638</v>
      </c>
    </row>
    <row r="758" spans="1:3" x14ac:dyDescent="0.45">
      <c r="A758" vm="1671">
        <v>44557</v>
      </c>
      <c r="B758" vm="1669">
        <v>0.88260000000000005</v>
      </c>
      <c r="C758">
        <f>1/T_USD_EUR[[#This Row],[USDEUR]]</f>
        <v>1.1330160888284613</v>
      </c>
    </row>
    <row r="759" spans="1:3" x14ac:dyDescent="0.45">
      <c r="A759" vm="1672">
        <v>44558</v>
      </c>
      <c r="B759" vm="429">
        <v>0.88390000000000002</v>
      </c>
      <c r="C759">
        <f>1/T_USD_EUR[[#This Row],[USDEUR]]</f>
        <v>1.1313497001923294</v>
      </c>
    </row>
    <row r="760" spans="1:3" x14ac:dyDescent="0.45">
      <c r="A760" vm="1673">
        <v>44559</v>
      </c>
      <c r="B760" vm="1674">
        <v>0.88090000000000002</v>
      </c>
      <c r="C760">
        <f>1/T_USD_EUR[[#This Row],[USDEUR]]</f>
        <v>1.13520263367011</v>
      </c>
    </row>
    <row r="761" spans="1:3" x14ac:dyDescent="0.45">
      <c r="A761" vm="1675">
        <v>44560</v>
      </c>
      <c r="B761" vm="465">
        <v>0.88290000000000002</v>
      </c>
      <c r="C761">
        <f>1/T_USD_EUR[[#This Row],[USDEUR]]</f>
        <v>1.1326311020500623</v>
      </c>
    </row>
    <row r="762" spans="1:3" x14ac:dyDescent="0.45">
      <c r="A762" vm="1676">
        <v>44561</v>
      </c>
      <c r="B762" vm="445">
        <v>0.87939999999999996</v>
      </c>
      <c r="C762">
        <f>1/T_USD_EUR[[#This Row],[USDEUR]]</f>
        <v>1.1371389583807141</v>
      </c>
    </row>
    <row r="763" spans="1:3" x14ac:dyDescent="0.45">
      <c r="A763" vm="1677">
        <v>44564</v>
      </c>
      <c r="B763" vm="1678">
        <v>0.8851</v>
      </c>
      <c r="C763">
        <f>1/T_USD_EUR[[#This Row],[USDEUR]]</f>
        <v>1.1298158400180771</v>
      </c>
    </row>
    <row r="764" spans="1:3" x14ac:dyDescent="0.45">
      <c r="A764" vm="1679">
        <v>44565</v>
      </c>
      <c r="B764" vm="1662">
        <v>0.88580000000000003</v>
      </c>
      <c r="C764">
        <f>1/T_USD_EUR[[#This Row],[USDEUR]]</f>
        <v>1.1289230074508918</v>
      </c>
    </row>
    <row r="765" spans="1:3" x14ac:dyDescent="0.45">
      <c r="A765" vm="1680">
        <v>44566</v>
      </c>
      <c r="B765" vm="574">
        <v>0.88360000000000005</v>
      </c>
      <c r="C765">
        <f>1/T_USD_EUR[[#This Row],[USDEUR]]</f>
        <v>1.1317338162064281</v>
      </c>
    </row>
    <row r="766" spans="1:3" x14ac:dyDescent="0.45">
      <c r="A766" vm="1681">
        <v>44567</v>
      </c>
      <c r="B766" vm="427">
        <v>0.88529999999999998</v>
      </c>
      <c r="C766">
        <f>1/T_USD_EUR[[#This Row],[USDEUR]]</f>
        <v>1.1295606009262398</v>
      </c>
    </row>
    <row r="767" spans="1:3" x14ac:dyDescent="0.45">
      <c r="A767" vm="1682">
        <v>44568</v>
      </c>
      <c r="B767" vm="413">
        <v>0.88</v>
      </c>
      <c r="C767">
        <f>1/T_USD_EUR[[#This Row],[USDEUR]]</f>
        <v>1.1363636363636365</v>
      </c>
    </row>
    <row r="768" spans="1:3" x14ac:dyDescent="0.45">
      <c r="A768" vm="1683">
        <v>44571</v>
      </c>
      <c r="B768" vm="421">
        <v>0.88280000000000003</v>
      </c>
      <c r="C768">
        <f>1/T_USD_EUR[[#This Row],[USDEUR]]</f>
        <v>1.1327594019030358</v>
      </c>
    </row>
    <row r="769" spans="1:3" x14ac:dyDescent="0.45">
      <c r="A769" vm="1684">
        <v>44572</v>
      </c>
      <c r="B769" vm="592">
        <v>0.87970000000000004</v>
      </c>
      <c r="C769">
        <f>1/T_USD_EUR[[#This Row],[USDEUR]]</f>
        <v>1.1367511651699442</v>
      </c>
    </row>
    <row r="770" spans="1:3" x14ac:dyDescent="0.45">
      <c r="A770" vm="1685">
        <v>44573</v>
      </c>
      <c r="B770" vm="1686">
        <v>0.87370000000000003</v>
      </c>
      <c r="C770">
        <f>1/T_USD_EUR[[#This Row],[USDEUR]]</f>
        <v>1.1445576284765937</v>
      </c>
    </row>
    <row r="771" spans="1:3" x14ac:dyDescent="0.45">
      <c r="A771" vm="1687">
        <v>44574</v>
      </c>
      <c r="B771" vm="407">
        <v>0.87280000000000002</v>
      </c>
      <c r="C771">
        <f>1/T_USD_EUR[[#This Row],[USDEUR]]</f>
        <v>1.1457378551787352</v>
      </c>
    </row>
    <row r="772" spans="1:3" x14ac:dyDescent="0.45">
      <c r="A772" vm="1688">
        <v>44575</v>
      </c>
      <c r="B772" vm="1689">
        <v>0.87580000000000002</v>
      </c>
      <c r="C772">
        <f>1/T_USD_EUR[[#This Row],[USDEUR]]</f>
        <v>1.1418131993605847</v>
      </c>
    </row>
    <row r="773" spans="1:3" x14ac:dyDescent="0.45">
      <c r="A773" vm="1690">
        <v>44578</v>
      </c>
      <c r="B773" vm="1691">
        <v>0.87629999999999997</v>
      </c>
      <c r="C773">
        <f>1/T_USD_EUR[[#This Row],[USDEUR]]</f>
        <v>1.1411617026132603</v>
      </c>
    </row>
    <row r="774" spans="1:3" x14ac:dyDescent="0.45">
      <c r="A774" vm="1692">
        <v>44579</v>
      </c>
      <c r="B774" vm="1693">
        <v>0.88270000000000004</v>
      </c>
      <c r="C774">
        <f>1/T_USD_EUR[[#This Row],[USDEUR]]</f>
        <v>1.1328877308258751</v>
      </c>
    </row>
    <row r="775" spans="1:3" x14ac:dyDescent="0.45">
      <c r="A775" vm="1694">
        <v>44580</v>
      </c>
      <c r="B775" vm="1695">
        <v>0.88149999999999995</v>
      </c>
      <c r="C775">
        <f>1/T_USD_EUR[[#This Row],[USDEUR]]</f>
        <v>1.1344299489506524</v>
      </c>
    </row>
    <row r="776" spans="1:3" x14ac:dyDescent="0.45">
      <c r="A776" vm="1696">
        <v>44581</v>
      </c>
      <c r="B776" vm="429">
        <v>0.88390000000000002</v>
      </c>
      <c r="C776">
        <f>1/T_USD_EUR[[#This Row],[USDEUR]]</f>
        <v>1.1313497001923294</v>
      </c>
    </row>
    <row r="777" spans="1:3" x14ac:dyDescent="0.45">
      <c r="A777" vm="1697">
        <v>44582</v>
      </c>
      <c r="B777" vm="1695">
        <v>0.88149999999999995</v>
      </c>
      <c r="C777">
        <f>1/T_USD_EUR[[#This Row],[USDEUR]]</f>
        <v>1.1344299489506524</v>
      </c>
    </row>
    <row r="778" spans="1:3" x14ac:dyDescent="0.45">
      <c r="A778" vm="1698">
        <v>44585</v>
      </c>
      <c r="B778" vm="421">
        <v>0.88280000000000003</v>
      </c>
      <c r="C778">
        <f>1/T_USD_EUR[[#This Row],[USDEUR]]</f>
        <v>1.1327594019030358</v>
      </c>
    </row>
    <row r="779" spans="1:3" x14ac:dyDescent="0.45">
      <c r="A779" vm="1699">
        <v>44586</v>
      </c>
      <c r="B779" vm="1648">
        <v>0.88470000000000004</v>
      </c>
      <c r="C779">
        <f>1/T_USD_EUR[[#This Row],[USDEUR]]</f>
        <v>1.1303266644060133</v>
      </c>
    </row>
    <row r="780" spans="1:3" x14ac:dyDescent="0.45">
      <c r="A780" vm="1700">
        <v>44587</v>
      </c>
      <c r="B780" vm="1701">
        <v>0.88959999999999995</v>
      </c>
      <c r="C780">
        <f>1/T_USD_EUR[[#This Row],[USDEUR]]</f>
        <v>1.1241007194244605</v>
      </c>
    </row>
    <row r="781" spans="1:3" x14ac:dyDescent="0.45">
      <c r="A781" vm="1702">
        <v>44588</v>
      </c>
      <c r="B781" vm="1703">
        <v>0.89710000000000001</v>
      </c>
      <c r="C781">
        <f>1/T_USD_EUR[[#This Row],[USDEUR]]</f>
        <v>1.1147029316687103</v>
      </c>
    </row>
    <row r="782" spans="1:3" x14ac:dyDescent="0.45">
      <c r="A782" vm="1704">
        <v>44589</v>
      </c>
      <c r="B782" vm="1703">
        <v>0.89710000000000001</v>
      </c>
      <c r="C782">
        <f>1/T_USD_EUR[[#This Row],[USDEUR]]</f>
        <v>1.1147029316687103</v>
      </c>
    </row>
    <row r="783" spans="1:3" x14ac:dyDescent="0.45">
      <c r="A783" vm="1705">
        <v>44592</v>
      </c>
      <c r="B783" vm="539">
        <v>0.88990000000000002</v>
      </c>
      <c r="C783">
        <f>1/T_USD_EUR[[#This Row],[USDEUR]]</f>
        <v>1.1237217664906169</v>
      </c>
    </row>
    <row r="784" spans="1:3" x14ac:dyDescent="0.45">
      <c r="A784" vm="1706">
        <v>44593</v>
      </c>
      <c r="B784" vm="610">
        <v>0.8871</v>
      </c>
      <c r="C784">
        <f>1/T_USD_EUR[[#This Row],[USDEUR]]</f>
        <v>1.1272686281140796</v>
      </c>
    </row>
    <row r="785" spans="1:3" x14ac:dyDescent="0.45">
      <c r="A785" vm="1707">
        <v>44594</v>
      </c>
      <c r="B785" vm="463">
        <v>0.88449999999999995</v>
      </c>
      <c r="C785">
        <f>1/T_USD_EUR[[#This Row],[USDEUR]]</f>
        <v>1.1305822498586773</v>
      </c>
    </row>
    <row r="786" spans="1:3" x14ac:dyDescent="0.45">
      <c r="A786" vm="1708">
        <v>44595</v>
      </c>
      <c r="B786" vm="409">
        <v>0.874</v>
      </c>
      <c r="C786">
        <f>1/T_USD_EUR[[#This Row],[USDEUR]]</f>
        <v>1.1441647597254005</v>
      </c>
    </row>
    <row r="787" spans="1:3" x14ac:dyDescent="0.45">
      <c r="A787" vm="1709">
        <v>44596</v>
      </c>
      <c r="B787" vm="1710">
        <v>0.87339999999999995</v>
      </c>
      <c r="C787">
        <f>1/T_USD_EUR[[#This Row],[USDEUR]]</f>
        <v>1.144950767117014</v>
      </c>
    </row>
    <row r="788" spans="1:3" x14ac:dyDescent="0.45">
      <c r="A788" vm="1711">
        <v>44599</v>
      </c>
      <c r="B788" vm="1712">
        <v>0.87390000000000001</v>
      </c>
      <c r="C788">
        <f>1/T_USD_EUR[[#This Row],[USDEUR]]</f>
        <v>1.1442956860052638</v>
      </c>
    </row>
    <row r="789" spans="1:3" x14ac:dyDescent="0.45">
      <c r="A789" vm="1713">
        <v>44600</v>
      </c>
      <c r="B789" vm="471">
        <v>0.876</v>
      </c>
      <c r="C789">
        <f>1/T_USD_EUR[[#This Row],[USDEUR]]</f>
        <v>1.1415525114155252</v>
      </c>
    </row>
    <row r="790" spans="1:3" x14ac:dyDescent="0.45">
      <c r="A790" vm="1714">
        <v>44601</v>
      </c>
      <c r="B790" vm="1715">
        <v>0.87519999999999998</v>
      </c>
      <c r="C790">
        <f>1/T_USD_EUR[[#This Row],[USDEUR]]</f>
        <v>1.1425959780621573</v>
      </c>
    </row>
    <row r="791" spans="1:3" x14ac:dyDescent="0.45">
      <c r="A791" vm="1716">
        <v>44602</v>
      </c>
      <c r="B791" vm="1717">
        <v>0.875</v>
      </c>
      <c r="C791">
        <f>1/T_USD_EUR[[#This Row],[USDEUR]]</f>
        <v>1.1428571428571428</v>
      </c>
    </row>
    <row r="792" spans="1:3" x14ac:dyDescent="0.45">
      <c r="A792" vm="1718">
        <v>44603</v>
      </c>
      <c r="B792" vm="1719">
        <v>0.88080000000000003</v>
      </c>
      <c r="C792">
        <f>1/T_USD_EUR[[#This Row],[USDEUR]]</f>
        <v>1.1353315168029063</v>
      </c>
    </row>
    <row r="793" spans="1:3" x14ac:dyDescent="0.45">
      <c r="A793" vm="1720">
        <v>44606</v>
      </c>
      <c r="B793" vm="452">
        <v>0.88429999999999997</v>
      </c>
      <c r="C793">
        <f>1/T_USD_EUR[[#This Row],[USDEUR]]</f>
        <v>1.1308379509216329</v>
      </c>
    </row>
    <row r="794" spans="1:3" x14ac:dyDescent="0.45">
      <c r="A794" vm="1721">
        <v>44607</v>
      </c>
      <c r="B794" vm="439">
        <v>0.88029999999999997</v>
      </c>
      <c r="C794">
        <f>1/T_USD_EUR[[#This Row],[USDEUR]]</f>
        <v>1.1359763716914688</v>
      </c>
    </row>
    <row r="795" spans="1:3" x14ac:dyDescent="0.45">
      <c r="A795" vm="1722">
        <v>44608</v>
      </c>
      <c r="B795" vm="1723">
        <v>0.87909999999999999</v>
      </c>
      <c r="C795">
        <f>1/T_USD_EUR[[#This Row],[USDEUR]]</f>
        <v>1.1375270162666364</v>
      </c>
    </row>
    <row r="796" spans="1:3" x14ac:dyDescent="0.45">
      <c r="A796" vm="1724">
        <v>44609</v>
      </c>
      <c r="B796" vm="1725">
        <v>0.88009999999999999</v>
      </c>
      <c r="C796">
        <f>1/T_USD_EUR[[#This Row],[USDEUR]]</f>
        <v>1.1362345188046814</v>
      </c>
    </row>
    <row r="797" spans="1:3" x14ac:dyDescent="0.45">
      <c r="A797" vm="1726">
        <v>44610</v>
      </c>
      <c r="B797" vm="1014">
        <v>0.88300000000000001</v>
      </c>
      <c r="C797">
        <f>1/T_USD_EUR[[#This Row],[USDEUR]]</f>
        <v>1.1325028312570782</v>
      </c>
    </row>
    <row r="798" spans="1:3" x14ac:dyDescent="0.45">
      <c r="A798" vm="1727">
        <v>44613</v>
      </c>
      <c r="B798" vm="504">
        <v>0.88400000000000001</v>
      </c>
      <c r="C798">
        <f>1/T_USD_EUR[[#This Row],[USDEUR]]</f>
        <v>1.1312217194570136</v>
      </c>
    </row>
    <row r="799" spans="1:3" x14ac:dyDescent="0.45">
      <c r="A799" vm="1728">
        <v>44614</v>
      </c>
      <c r="B799" vm="421">
        <v>0.88280000000000003</v>
      </c>
      <c r="C799">
        <f>1/T_USD_EUR[[#This Row],[USDEUR]]</f>
        <v>1.1327594019030358</v>
      </c>
    </row>
    <row r="800" spans="1:3" x14ac:dyDescent="0.45">
      <c r="A800" vm="1729">
        <v>44615</v>
      </c>
      <c r="B800" vm="429">
        <v>0.88390000000000002</v>
      </c>
      <c r="C800">
        <f>1/T_USD_EUR[[#This Row],[USDEUR]]</f>
        <v>1.1313497001923294</v>
      </c>
    </row>
    <row r="801" spans="1:3" x14ac:dyDescent="0.45">
      <c r="A801" vm="1730">
        <v>44616</v>
      </c>
      <c r="B801" vm="585">
        <v>0.89329999999999998</v>
      </c>
      <c r="C801">
        <f>1/T_USD_EUR[[#This Row],[USDEUR]]</f>
        <v>1.1194447554013209</v>
      </c>
    </row>
    <row r="802" spans="1:3" x14ac:dyDescent="0.45">
      <c r="A802" vm="1731">
        <v>44617</v>
      </c>
      <c r="B802" vm="897">
        <v>0.88719999999999999</v>
      </c>
      <c r="C802">
        <f>1/T_USD_EUR[[#This Row],[USDEUR]]</f>
        <v>1.127141568981064</v>
      </c>
    </row>
    <row r="803" spans="1:3" x14ac:dyDescent="0.45">
      <c r="A803" vm="1732">
        <v>44620</v>
      </c>
      <c r="B803" vm="568">
        <v>0.89100000000000001</v>
      </c>
      <c r="C803">
        <f>1/T_USD_EUR[[#This Row],[USDEUR]]</f>
        <v>1.122334455667789</v>
      </c>
    </row>
    <row r="804" spans="1:3" x14ac:dyDescent="0.45">
      <c r="A804" vm="1733">
        <v>44621</v>
      </c>
      <c r="B804" vm="627">
        <v>0.89859999999999995</v>
      </c>
      <c r="C804">
        <f>1/T_USD_EUR[[#This Row],[USDEUR]]</f>
        <v>1.1128421989761852</v>
      </c>
    </row>
    <row r="805" spans="1:3" x14ac:dyDescent="0.45">
      <c r="A805" vm="1734">
        <v>44622</v>
      </c>
      <c r="B805" vm="795">
        <v>0.89900000000000002</v>
      </c>
      <c r="C805">
        <f>1/T_USD_EUR[[#This Row],[USDEUR]]</f>
        <v>1.1123470522803114</v>
      </c>
    </row>
    <row r="806" spans="1:3" x14ac:dyDescent="0.45">
      <c r="A806" vm="1735">
        <v>44623</v>
      </c>
      <c r="B806" vm="1736">
        <v>0.90349999999999997</v>
      </c>
      <c r="C806">
        <f>1/T_USD_EUR[[#This Row],[USDEUR]]</f>
        <v>1.1068068622025458</v>
      </c>
    </row>
    <row r="807" spans="1:3" x14ac:dyDescent="0.45">
      <c r="A807" vm="1737">
        <v>44624</v>
      </c>
      <c r="B807" vm="1738">
        <v>0.91510000000000002</v>
      </c>
      <c r="C807">
        <f>1/T_USD_EUR[[#This Row],[USDEUR]]</f>
        <v>1.0927767457108513</v>
      </c>
    </row>
    <row r="808" spans="1:3" x14ac:dyDescent="0.45">
      <c r="A808" vm="1739">
        <v>44627</v>
      </c>
      <c r="B808" vm="878">
        <v>0.92110000000000003</v>
      </c>
      <c r="C808">
        <f>1/T_USD_EUR[[#This Row],[USDEUR]]</f>
        <v>1.0856584518510477</v>
      </c>
    </row>
    <row r="809" spans="1:3" x14ac:dyDescent="0.45">
      <c r="A809" vm="1740">
        <v>44628</v>
      </c>
      <c r="B809" vm="989">
        <v>0.91720000000000002</v>
      </c>
      <c r="C809">
        <f>1/T_USD_EUR[[#This Row],[USDEUR]]</f>
        <v>1.0902747492368077</v>
      </c>
    </row>
    <row r="810" spans="1:3" x14ac:dyDescent="0.45">
      <c r="A810" vm="1741">
        <v>44629</v>
      </c>
      <c r="B810" vm="633">
        <v>0.90269999999999995</v>
      </c>
      <c r="C810">
        <f>1/T_USD_EUR[[#This Row],[USDEUR]]</f>
        <v>1.1077877478675087</v>
      </c>
    </row>
    <row r="811" spans="1:3" x14ac:dyDescent="0.45">
      <c r="A811" vm="1742">
        <v>44630</v>
      </c>
      <c r="B811" vm="1743">
        <v>0.91020000000000001</v>
      </c>
      <c r="C811">
        <f>1/T_USD_EUR[[#This Row],[USDEUR]]</f>
        <v>1.0986596352450011</v>
      </c>
    </row>
    <row r="812" spans="1:3" x14ac:dyDescent="0.45">
      <c r="A812" vm="1744">
        <v>44631</v>
      </c>
      <c r="B812" vm="982">
        <v>0.9163</v>
      </c>
      <c r="C812">
        <f>1/T_USD_EUR[[#This Row],[USDEUR]]</f>
        <v>1.0913456291607553</v>
      </c>
    </row>
    <row r="813" spans="1:3" x14ac:dyDescent="0.45">
      <c r="A813" vm="1745">
        <v>44634</v>
      </c>
      <c r="B813" vm="1746">
        <v>0.91400000000000003</v>
      </c>
      <c r="C813">
        <f>1/T_USD_EUR[[#This Row],[USDEUR]]</f>
        <v>1.0940919037199124</v>
      </c>
    </row>
    <row r="814" spans="1:3" x14ac:dyDescent="0.45">
      <c r="A814" vm="1747">
        <v>44635</v>
      </c>
      <c r="B814" vm="1748">
        <v>0.91279999999999994</v>
      </c>
      <c r="C814">
        <f>1/T_USD_EUR[[#This Row],[USDEUR]]</f>
        <v>1.0955302366345312</v>
      </c>
    </row>
    <row r="815" spans="1:3" x14ac:dyDescent="0.45">
      <c r="A815" vm="1749">
        <v>44636</v>
      </c>
      <c r="B815" vm="762">
        <v>0.90629999999999999</v>
      </c>
      <c r="C815">
        <f>1/T_USD_EUR[[#This Row],[USDEUR]]</f>
        <v>1.1033873993158998</v>
      </c>
    </row>
    <row r="816" spans="1:3" x14ac:dyDescent="0.45">
      <c r="A816" vm="1750">
        <v>44637</v>
      </c>
      <c r="B816" vm="809">
        <v>0.90149999999999997</v>
      </c>
      <c r="C816">
        <f>1/T_USD_EUR[[#This Row],[USDEUR]]</f>
        <v>1.1092623405435387</v>
      </c>
    </row>
    <row r="817" spans="1:3" x14ac:dyDescent="0.45">
      <c r="A817" vm="1751">
        <v>44638</v>
      </c>
      <c r="B817" vm="1752">
        <v>0.90490000000000004</v>
      </c>
      <c r="C817">
        <f>1/T_USD_EUR[[#This Row],[USDEUR]]</f>
        <v>1.105094485578517</v>
      </c>
    </row>
    <row r="818" spans="1:3" x14ac:dyDescent="0.45">
      <c r="A818" vm="1753">
        <v>44641</v>
      </c>
      <c r="B818" vm="1754">
        <v>0.90759999999999996</v>
      </c>
      <c r="C818">
        <f>1/T_USD_EUR[[#This Row],[USDEUR]]</f>
        <v>1.1018069634200089</v>
      </c>
    </row>
    <row r="819" spans="1:3" x14ac:dyDescent="0.45">
      <c r="A819" vm="1755">
        <v>44642</v>
      </c>
      <c r="B819" vm="680">
        <v>0.90649999999999997</v>
      </c>
      <c r="C819">
        <f>1/T_USD_EUR[[#This Row],[USDEUR]]</f>
        <v>1.1031439602868174</v>
      </c>
    </row>
    <row r="820" spans="1:3" x14ac:dyDescent="0.45">
      <c r="A820" vm="1756">
        <v>44643</v>
      </c>
      <c r="B820" vm="1757">
        <v>0.90859999999999996</v>
      </c>
      <c r="C820">
        <f>1/T_USD_EUR[[#This Row],[USDEUR]]</f>
        <v>1.100594320933304</v>
      </c>
    </row>
    <row r="821" spans="1:3" x14ac:dyDescent="0.45">
      <c r="A821" vm="1758">
        <v>44644</v>
      </c>
      <c r="B821" vm="1759">
        <v>0.90920000000000001</v>
      </c>
      <c r="C821">
        <f>1/T_USD_EUR[[#This Row],[USDEUR]]</f>
        <v>1.0998680158380993</v>
      </c>
    </row>
    <row r="822" spans="1:3" x14ac:dyDescent="0.45">
      <c r="A822" vm="1760">
        <v>44645</v>
      </c>
      <c r="B822" vm="1761">
        <v>0.9103</v>
      </c>
      <c r="C822">
        <f>1/T_USD_EUR[[#This Row],[USDEUR]]</f>
        <v>1.0985389432055366</v>
      </c>
    </row>
    <row r="823" spans="1:3" x14ac:dyDescent="0.45">
      <c r="A823" vm="1762">
        <v>44648</v>
      </c>
      <c r="B823" vm="1763">
        <v>0.91059999999999997</v>
      </c>
      <c r="C823">
        <f>1/T_USD_EUR[[#This Row],[USDEUR]]</f>
        <v>1.0981770261366133</v>
      </c>
    </row>
    <row r="824" spans="1:3" x14ac:dyDescent="0.45">
      <c r="A824" vm="1764">
        <v>44649</v>
      </c>
      <c r="B824" vm="807">
        <v>0.90180000000000005</v>
      </c>
      <c r="C824">
        <f>1/T_USD_EUR[[#This Row],[USDEUR]]</f>
        <v>1.1088933244621866</v>
      </c>
    </row>
    <row r="825" spans="1:3" x14ac:dyDescent="0.45">
      <c r="A825" vm="1765">
        <v>44650</v>
      </c>
      <c r="B825" vm="557">
        <v>0.89600000000000002</v>
      </c>
      <c r="C825">
        <f>1/T_USD_EUR[[#This Row],[USDEUR]]</f>
        <v>1.1160714285714286</v>
      </c>
    </row>
    <row r="826" spans="1:3" x14ac:dyDescent="0.45">
      <c r="A826" vm="1766">
        <v>44651</v>
      </c>
      <c r="B826" vm="1767">
        <v>0.90339999999999998</v>
      </c>
      <c r="C826">
        <f>1/T_USD_EUR[[#This Row],[USDEUR]]</f>
        <v>1.1069293779056897</v>
      </c>
    </row>
    <row r="827" spans="1:3" x14ac:dyDescent="0.45">
      <c r="A827" vm="1768">
        <v>44652</v>
      </c>
      <c r="B827" vm="1769">
        <v>0.90439999999999998</v>
      </c>
      <c r="C827">
        <f>1/T_USD_EUR[[#This Row],[USDEUR]]</f>
        <v>1.1057054400707651</v>
      </c>
    </row>
    <row r="828" spans="1:3" x14ac:dyDescent="0.45">
      <c r="A828" vm="1770">
        <v>44655</v>
      </c>
      <c r="B828" vm="1771">
        <v>0.91120000000000001</v>
      </c>
      <c r="C828">
        <f>1/T_USD_EUR[[#This Row],[USDEUR]]</f>
        <v>1.0974539069359086</v>
      </c>
    </row>
    <row r="829" spans="1:3" x14ac:dyDescent="0.45">
      <c r="A829" vm="1772">
        <v>44656</v>
      </c>
      <c r="B829" vm="1773">
        <v>0.91679999999999995</v>
      </c>
      <c r="C829">
        <f>1/T_USD_EUR[[#This Row],[USDEUR]]</f>
        <v>1.0907504363001745</v>
      </c>
    </row>
    <row r="830" spans="1:3" x14ac:dyDescent="0.45">
      <c r="A830" vm="1774">
        <v>44657</v>
      </c>
      <c r="B830" vm="1775">
        <v>0.91759999999999997</v>
      </c>
      <c r="C830">
        <f>1/T_USD_EUR[[#This Row],[USDEUR]]</f>
        <v>1.0897994768962511</v>
      </c>
    </row>
    <row r="831" spans="1:3" x14ac:dyDescent="0.45">
      <c r="A831" vm="1776">
        <v>44658</v>
      </c>
      <c r="B831" vm="1777">
        <v>0.91910000000000003</v>
      </c>
      <c r="C831">
        <f>1/T_USD_EUR[[#This Row],[USDEUR]]</f>
        <v>1.0880208900010879</v>
      </c>
    </row>
    <row r="832" spans="1:3" x14ac:dyDescent="0.45">
      <c r="A832" vm="1778">
        <v>44659</v>
      </c>
      <c r="B832" vm="1777">
        <v>0.91910000000000003</v>
      </c>
      <c r="C832">
        <f>1/T_USD_EUR[[#This Row],[USDEUR]]</f>
        <v>1.0880208900010879</v>
      </c>
    </row>
    <row r="833" spans="1:3" x14ac:dyDescent="0.45">
      <c r="A833" vm="1779">
        <v>44662</v>
      </c>
      <c r="B833" vm="916">
        <v>0.91879999999999995</v>
      </c>
      <c r="C833">
        <f>1/T_USD_EUR[[#This Row],[USDEUR]]</f>
        <v>1.0883761427949501</v>
      </c>
    </row>
    <row r="834" spans="1:3" x14ac:dyDescent="0.45">
      <c r="A834" vm="1780">
        <v>44663</v>
      </c>
      <c r="B834" vm="1781">
        <v>0.9234</v>
      </c>
      <c r="C834">
        <f>1/T_USD_EUR[[#This Row],[USDEUR]]</f>
        <v>1.0829542993285683</v>
      </c>
    </row>
    <row r="835" spans="1:3" x14ac:dyDescent="0.45">
      <c r="A835" vm="1782">
        <v>44664</v>
      </c>
      <c r="B835" vm="1783">
        <v>0.91839999999999999</v>
      </c>
      <c r="C835">
        <f>1/T_USD_EUR[[#This Row],[USDEUR]]</f>
        <v>1.0888501742160279</v>
      </c>
    </row>
    <row r="836" spans="1:3" x14ac:dyDescent="0.45">
      <c r="A836" vm="1784">
        <v>44665</v>
      </c>
      <c r="B836" vm="1785">
        <v>0.92330000000000001</v>
      </c>
      <c r="C836">
        <f>1/T_USD_EUR[[#This Row],[USDEUR]]</f>
        <v>1.0830715910321673</v>
      </c>
    </row>
    <row r="837" spans="1:3" x14ac:dyDescent="0.45">
      <c r="A837" vm="1786">
        <v>44666</v>
      </c>
      <c r="B837" vm="927">
        <v>0.92510000000000003</v>
      </c>
      <c r="C837">
        <f>1/T_USD_EUR[[#This Row],[USDEUR]]</f>
        <v>1.0809642200843153</v>
      </c>
    </row>
    <row r="838" spans="1:3" x14ac:dyDescent="0.45">
      <c r="A838" vm="1787">
        <v>44669</v>
      </c>
      <c r="B838" vm="1788">
        <v>0.92730000000000001</v>
      </c>
      <c r="C838">
        <f>1/T_USD_EUR[[#This Row],[USDEUR]]</f>
        <v>1.0783996549121104</v>
      </c>
    </row>
    <row r="839" spans="1:3" x14ac:dyDescent="0.45">
      <c r="A839" vm="1789">
        <v>44670</v>
      </c>
      <c r="B839" vm="1790">
        <v>0.92679999999999996</v>
      </c>
      <c r="C839">
        <f>1/T_USD_EUR[[#This Row],[USDEUR]]</f>
        <v>1.0789814415192058</v>
      </c>
    </row>
    <row r="840" spans="1:3" x14ac:dyDescent="0.45">
      <c r="A840" vm="1791">
        <v>44671</v>
      </c>
      <c r="B840" vm="1792">
        <v>0.92120000000000002</v>
      </c>
      <c r="C840">
        <f>1/T_USD_EUR[[#This Row],[USDEUR]]</f>
        <v>1.0855405992184108</v>
      </c>
    </row>
    <row r="841" spans="1:3" x14ac:dyDescent="0.45">
      <c r="A841" vm="1793">
        <v>44672</v>
      </c>
      <c r="B841" vm="1794">
        <v>0.92249999999999999</v>
      </c>
      <c r="C841">
        <f>1/T_USD_EUR[[#This Row],[USDEUR]]</f>
        <v>1.0840108401084012</v>
      </c>
    </row>
    <row r="842" spans="1:3" x14ac:dyDescent="0.45">
      <c r="A842" vm="1795">
        <v>44673</v>
      </c>
      <c r="B842" vm="968">
        <v>0.92630000000000001</v>
      </c>
      <c r="C842">
        <f>1/T_USD_EUR[[#This Row],[USDEUR]]</f>
        <v>1.0795638562020944</v>
      </c>
    </row>
    <row r="843" spans="1:3" x14ac:dyDescent="0.45">
      <c r="A843" vm="1796">
        <v>44676</v>
      </c>
      <c r="B843" vm="1797">
        <v>0.93330000000000002</v>
      </c>
      <c r="C843">
        <f>1/T_USD_EUR[[#This Row],[USDEUR]]</f>
        <v>1.0714668381013608</v>
      </c>
    </row>
    <row r="844" spans="1:3" x14ac:dyDescent="0.45">
      <c r="A844" vm="1798">
        <v>44677</v>
      </c>
      <c r="B844" vm="1799">
        <v>0.93989999999999996</v>
      </c>
      <c r="C844">
        <f>1/T_USD_EUR[[#This Row],[USDEUR]]</f>
        <v>1.0639429726566656</v>
      </c>
    </row>
    <row r="845" spans="1:3" x14ac:dyDescent="0.45">
      <c r="A845" vm="1800">
        <v>44678</v>
      </c>
      <c r="B845" vm="1801">
        <v>0.94710000000000005</v>
      </c>
      <c r="C845">
        <f>1/T_USD_EUR[[#This Row],[USDEUR]]</f>
        <v>1.0558547143912997</v>
      </c>
    </row>
    <row r="846" spans="1:3" x14ac:dyDescent="0.45">
      <c r="A846" vm="1802">
        <v>44679</v>
      </c>
      <c r="B846" vm="1803">
        <v>0.95220000000000005</v>
      </c>
      <c r="C846">
        <f>1/T_USD_EUR[[#This Row],[USDEUR]]</f>
        <v>1.0501995379122033</v>
      </c>
    </row>
    <row r="847" spans="1:3" x14ac:dyDescent="0.45">
      <c r="A847" vm="1804">
        <v>44680</v>
      </c>
      <c r="B847" vm="1805">
        <v>0.94830000000000003</v>
      </c>
      <c r="C847">
        <f>1/T_USD_EUR[[#This Row],[USDEUR]]</f>
        <v>1.0545186122535062</v>
      </c>
    </row>
    <row r="848" spans="1:3" x14ac:dyDescent="0.45">
      <c r="A848" vm="1806">
        <v>44683</v>
      </c>
      <c r="B848" vm="1807">
        <v>0.95179999999999998</v>
      </c>
      <c r="C848">
        <f>1/T_USD_EUR[[#This Row],[USDEUR]]</f>
        <v>1.0506408909434755</v>
      </c>
    </row>
    <row r="849" spans="1:3" x14ac:dyDescent="0.45">
      <c r="A849" vm="1808">
        <v>44684</v>
      </c>
      <c r="B849" vm="1809">
        <v>0.95020000000000004</v>
      </c>
      <c r="C849">
        <f>1/T_USD_EUR[[#This Row],[USDEUR]]</f>
        <v>1.0524100189433803</v>
      </c>
    </row>
    <row r="850" spans="1:3" x14ac:dyDescent="0.45">
      <c r="A850" vm="1810">
        <v>44685</v>
      </c>
      <c r="B850" vm="1811">
        <v>0.94120000000000004</v>
      </c>
      <c r="C850">
        <f>1/T_USD_EUR[[#This Row],[USDEUR]]</f>
        <v>1.0624734381640459</v>
      </c>
    </row>
    <row r="851" spans="1:3" x14ac:dyDescent="0.45">
      <c r="A851" vm="1812">
        <v>44686</v>
      </c>
      <c r="B851" vm="1813">
        <v>0.94840000000000002</v>
      </c>
      <c r="C851">
        <f>1/T_USD_EUR[[#This Row],[USDEUR]]</f>
        <v>1.0544074230282581</v>
      </c>
    </row>
    <row r="852" spans="1:3" x14ac:dyDescent="0.45">
      <c r="A852" vm="1814">
        <v>44687</v>
      </c>
      <c r="B852" vm="1815">
        <v>0.94740000000000002</v>
      </c>
      <c r="C852">
        <f>1/T_USD_EUR[[#This Row],[USDEUR]]</f>
        <v>1.0555203715431707</v>
      </c>
    </row>
    <row r="853" spans="1:3" x14ac:dyDescent="0.45">
      <c r="A853" vm="1816">
        <v>44690</v>
      </c>
      <c r="B853" vm="1801">
        <v>0.94710000000000005</v>
      </c>
      <c r="C853">
        <f>1/T_USD_EUR[[#This Row],[USDEUR]]</f>
        <v>1.0558547143912997</v>
      </c>
    </row>
    <row r="854" spans="1:3" x14ac:dyDescent="0.45">
      <c r="A854" vm="1817">
        <v>44691</v>
      </c>
      <c r="B854" vm="1818">
        <v>0.9496</v>
      </c>
      <c r="C854">
        <f>1/T_USD_EUR[[#This Row],[USDEUR]]</f>
        <v>1.0530749789385003</v>
      </c>
    </row>
    <row r="855" spans="1:3" x14ac:dyDescent="0.45">
      <c r="A855" vm="1819">
        <v>44692</v>
      </c>
      <c r="B855" vm="1820">
        <v>0.95099999999999996</v>
      </c>
      <c r="C855">
        <f>1/T_USD_EUR[[#This Row],[USDEUR]]</f>
        <v>1.0515247108307046</v>
      </c>
    </row>
    <row r="856" spans="1:3" x14ac:dyDescent="0.45">
      <c r="A856" vm="1821">
        <v>44693</v>
      </c>
      <c r="B856" vm="1822">
        <v>0.96330000000000005</v>
      </c>
      <c r="C856">
        <f>1/T_USD_EUR[[#This Row],[USDEUR]]</f>
        <v>1.0380982040901068</v>
      </c>
    </row>
    <row r="857" spans="1:3" x14ac:dyDescent="0.45">
      <c r="A857" vm="1823">
        <v>44694</v>
      </c>
      <c r="B857" vm="1824">
        <v>0.96020000000000005</v>
      </c>
      <c r="C857">
        <f>1/T_USD_EUR[[#This Row],[USDEUR]]</f>
        <v>1.0414496979795875</v>
      </c>
    </row>
    <row r="858" spans="1:3" x14ac:dyDescent="0.45">
      <c r="A858" vm="1825">
        <v>44697</v>
      </c>
      <c r="B858" vm="1826">
        <v>0.95830000000000004</v>
      </c>
      <c r="C858">
        <f>1/T_USD_EUR[[#This Row],[USDEUR]]</f>
        <v>1.0435145570280704</v>
      </c>
    </row>
    <row r="859" spans="1:3" x14ac:dyDescent="0.45">
      <c r="A859" vm="1827">
        <v>44698</v>
      </c>
      <c r="B859" vm="1828">
        <v>0.94779999999999998</v>
      </c>
      <c r="C859">
        <f>1/T_USD_EUR[[#This Row],[USDEUR]]</f>
        <v>1.0550749103186325</v>
      </c>
    </row>
    <row r="860" spans="1:3" x14ac:dyDescent="0.45">
      <c r="A860" vm="1829">
        <v>44699</v>
      </c>
      <c r="B860" vm="1830">
        <v>0.95509999999999995</v>
      </c>
      <c r="C860">
        <f>1/T_USD_EUR[[#This Row],[USDEUR]]</f>
        <v>1.0470107842110774</v>
      </c>
    </row>
    <row r="861" spans="1:3" x14ac:dyDescent="0.45">
      <c r="A861" vm="1831">
        <v>44700</v>
      </c>
      <c r="B861" vm="1832">
        <v>0.94420000000000004</v>
      </c>
      <c r="C861">
        <f>1/T_USD_EUR[[#This Row],[USDEUR]]</f>
        <v>1.0590976488032195</v>
      </c>
    </row>
    <row r="862" spans="1:3" x14ac:dyDescent="0.45">
      <c r="A862" vm="1833">
        <v>44701</v>
      </c>
      <c r="B862" vm="1834">
        <v>0.9466</v>
      </c>
      <c r="C862">
        <f>1/T_USD_EUR[[#This Row],[USDEUR]]</f>
        <v>1.0564124234100993</v>
      </c>
    </row>
    <row r="863" spans="1:3" x14ac:dyDescent="0.45">
      <c r="A863" vm="1835">
        <v>44704</v>
      </c>
      <c r="B863" vm="1836">
        <v>0.93520000000000003</v>
      </c>
      <c r="C863">
        <f>1/T_USD_EUR[[#This Row],[USDEUR]]</f>
        <v>1.0692899914456799</v>
      </c>
    </row>
    <row r="864" spans="1:3" x14ac:dyDescent="0.45">
      <c r="A864" vm="1837">
        <v>44705</v>
      </c>
      <c r="B864" vm="1838">
        <v>0.93140000000000001</v>
      </c>
      <c r="C864">
        <f>1/T_USD_EUR[[#This Row],[USDEUR]]</f>
        <v>1.0736525660296328</v>
      </c>
    </row>
    <row r="865" spans="1:3" x14ac:dyDescent="0.45">
      <c r="A865" vm="1839">
        <v>44706</v>
      </c>
      <c r="B865" vm="1840">
        <v>0.93600000000000005</v>
      </c>
      <c r="C865">
        <f>1/T_USD_EUR[[#This Row],[USDEUR]]</f>
        <v>1.0683760683760684</v>
      </c>
    </row>
    <row r="866" spans="1:3" x14ac:dyDescent="0.45">
      <c r="A866" vm="1841">
        <v>44707</v>
      </c>
      <c r="B866" vm="1842">
        <v>0.93210000000000004</v>
      </c>
      <c r="C866">
        <f>1/T_USD_EUR[[#This Row],[USDEUR]]</f>
        <v>1.0728462611307799</v>
      </c>
    </row>
    <row r="867" spans="1:3" x14ac:dyDescent="0.45">
      <c r="A867" vm="1843">
        <v>44708</v>
      </c>
      <c r="B867" vm="1844">
        <v>0.93189999999999995</v>
      </c>
      <c r="C867">
        <f>1/T_USD_EUR[[#This Row],[USDEUR]]</f>
        <v>1.0730765103551885</v>
      </c>
    </row>
    <row r="868" spans="1:3" x14ac:dyDescent="0.45">
      <c r="A868" vm="1845">
        <v>44711</v>
      </c>
      <c r="B868" vm="952">
        <v>0.92759999999999998</v>
      </c>
      <c r="C868">
        <f>1/T_USD_EUR[[#This Row],[USDEUR]]</f>
        <v>1.0780508840017249</v>
      </c>
    </row>
    <row r="869" spans="1:3" x14ac:dyDescent="0.45">
      <c r="A869" vm="1846">
        <v>44712</v>
      </c>
      <c r="B869" vm="1838">
        <v>0.93140000000000001</v>
      </c>
      <c r="C869">
        <f>1/T_USD_EUR[[#This Row],[USDEUR]]</f>
        <v>1.0736525660296328</v>
      </c>
    </row>
    <row r="870" spans="1:3" x14ac:dyDescent="0.45">
      <c r="A870" vm="1847">
        <v>44713</v>
      </c>
      <c r="B870" vm="1848">
        <v>0.93879999999999997</v>
      </c>
      <c r="C870">
        <f>1/T_USD_EUR[[#This Row],[USDEUR]]</f>
        <v>1.0651896037494675</v>
      </c>
    </row>
    <row r="871" spans="1:3" x14ac:dyDescent="0.45">
      <c r="A871" vm="1849">
        <v>44714</v>
      </c>
      <c r="B871" vm="1850">
        <v>0.93020000000000003</v>
      </c>
      <c r="C871">
        <f>1/T_USD_EUR[[#This Row],[USDEUR]]</f>
        <v>1.075037626316921</v>
      </c>
    </row>
    <row r="872" spans="1:3" x14ac:dyDescent="0.45">
      <c r="A872" vm="1851">
        <v>44715</v>
      </c>
      <c r="B872" vm="1852">
        <v>0.93269999999999997</v>
      </c>
      <c r="C872">
        <f>1/T_USD_EUR[[#This Row],[USDEUR]]</f>
        <v>1.0721561059290232</v>
      </c>
    </row>
    <row r="873" spans="1:3" x14ac:dyDescent="0.45">
      <c r="A873" vm="1853">
        <v>44718</v>
      </c>
      <c r="B873" vm="910">
        <v>0.93489999999999995</v>
      </c>
      <c r="C873">
        <f>1/T_USD_EUR[[#This Row],[USDEUR]]</f>
        <v>1.0696331158412664</v>
      </c>
    </row>
    <row r="874" spans="1:3" x14ac:dyDescent="0.45">
      <c r="A874" vm="1854">
        <v>44719</v>
      </c>
      <c r="B874" vm="1855">
        <v>0.93430000000000002</v>
      </c>
      <c r="C874">
        <f>1/T_USD_EUR[[#This Row],[USDEUR]]</f>
        <v>1.0703200256876806</v>
      </c>
    </row>
    <row r="875" spans="1:3" x14ac:dyDescent="0.45">
      <c r="A875" vm="1856">
        <v>44720</v>
      </c>
      <c r="B875" vm="1857">
        <v>0.93300000000000005</v>
      </c>
      <c r="C875">
        <f>1/T_USD_EUR[[#This Row],[USDEUR]]</f>
        <v>1.0718113612004287</v>
      </c>
    </row>
    <row r="876" spans="1:3" x14ac:dyDescent="0.45">
      <c r="A876" vm="1858">
        <v>44721</v>
      </c>
      <c r="B876" vm="1859">
        <v>0.94179999999999997</v>
      </c>
      <c r="C876">
        <f>1/T_USD_EUR[[#This Row],[USDEUR]]</f>
        <v>1.0617965597791463</v>
      </c>
    </row>
    <row r="877" spans="1:3" x14ac:dyDescent="0.45">
      <c r="A877" vm="1860">
        <v>44722</v>
      </c>
      <c r="B877" vm="1861">
        <v>0.95069999999999999</v>
      </c>
      <c r="C877">
        <f>1/T_USD_EUR[[#This Row],[USDEUR]]</f>
        <v>1.0518565267697486</v>
      </c>
    </row>
    <row r="878" spans="1:3" x14ac:dyDescent="0.45">
      <c r="A878" vm="1862">
        <v>44725</v>
      </c>
      <c r="B878" vm="1863">
        <v>0.9607</v>
      </c>
      <c r="C878">
        <f>1/T_USD_EUR[[#This Row],[USDEUR]]</f>
        <v>1.0409076714895389</v>
      </c>
    </row>
    <row r="879" spans="1:3" x14ac:dyDescent="0.45">
      <c r="A879" vm="1864">
        <v>44726</v>
      </c>
      <c r="B879" vm="1865">
        <v>0.95979999999999999</v>
      </c>
      <c r="C879">
        <f>1/T_USD_EUR[[#This Row],[USDEUR]]</f>
        <v>1.0418837257762035</v>
      </c>
    </row>
    <row r="880" spans="1:3" x14ac:dyDescent="0.45">
      <c r="A880" vm="1866">
        <v>44727</v>
      </c>
      <c r="B880" vm="1867">
        <v>0.95730000000000004</v>
      </c>
      <c r="C880">
        <f>1/T_USD_EUR[[#This Row],[USDEUR]]</f>
        <v>1.0446046171524077</v>
      </c>
    </row>
    <row r="881" spans="1:3" x14ac:dyDescent="0.45">
      <c r="A881" vm="1868">
        <v>44728</v>
      </c>
      <c r="B881" vm="1869">
        <v>0.94769999999999999</v>
      </c>
      <c r="C881">
        <f>1/T_USD_EUR[[#This Row],[USDEUR]]</f>
        <v>1.0551862403714256</v>
      </c>
    </row>
    <row r="882" spans="1:3" x14ac:dyDescent="0.45">
      <c r="A882" vm="1870">
        <v>44729</v>
      </c>
      <c r="B882" vm="1803">
        <v>0.95220000000000005</v>
      </c>
      <c r="C882">
        <f>1/T_USD_EUR[[#This Row],[USDEUR]]</f>
        <v>1.0501995379122033</v>
      </c>
    </row>
    <row r="883" spans="1:3" x14ac:dyDescent="0.45">
      <c r="A883" vm="1871">
        <v>44732</v>
      </c>
      <c r="B883" vm="1872">
        <v>0.95120000000000005</v>
      </c>
      <c r="C883">
        <f>1/T_USD_EUR[[#This Row],[USDEUR]]</f>
        <v>1.0513036164844407</v>
      </c>
    </row>
    <row r="884" spans="1:3" x14ac:dyDescent="0.45">
      <c r="A884" vm="1873">
        <v>44733</v>
      </c>
      <c r="B884" vm="1874">
        <v>0.94979999999999998</v>
      </c>
      <c r="C884">
        <f>1/T_USD_EUR[[#This Row],[USDEUR]]</f>
        <v>1.0528532322594231</v>
      </c>
    </row>
    <row r="885" spans="1:3" x14ac:dyDescent="0.45">
      <c r="A885" vm="1875">
        <v>44734</v>
      </c>
      <c r="B885" vm="1876">
        <v>0.94630000000000003</v>
      </c>
      <c r="C885">
        <f>1/T_USD_EUR[[#This Row],[USDEUR]]</f>
        <v>1.0567473317129874</v>
      </c>
    </row>
    <row r="886" spans="1:3" x14ac:dyDescent="0.45">
      <c r="A886" vm="1877">
        <v>44735</v>
      </c>
      <c r="B886" vm="1874">
        <v>0.94979999999999998</v>
      </c>
      <c r="C886">
        <f>1/T_USD_EUR[[#This Row],[USDEUR]]</f>
        <v>1.0528532322594231</v>
      </c>
    </row>
    <row r="887" spans="1:3" x14ac:dyDescent="0.45">
      <c r="A887" vm="1878">
        <v>44736</v>
      </c>
      <c r="B887" vm="1801">
        <v>0.94710000000000005</v>
      </c>
      <c r="C887">
        <f>1/T_USD_EUR[[#This Row],[USDEUR]]</f>
        <v>1.0558547143912997</v>
      </c>
    </row>
    <row r="888" spans="1:3" x14ac:dyDescent="0.45">
      <c r="A888" vm="1879">
        <v>44739</v>
      </c>
      <c r="B888" vm="1880">
        <v>0.94469999999999998</v>
      </c>
      <c r="C888">
        <f>1/T_USD_EUR[[#This Row],[USDEUR]]</f>
        <v>1.0585371017254155</v>
      </c>
    </row>
    <row r="889" spans="1:3" x14ac:dyDescent="0.45">
      <c r="A889" vm="1881">
        <v>44740</v>
      </c>
      <c r="B889" vm="1882">
        <v>0.95050000000000001</v>
      </c>
      <c r="C889">
        <f>1/T_USD_EUR[[#This Row],[USDEUR]]</f>
        <v>1.0520778537611783</v>
      </c>
    </row>
    <row r="890" spans="1:3" x14ac:dyDescent="0.45">
      <c r="A890" vm="1883">
        <v>44741</v>
      </c>
      <c r="B890" vm="1884">
        <v>0.95760000000000001</v>
      </c>
      <c r="C890">
        <f>1/T_USD_EUR[[#This Row],[USDEUR]]</f>
        <v>1.0442773600668338</v>
      </c>
    </row>
    <row r="891" spans="1:3" x14ac:dyDescent="0.45">
      <c r="A891" vm="1885">
        <v>44742</v>
      </c>
      <c r="B891" vm="1886">
        <v>0.95369999999999999</v>
      </c>
      <c r="C891">
        <f>1/T_USD_EUR[[#This Row],[USDEUR]]</f>
        <v>1.0485477613505296</v>
      </c>
    </row>
    <row r="892" spans="1:3" x14ac:dyDescent="0.45">
      <c r="A892" vm="1887">
        <v>44743</v>
      </c>
      <c r="B892" vm="1888">
        <v>0.95879999999999999</v>
      </c>
      <c r="C892">
        <f>1/T_USD_EUR[[#This Row],[USDEUR]]</f>
        <v>1.0429703796412182</v>
      </c>
    </row>
    <row r="893" spans="1:3" x14ac:dyDescent="0.45">
      <c r="A893" vm="1889">
        <v>44746</v>
      </c>
      <c r="B893" vm="1890">
        <v>0.95920000000000005</v>
      </c>
      <c r="C893">
        <f>1/T_USD_EUR[[#This Row],[USDEUR]]</f>
        <v>1.042535446205171</v>
      </c>
    </row>
    <row r="894" spans="1:3" x14ac:dyDescent="0.45">
      <c r="A894" vm="1891">
        <v>44747</v>
      </c>
      <c r="B894" vm="1892">
        <v>0.97370000000000001</v>
      </c>
      <c r="C894">
        <f>1/T_USD_EUR[[#This Row],[USDEUR]]</f>
        <v>1.0270103728047653</v>
      </c>
    </row>
    <row r="895" spans="1:3" x14ac:dyDescent="0.45">
      <c r="A895" vm="1893">
        <v>44748</v>
      </c>
      <c r="B895" vm="1894">
        <v>0.98199999999999998</v>
      </c>
      <c r="C895">
        <f>1/T_USD_EUR[[#This Row],[USDEUR]]</f>
        <v>1.0183299389002036</v>
      </c>
    </row>
    <row r="896" spans="1:3" x14ac:dyDescent="0.45">
      <c r="A896" vm="1895">
        <v>44749</v>
      </c>
      <c r="B896" vm="1896">
        <v>0.98399999999999999</v>
      </c>
      <c r="C896">
        <f>1/T_USD_EUR[[#This Row],[USDEUR]]</f>
        <v>1.0162601626016261</v>
      </c>
    </row>
    <row r="897" spans="1:3" x14ac:dyDescent="0.45">
      <c r="A897" vm="1897">
        <v>44750</v>
      </c>
      <c r="B897" vm="1898">
        <v>0.98160000000000003</v>
      </c>
      <c r="C897">
        <f>1/T_USD_EUR[[#This Row],[USDEUR]]</f>
        <v>1.0187449062754685</v>
      </c>
    </row>
    <row r="898" spans="1:3" x14ac:dyDescent="0.45">
      <c r="A898" vm="1899">
        <v>44753</v>
      </c>
      <c r="B898" vm="1900">
        <v>0.99570000000000003</v>
      </c>
      <c r="C898">
        <f>1/T_USD_EUR[[#This Row],[USDEUR]]</f>
        <v>1.0043185698503565</v>
      </c>
    </row>
    <row r="899" spans="1:3" x14ac:dyDescent="0.45">
      <c r="A899" vm="1901">
        <v>44754</v>
      </c>
      <c r="B899" vm="1902">
        <v>0.99590000000000001</v>
      </c>
      <c r="C899">
        <f>1/T_USD_EUR[[#This Row],[USDEUR]]</f>
        <v>1.0041168792047395</v>
      </c>
    </row>
    <row r="900" spans="1:3" x14ac:dyDescent="0.45">
      <c r="A900" vm="1903">
        <v>44755</v>
      </c>
      <c r="B900" vm="1904">
        <v>0.99360000000000004</v>
      </c>
      <c r="C900">
        <f>1/T_USD_EUR[[#This Row],[USDEUR]]</f>
        <v>1.0064412238325282</v>
      </c>
    </row>
    <row r="901" spans="1:3" x14ac:dyDescent="0.45">
      <c r="A901" vm="1905">
        <v>44756</v>
      </c>
      <c r="B901" vm="1906">
        <v>0.998</v>
      </c>
      <c r="C901">
        <f>1/T_USD_EUR[[#This Row],[USDEUR]]</f>
        <v>1.002004008016032</v>
      </c>
    </row>
    <row r="902" spans="1:3" x14ac:dyDescent="0.45">
      <c r="A902" vm="1907">
        <v>44757</v>
      </c>
      <c r="B902" vm="1908">
        <v>0.99099999999999999</v>
      </c>
      <c r="C902">
        <f>1/T_USD_EUR[[#This Row],[USDEUR]]</f>
        <v>1.0090817356205852</v>
      </c>
    </row>
    <row r="903" spans="1:3" x14ac:dyDescent="0.45">
      <c r="A903" vm="1909">
        <v>44760</v>
      </c>
      <c r="B903" vm="1910">
        <v>0.98580000000000001</v>
      </c>
      <c r="C903">
        <f>1/T_USD_EUR[[#This Row],[USDEUR]]</f>
        <v>1.0144045445323595</v>
      </c>
    </row>
    <row r="904" spans="1:3" x14ac:dyDescent="0.45">
      <c r="A904" vm="1911">
        <v>44761</v>
      </c>
      <c r="B904" vm="1912">
        <v>0.97770000000000001</v>
      </c>
      <c r="C904">
        <f>1/T_USD_EUR[[#This Row],[USDEUR]]</f>
        <v>1.0228086325048584</v>
      </c>
    </row>
    <row r="905" spans="1:3" x14ac:dyDescent="0.45">
      <c r="A905" vm="1913">
        <v>44762</v>
      </c>
      <c r="B905" vm="1914">
        <v>0.98219999999999996</v>
      </c>
      <c r="C905">
        <f>1/T_USD_EUR[[#This Row],[USDEUR]]</f>
        <v>1.018122581958868</v>
      </c>
    </row>
    <row r="906" spans="1:3" x14ac:dyDescent="0.45">
      <c r="A906" vm="1915">
        <v>44763</v>
      </c>
      <c r="B906" vm="1916">
        <v>0.97729999999999995</v>
      </c>
      <c r="C906">
        <f>1/T_USD_EUR[[#This Row],[USDEUR]]</f>
        <v>1.0232272587741738</v>
      </c>
    </row>
    <row r="907" spans="1:3" x14ac:dyDescent="0.45">
      <c r="A907" vm="1917">
        <v>44764</v>
      </c>
      <c r="B907" vm="1918">
        <v>0.97899999999999998</v>
      </c>
      <c r="C907">
        <f>1/T_USD_EUR[[#This Row],[USDEUR]]</f>
        <v>1.0214504596527068</v>
      </c>
    </row>
    <row r="908" spans="1:3" x14ac:dyDescent="0.45">
      <c r="A908" vm="1919">
        <v>44767</v>
      </c>
      <c r="B908" vm="1920">
        <v>0.97809999999999997</v>
      </c>
      <c r="C908">
        <f>1/T_USD_EUR[[#This Row],[USDEUR]]</f>
        <v>1.0223903486351089</v>
      </c>
    </row>
    <row r="909" spans="1:3" x14ac:dyDescent="0.45">
      <c r="A909" vm="1921">
        <v>44768</v>
      </c>
      <c r="B909" vm="1922">
        <v>0.98829999999999996</v>
      </c>
      <c r="C909">
        <f>1/T_USD_EUR[[#This Row],[USDEUR]]</f>
        <v>1.0118385105737124</v>
      </c>
    </row>
    <row r="910" spans="1:3" x14ac:dyDescent="0.45">
      <c r="A910" vm="1923">
        <v>44769</v>
      </c>
      <c r="B910" vm="1924">
        <v>0.9798</v>
      </c>
      <c r="C910">
        <f>1/T_USD_EUR[[#This Row],[USDEUR]]</f>
        <v>1.0206164523372117</v>
      </c>
    </row>
    <row r="911" spans="1:3" x14ac:dyDescent="0.45">
      <c r="A911" vm="1925">
        <v>44770</v>
      </c>
      <c r="B911" vm="1926">
        <v>0.98060000000000003</v>
      </c>
      <c r="C911">
        <f>1/T_USD_EUR[[#This Row],[USDEUR]]</f>
        <v>1.0197838058331634</v>
      </c>
    </row>
    <row r="912" spans="1:3" x14ac:dyDescent="0.45">
      <c r="A912" vm="1927">
        <v>44771</v>
      </c>
      <c r="B912" vm="1928">
        <v>0.97829999999999995</v>
      </c>
      <c r="C912">
        <f>1/T_USD_EUR[[#This Row],[USDEUR]]</f>
        <v>1.0221813349688236</v>
      </c>
    </row>
    <row r="913" spans="1:3" x14ac:dyDescent="0.45">
      <c r="A913" vm="1929">
        <v>44774</v>
      </c>
      <c r="B913" vm="1930">
        <v>0.97419999999999995</v>
      </c>
      <c r="C913">
        <f>1/T_USD_EUR[[#This Row],[USDEUR]]</f>
        <v>1.0264832683227263</v>
      </c>
    </row>
    <row r="914" spans="1:3" x14ac:dyDescent="0.45">
      <c r="A914" vm="1931">
        <v>44775</v>
      </c>
      <c r="B914" vm="1932">
        <v>0.98360000000000003</v>
      </c>
      <c r="C914">
        <f>1/T_USD_EUR[[#This Row],[USDEUR]]</f>
        <v>1.0166734444896299</v>
      </c>
    </row>
    <row r="915" spans="1:3" x14ac:dyDescent="0.45">
      <c r="A915" vm="1933">
        <v>44776</v>
      </c>
      <c r="B915" vm="1932">
        <v>0.98360000000000003</v>
      </c>
      <c r="C915">
        <f>1/T_USD_EUR[[#This Row],[USDEUR]]</f>
        <v>1.0166734444896299</v>
      </c>
    </row>
    <row r="916" spans="1:3" x14ac:dyDescent="0.45">
      <c r="A916" vm="1934">
        <v>44777</v>
      </c>
      <c r="B916" vm="1935">
        <v>0.97589999999999999</v>
      </c>
      <c r="C916">
        <f>1/T_USD_EUR[[#This Row],[USDEUR]]</f>
        <v>1.0246951531919255</v>
      </c>
    </row>
    <row r="917" spans="1:3" x14ac:dyDescent="0.45">
      <c r="A917" vm="1936">
        <v>44778</v>
      </c>
      <c r="B917" vm="1937">
        <v>0.98180000000000001</v>
      </c>
      <c r="C917">
        <f>1/T_USD_EUR[[#This Row],[USDEUR]]</f>
        <v>1.0185373803218578</v>
      </c>
    </row>
    <row r="918" spans="1:3" x14ac:dyDescent="0.45">
      <c r="A918" vm="1938">
        <v>44781</v>
      </c>
      <c r="B918" vm="1939">
        <v>0.98050000000000004</v>
      </c>
      <c r="C918">
        <f>1/T_USD_EUR[[#This Row],[USDEUR]]</f>
        <v>1.0198878123406425</v>
      </c>
    </row>
    <row r="919" spans="1:3" x14ac:dyDescent="0.45">
      <c r="A919" vm="1940">
        <v>44782</v>
      </c>
      <c r="B919" vm="1918">
        <v>0.97899999999999998</v>
      </c>
      <c r="C919">
        <f>1/T_USD_EUR[[#This Row],[USDEUR]]</f>
        <v>1.0214504596527068</v>
      </c>
    </row>
    <row r="920" spans="1:3" x14ac:dyDescent="0.45">
      <c r="A920" vm="1941">
        <v>44783</v>
      </c>
      <c r="B920" vm="1942">
        <v>0.9708</v>
      </c>
      <c r="C920">
        <f>1/T_USD_EUR[[#This Row],[USDEUR]]</f>
        <v>1.0300782859497322</v>
      </c>
    </row>
    <row r="921" spans="1:3" x14ac:dyDescent="0.45">
      <c r="A921" vm="1943">
        <v>44784</v>
      </c>
      <c r="B921" vm="1944">
        <v>0.96899999999999997</v>
      </c>
      <c r="C921">
        <f>1/T_USD_EUR[[#This Row],[USDEUR]]</f>
        <v>1.0319917440660475</v>
      </c>
    </row>
    <row r="922" spans="1:3" x14ac:dyDescent="0.45">
      <c r="A922" vm="1945">
        <v>44785</v>
      </c>
      <c r="B922" vm="1946">
        <v>0.97450000000000003</v>
      </c>
      <c r="C922">
        <f>1/T_USD_EUR[[#This Row],[USDEUR]]</f>
        <v>1.026167265264238</v>
      </c>
    </row>
    <row r="923" spans="1:3" x14ac:dyDescent="0.45">
      <c r="A923" vm="1947">
        <v>44788</v>
      </c>
      <c r="B923" vm="1948">
        <v>0.9839</v>
      </c>
      <c r="C923">
        <f>1/T_USD_EUR[[#This Row],[USDEUR]]</f>
        <v>1.0163634515702815</v>
      </c>
    </row>
    <row r="924" spans="1:3" x14ac:dyDescent="0.45">
      <c r="A924" vm="1949">
        <v>44789</v>
      </c>
      <c r="B924" vm="1950">
        <v>0.9829</v>
      </c>
      <c r="C924">
        <f>1/T_USD_EUR[[#This Row],[USDEUR]]</f>
        <v>1.0173974972021569</v>
      </c>
    </row>
    <row r="925" spans="1:3" x14ac:dyDescent="0.45">
      <c r="A925" vm="1951">
        <v>44790</v>
      </c>
      <c r="B925" vm="1894">
        <v>0.98199999999999998</v>
      </c>
      <c r="C925">
        <f>1/T_USD_EUR[[#This Row],[USDEUR]]</f>
        <v>1.0183299389002036</v>
      </c>
    </row>
    <row r="926" spans="1:3" x14ac:dyDescent="0.45">
      <c r="A926" vm="1952">
        <v>44791</v>
      </c>
      <c r="B926" vm="1953">
        <v>0.9909</v>
      </c>
      <c r="C926">
        <f>1/T_USD_EUR[[#This Row],[USDEUR]]</f>
        <v>1.0091835704914724</v>
      </c>
    </row>
    <row r="927" spans="1:3" x14ac:dyDescent="0.45">
      <c r="A927" vm="1954">
        <v>44792</v>
      </c>
      <c r="B927" vm="1955">
        <v>0.99619999999999997</v>
      </c>
      <c r="C927">
        <f>1/T_USD_EUR[[#This Row],[USDEUR]]</f>
        <v>1.003814495081309</v>
      </c>
    </row>
    <row r="928" spans="1:3" x14ac:dyDescent="0.45">
      <c r="A928" vm="1956">
        <v>44795</v>
      </c>
      <c r="B928" vm="1957">
        <v>1.0056</v>
      </c>
      <c r="C928">
        <f>1/T_USD_EUR[[#This Row],[USDEUR]]</f>
        <v>0.99443118536197295</v>
      </c>
    </row>
    <row r="929" spans="1:3" x14ac:dyDescent="0.45">
      <c r="A929" vm="1958">
        <v>44796</v>
      </c>
      <c r="B929" vm="1959">
        <v>1.0028999999999999</v>
      </c>
      <c r="C929">
        <f>1/T_USD_EUR[[#This Row],[USDEUR]]</f>
        <v>0.99710838568152371</v>
      </c>
    </row>
    <row r="930" spans="1:3" x14ac:dyDescent="0.45">
      <c r="A930" vm="1960">
        <v>44797</v>
      </c>
      <c r="B930" vm="1961">
        <v>1.0031000000000001</v>
      </c>
      <c r="C930">
        <f>1/T_USD_EUR[[#This Row],[USDEUR]]</f>
        <v>0.99690958030106658</v>
      </c>
    </row>
    <row r="931" spans="1:3" x14ac:dyDescent="0.45">
      <c r="A931" vm="1962">
        <v>44798</v>
      </c>
      <c r="B931" vm="1963">
        <v>1.0024</v>
      </c>
      <c r="C931">
        <f>1/T_USD_EUR[[#This Row],[USDEUR]]</f>
        <v>0.99760574620909825</v>
      </c>
    </row>
    <row r="932" spans="1:3" x14ac:dyDescent="0.45">
      <c r="A932" vm="1964">
        <v>44799</v>
      </c>
      <c r="B932" vm="1965">
        <v>1.0035000000000001</v>
      </c>
      <c r="C932">
        <f>1/T_USD_EUR[[#This Row],[USDEUR]]</f>
        <v>0.99651220727453904</v>
      </c>
    </row>
    <row r="933" spans="1:3" x14ac:dyDescent="0.45">
      <c r="A933" vm="1966">
        <v>44802</v>
      </c>
      <c r="B933" vm="1967">
        <v>1.0001</v>
      </c>
      <c r="C933">
        <f>1/T_USD_EUR[[#This Row],[USDEUR]]</f>
        <v>0.99990000999900008</v>
      </c>
    </row>
    <row r="934" spans="1:3" x14ac:dyDescent="0.45">
      <c r="A934" vm="1968">
        <v>44803</v>
      </c>
      <c r="B934" vm="1969">
        <v>0.99839999999999995</v>
      </c>
      <c r="C934">
        <f>1/T_USD_EUR[[#This Row],[USDEUR]]</f>
        <v>1.0016025641025641</v>
      </c>
    </row>
    <row r="935" spans="1:3" x14ac:dyDescent="0.45">
      <c r="A935" vm="1970">
        <v>44804</v>
      </c>
      <c r="B935" vm="1971">
        <v>0.99390000000000001</v>
      </c>
      <c r="C935">
        <f>1/T_USD_EUR[[#This Row],[USDEUR]]</f>
        <v>1.006137438374082</v>
      </c>
    </row>
    <row r="936" spans="1:3" x14ac:dyDescent="0.45">
      <c r="A936" vm="1972">
        <v>44805</v>
      </c>
      <c r="B936" vm="1973">
        <v>1.0053000000000001</v>
      </c>
      <c r="C936">
        <f>1/T_USD_EUR[[#This Row],[USDEUR]]</f>
        <v>0.99472794190788816</v>
      </c>
    </row>
    <row r="937" spans="1:3" x14ac:dyDescent="0.45">
      <c r="A937" vm="1974">
        <v>44806</v>
      </c>
      <c r="B937" vm="1975">
        <v>1.0044999999999999</v>
      </c>
      <c r="C937">
        <f>1/T_USD_EUR[[#This Row],[USDEUR]]</f>
        <v>0.99552015928322557</v>
      </c>
    </row>
    <row r="938" spans="1:3" x14ac:dyDescent="0.45">
      <c r="A938" vm="1976">
        <v>44809</v>
      </c>
      <c r="B938" vm="1977">
        <v>1.0068999999999999</v>
      </c>
      <c r="C938">
        <f>1/T_USD_EUR[[#This Row],[USDEUR]]</f>
        <v>0.99314728374217909</v>
      </c>
    </row>
    <row r="939" spans="1:3" x14ac:dyDescent="0.45">
      <c r="A939" vm="1978">
        <v>44810</v>
      </c>
      <c r="B939" vm="1979">
        <v>1.0094000000000001</v>
      </c>
      <c r="C939">
        <f>1/T_USD_EUR[[#This Row],[USDEUR]]</f>
        <v>0.99068753715078262</v>
      </c>
    </row>
    <row r="940" spans="1:3" x14ac:dyDescent="0.45">
      <c r="A940" vm="1980">
        <v>44811</v>
      </c>
      <c r="B940" vm="1981">
        <v>0.99960000000000004</v>
      </c>
      <c r="C940">
        <f>1/T_USD_EUR[[#This Row],[USDEUR]]</f>
        <v>1.0004001600640255</v>
      </c>
    </row>
    <row r="941" spans="1:3" x14ac:dyDescent="0.45">
      <c r="A941" vm="1982">
        <v>44812</v>
      </c>
      <c r="B941" vm="1967">
        <v>1.0001</v>
      </c>
      <c r="C941">
        <f>1/T_USD_EUR[[#This Row],[USDEUR]]</f>
        <v>0.99990000999900008</v>
      </c>
    </row>
    <row r="942" spans="1:3" x14ac:dyDescent="0.45">
      <c r="A942" vm="1983">
        <v>44813</v>
      </c>
      <c r="B942" vm="1900">
        <v>0.99570000000000003</v>
      </c>
      <c r="C942">
        <f>1/T_USD_EUR[[#This Row],[USDEUR]]</f>
        <v>1.0043185698503565</v>
      </c>
    </row>
    <row r="943" spans="1:3" x14ac:dyDescent="0.45">
      <c r="A943" vm="1984">
        <v>44816</v>
      </c>
      <c r="B943" vm="1985">
        <v>0.9879</v>
      </c>
      <c r="C943">
        <f>1/T_USD_EUR[[#This Row],[USDEUR]]</f>
        <v>1.0122482032594393</v>
      </c>
    </row>
    <row r="944" spans="1:3" x14ac:dyDescent="0.45">
      <c r="A944" vm="1986">
        <v>44817</v>
      </c>
      <c r="B944" vm="1987">
        <v>1.0027999999999999</v>
      </c>
      <c r="C944">
        <f>1/T_USD_EUR[[#This Row],[USDEUR]]</f>
        <v>0.99720781810929404</v>
      </c>
    </row>
    <row r="945" spans="1:3" x14ac:dyDescent="0.45">
      <c r="A945" vm="1988">
        <v>44818</v>
      </c>
      <c r="B945" vm="1989">
        <v>1.0016</v>
      </c>
      <c r="C945">
        <f>1/T_USD_EUR[[#This Row],[USDEUR]]</f>
        <v>0.99840255591054305</v>
      </c>
    </row>
    <row r="946" spans="1:3" x14ac:dyDescent="0.45">
      <c r="A946" vm="1990">
        <v>44819</v>
      </c>
      <c r="B946" vm="1981">
        <v>0.99960000000000004</v>
      </c>
      <c r="C946">
        <f>1/T_USD_EUR[[#This Row],[USDEUR]]</f>
        <v>1.0004001600640255</v>
      </c>
    </row>
    <row r="947" spans="1:3" x14ac:dyDescent="0.45">
      <c r="A947" vm="1991">
        <v>44820</v>
      </c>
      <c r="B947" vm="1992">
        <v>0.99809999999999999</v>
      </c>
      <c r="C947">
        <f>1/T_USD_EUR[[#This Row],[USDEUR]]</f>
        <v>1.001903616872057</v>
      </c>
    </row>
    <row r="948" spans="1:3" x14ac:dyDescent="0.45">
      <c r="A948" vm="1993">
        <v>44823</v>
      </c>
      <c r="B948" vm="1994">
        <v>0.99750000000000005</v>
      </c>
      <c r="C948">
        <f>1/T_USD_EUR[[#This Row],[USDEUR]]</f>
        <v>1.0025062656641603</v>
      </c>
    </row>
    <row r="949" spans="1:3" x14ac:dyDescent="0.45">
      <c r="A949" vm="1995">
        <v>44824</v>
      </c>
      <c r="B949" vm="1996">
        <v>1.0026999999999999</v>
      </c>
      <c r="C949">
        <f>1/T_USD_EUR[[#This Row],[USDEUR]]</f>
        <v>0.99730727037000111</v>
      </c>
    </row>
    <row r="950" spans="1:3" x14ac:dyDescent="0.45">
      <c r="A950" vm="1997">
        <v>44825</v>
      </c>
      <c r="B950" vm="1998">
        <v>1.0164</v>
      </c>
      <c r="C950">
        <f>1/T_USD_EUR[[#This Row],[USDEUR]]</f>
        <v>0.9838646202282566</v>
      </c>
    </row>
    <row r="951" spans="1:3" x14ac:dyDescent="0.45">
      <c r="A951" vm="1999">
        <v>44826</v>
      </c>
      <c r="B951" vm="2000">
        <v>1.0166999999999999</v>
      </c>
      <c r="C951">
        <f>1/T_USD_EUR[[#This Row],[USDEUR]]</f>
        <v>0.98357430903904797</v>
      </c>
    </row>
    <row r="952" spans="1:3" x14ac:dyDescent="0.45">
      <c r="A952" vm="2001">
        <v>44827</v>
      </c>
      <c r="B952" vm="2002">
        <v>1.0316000000000001</v>
      </c>
      <c r="C952">
        <f>1/T_USD_EUR[[#This Row],[USDEUR]]</f>
        <v>0.96936797208220238</v>
      </c>
    </row>
    <row r="953" spans="1:3" x14ac:dyDescent="0.45">
      <c r="A953" vm="2003">
        <v>44830</v>
      </c>
      <c r="B953" vm="2004">
        <v>1.0405</v>
      </c>
      <c r="C953">
        <f>1/T_USD_EUR[[#This Row],[USDEUR]]</f>
        <v>0.96107640557424312</v>
      </c>
    </row>
    <row r="954" spans="1:3" x14ac:dyDescent="0.45">
      <c r="A954" vm="2005">
        <v>44831</v>
      </c>
      <c r="B954" vm="2006">
        <v>1.0421</v>
      </c>
      <c r="C954">
        <f>1/T_USD_EUR[[#This Row],[USDEUR]]</f>
        <v>0.95960080606467713</v>
      </c>
    </row>
    <row r="955" spans="1:3" x14ac:dyDescent="0.45">
      <c r="A955" vm="2007">
        <v>44832</v>
      </c>
      <c r="B955" vm="2008">
        <v>1.0269999999999999</v>
      </c>
      <c r="C955">
        <f>1/T_USD_EUR[[#This Row],[USDEUR]]</f>
        <v>0.97370983446932824</v>
      </c>
    </row>
    <row r="956" spans="1:3" x14ac:dyDescent="0.45">
      <c r="A956" vm="2009">
        <v>44833</v>
      </c>
      <c r="B956" vm="2010">
        <v>1.0185</v>
      </c>
      <c r="C956">
        <f>1/T_USD_EUR[[#This Row],[USDEUR]]</f>
        <v>0.9818360333824252</v>
      </c>
    </row>
    <row r="957" spans="1:3" x14ac:dyDescent="0.45">
      <c r="A957" vm="2011">
        <v>44834</v>
      </c>
      <c r="B957" vm="2012">
        <v>1.0201</v>
      </c>
      <c r="C957">
        <f>1/T_USD_EUR[[#This Row],[USDEUR]]</f>
        <v>0.98029604940692083</v>
      </c>
    </row>
    <row r="958" spans="1:3" x14ac:dyDescent="0.45">
      <c r="A958" vm="2013">
        <v>44837</v>
      </c>
      <c r="B958" vm="2014">
        <v>1.0175000000000001</v>
      </c>
      <c r="C958">
        <f>1/T_USD_EUR[[#This Row],[USDEUR]]</f>
        <v>0.98280098280098271</v>
      </c>
    </row>
    <row r="959" spans="1:3" x14ac:dyDescent="0.45">
      <c r="A959" vm="2015">
        <v>44838</v>
      </c>
      <c r="B959" vm="2016">
        <v>1.0013000000000001</v>
      </c>
      <c r="C959">
        <f>1/T_USD_EUR[[#This Row],[USDEUR]]</f>
        <v>0.99870168780585233</v>
      </c>
    </row>
    <row r="960" spans="1:3" x14ac:dyDescent="0.45">
      <c r="A960" vm="2017">
        <v>44839</v>
      </c>
      <c r="B960" vm="2018">
        <v>1.0117</v>
      </c>
      <c r="C960">
        <f>1/T_USD_EUR[[#This Row],[USDEUR]]</f>
        <v>0.9884353069091627</v>
      </c>
    </row>
    <row r="961" spans="1:3" x14ac:dyDescent="0.45">
      <c r="A961" vm="2019">
        <v>44840</v>
      </c>
      <c r="B961" vm="2020">
        <v>1.0210999999999999</v>
      </c>
      <c r="C961">
        <f>1/T_USD_EUR[[#This Row],[USDEUR]]</f>
        <v>0.97933601018509464</v>
      </c>
    </row>
    <row r="962" spans="1:3" x14ac:dyDescent="0.45">
      <c r="A962" vm="2021">
        <v>44841</v>
      </c>
      <c r="B962" vm="2022">
        <v>1.0262</v>
      </c>
      <c r="C962">
        <f>1/T_USD_EUR[[#This Row],[USDEUR]]</f>
        <v>0.97446891444162931</v>
      </c>
    </row>
    <row r="963" spans="1:3" x14ac:dyDescent="0.45">
      <c r="A963" vm="2023">
        <v>44844</v>
      </c>
      <c r="B963" vm="2024">
        <v>1.0306</v>
      </c>
      <c r="C963">
        <f>1/T_USD_EUR[[#This Row],[USDEUR]]</f>
        <v>0.97030855812148264</v>
      </c>
    </row>
    <row r="964" spans="1:3" x14ac:dyDescent="0.45">
      <c r="A964" vm="2025">
        <v>44845</v>
      </c>
      <c r="B964" vm="2026">
        <v>1.0302</v>
      </c>
      <c r="C964">
        <f>1/T_USD_EUR[[#This Row],[USDEUR]]</f>
        <v>0.97068530382450013</v>
      </c>
    </row>
    <row r="965" spans="1:3" x14ac:dyDescent="0.45">
      <c r="A965" vm="2027">
        <v>44846</v>
      </c>
      <c r="B965" vm="2028">
        <v>1.0301</v>
      </c>
      <c r="C965">
        <f>1/T_USD_EUR[[#This Row],[USDEUR]]</f>
        <v>0.97077953596738176</v>
      </c>
    </row>
    <row r="966" spans="1:3" x14ac:dyDescent="0.45">
      <c r="A966" vm="2029">
        <v>44847</v>
      </c>
      <c r="B966" vm="2030">
        <v>1.0227999999999999</v>
      </c>
      <c r="C966">
        <f>1/T_USD_EUR[[#This Row],[USDEUR]]</f>
        <v>0.97770825185764576</v>
      </c>
    </row>
    <row r="967" spans="1:3" x14ac:dyDescent="0.45">
      <c r="A967" vm="2031">
        <v>44848</v>
      </c>
      <c r="B967" vm="2032">
        <v>1.0285</v>
      </c>
      <c r="C967">
        <f>1/T_USD_EUR[[#This Row],[USDEUR]]</f>
        <v>0.9722897423432183</v>
      </c>
    </row>
    <row r="968" spans="1:3" x14ac:dyDescent="0.45">
      <c r="A968" vm="2033">
        <v>44851</v>
      </c>
      <c r="B968" vm="2034">
        <v>1.0161</v>
      </c>
      <c r="C968">
        <f>1/T_USD_EUR[[#This Row],[USDEUR]]</f>
        <v>0.98415510284420826</v>
      </c>
    </row>
    <row r="969" spans="1:3" x14ac:dyDescent="0.45">
      <c r="A969" vm="2035">
        <v>44852</v>
      </c>
      <c r="B969" vm="2036">
        <v>1.0145</v>
      </c>
      <c r="C969">
        <f>1/T_USD_EUR[[#This Row],[USDEUR]]</f>
        <v>0.98570724494825046</v>
      </c>
    </row>
    <row r="970" spans="1:3" x14ac:dyDescent="0.45">
      <c r="A970" vm="2037">
        <v>44853</v>
      </c>
      <c r="B970" vm="2038">
        <v>1.0229999999999999</v>
      </c>
      <c r="C970">
        <f>1/T_USD_EUR[[#This Row],[USDEUR]]</f>
        <v>0.97751710654936474</v>
      </c>
    </row>
    <row r="971" spans="1:3" x14ac:dyDescent="0.45">
      <c r="A971" vm="2039">
        <v>44854</v>
      </c>
      <c r="B971" vm="2040">
        <v>1.0218</v>
      </c>
      <c r="C971">
        <f>1/T_USD_EUR[[#This Row],[USDEUR]]</f>
        <v>0.97866510080250535</v>
      </c>
    </row>
    <row r="972" spans="1:3" x14ac:dyDescent="0.45">
      <c r="A972" vm="2041">
        <v>44855</v>
      </c>
      <c r="B972" vm="2042">
        <v>1.0138</v>
      </c>
      <c r="C972">
        <f>1/T_USD_EUR[[#This Row],[USDEUR]]</f>
        <v>0.98638784770171628</v>
      </c>
    </row>
    <row r="973" spans="1:3" x14ac:dyDescent="0.45">
      <c r="A973" vm="2043">
        <v>44858</v>
      </c>
      <c r="B973" vm="2044">
        <v>1.0125999999999999</v>
      </c>
      <c r="C973">
        <f>1/T_USD_EUR[[#This Row],[USDEUR]]</f>
        <v>0.98755678451510964</v>
      </c>
    </row>
    <row r="974" spans="1:3" x14ac:dyDescent="0.45">
      <c r="A974" vm="2045">
        <v>44859</v>
      </c>
      <c r="B974" vm="2046">
        <v>1.0032000000000001</v>
      </c>
      <c r="C974">
        <f>1/T_USD_EUR[[#This Row],[USDEUR]]</f>
        <v>0.99681020733652304</v>
      </c>
    </row>
    <row r="975" spans="1:3" x14ac:dyDescent="0.45">
      <c r="A975" vm="2047">
        <v>44860</v>
      </c>
      <c r="B975" vm="2048">
        <v>0.99199999999999999</v>
      </c>
      <c r="C975">
        <f>1/T_USD_EUR[[#This Row],[USDEUR]]</f>
        <v>1.0080645161290323</v>
      </c>
    </row>
    <row r="976" spans="1:3" x14ac:dyDescent="0.45">
      <c r="A976" vm="2049">
        <v>44861</v>
      </c>
      <c r="B976" vm="2050">
        <v>1.0034000000000001</v>
      </c>
      <c r="C976">
        <f>1/T_USD_EUR[[#This Row],[USDEUR]]</f>
        <v>0.9966115208291807</v>
      </c>
    </row>
    <row r="977" spans="1:3" x14ac:dyDescent="0.45">
      <c r="A977" vm="2051">
        <v>44862</v>
      </c>
      <c r="B977" vm="2052">
        <v>1.0033000000000001</v>
      </c>
      <c r="C977">
        <f>1/T_USD_EUR[[#This Row],[USDEUR]]</f>
        <v>0.99671085418120198</v>
      </c>
    </row>
    <row r="978" spans="1:3" x14ac:dyDescent="0.45">
      <c r="A978" vm="2053">
        <v>44865</v>
      </c>
      <c r="B978" vm="2054">
        <v>1.0114000000000001</v>
      </c>
      <c r="C978">
        <f>1/T_USD_EUR[[#This Row],[USDEUR]]</f>
        <v>0.98872849515523031</v>
      </c>
    </row>
    <row r="979" spans="1:3" x14ac:dyDescent="0.45">
      <c r="A979" vm="2055">
        <v>44866</v>
      </c>
      <c r="B979" vm="2056">
        <v>1.0126999999999999</v>
      </c>
      <c r="C979">
        <f>1/T_USD_EUR[[#This Row],[USDEUR]]</f>
        <v>0.98745926730522371</v>
      </c>
    </row>
    <row r="980" spans="1:3" x14ac:dyDescent="0.45">
      <c r="A980" vm="2057">
        <v>44867</v>
      </c>
      <c r="B980" vm="2058">
        <v>1.0182</v>
      </c>
      <c r="C980">
        <f>1/T_USD_EUR[[#This Row],[USDEUR]]</f>
        <v>0.98212531919072876</v>
      </c>
    </row>
    <row r="981" spans="1:3" x14ac:dyDescent="0.45">
      <c r="A981" vm="2059">
        <v>44868</v>
      </c>
      <c r="B981" vm="2060">
        <v>1.0250999999999999</v>
      </c>
      <c r="C981">
        <f>1/T_USD_EUR[[#This Row],[USDEUR]]</f>
        <v>0.97551458394303003</v>
      </c>
    </row>
    <row r="982" spans="1:3" x14ac:dyDescent="0.45">
      <c r="A982" vm="2061">
        <v>44869</v>
      </c>
      <c r="B982" vm="2062">
        <v>1.0036</v>
      </c>
      <c r="C982">
        <f>1/T_USD_EUR[[#This Row],[USDEUR]]</f>
        <v>0.99641291351135908</v>
      </c>
    </row>
    <row r="983" spans="1:3" x14ac:dyDescent="0.45">
      <c r="A983" vm="2063">
        <v>44872</v>
      </c>
      <c r="B983" vm="2064">
        <v>0.99770000000000003</v>
      </c>
      <c r="C983">
        <f>1/T_USD_EUR[[#This Row],[USDEUR]]</f>
        <v>1.0023053021950485</v>
      </c>
    </row>
    <row r="984" spans="1:3" x14ac:dyDescent="0.45">
      <c r="A984" vm="2065">
        <v>44873</v>
      </c>
      <c r="B984" vm="2066">
        <v>0.99250000000000005</v>
      </c>
      <c r="C984">
        <f>1/T_USD_EUR[[#This Row],[USDEUR]]</f>
        <v>1.0075566750629723</v>
      </c>
    </row>
    <row r="985" spans="1:3" x14ac:dyDescent="0.45">
      <c r="A985" vm="2067">
        <v>44874</v>
      </c>
      <c r="B985" vm="1969">
        <v>0.99839999999999995</v>
      </c>
      <c r="C985">
        <f>1/T_USD_EUR[[#This Row],[USDEUR]]</f>
        <v>1.0016025641025641</v>
      </c>
    </row>
    <row r="986" spans="1:3" x14ac:dyDescent="0.45">
      <c r="A986" vm="2068">
        <v>44875</v>
      </c>
      <c r="B986" vm="2069">
        <v>0.97940000000000005</v>
      </c>
      <c r="C986">
        <f>1/T_USD_EUR[[#This Row],[USDEUR]]</f>
        <v>1.0210332856851132</v>
      </c>
    </row>
    <row r="987" spans="1:3" x14ac:dyDescent="0.45">
      <c r="A987" vm="2070">
        <v>44876</v>
      </c>
      <c r="B987" vm="2071">
        <v>0.96560000000000001</v>
      </c>
      <c r="C987">
        <f>1/T_USD_EUR[[#This Row],[USDEUR]]</f>
        <v>1.0356255178127589</v>
      </c>
    </row>
    <row r="988" spans="1:3" x14ac:dyDescent="0.45">
      <c r="A988" vm="2072">
        <v>44879</v>
      </c>
      <c r="B988" vm="2073">
        <v>0.96809999999999996</v>
      </c>
      <c r="C988">
        <f>1/T_USD_EUR[[#This Row],[USDEUR]]</f>
        <v>1.0329511414110113</v>
      </c>
    </row>
    <row r="989" spans="1:3" x14ac:dyDescent="0.45">
      <c r="A989" vm="2074">
        <v>44880</v>
      </c>
      <c r="B989" vm="2075">
        <v>0.96609999999999996</v>
      </c>
      <c r="C989">
        <f>1/T_USD_EUR[[#This Row],[USDEUR]]</f>
        <v>1.0350895352447986</v>
      </c>
    </row>
    <row r="990" spans="1:3" x14ac:dyDescent="0.45">
      <c r="A990" vm="2076">
        <v>44881</v>
      </c>
      <c r="B990" vm="2077">
        <v>0.96189999999999998</v>
      </c>
      <c r="C990">
        <f>1/T_USD_EUR[[#This Row],[USDEUR]]</f>
        <v>1.0396091069757771</v>
      </c>
    </row>
    <row r="991" spans="1:3" x14ac:dyDescent="0.45">
      <c r="A991" vm="2078">
        <v>44882</v>
      </c>
      <c r="B991" vm="2079">
        <v>0.96489999999999998</v>
      </c>
      <c r="C991">
        <f>1/T_USD_EUR[[#This Row],[USDEUR]]</f>
        <v>1.0363768266141569</v>
      </c>
    </row>
    <row r="992" spans="1:3" x14ac:dyDescent="0.45">
      <c r="A992" vm="2080">
        <v>44883</v>
      </c>
      <c r="B992" vm="2081">
        <v>0.96850000000000003</v>
      </c>
      <c r="C992">
        <f>1/T_USD_EUR[[#This Row],[USDEUR]]</f>
        <v>1.0325245224574084</v>
      </c>
    </row>
    <row r="993" spans="1:3" x14ac:dyDescent="0.45">
      <c r="A993" vm="2082">
        <v>44886</v>
      </c>
      <c r="B993" vm="2083">
        <v>0.97609999999999997</v>
      </c>
      <c r="C993">
        <f>1/T_USD_EUR[[#This Row],[USDEUR]]</f>
        <v>1.0244851961889152</v>
      </c>
    </row>
    <row r="994" spans="1:3" x14ac:dyDescent="0.45">
      <c r="A994" vm="2084">
        <v>44887</v>
      </c>
      <c r="B994" vm="2085">
        <v>0.97030000000000005</v>
      </c>
      <c r="C994">
        <f>1/T_USD_EUR[[#This Row],[USDEUR]]</f>
        <v>1.0306090899721736</v>
      </c>
    </row>
    <row r="995" spans="1:3" x14ac:dyDescent="0.45">
      <c r="A995" vm="2086">
        <v>44888</v>
      </c>
      <c r="B995" vm="2087">
        <v>0.9617</v>
      </c>
      <c r="C995">
        <f>1/T_USD_EUR[[#This Row],[USDEUR]]</f>
        <v>1.0398253093480296</v>
      </c>
    </row>
    <row r="996" spans="1:3" x14ac:dyDescent="0.45">
      <c r="A996" vm="2088">
        <v>44889</v>
      </c>
      <c r="B996" vm="2089">
        <v>0.96060000000000001</v>
      </c>
      <c r="C996">
        <f>1/T_USD_EUR[[#This Row],[USDEUR]]</f>
        <v>1.0410160316468873</v>
      </c>
    </row>
    <row r="997" spans="1:3" x14ac:dyDescent="0.45">
      <c r="A997" vm="2090">
        <v>44890</v>
      </c>
      <c r="B997" vm="2091">
        <v>0.96160000000000001</v>
      </c>
      <c r="C997">
        <f>1/T_USD_EUR[[#This Row],[USDEUR]]</f>
        <v>1.0399334442595674</v>
      </c>
    </row>
    <row r="998" spans="1:3" x14ac:dyDescent="0.45">
      <c r="A998" vm="2092">
        <v>44893</v>
      </c>
      <c r="B998" vm="2093">
        <v>0.96699999999999997</v>
      </c>
      <c r="C998">
        <f>1/T_USD_EUR[[#This Row],[USDEUR]]</f>
        <v>1.0341261633919339</v>
      </c>
    </row>
    <row r="999" spans="1:3" x14ac:dyDescent="0.45">
      <c r="A999" vm="2094">
        <v>44894</v>
      </c>
      <c r="B999" vm="2095">
        <v>0.96799999999999997</v>
      </c>
      <c r="C999">
        <f>1/T_USD_EUR[[#This Row],[USDEUR]]</f>
        <v>1.0330578512396695</v>
      </c>
    </row>
    <row r="1000" spans="1:3" x14ac:dyDescent="0.45">
      <c r="A1000" vm="2096">
        <v>44895</v>
      </c>
      <c r="B1000" vm="1863">
        <v>0.9607</v>
      </c>
      <c r="C1000">
        <f>1/T_USD_EUR[[#This Row],[USDEUR]]</f>
        <v>1.0409076714895389</v>
      </c>
    </row>
    <row r="1001" spans="1:3" x14ac:dyDescent="0.45">
      <c r="A1001" vm="2097">
        <v>44896</v>
      </c>
      <c r="B1001" vm="2098">
        <v>0.95</v>
      </c>
      <c r="C1001">
        <f>1/T_USD_EUR[[#This Row],[USDEUR]]</f>
        <v>1.0526315789473684</v>
      </c>
    </row>
    <row r="1002" spans="1:3" x14ac:dyDescent="0.45">
      <c r="A1002" vm="2099">
        <v>44897</v>
      </c>
      <c r="B1002" vm="2100">
        <v>0.9486</v>
      </c>
      <c r="C1002">
        <f>1/T_USD_EUR[[#This Row],[USDEUR]]</f>
        <v>1.0541851149061776</v>
      </c>
    </row>
    <row r="1003" spans="1:3" x14ac:dyDescent="0.45">
      <c r="A1003" vm="2101">
        <v>44900</v>
      </c>
      <c r="B1003" vm="2102">
        <v>0.95299999999999996</v>
      </c>
      <c r="C1003">
        <f>1/T_USD_EUR[[#This Row],[USDEUR]]</f>
        <v>1.0493179433368311</v>
      </c>
    </row>
    <row r="1004" spans="1:3" x14ac:dyDescent="0.45">
      <c r="A1004" vm="2103">
        <v>44901</v>
      </c>
      <c r="B1004" vm="2104">
        <v>0.95499999999999996</v>
      </c>
      <c r="C1004">
        <f>1/T_USD_EUR[[#This Row],[USDEUR]]</f>
        <v>1.0471204188481675</v>
      </c>
    </row>
    <row r="1005" spans="1:3" x14ac:dyDescent="0.45">
      <c r="A1005" vm="2105">
        <v>44902</v>
      </c>
      <c r="B1005" vm="2106">
        <v>0.95169999999999999</v>
      </c>
      <c r="C1005">
        <f>1/T_USD_EUR[[#This Row],[USDEUR]]</f>
        <v>1.0507512871703268</v>
      </c>
    </row>
    <row r="1006" spans="1:3" x14ac:dyDescent="0.45">
      <c r="A1006" vm="2107">
        <v>44903</v>
      </c>
      <c r="B1006" vm="1801">
        <v>0.94710000000000005</v>
      </c>
      <c r="C1006">
        <f>1/T_USD_EUR[[#This Row],[USDEUR]]</f>
        <v>1.0558547143912997</v>
      </c>
    </row>
    <row r="1007" spans="1:3" x14ac:dyDescent="0.45">
      <c r="A1007" vm="2108">
        <v>44904</v>
      </c>
      <c r="B1007" vm="2109">
        <v>0.94930000000000003</v>
      </c>
      <c r="C1007">
        <f>1/T_USD_EUR[[#This Row],[USDEUR]]</f>
        <v>1.0534077741493733</v>
      </c>
    </row>
    <row r="1008" spans="1:3" x14ac:dyDescent="0.45">
      <c r="A1008" vm="2110">
        <v>44907</v>
      </c>
      <c r="B1008" vm="2111">
        <v>0.94889999999999997</v>
      </c>
      <c r="C1008">
        <f>1/T_USD_EUR[[#This Row],[USDEUR]]</f>
        <v>1.0538518284329224</v>
      </c>
    </row>
    <row r="1009" spans="1:3" x14ac:dyDescent="0.45">
      <c r="A1009" vm="2112">
        <v>44908</v>
      </c>
      <c r="B1009" vm="2113">
        <v>0.94040000000000001</v>
      </c>
      <c r="C1009">
        <f>1/T_USD_EUR[[#This Row],[USDEUR]]</f>
        <v>1.0633772862611655</v>
      </c>
    </row>
    <row r="1010" spans="1:3" x14ac:dyDescent="0.45">
      <c r="A1010" vm="2114">
        <v>44909</v>
      </c>
      <c r="B1010" vm="2115">
        <v>0.93610000000000004</v>
      </c>
      <c r="C1010">
        <f>1/T_USD_EUR[[#This Row],[USDEUR]]</f>
        <v>1.0682619378271552</v>
      </c>
    </row>
    <row r="1011" spans="1:3" x14ac:dyDescent="0.45">
      <c r="A1011" vm="2116">
        <v>44910</v>
      </c>
      <c r="B1011" vm="2117">
        <v>0.94069999999999998</v>
      </c>
      <c r="C1011">
        <f>1/T_USD_EUR[[#This Row],[USDEUR]]</f>
        <v>1.0630381630700543</v>
      </c>
    </row>
    <row r="1012" spans="1:3" x14ac:dyDescent="0.45">
      <c r="A1012" vm="2118">
        <v>44911</v>
      </c>
      <c r="B1012" vm="2119">
        <v>0.9446</v>
      </c>
      <c r="C1012">
        <f>1/T_USD_EUR[[#This Row],[USDEUR]]</f>
        <v>1.0586491636671607</v>
      </c>
    </row>
    <row r="1013" spans="1:3" x14ac:dyDescent="0.45">
      <c r="A1013" vm="2120">
        <v>44914</v>
      </c>
      <c r="B1013" vm="2121">
        <v>0.94259999999999999</v>
      </c>
      <c r="C1013">
        <f>1/T_USD_EUR[[#This Row],[USDEUR]]</f>
        <v>1.0608953957139826</v>
      </c>
    </row>
    <row r="1014" spans="1:3" x14ac:dyDescent="0.45">
      <c r="A1014" vm="2122">
        <v>44915</v>
      </c>
      <c r="B1014" vm="2123">
        <v>0.94130000000000003</v>
      </c>
      <c r="C1014">
        <f>1/T_USD_EUR[[#This Row],[USDEUR]]</f>
        <v>1.0623605651758206</v>
      </c>
    </row>
    <row r="1015" spans="1:3" x14ac:dyDescent="0.45">
      <c r="A1015" vm="2124">
        <v>44916</v>
      </c>
      <c r="B1015" vm="2125">
        <v>0.94279999999999997</v>
      </c>
      <c r="C1015">
        <f>1/T_USD_EUR[[#This Row],[USDEUR]]</f>
        <v>1.0606703436571914</v>
      </c>
    </row>
    <row r="1016" spans="1:3" x14ac:dyDescent="0.45">
      <c r="A1016" vm="2126">
        <v>44917</v>
      </c>
      <c r="B1016" vm="2127">
        <v>0.94369999999999998</v>
      </c>
      <c r="C1016">
        <f>1/T_USD_EUR[[#This Row],[USDEUR]]</f>
        <v>1.0596587898696619</v>
      </c>
    </row>
    <row r="1017" spans="1:3" x14ac:dyDescent="0.45">
      <c r="A1017" vm="2128">
        <v>44918</v>
      </c>
      <c r="B1017" vm="1859">
        <v>0.94179999999999997</v>
      </c>
      <c r="C1017">
        <f>1/T_USD_EUR[[#This Row],[USDEUR]]</f>
        <v>1.0617965597791463</v>
      </c>
    </row>
    <row r="1018" spans="1:3" x14ac:dyDescent="0.45">
      <c r="A1018" vm="2129">
        <v>44921</v>
      </c>
      <c r="B1018" vm="1799">
        <v>0.93989999999999996</v>
      </c>
      <c r="C1018">
        <f>1/T_USD_EUR[[#This Row],[USDEUR]]</f>
        <v>1.0639429726566656</v>
      </c>
    </row>
    <row r="1019" spans="1:3" x14ac:dyDescent="0.45">
      <c r="A1019" vm="2130">
        <v>44922</v>
      </c>
      <c r="B1019" vm="2131">
        <v>0.93969999999999998</v>
      </c>
      <c r="C1019">
        <f>1/T_USD_EUR[[#This Row],[USDEUR]]</f>
        <v>1.0641694157709907</v>
      </c>
    </row>
    <row r="1020" spans="1:3" x14ac:dyDescent="0.45">
      <c r="A1020" vm="2132">
        <v>44923</v>
      </c>
      <c r="B1020" vm="2133">
        <v>0.94220000000000004</v>
      </c>
      <c r="C1020">
        <f>1/T_USD_EUR[[#This Row],[USDEUR]]</f>
        <v>1.0613457864572278</v>
      </c>
    </row>
    <row r="1021" spans="1:3" x14ac:dyDescent="0.45">
      <c r="A1021" vm="2134">
        <v>44924</v>
      </c>
      <c r="B1021" vm="2135">
        <v>0.93789999999999996</v>
      </c>
      <c r="C1021">
        <f>1/T_USD_EUR[[#This Row],[USDEUR]]</f>
        <v>1.0662117496534813</v>
      </c>
    </row>
    <row r="1022" spans="1:3" x14ac:dyDescent="0.45">
      <c r="A1022" vm="2136">
        <v>44925</v>
      </c>
      <c r="B1022" vm="2137">
        <v>0.93410000000000004</v>
      </c>
      <c r="C1022">
        <f>1/T_USD_EUR[[#This Row],[USDEUR]]</f>
        <v>1.0705491917353602</v>
      </c>
    </row>
    <row r="1023" spans="1:3" x14ac:dyDescent="0.45">
      <c r="A1023" vm="2138">
        <v>44928</v>
      </c>
      <c r="B1023" vm="2139">
        <v>0.93759999999999999</v>
      </c>
      <c r="C1023">
        <f>1/T_USD_EUR[[#This Row],[USDEUR]]</f>
        <v>1.0665529010238908</v>
      </c>
    </row>
    <row r="1024" spans="1:3" x14ac:dyDescent="0.45">
      <c r="A1024" vm="2140">
        <v>44929</v>
      </c>
      <c r="B1024" vm="2141">
        <v>0.94750000000000001</v>
      </c>
      <c r="C1024">
        <f>1/T_USD_EUR[[#This Row],[USDEUR]]</f>
        <v>1.0554089709762533</v>
      </c>
    </row>
    <row r="1025" spans="1:3" x14ac:dyDescent="0.45">
      <c r="A1025" vm="2142">
        <v>44930</v>
      </c>
      <c r="B1025" vm="2143">
        <v>0.94310000000000005</v>
      </c>
      <c r="C1025">
        <f>1/T_USD_EUR[[#This Row],[USDEUR]]</f>
        <v>1.060332944544587</v>
      </c>
    </row>
    <row r="1026" spans="1:3" x14ac:dyDescent="0.45">
      <c r="A1026" vm="2144">
        <v>44931</v>
      </c>
      <c r="B1026" vm="1809">
        <v>0.95020000000000004</v>
      </c>
      <c r="C1026">
        <f>1/T_USD_EUR[[#This Row],[USDEUR]]</f>
        <v>1.0524100189433803</v>
      </c>
    </row>
    <row r="1027" spans="1:3" x14ac:dyDescent="0.45">
      <c r="A1027" vm="2145">
        <v>44932</v>
      </c>
      <c r="B1027" vm="2146">
        <v>0.93920000000000003</v>
      </c>
      <c r="C1027">
        <f>1/T_USD_EUR[[#This Row],[USDEUR]]</f>
        <v>1.0647359454855196</v>
      </c>
    </row>
    <row r="1028" spans="1:3" x14ac:dyDescent="0.45">
      <c r="A1028" vm="2147">
        <v>44935</v>
      </c>
      <c r="B1028" vm="2148">
        <v>0.93179999999999996</v>
      </c>
      <c r="C1028">
        <f>1/T_USD_EUR[[#This Row],[USDEUR]]</f>
        <v>1.0731916720326251</v>
      </c>
    </row>
    <row r="1029" spans="1:3" x14ac:dyDescent="0.45">
      <c r="A1029" vm="2149">
        <v>44936</v>
      </c>
      <c r="B1029" vm="2150">
        <v>0.93130000000000002</v>
      </c>
      <c r="C1029">
        <f>1/T_USD_EUR[[#This Row],[USDEUR]]</f>
        <v>1.0737678513905293</v>
      </c>
    </row>
    <row r="1030" spans="1:3" x14ac:dyDescent="0.45">
      <c r="A1030" vm="2151">
        <v>44937</v>
      </c>
      <c r="B1030" vm="2152">
        <v>0.92949999999999999</v>
      </c>
      <c r="C1030">
        <f>1/T_USD_EUR[[#This Row],[USDEUR]]</f>
        <v>1.0758472296933836</v>
      </c>
    </row>
    <row r="1031" spans="1:3" x14ac:dyDescent="0.45">
      <c r="A1031" vm="2153">
        <v>44938</v>
      </c>
      <c r="B1031" vm="2154">
        <v>0.92149999999999999</v>
      </c>
      <c r="C1031">
        <f>1/T_USD_EUR[[#This Row],[USDEUR]]</f>
        <v>1.0851871947911014</v>
      </c>
    </row>
    <row r="1032" spans="1:3" x14ac:dyDescent="0.45">
      <c r="A1032" vm="2155">
        <v>44939</v>
      </c>
      <c r="B1032" vm="955">
        <v>0.92320000000000002</v>
      </c>
      <c r="C1032">
        <f>1/T_USD_EUR[[#This Row],[USDEUR]]</f>
        <v>1.0831889081455806</v>
      </c>
    </row>
    <row r="1033" spans="1:3" x14ac:dyDescent="0.45">
      <c r="A1033" vm="2156">
        <v>44942</v>
      </c>
      <c r="B1033" vm="2157">
        <v>0.92420000000000002</v>
      </c>
      <c r="C1033">
        <f>1/T_USD_EUR[[#This Row],[USDEUR]]</f>
        <v>1.0820168794633196</v>
      </c>
    </row>
    <row r="1034" spans="1:3" x14ac:dyDescent="0.45">
      <c r="A1034" vm="2158">
        <v>44943</v>
      </c>
      <c r="B1034" vm="2159">
        <v>0.92689999999999995</v>
      </c>
      <c r="C1034">
        <f>1/T_USD_EUR[[#This Row],[USDEUR]]</f>
        <v>1.0788650339842487</v>
      </c>
    </row>
    <row r="1035" spans="1:3" x14ac:dyDescent="0.45">
      <c r="A1035" vm="2160">
        <v>44944</v>
      </c>
      <c r="B1035" vm="968">
        <v>0.92630000000000001</v>
      </c>
      <c r="C1035">
        <f>1/T_USD_EUR[[#This Row],[USDEUR]]</f>
        <v>1.0795638562020944</v>
      </c>
    </row>
    <row r="1036" spans="1:3" x14ac:dyDescent="0.45">
      <c r="A1036" vm="2161">
        <v>44945</v>
      </c>
      <c r="B1036" vm="1785">
        <v>0.92330000000000001</v>
      </c>
      <c r="C1036">
        <f>1/T_USD_EUR[[#This Row],[USDEUR]]</f>
        <v>1.0830715910321673</v>
      </c>
    </row>
    <row r="1037" spans="1:3" x14ac:dyDescent="0.45">
      <c r="A1037" vm="2162">
        <v>44946</v>
      </c>
      <c r="B1037" vm="2163">
        <v>0.92100000000000004</v>
      </c>
      <c r="C1037">
        <f>1/T_USD_EUR[[#This Row],[USDEUR]]</f>
        <v>1.0857763300760044</v>
      </c>
    </row>
    <row r="1038" spans="1:3" x14ac:dyDescent="0.45">
      <c r="A1038" vm="2164">
        <v>44949</v>
      </c>
      <c r="B1038" vm="2165">
        <v>0.91979999999999995</v>
      </c>
      <c r="C1038">
        <f>1/T_USD_EUR[[#This Row],[USDEUR]]</f>
        <v>1.087192868014786</v>
      </c>
    </row>
    <row r="1039" spans="1:3" x14ac:dyDescent="0.45">
      <c r="A1039" vm="2166">
        <v>44950</v>
      </c>
      <c r="B1039" vm="880">
        <v>0.91890000000000005</v>
      </c>
      <c r="C1039">
        <f>1/T_USD_EUR[[#This Row],[USDEUR]]</f>
        <v>1.0882576994232234</v>
      </c>
    </row>
    <row r="1040" spans="1:3" x14ac:dyDescent="0.45">
      <c r="A1040" vm="2167">
        <v>44951</v>
      </c>
      <c r="B1040" vm="2168">
        <v>0.91579999999999995</v>
      </c>
      <c r="C1040">
        <f>1/T_USD_EUR[[#This Row],[USDEUR]]</f>
        <v>1.0919414719371043</v>
      </c>
    </row>
    <row r="1041" spans="1:3" x14ac:dyDescent="0.45">
      <c r="A1041" vm="2169">
        <v>44952</v>
      </c>
      <c r="B1041" vm="931">
        <v>0.91800000000000004</v>
      </c>
      <c r="C1041">
        <f>1/T_USD_EUR[[#This Row],[USDEUR]]</f>
        <v>1.0893246187363834</v>
      </c>
    </row>
    <row r="1042" spans="1:3" x14ac:dyDescent="0.45">
      <c r="A1042" vm="2170">
        <v>44953</v>
      </c>
      <c r="B1042" vm="2171">
        <v>0.91990000000000005</v>
      </c>
      <c r="C1042">
        <f>1/T_USD_EUR[[#This Row],[USDEUR]]</f>
        <v>1.0870746820306554</v>
      </c>
    </row>
    <row r="1043" spans="1:3" x14ac:dyDescent="0.45">
      <c r="A1043" vm="2172">
        <v>44956</v>
      </c>
      <c r="B1043" vm="2173">
        <v>0.92179999999999995</v>
      </c>
      <c r="C1043">
        <f>1/T_USD_EUR[[#This Row],[USDEUR]]</f>
        <v>1.0848340203948796</v>
      </c>
    </row>
    <row r="1044" spans="1:3" x14ac:dyDescent="0.45">
      <c r="A1044" vm="2174">
        <v>44957</v>
      </c>
      <c r="B1044" vm="947">
        <v>0.92049999999999998</v>
      </c>
      <c r="C1044">
        <f>1/T_USD_EUR[[#This Row],[USDEUR]]</f>
        <v>1.0863661053775122</v>
      </c>
    </row>
    <row r="1045" spans="1:3" x14ac:dyDescent="0.45">
      <c r="A1045" vm="2175">
        <v>44958</v>
      </c>
      <c r="B1045" vm="2176">
        <v>0.90980000000000005</v>
      </c>
      <c r="C1045">
        <f>1/T_USD_EUR[[#This Row],[USDEUR]]</f>
        <v>1.0991426687183996</v>
      </c>
    </row>
    <row r="1046" spans="1:3" x14ac:dyDescent="0.45">
      <c r="A1046" vm="2177">
        <v>44959</v>
      </c>
      <c r="B1046" vm="982">
        <v>0.9163</v>
      </c>
      <c r="C1046">
        <f>1/T_USD_EUR[[#This Row],[USDEUR]]</f>
        <v>1.0913456291607553</v>
      </c>
    </row>
    <row r="1047" spans="1:3" x14ac:dyDescent="0.45">
      <c r="A1047" vm="2178">
        <v>44960</v>
      </c>
      <c r="B1047" vm="2179">
        <v>0.92620000000000002</v>
      </c>
      <c r="C1047">
        <f>1/T_USD_EUR[[#This Row],[USDEUR]]</f>
        <v>1.0796804145972791</v>
      </c>
    </row>
    <row r="1048" spans="1:3" x14ac:dyDescent="0.45">
      <c r="A1048" vm="2180">
        <v>44963</v>
      </c>
      <c r="B1048" vm="2181">
        <v>0.93159999999999998</v>
      </c>
      <c r="C1048">
        <f>1/T_USD_EUR[[#This Row],[USDEUR]]</f>
        <v>1.0734220695577501</v>
      </c>
    </row>
    <row r="1049" spans="1:3" x14ac:dyDescent="0.45">
      <c r="A1049" vm="2182">
        <v>44964</v>
      </c>
      <c r="B1049" vm="1842">
        <v>0.93210000000000004</v>
      </c>
      <c r="C1049">
        <f>1/T_USD_EUR[[#This Row],[USDEUR]]</f>
        <v>1.0728462611307799</v>
      </c>
    </row>
    <row r="1050" spans="1:3" x14ac:dyDescent="0.45">
      <c r="A1050" vm="2183">
        <v>44965</v>
      </c>
      <c r="B1050" vm="2184">
        <v>0.93340000000000001</v>
      </c>
      <c r="C1050">
        <f>1/T_USD_EUR[[#This Row],[USDEUR]]</f>
        <v>1.0713520462824084</v>
      </c>
    </row>
    <row r="1051" spans="1:3" x14ac:dyDescent="0.45">
      <c r="A1051" vm="2185">
        <v>44966</v>
      </c>
      <c r="B1051" vm="2186">
        <v>0.93110000000000004</v>
      </c>
      <c r="C1051">
        <f>1/T_USD_EUR[[#This Row],[USDEUR]]</f>
        <v>1.073998496402105</v>
      </c>
    </row>
    <row r="1052" spans="1:3" x14ac:dyDescent="0.45">
      <c r="A1052" vm="2187">
        <v>44967</v>
      </c>
      <c r="B1052" vm="2188">
        <v>0.93620000000000003</v>
      </c>
      <c r="C1052">
        <f>1/T_USD_EUR[[#This Row],[USDEUR]]</f>
        <v>1.0681478316599018</v>
      </c>
    </row>
    <row r="1053" spans="1:3" x14ac:dyDescent="0.45">
      <c r="A1053" vm="2189">
        <v>44970</v>
      </c>
      <c r="B1053" vm="2190">
        <v>0.93259999999999998</v>
      </c>
      <c r="C1053">
        <f>1/T_USD_EUR[[#This Row],[USDEUR]]</f>
        <v>1.0722710701265281</v>
      </c>
    </row>
    <row r="1054" spans="1:3" x14ac:dyDescent="0.45">
      <c r="A1054" vm="2191">
        <v>44971</v>
      </c>
      <c r="B1054" vm="2192">
        <v>0.93120000000000003</v>
      </c>
      <c r="C1054">
        <f>1/T_USD_EUR[[#This Row],[USDEUR]]</f>
        <v>1.0738831615120275</v>
      </c>
    </row>
    <row r="1055" spans="1:3" x14ac:dyDescent="0.45">
      <c r="A1055" vm="2193">
        <v>44972</v>
      </c>
      <c r="B1055" vm="2194">
        <v>0.93540000000000001</v>
      </c>
      <c r="C1055">
        <f>1/T_USD_EUR[[#This Row],[USDEUR]]</f>
        <v>1.0690613641223006</v>
      </c>
    </row>
    <row r="1056" spans="1:3" x14ac:dyDescent="0.45">
      <c r="A1056" vm="2195">
        <v>44973</v>
      </c>
      <c r="B1056" vm="2196">
        <v>0.93700000000000006</v>
      </c>
      <c r="C1056">
        <f>1/T_USD_EUR[[#This Row],[USDEUR]]</f>
        <v>1.0672358591248665</v>
      </c>
    </row>
    <row r="1057" spans="1:3" x14ac:dyDescent="0.45">
      <c r="A1057" vm="2197">
        <v>44974</v>
      </c>
      <c r="B1057" vm="2198">
        <v>0.93500000000000005</v>
      </c>
      <c r="C1057">
        <f>1/T_USD_EUR[[#This Row],[USDEUR]]</f>
        <v>1.0695187165775399</v>
      </c>
    </row>
    <row r="1058" spans="1:3" x14ac:dyDescent="0.45">
      <c r="A1058" vm="2199">
        <v>44977</v>
      </c>
      <c r="B1058" vm="2200">
        <v>0.93579999999999997</v>
      </c>
      <c r="C1058">
        <f>1/T_USD_EUR[[#This Row],[USDEUR]]</f>
        <v>1.0686044026501389</v>
      </c>
    </row>
    <row r="1059" spans="1:3" x14ac:dyDescent="0.45">
      <c r="A1059" vm="2201">
        <v>44978</v>
      </c>
      <c r="B1059" vm="2202">
        <v>0.93899999999999995</v>
      </c>
      <c r="C1059">
        <f>1/T_USD_EUR[[#This Row],[USDEUR]]</f>
        <v>1.0649627263045793</v>
      </c>
    </row>
    <row r="1060" spans="1:3" x14ac:dyDescent="0.45">
      <c r="A1060" vm="2203">
        <v>44979</v>
      </c>
      <c r="B1060" vm="2204">
        <v>0.94299999999999995</v>
      </c>
      <c r="C1060">
        <f>1/T_USD_EUR[[#This Row],[USDEUR]]</f>
        <v>1.0604453870625663</v>
      </c>
    </row>
    <row r="1061" spans="1:3" x14ac:dyDescent="0.45">
      <c r="A1061" vm="2205">
        <v>44980</v>
      </c>
      <c r="B1061" vm="2206">
        <v>0.94359999999999999</v>
      </c>
      <c r="C1061">
        <f>1/T_USD_EUR[[#This Row],[USDEUR]]</f>
        <v>1.0597710894446799</v>
      </c>
    </row>
    <row r="1062" spans="1:3" x14ac:dyDescent="0.45">
      <c r="A1062" vm="2207">
        <v>44981</v>
      </c>
      <c r="B1062" vm="2208">
        <v>0.94789999999999996</v>
      </c>
      <c r="C1062">
        <f>1/T_USD_EUR[[#This Row],[USDEUR]]</f>
        <v>1.0549636037556704</v>
      </c>
    </row>
    <row r="1063" spans="1:3" x14ac:dyDescent="0.45">
      <c r="A1063" vm="2209">
        <v>44984</v>
      </c>
      <c r="B1063" vm="2210">
        <v>0.94240000000000002</v>
      </c>
      <c r="C1063">
        <f>1/T_USD_EUR[[#This Row],[USDEUR]]</f>
        <v>1.0611205432937181</v>
      </c>
    </row>
    <row r="1064" spans="1:3" x14ac:dyDescent="0.45">
      <c r="A1064" vm="2211">
        <v>44985</v>
      </c>
      <c r="B1064" vm="2212">
        <v>0.94520000000000004</v>
      </c>
      <c r="C1064">
        <f>1/T_USD_EUR[[#This Row],[USDEUR]]</f>
        <v>1.0579771476936097</v>
      </c>
    </row>
    <row r="1065" spans="1:3" x14ac:dyDescent="0.45">
      <c r="A1065" vm="2213">
        <v>44986</v>
      </c>
      <c r="B1065" vm="2214">
        <v>0.93710000000000004</v>
      </c>
      <c r="C1065">
        <f>1/T_USD_EUR[[#This Row],[USDEUR]]</f>
        <v>1.0671219720414042</v>
      </c>
    </row>
    <row r="1066" spans="1:3" x14ac:dyDescent="0.45">
      <c r="A1066" vm="2215">
        <v>44987</v>
      </c>
      <c r="B1066" vm="2216">
        <v>0.94340000000000002</v>
      </c>
      <c r="C1066">
        <f>1/T_USD_EUR[[#This Row],[USDEUR]]</f>
        <v>1.0599957600169598</v>
      </c>
    </row>
    <row r="1067" spans="1:3" x14ac:dyDescent="0.45">
      <c r="A1067" vm="2217">
        <v>44988</v>
      </c>
      <c r="B1067" vm="2218">
        <v>0.94020000000000004</v>
      </c>
      <c r="C1067">
        <f>1/T_USD_EUR[[#This Row],[USDEUR]]</f>
        <v>1.0636034886194425</v>
      </c>
    </row>
    <row r="1068" spans="1:3" x14ac:dyDescent="0.45">
      <c r="A1068" vm="2219">
        <v>44991</v>
      </c>
      <c r="B1068" vm="2220">
        <v>0.93630000000000002</v>
      </c>
      <c r="C1068">
        <f>1/T_USD_EUR[[#This Row],[USDEUR]]</f>
        <v>1.0680337498664958</v>
      </c>
    </row>
    <row r="1069" spans="1:3" x14ac:dyDescent="0.45">
      <c r="A1069" vm="2221">
        <v>44992</v>
      </c>
      <c r="B1069" vm="1828">
        <v>0.94779999999999998</v>
      </c>
      <c r="C1069">
        <f>1/T_USD_EUR[[#This Row],[USDEUR]]</f>
        <v>1.0550749103186325</v>
      </c>
    </row>
    <row r="1070" spans="1:3" x14ac:dyDescent="0.45">
      <c r="A1070" vm="2222">
        <v>44993</v>
      </c>
      <c r="B1070" vm="2223">
        <v>0.94799999999999995</v>
      </c>
      <c r="C1070">
        <f>1/T_USD_EUR[[#This Row],[USDEUR]]</f>
        <v>1.0548523206751055</v>
      </c>
    </row>
    <row r="1071" spans="1:3" x14ac:dyDescent="0.45">
      <c r="A1071" vm="2224">
        <v>44994</v>
      </c>
      <c r="B1071" vm="2225">
        <v>0.94479999999999997</v>
      </c>
      <c r="C1071">
        <f>1/T_USD_EUR[[#This Row],[USDEUR]]</f>
        <v>1.0584250635055039</v>
      </c>
    </row>
    <row r="1072" spans="1:3" x14ac:dyDescent="0.45">
      <c r="A1072" vm="2226">
        <v>44995</v>
      </c>
      <c r="B1072" vm="2227">
        <v>0.93940000000000001</v>
      </c>
      <c r="C1072">
        <f>1/T_USD_EUR[[#This Row],[USDEUR]]</f>
        <v>1.0645092612305727</v>
      </c>
    </row>
    <row r="1073" spans="1:3" x14ac:dyDescent="0.45">
      <c r="A1073" vm="2228">
        <v>44998</v>
      </c>
      <c r="B1073" vm="2229">
        <v>0.93169999999999997</v>
      </c>
      <c r="C1073">
        <f>1/T_USD_EUR[[#This Row],[USDEUR]]</f>
        <v>1.0733068584308254</v>
      </c>
    </row>
    <row r="1074" spans="1:3" x14ac:dyDescent="0.45">
      <c r="A1074" vm="2230">
        <v>44999</v>
      </c>
      <c r="B1074" vm="2229">
        <v>0.93169999999999997</v>
      </c>
      <c r="C1074">
        <f>1/T_USD_EUR[[#This Row],[USDEUR]]</f>
        <v>1.0733068584308254</v>
      </c>
    </row>
    <row r="1075" spans="1:3" x14ac:dyDescent="0.45">
      <c r="A1075" vm="2231">
        <v>45000</v>
      </c>
      <c r="B1075" vm="2232">
        <v>0.94530000000000003</v>
      </c>
      <c r="C1075">
        <f>1/T_USD_EUR[[#This Row],[USDEUR]]</f>
        <v>1.0578652279699565</v>
      </c>
    </row>
    <row r="1076" spans="1:3" x14ac:dyDescent="0.45">
      <c r="A1076" vm="2233">
        <v>45001</v>
      </c>
      <c r="B1076" vm="2121">
        <v>0.94259999999999999</v>
      </c>
      <c r="C1076">
        <f>1/T_USD_EUR[[#This Row],[USDEUR]]</f>
        <v>1.0608953957139826</v>
      </c>
    </row>
    <row r="1077" spans="1:3" x14ac:dyDescent="0.45">
      <c r="A1077" vm="2234">
        <v>45002</v>
      </c>
      <c r="B1077" vm="2235">
        <v>0.93720000000000003</v>
      </c>
      <c r="C1077">
        <f>1/T_USD_EUR[[#This Row],[USDEUR]]</f>
        <v>1.0670081092616304</v>
      </c>
    </row>
    <row r="1078" spans="1:3" x14ac:dyDescent="0.45">
      <c r="A1078" vm="2236">
        <v>45005</v>
      </c>
      <c r="B1078" vm="2190">
        <v>0.93259999999999998</v>
      </c>
      <c r="C1078">
        <f>1/T_USD_EUR[[#This Row],[USDEUR]]</f>
        <v>1.0722710701265281</v>
      </c>
    </row>
    <row r="1079" spans="1:3" x14ac:dyDescent="0.45">
      <c r="A1079" vm="2237">
        <v>45006</v>
      </c>
      <c r="B1079" vm="2238">
        <v>0.92830000000000001</v>
      </c>
      <c r="C1079">
        <f>1/T_USD_EUR[[#This Row],[USDEUR]]</f>
        <v>1.0772379618657761</v>
      </c>
    </row>
    <row r="1080" spans="1:3" x14ac:dyDescent="0.45">
      <c r="A1080" vm="2239">
        <v>45007</v>
      </c>
      <c r="B1080" vm="2240">
        <v>0.92090000000000005</v>
      </c>
      <c r="C1080">
        <f>1/T_USD_EUR[[#This Row],[USDEUR]]</f>
        <v>1.085894233901618</v>
      </c>
    </row>
    <row r="1081" spans="1:3" x14ac:dyDescent="0.45">
      <c r="A1081" vm="2241">
        <v>45008</v>
      </c>
      <c r="B1081" vm="866">
        <v>0.92300000000000004</v>
      </c>
      <c r="C1081">
        <f>1/T_USD_EUR[[#This Row],[USDEUR]]</f>
        <v>1.0834236186348862</v>
      </c>
    </row>
    <row r="1082" spans="1:3" x14ac:dyDescent="0.45">
      <c r="A1082" vm="2242">
        <v>45009</v>
      </c>
      <c r="B1082" vm="2243">
        <v>0.92910000000000004</v>
      </c>
      <c r="C1082">
        <f>1/T_USD_EUR[[#This Row],[USDEUR]]</f>
        <v>1.0763104079216446</v>
      </c>
    </row>
    <row r="1083" spans="1:3" x14ac:dyDescent="0.45">
      <c r="A1083" vm="2244">
        <v>45012</v>
      </c>
      <c r="B1083" vm="2245">
        <v>0.92600000000000005</v>
      </c>
      <c r="C1083">
        <f>1/T_USD_EUR[[#This Row],[USDEUR]]</f>
        <v>1.079913606911447</v>
      </c>
    </row>
    <row r="1084" spans="1:3" x14ac:dyDescent="0.45">
      <c r="A1084" vm="2246">
        <v>45013</v>
      </c>
      <c r="B1084" vm="2247">
        <v>0.92210000000000003</v>
      </c>
      <c r="C1084">
        <f>1/T_USD_EUR[[#This Row],[USDEUR]]</f>
        <v>1.0844810758052272</v>
      </c>
    </row>
    <row r="1085" spans="1:3" x14ac:dyDescent="0.45">
      <c r="A1085" vm="2248">
        <v>45014</v>
      </c>
      <c r="B1085" vm="876">
        <v>0.92190000000000005</v>
      </c>
      <c r="C1085">
        <f>1/T_USD_EUR[[#This Row],[USDEUR]]</f>
        <v>1.0847163466753444</v>
      </c>
    </row>
    <row r="1086" spans="1:3" x14ac:dyDescent="0.45">
      <c r="A1086" vm="2249">
        <v>45015</v>
      </c>
      <c r="B1086" vm="2250">
        <v>0.91700000000000004</v>
      </c>
      <c r="C1086">
        <f>1/T_USD_EUR[[#This Row],[USDEUR]]</f>
        <v>1.0905125408942202</v>
      </c>
    </row>
    <row r="1087" spans="1:3" x14ac:dyDescent="0.45">
      <c r="A1087" vm="2251">
        <v>45016</v>
      </c>
      <c r="B1087" vm="864">
        <v>0.92230000000000001</v>
      </c>
      <c r="C1087">
        <f>1/T_USD_EUR[[#This Row],[USDEUR]]</f>
        <v>1.0842459069717012</v>
      </c>
    </row>
    <row r="1088" spans="1:3" x14ac:dyDescent="0.45">
      <c r="A1088" vm="2252">
        <v>45019</v>
      </c>
      <c r="B1088" vm="1775">
        <v>0.91759999999999997</v>
      </c>
      <c r="C1088">
        <f>1/T_USD_EUR[[#This Row],[USDEUR]]</f>
        <v>1.0897994768962511</v>
      </c>
    </row>
    <row r="1089" spans="1:3" x14ac:dyDescent="0.45">
      <c r="A1089" vm="2253">
        <v>45020</v>
      </c>
      <c r="B1089" vm="2254">
        <v>0.91290000000000004</v>
      </c>
      <c r="C1089">
        <f>1/T_USD_EUR[[#This Row],[USDEUR]]</f>
        <v>1.0954102311315588</v>
      </c>
    </row>
    <row r="1090" spans="1:3" x14ac:dyDescent="0.45">
      <c r="A1090" vm="2255">
        <v>45021</v>
      </c>
      <c r="B1090" vm="1773">
        <v>0.91679999999999995</v>
      </c>
      <c r="C1090">
        <f>1/T_USD_EUR[[#This Row],[USDEUR]]</f>
        <v>1.0907504363001745</v>
      </c>
    </row>
    <row r="1091" spans="1:3" x14ac:dyDescent="0.45">
      <c r="A1091" vm="2256">
        <v>45022</v>
      </c>
      <c r="B1091" vm="984">
        <v>0.9153</v>
      </c>
      <c r="C1091">
        <f>1/T_USD_EUR[[#This Row],[USDEUR]]</f>
        <v>1.0925379656943079</v>
      </c>
    </row>
    <row r="1092" spans="1:3" x14ac:dyDescent="0.45">
      <c r="A1092" vm="2257">
        <v>45023</v>
      </c>
      <c r="B1092" vm="711">
        <v>0.9173</v>
      </c>
      <c r="C1092">
        <f>1/T_USD_EUR[[#This Row],[USDEUR]]</f>
        <v>1.0901558922925978</v>
      </c>
    </row>
    <row r="1093" spans="1:3" x14ac:dyDescent="0.45">
      <c r="A1093" vm="2258">
        <v>45026</v>
      </c>
      <c r="B1093" vm="2259">
        <v>0.92059999999999997</v>
      </c>
      <c r="C1093">
        <f>1/T_USD_EUR[[#This Row],[USDEUR]]</f>
        <v>1.0862480990658268</v>
      </c>
    </row>
    <row r="1094" spans="1:3" x14ac:dyDescent="0.45">
      <c r="A1094" vm="2260">
        <v>45027</v>
      </c>
      <c r="B1094" vm="2261">
        <v>0.91620000000000001</v>
      </c>
      <c r="C1094">
        <f>1/T_USD_EUR[[#This Row],[USDEUR]]</f>
        <v>1.0914647456887143</v>
      </c>
    </row>
    <row r="1095" spans="1:3" x14ac:dyDescent="0.45">
      <c r="A1095" vm="2262">
        <v>45028</v>
      </c>
      <c r="B1095" vm="670">
        <v>0.90969999999999995</v>
      </c>
      <c r="C1095">
        <f>1/T_USD_EUR[[#This Row],[USDEUR]]</f>
        <v>1.0992634934593823</v>
      </c>
    </row>
    <row r="1096" spans="1:3" x14ac:dyDescent="0.45">
      <c r="A1096" vm="2263">
        <v>45029</v>
      </c>
      <c r="B1096" vm="851">
        <v>0.90539999999999998</v>
      </c>
      <c r="C1096">
        <f>1/T_USD_EUR[[#This Row],[USDEUR]]</f>
        <v>1.1044842058758559</v>
      </c>
    </row>
    <row r="1097" spans="1:3" x14ac:dyDescent="0.45">
      <c r="A1097" vm="2264">
        <v>45030</v>
      </c>
      <c r="B1097" vm="692">
        <v>0.90880000000000005</v>
      </c>
      <c r="C1097">
        <f>1/T_USD_EUR[[#This Row],[USDEUR]]</f>
        <v>1.1003521126760563</v>
      </c>
    </row>
    <row r="1098" spans="1:3" x14ac:dyDescent="0.45">
      <c r="A1098" vm="2265">
        <v>45033</v>
      </c>
      <c r="B1098" vm="1738">
        <v>0.91510000000000002</v>
      </c>
      <c r="C1098">
        <f>1/T_USD_EUR[[#This Row],[USDEUR]]</f>
        <v>1.0927767457108513</v>
      </c>
    </row>
    <row r="1099" spans="1:3" x14ac:dyDescent="0.45">
      <c r="A1099" vm="2266">
        <v>45034</v>
      </c>
      <c r="B1099" vm="1771">
        <v>0.91120000000000001</v>
      </c>
      <c r="C1099">
        <f>1/T_USD_EUR[[#This Row],[USDEUR]]</f>
        <v>1.0974539069359086</v>
      </c>
    </row>
    <row r="1100" spans="1:3" x14ac:dyDescent="0.45">
      <c r="A1100" vm="2267">
        <v>45035</v>
      </c>
      <c r="B1100" vm="2268">
        <v>0.91269999999999996</v>
      </c>
      <c r="C1100">
        <f>1/T_USD_EUR[[#This Row],[USDEUR]]</f>
        <v>1.0956502684343159</v>
      </c>
    </row>
    <row r="1101" spans="1:3" x14ac:dyDescent="0.45">
      <c r="A1101" vm="2269">
        <v>45036</v>
      </c>
      <c r="B1101" vm="2270">
        <v>0.91149999999999998</v>
      </c>
      <c r="C1101">
        <f>1/T_USD_EUR[[#This Row],[USDEUR]]</f>
        <v>1.0970927043335161</v>
      </c>
    </row>
    <row r="1102" spans="1:3" x14ac:dyDescent="0.45">
      <c r="A1102" vm="2271">
        <v>45037</v>
      </c>
      <c r="B1102" vm="2176">
        <v>0.90980000000000005</v>
      </c>
      <c r="C1102">
        <f>1/T_USD_EUR[[#This Row],[USDEUR]]</f>
        <v>1.0991426687183996</v>
      </c>
    </row>
    <row r="1103" spans="1:3" x14ac:dyDescent="0.45">
      <c r="A1103" vm="2272">
        <v>45040</v>
      </c>
      <c r="B1103" vm="851">
        <v>0.90539999999999998</v>
      </c>
      <c r="C1103">
        <f>1/T_USD_EUR[[#This Row],[USDEUR]]</f>
        <v>1.1044842058758559</v>
      </c>
    </row>
    <row r="1104" spans="1:3" x14ac:dyDescent="0.45">
      <c r="A1104" vm="2273">
        <v>45041</v>
      </c>
      <c r="B1104" vm="725">
        <v>0.9113</v>
      </c>
      <c r="C1104">
        <f>1/T_USD_EUR[[#This Row],[USDEUR]]</f>
        <v>1.097333479644464</v>
      </c>
    </row>
    <row r="1105" spans="1:3" x14ac:dyDescent="0.45">
      <c r="A1105" vm="2274">
        <v>45042</v>
      </c>
      <c r="B1105" vm="684">
        <v>0.90549999999999997</v>
      </c>
      <c r="C1105">
        <f>1/T_USD_EUR[[#This Row],[USDEUR]]</f>
        <v>1.1043622308117063</v>
      </c>
    </row>
    <row r="1106" spans="1:3" x14ac:dyDescent="0.45">
      <c r="A1106" vm="2275">
        <v>45043</v>
      </c>
      <c r="B1106" vm="680">
        <v>0.90649999999999997</v>
      </c>
      <c r="C1106">
        <f>1/T_USD_EUR[[#This Row],[USDEUR]]</f>
        <v>1.1031439602868174</v>
      </c>
    </row>
    <row r="1107" spans="1:3" x14ac:dyDescent="0.45">
      <c r="A1107" vm="2276">
        <v>45044</v>
      </c>
      <c r="B1107" vm="843">
        <v>0.90710000000000002</v>
      </c>
      <c r="C1107">
        <f>1/T_USD_EUR[[#This Row],[USDEUR]]</f>
        <v>1.1024142872891634</v>
      </c>
    </row>
    <row r="1108" spans="1:3" x14ac:dyDescent="0.45">
      <c r="A1108" vm="2277">
        <v>45047</v>
      </c>
      <c r="B1108" vm="2278">
        <v>0.91080000000000005</v>
      </c>
      <c r="C1108">
        <f>1/T_USD_EUR[[#This Row],[USDEUR]]</f>
        <v>1.097935880544576</v>
      </c>
    </row>
    <row r="1109" spans="1:3" x14ac:dyDescent="0.45">
      <c r="A1109" vm="2279">
        <v>45048</v>
      </c>
      <c r="B1109" vm="692">
        <v>0.90880000000000005</v>
      </c>
      <c r="C1109">
        <f>1/T_USD_EUR[[#This Row],[USDEUR]]</f>
        <v>1.1003521126760563</v>
      </c>
    </row>
    <row r="1110" spans="1:3" x14ac:dyDescent="0.45">
      <c r="A1110" vm="2280">
        <v>45049</v>
      </c>
      <c r="B1110" vm="2281">
        <v>0.90390000000000004</v>
      </c>
      <c r="C1110">
        <f>1/T_USD_EUR[[#This Row],[USDEUR]]</f>
        <v>1.1063170704723972</v>
      </c>
    </row>
    <row r="1111" spans="1:3" x14ac:dyDescent="0.45">
      <c r="A1111" vm="2282">
        <v>45050</v>
      </c>
      <c r="B1111" vm="776">
        <v>0.90790000000000004</v>
      </c>
      <c r="C1111">
        <f>1/T_USD_EUR[[#This Row],[USDEUR]]</f>
        <v>1.1014428901861437</v>
      </c>
    </row>
    <row r="1112" spans="1:3" x14ac:dyDescent="0.45">
      <c r="A1112" vm="2283">
        <v>45051</v>
      </c>
      <c r="B1112" vm="841">
        <v>0.90739999999999998</v>
      </c>
      <c r="C1112">
        <f>1/T_USD_EUR[[#This Row],[USDEUR]]</f>
        <v>1.1020498126515319</v>
      </c>
    </row>
    <row r="1113" spans="1:3" x14ac:dyDescent="0.45">
      <c r="A1113" vm="2284">
        <v>45054</v>
      </c>
      <c r="B1113" vm="727">
        <v>0.90839999999999999</v>
      </c>
      <c r="C1113">
        <f>1/T_USD_EUR[[#This Row],[USDEUR]]</f>
        <v>1.1008366358432409</v>
      </c>
    </row>
    <row r="1114" spans="1:3" x14ac:dyDescent="0.45">
      <c r="A1114" vm="2285">
        <v>45055</v>
      </c>
      <c r="B1114" vm="2286">
        <v>0.91210000000000002</v>
      </c>
      <c r="C1114">
        <f>1/T_USD_EUR[[#This Row],[USDEUR]]</f>
        <v>1.096371011950444</v>
      </c>
    </row>
    <row r="1115" spans="1:3" x14ac:dyDescent="0.45">
      <c r="A1115" vm="2287">
        <v>45056</v>
      </c>
      <c r="B1115" vm="2288">
        <v>0.91039999999999999</v>
      </c>
      <c r="C1115">
        <f>1/T_USD_EUR[[#This Row],[USDEUR]]</f>
        <v>1.0984182776801406</v>
      </c>
    </row>
    <row r="1116" spans="1:3" x14ac:dyDescent="0.45">
      <c r="A1116" vm="2289">
        <v>45057</v>
      </c>
      <c r="B1116" vm="2168">
        <v>0.91579999999999995</v>
      </c>
      <c r="C1116">
        <f>1/T_USD_EUR[[#This Row],[USDEUR]]</f>
        <v>1.0919414719371043</v>
      </c>
    </row>
    <row r="1117" spans="1:3" x14ac:dyDescent="0.45">
      <c r="A1117" vm="2290">
        <v>45058</v>
      </c>
      <c r="B1117" vm="2154">
        <v>0.92149999999999999</v>
      </c>
      <c r="C1117">
        <f>1/T_USD_EUR[[#This Row],[USDEUR]]</f>
        <v>1.0851871947911014</v>
      </c>
    </row>
    <row r="1118" spans="1:3" x14ac:dyDescent="0.45">
      <c r="A1118" vm="2291">
        <v>45061</v>
      </c>
      <c r="B1118" vm="862">
        <v>0.91949999999999998</v>
      </c>
      <c r="C1118">
        <f>1/T_USD_EUR[[#This Row],[USDEUR]]</f>
        <v>1.0875475802066341</v>
      </c>
    </row>
    <row r="1119" spans="1:3" x14ac:dyDescent="0.45">
      <c r="A1119" vm="2292">
        <v>45062</v>
      </c>
      <c r="B1119" vm="2293">
        <v>0.9204</v>
      </c>
      <c r="C1119">
        <f>1/T_USD_EUR[[#This Row],[USDEUR]]</f>
        <v>1.086484137331595</v>
      </c>
    </row>
    <row r="1120" spans="1:3" x14ac:dyDescent="0.45">
      <c r="A1120" vm="2294">
        <v>45063</v>
      </c>
      <c r="B1120" vm="864">
        <v>0.92230000000000001</v>
      </c>
      <c r="C1120">
        <f>1/T_USD_EUR[[#This Row],[USDEUR]]</f>
        <v>1.0842459069717012</v>
      </c>
    </row>
    <row r="1121" spans="1:3" x14ac:dyDescent="0.45">
      <c r="A1121" vm="2295">
        <v>45064</v>
      </c>
      <c r="B1121" vm="2296">
        <v>0.92820000000000003</v>
      </c>
      <c r="C1121">
        <f>1/T_USD_EUR[[#This Row],[USDEUR]]</f>
        <v>1.0773540185304891</v>
      </c>
    </row>
    <row r="1122" spans="1:3" x14ac:dyDescent="0.45">
      <c r="A1122" vm="2297">
        <v>45065</v>
      </c>
      <c r="B1122" vm="978">
        <v>0.9254</v>
      </c>
      <c r="C1122">
        <f>1/T_USD_EUR[[#This Row],[USDEUR]]</f>
        <v>1.0806137886319429</v>
      </c>
    </row>
    <row r="1123" spans="1:3" x14ac:dyDescent="0.45">
      <c r="A1123" vm="2298">
        <v>45068</v>
      </c>
      <c r="B1123" vm="2299">
        <v>0.92459999999999998</v>
      </c>
      <c r="C1123">
        <f>1/T_USD_EUR[[#This Row],[USDEUR]]</f>
        <v>1.0815487778498811</v>
      </c>
    </row>
    <row r="1124" spans="1:3" x14ac:dyDescent="0.45">
      <c r="A1124" vm="2300">
        <v>45069</v>
      </c>
      <c r="B1124" vm="2301">
        <v>0.9284</v>
      </c>
      <c r="C1124">
        <f>1/T_USD_EUR[[#This Row],[USDEUR]]</f>
        <v>1.077121930202499</v>
      </c>
    </row>
    <row r="1125" spans="1:3" x14ac:dyDescent="0.45">
      <c r="A1125" vm="2302">
        <v>45070</v>
      </c>
      <c r="B1125" vm="2303">
        <v>0.93010000000000004</v>
      </c>
      <c r="C1125">
        <f>1/T_USD_EUR[[#This Row],[USDEUR]]</f>
        <v>1.0751532093323297</v>
      </c>
    </row>
    <row r="1126" spans="1:3" x14ac:dyDescent="0.45">
      <c r="A1126" vm="2304">
        <v>45071</v>
      </c>
      <c r="B1126" vm="2190">
        <v>0.93259999999999998</v>
      </c>
      <c r="C1126">
        <f>1/T_USD_EUR[[#This Row],[USDEUR]]</f>
        <v>1.0722710701265281</v>
      </c>
    </row>
    <row r="1127" spans="1:3" x14ac:dyDescent="0.45">
      <c r="A1127" vm="2305">
        <v>45072</v>
      </c>
      <c r="B1127" vm="2306">
        <v>0.93230000000000002</v>
      </c>
      <c r="C1127">
        <f>1/T_USD_EUR[[#This Row],[USDEUR]]</f>
        <v>1.0726161106939827</v>
      </c>
    </row>
    <row r="1128" spans="1:3" x14ac:dyDescent="0.45">
      <c r="A1128" vm="2307">
        <v>45075</v>
      </c>
      <c r="B1128" vm="2308">
        <v>0.93379999999999996</v>
      </c>
      <c r="C1128">
        <f>1/T_USD_EUR[[#This Row],[USDEUR]]</f>
        <v>1.0708931248661384</v>
      </c>
    </row>
    <row r="1129" spans="1:3" x14ac:dyDescent="0.45">
      <c r="A1129" vm="2309">
        <v>45076</v>
      </c>
      <c r="B1129" vm="1838">
        <v>0.93140000000000001</v>
      </c>
      <c r="C1129">
        <f>1/T_USD_EUR[[#This Row],[USDEUR]]</f>
        <v>1.0736525660296328</v>
      </c>
    </row>
    <row r="1130" spans="1:3" x14ac:dyDescent="0.45">
      <c r="A1130" vm="2310">
        <v>45077</v>
      </c>
      <c r="B1130" vm="2311">
        <v>0.93530000000000002</v>
      </c>
      <c r="C1130">
        <f>1/T_USD_EUR[[#This Row],[USDEUR]]</f>
        <v>1.0691756655618518</v>
      </c>
    </row>
    <row r="1131" spans="1:3" x14ac:dyDescent="0.45">
      <c r="A1131" vm="2312">
        <v>45078</v>
      </c>
      <c r="B1131" vm="2313">
        <v>0.92900000000000005</v>
      </c>
      <c r="C1131">
        <f>1/T_USD_EUR[[#This Row],[USDEUR]]</f>
        <v>1.0764262648008611</v>
      </c>
    </row>
    <row r="1132" spans="1:3" x14ac:dyDescent="0.45">
      <c r="A1132" vm="2314">
        <v>45079</v>
      </c>
      <c r="B1132" vm="2315">
        <v>0.93369999999999997</v>
      </c>
      <c r="C1132">
        <f>1/T_USD_EUR[[#This Row],[USDEUR]]</f>
        <v>1.0710078183570739</v>
      </c>
    </row>
    <row r="1133" spans="1:3" x14ac:dyDescent="0.45">
      <c r="A1133" vm="2316">
        <v>45082</v>
      </c>
      <c r="B1133" vm="2317">
        <v>0.93320000000000003</v>
      </c>
      <c r="C1133">
        <f>1/T_USD_EUR[[#This Row],[USDEUR]]</f>
        <v>1.0715816545220747</v>
      </c>
    </row>
    <row r="1134" spans="1:3" x14ac:dyDescent="0.45">
      <c r="A1134" vm="2318">
        <v>45083</v>
      </c>
      <c r="B1134" vm="908">
        <v>0.93510000000000004</v>
      </c>
      <c r="C1134">
        <f>1/T_USD_EUR[[#This Row],[USDEUR]]</f>
        <v>1.0694043417816277</v>
      </c>
    </row>
    <row r="1135" spans="1:3" x14ac:dyDescent="0.45">
      <c r="A1135" vm="2319">
        <v>45084</v>
      </c>
      <c r="B1135" vm="2320">
        <v>0.9345</v>
      </c>
      <c r="C1135">
        <f>1/T_USD_EUR[[#This Row],[USDEUR]]</f>
        <v>1.0700909577314073</v>
      </c>
    </row>
    <row r="1136" spans="1:3" x14ac:dyDescent="0.45">
      <c r="A1136" vm="2321">
        <v>45085</v>
      </c>
      <c r="B1136" vm="2322">
        <v>0.92720000000000002</v>
      </c>
      <c r="C1136">
        <f>1/T_USD_EUR[[#This Row],[USDEUR]]</f>
        <v>1.0785159620362381</v>
      </c>
    </row>
    <row r="1137" spans="1:3" x14ac:dyDescent="0.45">
      <c r="A1137" vm="2323">
        <v>45086</v>
      </c>
      <c r="B1137" vm="2303">
        <v>0.93010000000000004</v>
      </c>
      <c r="C1137">
        <f>1/T_USD_EUR[[#This Row],[USDEUR]]</f>
        <v>1.0751532093323297</v>
      </c>
    </row>
    <row r="1138" spans="1:3" x14ac:dyDescent="0.45">
      <c r="A1138" vm="2324">
        <v>45089</v>
      </c>
      <c r="B1138" vm="2152">
        <v>0.92949999999999999</v>
      </c>
      <c r="C1138">
        <f>1/T_USD_EUR[[#This Row],[USDEUR]]</f>
        <v>1.0758472296933836</v>
      </c>
    </row>
    <row r="1139" spans="1:3" x14ac:dyDescent="0.45">
      <c r="A1139" vm="2325">
        <v>45090</v>
      </c>
      <c r="B1139" vm="929">
        <v>0.9264</v>
      </c>
      <c r="C1139">
        <f>1/T_USD_EUR[[#This Row],[USDEUR]]</f>
        <v>1.0794473229706389</v>
      </c>
    </row>
    <row r="1140" spans="1:3" x14ac:dyDescent="0.45">
      <c r="A1140" vm="2326">
        <v>45091</v>
      </c>
      <c r="B1140" vm="2327">
        <v>0.92290000000000005</v>
      </c>
      <c r="C1140">
        <f>1/T_USD_EUR[[#This Row],[USDEUR]]</f>
        <v>1.0835410120273052</v>
      </c>
    </row>
    <row r="1141" spans="1:3" x14ac:dyDescent="0.45">
      <c r="A1141" vm="2328">
        <v>45092</v>
      </c>
      <c r="B1141" vm="856">
        <v>0.91349999999999998</v>
      </c>
      <c r="C1141">
        <f>1/T_USD_EUR[[#This Row],[USDEUR]]</f>
        <v>1.0946907498631637</v>
      </c>
    </row>
    <row r="1142" spans="1:3" x14ac:dyDescent="0.45">
      <c r="A1142" vm="2329">
        <v>45093</v>
      </c>
      <c r="B1142" vm="1746">
        <v>0.91400000000000003</v>
      </c>
      <c r="C1142">
        <f>1/T_USD_EUR[[#This Row],[USDEUR]]</f>
        <v>1.0940919037199124</v>
      </c>
    </row>
    <row r="1143" spans="1:3" x14ac:dyDescent="0.45">
      <c r="A1143" vm="2330">
        <v>45096</v>
      </c>
      <c r="B1143" vm="2331">
        <v>0.91539999999999999</v>
      </c>
      <c r="C1143">
        <f>1/T_USD_EUR[[#This Row],[USDEUR]]</f>
        <v>1.0924186148131965</v>
      </c>
    </row>
    <row r="1144" spans="1:3" x14ac:dyDescent="0.45">
      <c r="A1144" vm="2332">
        <v>45097</v>
      </c>
      <c r="B1144" vm="2168">
        <v>0.91579999999999995</v>
      </c>
      <c r="C1144">
        <f>1/T_USD_EUR[[#This Row],[USDEUR]]</f>
        <v>1.0919414719371043</v>
      </c>
    </row>
    <row r="1145" spans="1:3" x14ac:dyDescent="0.45">
      <c r="A1145" vm="2333">
        <v>45098</v>
      </c>
      <c r="B1145" vm="2334">
        <v>0.91010000000000002</v>
      </c>
      <c r="C1145">
        <f>1/T_USD_EUR[[#This Row],[USDEUR]]</f>
        <v>1.0987803538072738</v>
      </c>
    </row>
    <row r="1146" spans="1:3" x14ac:dyDescent="0.45">
      <c r="A1146" vm="2335">
        <v>45099</v>
      </c>
      <c r="B1146" vm="961">
        <v>0.91249999999999998</v>
      </c>
      <c r="C1146">
        <f>1/T_USD_EUR[[#This Row],[USDEUR]]</f>
        <v>1.095890410958904</v>
      </c>
    </row>
    <row r="1147" spans="1:3" x14ac:dyDescent="0.45">
      <c r="A1147" vm="2336">
        <v>45100</v>
      </c>
      <c r="B1147" vm="931">
        <v>0.91800000000000004</v>
      </c>
      <c r="C1147">
        <f>1/T_USD_EUR[[#This Row],[USDEUR]]</f>
        <v>1.0893246187363834</v>
      </c>
    </row>
    <row r="1148" spans="1:3" x14ac:dyDescent="0.45">
      <c r="A1148" vm="2337">
        <v>45103</v>
      </c>
      <c r="B1148" vm="1773">
        <v>0.91679999999999995</v>
      </c>
      <c r="C1148">
        <f>1/T_USD_EUR[[#This Row],[USDEUR]]</f>
        <v>1.0907504363001745</v>
      </c>
    </row>
    <row r="1149" spans="1:3" x14ac:dyDescent="0.45">
      <c r="A1149" vm="2338">
        <v>45104</v>
      </c>
      <c r="B1149" vm="2339">
        <v>0.91220000000000001</v>
      </c>
      <c r="C1149">
        <f>1/T_USD_EUR[[#This Row],[USDEUR]]</f>
        <v>1.0962508221881166</v>
      </c>
    </row>
    <row r="1150" spans="1:3" x14ac:dyDescent="0.45">
      <c r="A1150" vm="2340">
        <v>45105</v>
      </c>
      <c r="B1150" vm="2261">
        <v>0.91620000000000001</v>
      </c>
      <c r="C1150">
        <f>1/T_USD_EUR[[#This Row],[USDEUR]]</f>
        <v>1.0914647456887143</v>
      </c>
    </row>
    <row r="1151" spans="1:3" x14ac:dyDescent="0.45">
      <c r="A1151" vm="2341">
        <v>45106</v>
      </c>
      <c r="B1151" vm="2342">
        <v>0.92010000000000003</v>
      </c>
      <c r="C1151">
        <f>1/T_USD_EUR[[#This Row],[USDEUR]]</f>
        <v>1.0868383871318334</v>
      </c>
    </row>
    <row r="1152" spans="1:3" x14ac:dyDescent="0.45">
      <c r="A1152" vm="2343">
        <v>45107</v>
      </c>
      <c r="B1152" vm="982">
        <v>0.9163</v>
      </c>
      <c r="C1152">
        <f>1/T_USD_EUR[[#This Row],[USDEUR]]</f>
        <v>1.0913456291607553</v>
      </c>
    </row>
    <row r="1153" spans="1:3" x14ac:dyDescent="0.45">
      <c r="A1153" vm="2344">
        <v>45110</v>
      </c>
      <c r="B1153" vm="982">
        <v>0.9163</v>
      </c>
      <c r="C1153">
        <f>1/T_USD_EUR[[#This Row],[USDEUR]]</f>
        <v>1.0913456291607553</v>
      </c>
    </row>
    <row r="1154" spans="1:3" x14ac:dyDescent="0.45">
      <c r="A1154" vm="2345">
        <v>45111</v>
      </c>
      <c r="B1154" vm="2346">
        <v>0.91900000000000004</v>
      </c>
      <c r="C1154">
        <f>1/T_USD_EUR[[#This Row],[USDEUR]]</f>
        <v>1.088139281828074</v>
      </c>
    </row>
    <row r="1155" spans="1:3" x14ac:dyDescent="0.45">
      <c r="A1155" vm="2347">
        <v>45112</v>
      </c>
      <c r="B1155" vm="878">
        <v>0.92110000000000003</v>
      </c>
      <c r="C1155">
        <f>1/T_USD_EUR[[#This Row],[USDEUR]]</f>
        <v>1.0856584518510477</v>
      </c>
    </row>
    <row r="1156" spans="1:3" x14ac:dyDescent="0.45">
      <c r="A1156" vm="2348">
        <v>45113</v>
      </c>
      <c r="B1156" vm="2349">
        <v>0.91820000000000002</v>
      </c>
      <c r="C1156">
        <f>1/T_USD_EUR[[#This Row],[USDEUR]]</f>
        <v>1.0890873448050533</v>
      </c>
    </row>
    <row r="1157" spans="1:3" x14ac:dyDescent="0.45">
      <c r="A1157" vm="2350">
        <v>45114</v>
      </c>
      <c r="B1157" vm="2270">
        <v>0.91149999999999998</v>
      </c>
      <c r="C1157">
        <f>1/T_USD_EUR[[#This Row],[USDEUR]]</f>
        <v>1.0970927043335161</v>
      </c>
    </row>
    <row r="1158" spans="1:3" x14ac:dyDescent="0.45">
      <c r="A1158" vm="2351">
        <v>45117</v>
      </c>
      <c r="B1158" vm="692">
        <v>0.90880000000000005</v>
      </c>
      <c r="C1158">
        <f>1/T_USD_EUR[[#This Row],[USDEUR]]</f>
        <v>1.1003521126760563</v>
      </c>
    </row>
    <row r="1159" spans="1:3" x14ac:dyDescent="0.45">
      <c r="A1159" vm="2352">
        <v>45118</v>
      </c>
      <c r="B1159" vm="2353">
        <v>0.9083</v>
      </c>
      <c r="C1159">
        <f>1/T_USD_EUR[[#This Row],[USDEUR]]</f>
        <v>1.1009578333149841</v>
      </c>
    </row>
    <row r="1160" spans="1:3" x14ac:dyDescent="0.45">
      <c r="A1160" vm="2354">
        <v>45119</v>
      </c>
      <c r="B1160" vm="740">
        <v>0.89829999999999999</v>
      </c>
      <c r="C1160">
        <f>1/T_USD_EUR[[#This Row],[USDEUR]]</f>
        <v>1.1132138483802738</v>
      </c>
    </row>
    <row r="1161" spans="1:3" x14ac:dyDescent="0.45">
      <c r="A1161" vm="2355">
        <v>45120</v>
      </c>
      <c r="B1161" vm="587">
        <v>0.89059999999999995</v>
      </c>
      <c r="C1161">
        <f>1/T_USD_EUR[[#This Row],[USDEUR]]</f>
        <v>1.1228385358185493</v>
      </c>
    </row>
    <row r="1162" spans="1:3" x14ac:dyDescent="0.45">
      <c r="A1162" vm="2356">
        <v>45121</v>
      </c>
      <c r="B1162" vm="515">
        <v>0.89039999999999997</v>
      </c>
      <c r="C1162">
        <f>1/T_USD_EUR[[#This Row],[USDEUR]]</f>
        <v>1.1230907457322552</v>
      </c>
    </row>
    <row r="1163" spans="1:3" x14ac:dyDescent="0.45">
      <c r="A1163" vm="2357">
        <v>45124</v>
      </c>
      <c r="B1163" vm="1637">
        <v>0.88980000000000004</v>
      </c>
      <c r="C1163">
        <f>1/T_USD_EUR[[#This Row],[USDEUR]]</f>
        <v>1.1238480557428636</v>
      </c>
    </row>
    <row r="1164" spans="1:3" x14ac:dyDescent="0.45">
      <c r="A1164" vm="2358">
        <v>45125</v>
      </c>
      <c r="B1164" vm="587">
        <v>0.89059999999999995</v>
      </c>
      <c r="C1164">
        <f>1/T_USD_EUR[[#This Row],[USDEUR]]</f>
        <v>1.1228385358185493</v>
      </c>
    </row>
    <row r="1165" spans="1:3" x14ac:dyDescent="0.45">
      <c r="A1165" vm="2359">
        <v>45126</v>
      </c>
      <c r="B1165" vm="641">
        <v>0.89270000000000005</v>
      </c>
      <c r="C1165">
        <f>1/T_USD_EUR[[#This Row],[USDEUR]]</f>
        <v>1.1201971546992271</v>
      </c>
    </row>
    <row r="1166" spans="1:3" x14ac:dyDescent="0.45">
      <c r="A1166" vm="2360">
        <v>45127</v>
      </c>
      <c r="B1166" vm="740">
        <v>0.89829999999999999</v>
      </c>
      <c r="C1166">
        <f>1/T_USD_EUR[[#This Row],[USDEUR]]</f>
        <v>1.1132138483802738</v>
      </c>
    </row>
    <row r="1167" spans="1:3" x14ac:dyDescent="0.45">
      <c r="A1167" vm="2361">
        <v>45128</v>
      </c>
      <c r="B1167" vm="2362">
        <v>0.89890000000000003</v>
      </c>
      <c r="C1167">
        <f>1/T_USD_EUR[[#This Row],[USDEUR]]</f>
        <v>1.1124707976415618</v>
      </c>
    </row>
    <row r="1168" spans="1:3" x14ac:dyDescent="0.45">
      <c r="A1168" vm="2363">
        <v>45131</v>
      </c>
      <c r="B1168" vm="757">
        <v>0.90369999999999995</v>
      </c>
      <c r="C1168">
        <f>1/T_USD_EUR[[#This Row],[USDEUR]]</f>
        <v>1.1065619121389842</v>
      </c>
    </row>
    <row r="1169" spans="1:3" x14ac:dyDescent="0.45">
      <c r="A1169" vm="2364">
        <v>45132</v>
      </c>
      <c r="B1169" vm="1769">
        <v>0.90439999999999998</v>
      </c>
      <c r="C1169">
        <f>1/T_USD_EUR[[#This Row],[USDEUR]]</f>
        <v>1.1057054400707651</v>
      </c>
    </row>
    <row r="1170" spans="1:3" x14ac:dyDescent="0.45">
      <c r="A1170" vm="2365">
        <v>45133</v>
      </c>
      <c r="B1170" vm="635">
        <v>0.90200000000000002</v>
      </c>
      <c r="C1170">
        <f>1/T_USD_EUR[[#This Row],[USDEUR]]</f>
        <v>1.1086474501108647</v>
      </c>
    </row>
    <row r="1171" spans="1:3" x14ac:dyDescent="0.45">
      <c r="A1171" vm="2366">
        <v>45134</v>
      </c>
      <c r="B1171" vm="2367">
        <v>0.91100000000000003</v>
      </c>
      <c r="C1171">
        <f>1/T_USD_EUR[[#This Row],[USDEUR]]</f>
        <v>1.097694840834248</v>
      </c>
    </row>
    <row r="1172" spans="1:3" x14ac:dyDescent="0.45">
      <c r="A1172" vm="2368">
        <v>45135</v>
      </c>
      <c r="B1172" vm="2369">
        <v>0.90769999999999995</v>
      </c>
      <c r="C1172">
        <f>1/T_USD_EUR[[#This Row],[USDEUR]]</f>
        <v>1.1016855789357718</v>
      </c>
    </row>
    <row r="1173" spans="1:3" x14ac:dyDescent="0.45">
      <c r="A1173" vm="2370">
        <v>45138</v>
      </c>
      <c r="B1173" vm="904">
        <v>0.9093</v>
      </c>
      <c r="C1173">
        <f>1/T_USD_EUR[[#This Row],[USDEUR]]</f>
        <v>1.0997470581766193</v>
      </c>
    </row>
    <row r="1174" spans="1:3" x14ac:dyDescent="0.45">
      <c r="A1174" vm="2371">
        <v>45139</v>
      </c>
      <c r="B1174" vm="1743">
        <v>0.91020000000000001</v>
      </c>
      <c r="C1174">
        <f>1/T_USD_EUR[[#This Row],[USDEUR]]</f>
        <v>1.0986596352450011</v>
      </c>
    </row>
    <row r="1175" spans="1:3" x14ac:dyDescent="0.45">
      <c r="A1175" vm="2372">
        <v>45140</v>
      </c>
      <c r="B1175" vm="709">
        <v>0.91410000000000002</v>
      </c>
      <c r="C1175">
        <f>1/T_USD_EUR[[#This Row],[USDEUR]]</f>
        <v>1.0939722131057872</v>
      </c>
    </row>
    <row r="1176" spans="1:3" x14ac:dyDescent="0.45">
      <c r="A1176" vm="2373">
        <v>45141</v>
      </c>
      <c r="B1176" vm="2374">
        <v>0.91339999999999999</v>
      </c>
      <c r="C1176">
        <f>1/T_USD_EUR[[#This Row],[USDEUR]]</f>
        <v>1.0948105977665863</v>
      </c>
    </row>
    <row r="1177" spans="1:3" x14ac:dyDescent="0.45">
      <c r="A1177" vm="2375">
        <v>45142</v>
      </c>
      <c r="B1177" vm="2376">
        <v>0.90810000000000002</v>
      </c>
      <c r="C1177">
        <f>1/T_USD_EUR[[#This Row],[USDEUR]]</f>
        <v>1.1012003083360864</v>
      </c>
    </row>
    <row r="1178" spans="1:3" x14ac:dyDescent="0.45">
      <c r="A1178" vm="2377">
        <v>45145</v>
      </c>
      <c r="B1178" vm="727">
        <v>0.90839999999999999</v>
      </c>
      <c r="C1178">
        <f>1/T_USD_EUR[[#This Row],[USDEUR]]</f>
        <v>1.1008366358432409</v>
      </c>
    </row>
    <row r="1179" spans="1:3" x14ac:dyDescent="0.45">
      <c r="A1179" vm="2378">
        <v>45146</v>
      </c>
      <c r="B1179" vm="723">
        <v>0.91259999999999997</v>
      </c>
      <c r="C1179">
        <f>1/T_USD_EUR[[#This Row],[USDEUR]]</f>
        <v>1.0957703265395573</v>
      </c>
    </row>
    <row r="1180" spans="1:3" x14ac:dyDescent="0.45">
      <c r="A1180" vm="2379">
        <v>45147</v>
      </c>
      <c r="B1180" vm="2367">
        <v>0.91100000000000003</v>
      </c>
      <c r="C1180">
        <f>1/T_USD_EUR[[#This Row],[USDEUR]]</f>
        <v>1.097694840834248</v>
      </c>
    </row>
    <row r="1181" spans="1:3" x14ac:dyDescent="0.45">
      <c r="A1181" vm="2380">
        <v>45148</v>
      </c>
      <c r="B1181" vm="940">
        <v>0.91049999999999998</v>
      </c>
      <c r="C1181">
        <f>1/T_USD_EUR[[#This Row],[USDEUR]]</f>
        <v>1.0982976386600769</v>
      </c>
    </row>
    <row r="1182" spans="1:3" x14ac:dyDescent="0.45">
      <c r="A1182" vm="2381">
        <v>45149</v>
      </c>
      <c r="B1182" vm="2374">
        <v>0.91339999999999999</v>
      </c>
      <c r="C1182">
        <f>1/T_USD_EUR[[#This Row],[USDEUR]]</f>
        <v>1.0948105977665863</v>
      </c>
    </row>
    <row r="1183" spans="1:3" x14ac:dyDescent="0.45">
      <c r="A1183" vm="2382">
        <v>45152</v>
      </c>
      <c r="B1183" vm="1773">
        <v>0.91679999999999995</v>
      </c>
      <c r="C1183">
        <f>1/T_USD_EUR[[#This Row],[USDEUR]]</f>
        <v>1.0907504363001745</v>
      </c>
    </row>
    <row r="1184" spans="1:3" x14ac:dyDescent="0.45">
      <c r="A1184" vm="2383">
        <v>45153</v>
      </c>
      <c r="B1184" vm="2384">
        <v>0.91690000000000005</v>
      </c>
      <c r="C1184">
        <f>1/T_USD_EUR[[#This Row],[USDEUR]]</f>
        <v>1.0906314756243864</v>
      </c>
    </row>
    <row r="1185" spans="1:3" x14ac:dyDescent="0.45">
      <c r="A1185" vm="2385">
        <v>45154</v>
      </c>
      <c r="B1185" vm="1777">
        <v>0.91910000000000003</v>
      </c>
      <c r="C1185">
        <f>1/T_USD_EUR[[#This Row],[USDEUR]]</f>
        <v>1.0880208900010879</v>
      </c>
    </row>
    <row r="1186" spans="1:3" x14ac:dyDescent="0.45">
      <c r="A1186" vm="2386">
        <v>45155</v>
      </c>
      <c r="B1186" vm="862">
        <v>0.91949999999999998</v>
      </c>
      <c r="C1186">
        <f>1/T_USD_EUR[[#This Row],[USDEUR]]</f>
        <v>1.0875475802066341</v>
      </c>
    </row>
    <row r="1187" spans="1:3" x14ac:dyDescent="0.45">
      <c r="A1187" vm="2387">
        <v>45156</v>
      </c>
      <c r="B1187" vm="2171">
        <v>0.91990000000000005</v>
      </c>
      <c r="C1187">
        <f>1/T_USD_EUR[[#This Row],[USDEUR]]</f>
        <v>1.0870746820306554</v>
      </c>
    </row>
    <row r="1188" spans="1:3" x14ac:dyDescent="0.45">
      <c r="A1188" vm="2388">
        <v>45159</v>
      </c>
      <c r="B1188" vm="2389">
        <v>0.91790000000000005</v>
      </c>
      <c r="C1188">
        <f>1/T_USD_EUR[[#This Row],[USDEUR]]</f>
        <v>1.0894432944765224</v>
      </c>
    </row>
    <row r="1189" spans="1:3" x14ac:dyDescent="0.45">
      <c r="A1189" vm="2390">
        <v>45160</v>
      </c>
      <c r="B1189" vm="2173">
        <v>0.92179999999999995</v>
      </c>
      <c r="C1189">
        <f>1/T_USD_EUR[[#This Row],[USDEUR]]</f>
        <v>1.0848340203948796</v>
      </c>
    </row>
    <row r="1190" spans="1:3" x14ac:dyDescent="0.45">
      <c r="A1190" vm="2391">
        <v>45161</v>
      </c>
      <c r="B1190" vm="2259">
        <v>0.92059999999999997</v>
      </c>
      <c r="C1190">
        <f>1/T_USD_EUR[[#This Row],[USDEUR]]</f>
        <v>1.0862480990658268</v>
      </c>
    </row>
    <row r="1191" spans="1:3" x14ac:dyDescent="0.45">
      <c r="A1191" vm="2392">
        <v>45162</v>
      </c>
      <c r="B1191" vm="2393">
        <v>0.92479999999999996</v>
      </c>
      <c r="C1191">
        <f>1/T_USD_EUR[[#This Row],[USDEUR]]</f>
        <v>1.0813148788927336</v>
      </c>
    </row>
    <row r="1192" spans="1:3" x14ac:dyDescent="0.45">
      <c r="A1192" vm="2394">
        <v>45163</v>
      </c>
      <c r="B1192" vm="2395">
        <v>0.92559999999999998</v>
      </c>
      <c r="C1192">
        <f>1/T_USD_EUR[[#This Row],[USDEUR]]</f>
        <v>1.0803802938634399</v>
      </c>
    </row>
    <row r="1193" spans="1:3" x14ac:dyDescent="0.45">
      <c r="A1193" vm="2396">
        <v>45166</v>
      </c>
      <c r="B1193" vm="2397">
        <v>0.92410000000000003</v>
      </c>
      <c r="C1193">
        <f>1/T_USD_EUR[[#This Row],[USDEUR]]</f>
        <v>1.0821339681852613</v>
      </c>
    </row>
    <row r="1194" spans="1:3" x14ac:dyDescent="0.45">
      <c r="A1194" vm="2398">
        <v>45167</v>
      </c>
      <c r="B1194" vm="880">
        <v>0.91890000000000005</v>
      </c>
      <c r="C1194">
        <f>1/T_USD_EUR[[#This Row],[USDEUR]]</f>
        <v>1.0882576994232234</v>
      </c>
    </row>
    <row r="1195" spans="1:3" x14ac:dyDescent="0.45">
      <c r="A1195" vm="2399">
        <v>45168</v>
      </c>
      <c r="B1195" vm="1738">
        <v>0.91510000000000002</v>
      </c>
      <c r="C1195">
        <f>1/T_USD_EUR[[#This Row],[USDEUR]]</f>
        <v>1.0927767457108513</v>
      </c>
    </row>
    <row r="1196" spans="1:3" x14ac:dyDescent="0.45">
      <c r="A1196" vm="2400">
        <v>45169</v>
      </c>
      <c r="B1196" vm="2247">
        <v>0.92210000000000003</v>
      </c>
      <c r="C1196">
        <f>1/T_USD_EUR[[#This Row],[USDEUR]]</f>
        <v>1.0844810758052272</v>
      </c>
    </row>
    <row r="1197" spans="1:3" x14ac:dyDescent="0.45">
      <c r="A1197" vm="2401">
        <v>45170</v>
      </c>
      <c r="B1197" vm="2402">
        <v>0.92789999999999995</v>
      </c>
      <c r="C1197">
        <f>1/T_USD_EUR[[#This Row],[USDEUR]]</f>
        <v>1.0777023386140749</v>
      </c>
    </row>
    <row r="1198" spans="1:3" x14ac:dyDescent="0.45">
      <c r="A1198" vm="2403">
        <v>45173</v>
      </c>
      <c r="B1198" vm="929">
        <v>0.9264</v>
      </c>
      <c r="C1198">
        <f>1/T_USD_EUR[[#This Row],[USDEUR]]</f>
        <v>1.0794473229706389</v>
      </c>
    </row>
    <row r="1199" spans="1:3" x14ac:dyDescent="0.45">
      <c r="A1199" vm="2404">
        <v>45174</v>
      </c>
      <c r="B1199" vm="1844">
        <v>0.93189999999999995</v>
      </c>
      <c r="C1199">
        <f>1/T_USD_EUR[[#This Row],[USDEUR]]</f>
        <v>1.0730765103551885</v>
      </c>
    </row>
    <row r="1200" spans="1:3" x14ac:dyDescent="0.45">
      <c r="A1200" vm="2405">
        <v>45175</v>
      </c>
      <c r="B1200" vm="1842">
        <v>0.93210000000000004</v>
      </c>
      <c r="C1200">
        <f>1/T_USD_EUR[[#This Row],[USDEUR]]</f>
        <v>1.0728462611307799</v>
      </c>
    </row>
    <row r="1201" spans="1:3" x14ac:dyDescent="0.45">
      <c r="A1201" vm="2406">
        <v>45176</v>
      </c>
      <c r="B1201" vm="1855">
        <v>0.93430000000000002</v>
      </c>
      <c r="C1201">
        <f>1/T_USD_EUR[[#This Row],[USDEUR]]</f>
        <v>1.0703200256876806</v>
      </c>
    </row>
    <row r="1202" spans="1:3" x14ac:dyDescent="0.45">
      <c r="A1202" vm="2407">
        <v>45177</v>
      </c>
      <c r="B1202" vm="2408">
        <v>0.93440000000000001</v>
      </c>
      <c r="C1202">
        <f>1/T_USD_EUR[[#This Row],[USDEUR]]</f>
        <v>1.0702054794520548</v>
      </c>
    </row>
    <row r="1203" spans="1:3" x14ac:dyDescent="0.45">
      <c r="A1203" vm="2409">
        <v>45180</v>
      </c>
      <c r="B1203" vm="2303">
        <v>0.93010000000000004</v>
      </c>
      <c r="C1203">
        <f>1/T_USD_EUR[[#This Row],[USDEUR]]</f>
        <v>1.0751532093323297</v>
      </c>
    </row>
    <row r="1204" spans="1:3" x14ac:dyDescent="0.45">
      <c r="A1204" vm="2410">
        <v>45181</v>
      </c>
      <c r="B1204" vm="2411">
        <v>0.92959999999999998</v>
      </c>
      <c r="C1204">
        <f>1/T_USD_EUR[[#This Row],[USDEUR]]</f>
        <v>1.0757314974182444</v>
      </c>
    </row>
    <row r="1205" spans="1:3" x14ac:dyDescent="0.45">
      <c r="A1205" vm="2412">
        <v>45182</v>
      </c>
      <c r="B1205" vm="2413">
        <v>0.93200000000000005</v>
      </c>
      <c r="C1205">
        <f>1/T_USD_EUR[[#This Row],[USDEUR]]</f>
        <v>1.0729613733905579</v>
      </c>
    </row>
    <row r="1206" spans="1:3" x14ac:dyDescent="0.45">
      <c r="A1206" vm="2414">
        <v>45183</v>
      </c>
      <c r="B1206" vm="2227">
        <v>0.93940000000000001</v>
      </c>
      <c r="C1206">
        <f>1/T_USD_EUR[[#This Row],[USDEUR]]</f>
        <v>1.0645092612305727</v>
      </c>
    </row>
    <row r="1207" spans="1:3" x14ac:dyDescent="0.45">
      <c r="A1207" vm="2415">
        <v>45184</v>
      </c>
      <c r="B1207" vm="2416">
        <v>0.93820000000000003</v>
      </c>
      <c r="C1207">
        <f>1/T_USD_EUR[[#This Row],[USDEUR]]</f>
        <v>1.0658708164570454</v>
      </c>
    </row>
    <row r="1208" spans="1:3" x14ac:dyDescent="0.45">
      <c r="A1208" vm="2417">
        <v>45187</v>
      </c>
      <c r="B1208" vm="908">
        <v>0.93510000000000004</v>
      </c>
      <c r="C1208">
        <f>1/T_USD_EUR[[#This Row],[USDEUR]]</f>
        <v>1.0694043417816277</v>
      </c>
    </row>
    <row r="1209" spans="1:3" x14ac:dyDescent="0.45">
      <c r="A1209" vm="2418">
        <v>45188</v>
      </c>
      <c r="B1209" vm="2188">
        <v>0.93620000000000003</v>
      </c>
      <c r="C1209">
        <f>1/T_USD_EUR[[#This Row],[USDEUR]]</f>
        <v>1.0681478316599018</v>
      </c>
    </row>
    <row r="1210" spans="1:3" x14ac:dyDescent="0.45">
      <c r="A1210" vm="2419">
        <v>45189</v>
      </c>
      <c r="B1210" vm="2420">
        <v>0.93779999999999997</v>
      </c>
      <c r="C1210">
        <f>1/T_USD_EUR[[#This Row],[USDEUR]]</f>
        <v>1.0663254425250588</v>
      </c>
    </row>
    <row r="1211" spans="1:3" x14ac:dyDescent="0.45">
      <c r="A1211" vm="2421">
        <v>45190</v>
      </c>
      <c r="B1211" vm="2135">
        <v>0.93789999999999996</v>
      </c>
      <c r="C1211">
        <f>1/T_USD_EUR[[#This Row],[USDEUR]]</f>
        <v>1.0662117496534813</v>
      </c>
    </row>
    <row r="1212" spans="1:3" x14ac:dyDescent="0.45">
      <c r="A1212" vm="2422">
        <v>45191</v>
      </c>
      <c r="B1212" vm="2423">
        <v>0.93840000000000001</v>
      </c>
      <c r="C1212">
        <f>1/T_USD_EUR[[#This Row],[USDEUR]]</f>
        <v>1.0656436487638534</v>
      </c>
    </row>
    <row r="1213" spans="1:3" x14ac:dyDescent="0.45">
      <c r="A1213" vm="2424">
        <v>45194</v>
      </c>
      <c r="B1213" vm="2425">
        <v>0.94389999999999996</v>
      </c>
      <c r="C1213">
        <f>1/T_USD_EUR[[#This Row],[USDEUR]]</f>
        <v>1.0594342621040365</v>
      </c>
    </row>
    <row r="1214" spans="1:3" x14ac:dyDescent="0.45">
      <c r="A1214" vm="2426">
        <v>45195</v>
      </c>
      <c r="B1214" vm="2427">
        <v>0.94569999999999999</v>
      </c>
      <c r="C1214">
        <f>1/T_USD_EUR[[#This Row],[USDEUR]]</f>
        <v>1.0574177857671567</v>
      </c>
    </row>
    <row r="1215" spans="1:3" x14ac:dyDescent="0.45">
      <c r="A1215" vm="2428">
        <v>45196</v>
      </c>
      <c r="B1215" vm="2429">
        <v>0.95199999999999996</v>
      </c>
      <c r="C1215">
        <f>1/T_USD_EUR[[#This Row],[USDEUR]]</f>
        <v>1.0504201680672269</v>
      </c>
    </row>
    <row r="1216" spans="1:3" x14ac:dyDescent="0.45">
      <c r="A1216" vm="2430">
        <v>45197</v>
      </c>
      <c r="B1216" vm="2431">
        <v>0.94669999999999999</v>
      </c>
      <c r="C1216">
        <f>1/T_USD_EUR[[#This Row],[USDEUR]]</f>
        <v>1.0563008344776592</v>
      </c>
    </row>
    <row r="1217" spans="1:3" x14ac:dyDescent="0.45">
      <c r="A1217" vm="2432">
        <v>45198</v>
      </c>
      <c r="B1217" vm="2427">
        <v>0.94569999999999999</v>
      </c>
      <c r="C1217">
        <f>1/T_USD_EUR[[#This Row],[USDEUR]]</f>
        <v>1.0574177857671567</v>
      </c>
    </row>
    <row r="1218" spans="1:3" x14ac:dyDescent="0.45">
      <c r="A1218" vm="2433">
        <v>45201</v>
      </c>
      <c r="B1218" vm="2434">
        <v>0.95420000000000005</v>
      </c>
      <c r="C1218">
        <f>1/T_USD_EUR[[#This Row],[USDEUR]]</f>
        <v>1.0479983232026828</v>
      </c>
    </row>
    <row r="1219" spans="1:3" x14ac:dyDescent="0.45">
      <c r="A1219" vm="2435">
        <v>45202</v>
      </c>
      <c r="B1219" vm="2436">
        <v>0.95520000000000005</v>
      </c>
      <c r="C1219">
        <f>1/T_USD_EUR[[#This Row],[USDEUR]]</f>
        <v>1.0469011725293131</v>
      </c>
    </row>
    <row r="1220" spans="1:3" x14ac:dyDescent="0.45">
      <c r="A1220" vm="2437">
        <v>45203</v>
      </c>
      <c r="B1220" vm="2106">
        <v>0.95169999999999999</v>
      </c>
      <c r="C1220">
        <f>1/T_USD_EUR[[#This Row],[USDEUR]]</f>
        <v>1.0507512871703268</v>
      </c>
    </row>
    <row r="1221" spans="1:3" x14ac:dyDescent="0.45">
      <c r="A1221" vm="2438">
        <v>45204</v>
      </c>
      <c r="B1221" vm="1869">
        <v>0.94769999999999999</v>
      </c>
      <c r="C1221">
        <f>1/T_USD_EUR[[#This Row],[USDEUR]]</f>
        <v>1.0551862403714256</v>
      </c>
    </row>
    <row r="1222" spans="1:3" x14ac:dyDescent="0.45">
      <c r="A1222" vm="2439">
        <v>45205</v>
      </c>
      <c r="B1222" vm="2440">
        <v>0.94440000000000002</v>
      </c>
      <c r="C1222">
        <f>1/T_USD_EUR[[#This Row],[USDEUR]]</f>
        <v>1.058873358746294</v>
      </c>
    </row>
    <row r="1223" spans="1:3" x14ac:dyDescent="0.45">
      <c r="A1223" vm="2441">
        <v>45208</v>
      </c>
      <c r="B1223" vm="2442">
        <v>0.94620000000000004</v>
      </c>
      <c r="C1223">
        <f>1/T_USD_EUR[[#This Row],[USDEUR]]</f>
        <v>1.056859015007398</v>
      </c>
    </row>
    <row r="1224" spans="1:3" x14ac:dyDescent="0.45">
      <c r="A1224" vm="2443">
        <v>45209</v>
      </c>
      <c r="B1224" vm="2125">
        <v>0.94279999999999997</v>
      </c>
      <c r="C1224">
        <f>1/T_USD_EUR[[#This Row],[USDEUR]]</f>
        <v>1.0606703436571914</v>
      </c>
    </row>
    <row r="1225" spans="1:3" x14ac:dyDescent="0.45">
      <c r="A1225" vm="2444">
        <v>45210</v>
      </c>
      <c r="B1225" vm="2445">
        <v>0.9415</v>
      </c>
      <c r="C1225">
        <f>1/T_USD_EUR[[#This Row],[USDEUR]]</f>
        <v>1.0621348911311737</v>
      </c>
    </row>
    <row r="1226" spans="1:3" x14ac:dyDescent="0.45">
      <c r="A1226" vm="2446">
        <v>45211</v>
      </c>
      <c r="B1226" vm="2447">
        <v>0.94969999999999999</v>
      </c>
      <c r="C1226">
        <f>1/T_USD_EUR[[#This Row],[USDEUR]]</f>
        <v>1.0529640939243972</v>
      </c>
    </row>
    <row r="1227" spans="1:3" x14ac:dyDescent="0.45">
      <c r="A1227" vm="2448">
        <v>45212</v>
      </c>
      <c r="B1227" vm="1872">
        <v>0.95120000000000005</v>
      </c>
      <c r="C1227">
        <f>1/T_USD_EUR[[#This Row],[USDEUR]]</f>
        <v>1.0513036164844407</v>
      </c>
    </row>
    <row r="1228" spans="1:3" x14ac:dyDescent="0.45">
      <c r="A1228" vm="2449">
        <v>45215</v>
      </c>
      <c r="B1228" vm="2450">
        <v>0.94679999999999997</v>
      </c>
      <c r="C1228">
        <f>1/T_USD_EUR[[#This Row],[USDEUR]]</f>
        <v>1.0561892691170258</v>
      </c>
    </row>
    <row r="1229" spans="1:3" x14ac:dyDescent="0.45">
      <c r="A1229" vm="2451">
        <v>45216</v>
      </c>
      <c r="B1229" vm="2232">
        <v>0.94530000000000003</v>
      </c>
      <c r="C1229">
        <f>1/T_USD_EUR[[#This Row],[USDEUR]]</f>
        <v>1.0578652279699565</v>
      </c>
    </row>
    <row r="1230" spans="1:3" x14ac:dyDescent="0.45">
      <c r="A1230" vm="2452">
        <v>45217</v>
      </c>
      <c r="B1230" vm="2111">
        <v>0.94889999999999997</v>
      </c>
      <c r="C1230">
        <f>1/T_USD_EUR[[#This Row],[USDEUR]]</f>
        <v>1.0538518284329224</v>
      </c>
    </row>
    <row r="1231" spans="1:3" x14ac:dyDescent="0.45">
      <c r="A1231" vm="2453">
        <v>45218</v>
      </c>
      <c r="B1231" vm="1880">
        <v>0.94469999999999998</v>
      </c>
      <c r="C1231">
        <f>1/T_USD_EUR[[#This Row],[USDEUR]]</f>
        <v>1.0585371017254155</v>
      </c>
    </row>
    <row r="1232" spans="1:3" x14ac:dyDescent="0.45">
      <c r="A1232" vm="2454">
        <v>45219</v>
      </c>
      <c r="B1232" vm="2455">
        <v>0.94379999999999997</v>
      </c>
      <c r="C1232">
        <f>1/T_USD_EUR[[#This Row],[USDEUR]]</f>
        <v>1.0595465140919686</v>
      </c>
    </row>
    <row r="1233" spans="1:3" x14ac:dyDescent="0.45">
      <c r="A1233" vm="2456">
        <v>45222</v>
      </c>
      <c r="B1233" vm="2196">
        <v>0.93700000000000006</v>
      </c>
      <c r="C1233">
        <f>1/T_USD_EUR[[#This Row],[USDEUR]]</f>
        <v>1.0672358591248665</v>
      </c>
    </row>
    <row r="1234" spans="1:3" x14ac:dyDescent="0.45">
      <c r="A1234" vm="2457">
        <v>45223</v>
      </c>
      <c r="B1234" vm="2458">
        <v>0.94410000000000005</v>
      </c>
      <c r="C1234">
        <f>1/T_USD_EUR[[#This Row],[USDEUR]]</f>
        <v>1.0592098294672174</v>
      </c>
    </row>
    <row r="1235" spans="1:3" x14ac:dyDescent="0.45">
      <c r="A1235" vm="2459">
        <v>45224</v>
      </c>
      <c r="B1235" vm="1876">
        <v>0.94630000000000003</v>
      </c>
      <c r="C1235">
        <f>1/T_USD_EUR[[#This Row],[USDEUR]]</f>
        <v>1.0567473317129874</v>
      </c>
    </row>
    <row r="1236" spans="1:3" x14ac:dyDescent="0.45">
      <c r="A1236" vm="2460">
        <v>45225</v>
      </c>
      <c r="B1236" vm="1834">
        <v>0.9466</v>
      </c>
      <c r="C1236">
        <f>1/T_USD_EUR[[#This Row],[USDEUR]]</f>
        <v>1.0564124234100993</v>
      </c>
    </row>
    <row r="1237" spans="1:3" x14ac:dyDescent="0.45">
      <c r="A1237" vm="2461">
        <v>45226</v>
      </c>
      <c r="B1237" vm="1876">
        <v>0.94630000000000003</v>
      </c>
      <c r="C1237">
        <f>1/T_USD_EUR[[#This Row],[USDEUR]]</f>
        <v>1.0567473317129874</v>
      </c>
    </row>
    <row r="1238" spans="1:3" x14ac:dyDescent="0.45">
      <c r="A1238" vm="2462">
        <v>45229</v>
      </c>
      <c r="B1238" vm="2463">
        <v>0.94189999999999996</v>
      </c>
      <c r="C1238">
        <f>1/T_USD_EUR[[#This Row],[USDEUR]]</f>
        <v>1.0616838305552607</v>
      </c>
    </row>
    <row r="1239" spans="1:3" x14ac:dyDescent="0.45">
      <c r="A1239" vm="2464">
        <v>45230</v>
      </c>
      <c r="B1239" vm="2212">
        <v>0.94520000000000004</v>
      </c>
      <c r="C1239">
        <f>1/T_USD_EUR[[#This Row],[USDEUR]]</f>
        <v>1.0579771476936097</v>
      </c>
    </row>
    <row r="1240" spans="1:3" x14ac:dyDescent="0.45">
      <c r="A1240" vm="2465">
        <v>45231</v>
      </c>
      <c r="B1240" vm="2466">
        <v>0.94589999999999996</v>
      </c>
      <c r="C1240">
        <f>1/T_USD_EUR[[#This Row],[USDEUR]]</f>
        <v>1.057194206575748</v>
      </c>
    </row>
    <row r="1241" spans="1:3" x14ac:dyDescent="0.45">
      <c r="A1241" vm="2467">
        <v>45232</v>
      </c>
      <c r="B1241" vm="2123">
        <v>0.94130000000000003</v>
      </c>
      <c r="C1241">
        <f>1/T_USD_EUR[[#This Row],[USDEUR]]</f>
        <v>1.0623605651758206</v>
      </c>
    </row>
    <row r="1242" spans="1:3" x14ac:dyDescent="0.45">
      <c r="A1242" vm="2468">
        <v>45233</v>
      </c>
      <c r="B1242" vm="2229">
        <v>0.93169999999999997</v>
      </c>
      <c r="C1242">
        <f>1/T_USD_EUR[[#This Row],[USDEUR]]</f>
        <v>1.0733068584308254</v>
      </c>
    </row>
    <row r="1243" spans="1:3" x14ac:dyDescent="0.45">
      <c r="A1243" vm="2469">
        <v>45236</v>
      </c>
      <c r="B1243" vm="1857">
        <v>0.93300000000000005</v>
      </c>
      <c r="C1243">
        <f>1/T_USD_EUR[[#This Row],[USDEUR]]</f>
        <v>1.0718113612004287</v>
      </c>
    </row>
    <row r="1244" spans="1:3" x14ac:dyDescent="0.45">
      <c r="A1244" vm="2470">
        <v>45237</v>
      </c>
      <c r="B1244" vm="2320">
        <v>0.9345</v>
      </c>
      <c r="C1244">
        <f>1/T_USD_EUR[[#This Row],[USDEUR]]</f>
        <v>1.0700909577314073</v>
      </c>
    </row>
    <row r="1245" spans="1:3" x14ac:dyDescent="0.45">
      <c r="A1245" vm="2471">
        <v>45238</v>
      </c>
      <c r="B1245" vm="2472">
        <v>0.93389999999999995</v>
      </c>
      <c r="C1245">
        <f>1/T_USD_EUR[[#This Row],[USDEUR]]</f>
        <v>1.0707784559374667</v>
      </c>
    </row>
    <row r="1246" spans="1:3" x14ac:dyDescent="0.45">
      <c r="A1246" vm="2473">
        <v>45239</v>
      </c>
      <c r="B1246" vm="2235">
        <v>0.93720000000000003</v>
      </c>
      <c r="C1246">
        <f>1/T_USD_EUR[[#This Row],[USDEUR]]</f>
        <v>1.0670081092616304</v>
      </c>
    </row>
    <row r="1247" spans="1:3" x14ac:dyDescent="0.45">
      <c r="A1247" vm="2474">
        <v>45240</v>
      </c>
      <c r="B1247" vm="2475">
        <v>0.93589999999999995</v>
      </c>
      <c r="C1247">
        <f>1/T_USD_EUR[[#This Row],[USDEUR]]</f>
        <v>1.0684902233144566</v>
      </c>
    </row>
    <row r="1248" spans="1:3" x14ac:dyDescent="0.45">
      <c r="A1248" vm="2476">
        <v>45243</v>
      </c>
      <c r="B1248" vm="2477">
        <v>0.93459999999999999</v>
      </c>
      <c r="C1248">
        <f>1/T_USD_EUR[[#This Row],[USDEUR]]</f>
        <v>1.0699764605178685</v>
      </c>
    </row>
    <row r="1249" spans="1:3" x14ac:dyDescent="0.45">
      <c r="A1249" vm="2478">
        <v>45244</v>
      </c>
      <c r="B1249" vm="1777">
        <v>0.91910000000000003</v>
      </c>
      <c r="C1249">
        <f>1/T_USD_EUR[[#This Row],[USDEUR]]</f>
        <v>1.0880208900010879</v>
      </c>
    </row>
    <row r="1250" spans="1:3" x14ac:dyDescent="0.45">
      <c r="A1250" vm="2479">
        <v>45245</v>
      </c>
      <c r="B1250" vm="974">
        <v>0.92169999999999996</v>
      </c>
      <c r="C1250">
        <f>1/T_USD_EUR[[#This Row],[USDEUR]]</f>
        <v>1.0849517196484757</v>
      </c>
    </row>
    <row r="1251" spans="1:3" x14ac:dyDescent="0.45">
      <c r="A1251" vm="2480">
        <v>45246</v>
      </c>
      <c r="B1251" vm="2481">
        <v>0.92130000000000001</v>
      </c>
      <c r="C1251">
        <f>1/T_USD_EUR[[#This Row],[USDEUR]]</f>
        <v>1.08542277216976</v>
      </c>
    </row>
    <row r="1252" spans="1:3" x14ac:dyDescent="0.45">
      <c r="A1252" vm="2482">
        <v>45247</v>
      </c>
      <c r="B1252" vm="942">
        <v>0.91649999999999998</v>
      </c>
      <c r="C1252">
        <f>1/T_USD_EUR[[#This Row],[USDEUR]]</f>
        <v>1.0911074740861975</v>
      </c>
    </row>
    <row r="1253" spans="1:3" x14ac:dyDescent="0.45">
      <c r="A1253" vm="2483">
        <v>45250</v>
      </c>
      <c r="B1253" vm="2484">
        <v>0.91390000000000005</v>
      </c>
      <c r="C1253">
        <f>1/T_USD_EUR[[#This Row],[USDEUR]]</f>
        <v>1.0942116205274099</v>
      </c>
    </row>
    <row r="1254" spans="1:3" x14ac:dyDescent="0.45">
      <c r="A1254" vm="2485">
        <v>45251</v>
      </c>
      <c r="B1254" vm="982">
        <v>0.9163</v>
      </c>
      <c r="C1254">
        <f>1/T_USD_EUR[[#This Row],[USDEUR]]</f>
        <v>1.0913456291607553</v>
      </c>
    </row>
    <row r="1255" spans="1:3" x14ac:dyDescent="0.45">
      <c r="A1255" vm="2486">
        <v>45252</v>
      </c>
      <c r="B1255" vm="2349">
        <v>0.91820000000000002</v>
      </c>
      <c r="C1255">
        <f>1/T_USD_EUR[[#This Row],[USDEUR]]</f>
        <v>1.0890873448050533</v>
      </c>
    </row>
    <row r="1256" spans="1:3" x14ac:dyDescent="0.45">
      <c r="A1256" vm="2487">
        <v>45253</v>
      </c>
      <c r="B1256" vm="1773">
        <v>0.91679999999999995</v>
      </c>
      <c r="C1256">
        <f>1/T_USD_EUR[[#This Row],[USDEUR]]</f>
        <v>1.0907504363001745</v>
      </c>
    </row>
    <row r="1257" spans="1:3" x14ac:dyDescent="0.45">
      <c r="A1257" vm="2488">
        <v>45254</v>
      </c>
      <c r="B1257" vm="2489">
        <v>0.91379999999999995</v>
      </c>
      <c r="C1257">
        <f>1/T_USD_EUR[[#This Row],[USDEUR]]</f>
        <v>1.094331363536879</v>
      </c>
    </row>
    <row r="1258" spans="1:3" x14ac:dyDescent="0.45">
      <c r="A1258" vm="2490">
        <v>45257</v>
      </c>
      <c r="B1258" vm="1748">
        <v>0.91279999999999994</v>
      </c>
      <c r="C1258">
        <f>1/T_USD_EUR[[#This Row],[USDEUR]]</f>
        <v>1.0955302366345312</v>
      </c>
    </row>
    <row r="1259" spans="1:3" x14ac:dyDescent="0.45">
      <c r="A1259" vm="2491">
        <v>45258</v>
      </c>
      <c r="B1259" vm="2492">
        <v>0.90959999999999996</v>
      </c>
      <c r="C1259">
        <f>1/T_USD_EUR[[#This Row],[USDEUR]]</f>
        <v>1.0993843447669305</v>
      </c>
    </row>
    <row r="1260" spans="1:3" x14ac:dyDescent="0.45">
      <c r="A1260" vm="2493">
        <v>45259</v>
      </c>
      <c r="B1260" vm="721">
        <v>0.91139999999999999</v>
      </c>
      <c r="C1260">
        <f>1/T_USD_EUR[[#This Row],[USDEUR]]</f>
        <v>1.097213078779899</v>
      </c>
    </row>
    <row r="1261" spans="1:3" x14ac:dyDescent="0.45">
      <c r="A1261" vm="2494">
        <v>45260</v>
      </c>
      <c r="B1261" vm="1783">
        <v>0.91839999999999999</v>
      </c>
      <c r="C1261">
        <f>1/T_USD_EUR[[#This Row],[USDEUR]]</f>
        <v>1.0888501742160279</v>
      </c>
    </row>
    <row r="1262" spans="1:3" x14ac:dyDescent="0.45">
      <c r="A1262" vm="2495">
        <v>45261</v>
      </c>
      <c r="B1262" vm="916">
        <v>0.91879999999999995</v>
      </c>
      <c r="C1262">
        <f>1/T_USD_EUR[[#This Row],[USDEUR]]</f>
        <v>1.0883761427949501</v>
      </c>
    </row>
    <row r="1263" spans="1:3" x14ac:dyDescent="0.45">
      <c r="A1263" vm="2496">
        <v>45264</v>
      </c>
      <c r="B1263" vm="868">
        <v>0.92279999999999995</v>
      </c>
      <c r="C1263">
        <f>1/T_USD_EUR[[#This Row],[USDEUR]]</f>
        <v>1.0836584308625921</v>
      </c>
    </row>
    <row r="1264" spans="1:3" x14ac:dyDescent="0.45">
      <c r="A1264" vm="2497">
        <v>45265</v>
      </c>
      <c r="B1264" vm="2245">
        <v>0.92600000000000005</v>
      </c>
      <c r="C1264">
        <f>1/T_USD_EUR[[#This Row],[USDEUR]]</f>
        <v>1.079913606911447</v>
      </c>
    </row>
    <row r="1265" spans="1:3" x14ac:dyDescent="0.45">
      <c r="A1265" vm="2498">
        <v>45266</v>
      </c>
      <c r="B1265" vm="2499">
        <v>0.92889999999999995</v>
      </c>
      <c r="C1265">
        <f>1/T_USD_EUR[[#This Row],[USDEUR]]</f>
        <v>1.0765421466250404</v>
      </c>
    </row>
    <row r="1266" spans="1:3" x14ac:dyDescent="0.45">
      <c r="A1266" vm="2500">
        <v>45267</v>
      </c>
      <c r="B1266" vm="968">
        <v>0.92630000000000001</v>
      </c>
      <c r="C1266">
        <f>1/T_USD_EUR[[#This Row],[USDEUR]]</f>
        <v>1.0795638562020944</v>
      </c>
    </row>
    <row r="1267" spans="1:3" x14ac:dyDescent="0.45">
      <c r="A1267" vm="2501">
        <v>45268</v>
      </c>
      <c r="B1267" vm="2499">
        <v>0.92889999999999995</v>
      </c>
      <c r="C1267">
        <f>1/T_USD_EUR[[#This Row],[USDEUR]]</f>
        <v>1.0765421466250404</v>
      </c>
    </row>
    <row r="1268" spans="1:3" x14ac:dyDescent="0.45">
      <c r="A1268" vm="2502">
        <v>45271</v>
      </c>
      <c r="B1268" vm="2503">
        <v>0.92879999999999996</v>
      </c>
      <c r="C1268">
        <f>1/T_USD_EUR[[#This Row],[USDEUR]]</f>
        <v>1.0766580534022394</v>
      </c>
    </row>
    <row r="1269" spans="1:3" x14ac:dyDescent="0.45">
      <c r="A1269" vm="2504">
        <v>45272</v>
      </c>
      <c r="B1269" vm="968">
        <v>0.92630000000000001</v>
      </c>
      <c r="C1269">
        <f>1/T_USD_EUR[[#This Row],[USDEUR]]</f>
        <v>1.0795638562020944</v>
      </c>
    </row>
    <row r="1270" spans="1:3" x14ac:dyDescent="0.45">
      <c r="A1270" vm="2505">
        <v>45273</v>
      </c>
      <c r="B1270" vm="959">
        <v>0.9194</v>
      </c>
      <c r="C1270">
        <f>1/T_USD_EUR[[#This Row],[USDEUR]]</f>
        <v>1.0876658690450294</v>
      </c>
    </row>
    <row r="1271" spans="1:3" x14ac:dyDescent="0.45">
      <c r="A1271" vm="2506">
        <v>45274</v>
      </c>
      <c r="B1271" vm="701">
        <v>0.90949999999999998</v>
      </c>
      <c r="C1271">
        <f>1/T_USD_EUR[[#This Row],[USDEUR]]</f>
        <v>1.0995052226498077</v>
      </c>
    </row>
    <row r="1272" spans="1:3" x14ac:dyDescent="0.45">
      <c r="A1272" vm="2507">
        <v>45275</v>
      </c>
      <c r="B1272" vm="2508">
        <v>0.91769999999999996</v>
      </c>
      <c r="C1272">
        <f>1/T_USD_EUR[[#This Row],[USDEUR]]</f>
        <v>1.0896807235480004</v>
      </c>
    </row>
    <row r="1273" spans="1:3" x14ac:dyDescent="0.45">
      <c r="A1273" vm="2509">
        <v>45278</v>
      </c>
      <c r="B1273" vm="2510">
        <v>0.91520000000000001</v>
      </c>
      <c r="C1273">
        <f>1/T_USD_EUR[[#This Row],[USDEUR]]</f>
        <v>1.0926573426573427</v>
      </c>
    </row>
    <row r="1274" spans="1:3" x14ac:dyDescent="0.45">
      <c r="A1274" vm="2511">
        <v>45279</v>
      </c>
      <c r="B1274" vm="2288">
        <v>0.91039999999999999</v>
      </c>
      <c r="C1274">
        <f>1/T_USD_EUR[[#This Row],[USDEUR]]</f>
        <v>1.0984182776801406</v>
      </c>
    </row>
    <row r="1275" spans="1:3" x14ac:dyDescent="0.45">
      <c r="A1275" vm="2512">
        <v>45280</v>
      </c>
      <c r="B1275" vm="2484">
        <v>0.91390000000000005</v>
      </c>
      <c r="C1275">
        <f>1/T_USD_EUR[[#This Row],[USDEUR]]</f>
        <v>1.0942116205274099</v>
      </c>
    </row>
    <row r="1276" spans="1:3" x14ac:dyDescent="0.45">
      <c r="A1276" vm="2513">
        <v>45281</v>
      </c>
      <c r="B1276" vm="2376">
        <v>0.90810000000000002</v>
      </c>
      <c r="C1276">
        <f>1/T_USD_EUR[[#This Row],[USDEUR]]</f>
        <v>1.1012003083360864</v>
      </c>
    </row>
    <row r="1277" spans="1:3" x14ac:dyDescent="0.45">
      <c r="A1277" vm="2514">
        <v>45282</v>
      </c>
      <c r="B1277" vm="776">
        <v>0.90790000000000004</v>
      </c>
      <c r="C1277">
        <f>1/T_USD_EUR[[#This Row],[USDEUR]]</f>
        <v>1.1014428901861437</v>
      </c>
    </row>
    <row r="1278" spans="1:3" x14ac:dyDescent="0.45">
      <c r="A1278" vm="2515">
        <v>45285</v>
      </c>
      <c r="B1278" vm="686">
        <v>0.90820000000000001</v>
      </c>
      <c r="C1278">
        <f>1/T_USD_EUR[[#This Row],[USDEUR]]</f>
        <v>1.1010790574763267</v>
      </c>
    </row>
    <row r="1279" spans="1:3" x14ac:dyDescent="0.45">
      <c r="A1279" vm="2516">
        <v>45286</v>
      </c>
      <c r="B1279" vm="2517">
        <v>0.90529999999999999</v>
      </c>
      <c r="C1279">
        <f>1/T_USD_EUR[[#This Row],[USDEUR]]</f>
        <v>1.1046062078868883</v>
      </c>
    </row>
    <row r="1280" spans="1:3" x14ac:dyDescent="0.45">
      <c r="A1280" vm="2518">
        <v>45287</v>
      </c>
      <c r="B1280" vm="652">
        <v>0.90029999999999999</v>
      </c>
      <c r="C1280">
        <f>1/T_USD_EUR[[#This Row],[USDEUR]]</f>
        <v>1.1107408641563923</v>
      </c>
    </row>
    <row r="1281" spans="1:3" x14ac:dyDescent="0.45">
      <c r="A1281" vm="2519">
        <v>45288</v>
      </c>
      <c r="B1281" vm="2281">
        <v>0.90390000000000004</v>
      </c>
      <c r="C1281">
        <f>1/T_USD_EUR[[#This Row],[USDEUR]]</f>
        <v>1.1063170704723972</v>
      </c>
    </row>
    <row r="1282" spans="1:3" x14ac:dyDescent="0.45">
      <c r="A1282" vm="2520">
        <v>45289</v>
      </c>
      <c r="B1282" vm="676">
        <v>0.90600000000000003</v>
      </c>
      <c r="C1282">
        <f>1/T_USD_EUR[[#This Row],[USDEUR]]</f>
        <v>1.1037527593818983</v>
      </c>
    </row>
    <row r="1283" spans="1:3" x14ac:dyDescent="0.45">
      <c r="A1283" vm="2521">
        <v>45292</v>
      </c>
      <c r="B1283" vm="2517">
        <v>0.90529999999999999</v>
      </c>
      <c r="C1283">
        <f>1/T_USD_EUR[[#This Row],[USDEUR]]</f>
        <v>1.1046062078868883</v>
      </c>
    </row>
    <row r="1284" spans="1:3" x14ac:dyDescent="0.45">
      <c r="A1284" vm="2522">
        <v>45293</v>
      </c>
      <c r="B1284" vm="705">
        <v>0.91369999999999996</v>
      </c>
      <c r="C1284">
        <f>1/T_USD_EUR[[#This Row],[USDEUR]]</f>
        <v>1.0944511327569224</v>
      </c>
    </row>
    <row r="1285" spans="1:3" x14ac:dyDescent="0.45">
      <c r="A1285" vm="2523">
        <v>45294</v>
      </c>
      <c r="B1285" vm="2524">
        <v>0.91559999999999997</v>
      </c>
      <c r="C1285">
        <f>1/T_USD_EUR[[#This Row],[USDEUR]]</f>
        <v>1.09217999126256</v>
      </c>
    </row>
    <row r="1286" spans="1:3" x14ac:dyDescent="0.45">
      <c r="A1286" vm="2525">
        <v>45295</v>
      </c>
      <c r="B1286" vm="856">
        <v>0.91349999999999998</v>
      </c>
      <c r="C1286">
        <f>1/T_USD_EUR[[#This Row],[USDEUR]]</f>
        <v>1.0946907498631637</v>
      </c>
    </row>
    <row r="1287" spans="1:3" x14ac:dyDescent="0.45">
      <c r="A1287" vm="2526">
        <v>45296</v>
      </c>
      <c r="B1287" vm="2489">
        <v>0.91379999999999995</v>
      </c>
      <c r="C1287">
        <f>1/T_USD_EUR[[#This Row],[USDEUR]]</f>
        <v>1.094331363536879</v>
      </c>
    </row>
    <row r="1288" spans="1:3" x14ac:dyDescent="0.45">
      <c r="A1288" vm="2527">
        <v>45299</v>
      </c>
      <c r="B1288" vm="2528">
        <v>0.91300000000000003</v>
      </c>
      <c r="C1288">
        <f>1/T_USD_EUR[[#This Row],[USDEUR]]</f>
        <v>1.095290251916758</v>
      </c>
    </row>
    <row r="1289" spans="1:3" x14ac:dyDescent="0.45">
      <c r="A1289" vm="2529">
        <v>45300</v>
      </c>
      <c r="B1289" vm="2530">
        <v>0.91469999999999996</v>
      </c>
      <c r="C1289">
        <f>1/T_USD_EUR[[#This Row],[USDEUR]]</f>
        <v>1.0932546190007653</v>
      </c>
    </row>
    <row r="1290" spans="1:3" x14ac:dyDescent="0.45">
      <c r="A1290" vm="2531">
        <v>45301</v>
      </c>
      <c r="B1290" vm="1771">
        <v>0.91120000000000001</v>
      </c>
      <c r="C1290">
        <f>1/T_USD_EUR[[#This Row],[USDEUR]]</f>
        <v>1.0974539069359086</v>
      </c>
    </row>
    <row r="1291" spans="1:3" x14ac:dyDescent="0.45">
      <c r="A1291" vm="2532">
        <v>45302</v>
      </c>
      <c r="B1291" vm="1771">
        <v>0.91120000000000001</v>
      </c>
      <c r="C1291">
        <f>1/T_USD_EUR[[#This Row],[USDEUR]]</f>
        <v>1.0974539069359086</v>
      </c>
    </row>
    <row r="1292" spans="1:3" x14ac:dyDescent="0.45">
      <c r="A1292" vm="2533">
        <v>45303</v>
      </c>
      <c r="B1292" vm="2528">
        <v>0.91300000000000003</v>
      </c>
      <c r="C1292">
        <f>1/T_USD_EUR[[#This Row],[USDEUR]]</f>
        <v>1.095290251916758</v>
      </c>
    </row>
    <row r="1293" spans="1:3" x14ac:dyDescent="0.45">
      <c r="A1293" vm="2534">
        <v>45306</v>
      </c>
      <c r="B1293" vm="987">
        <v>0.91310000000000002</v>
      </c>
      <c r="C1293">
        <f>1/T_USD_EUR[[#This Row],[USDEUR]]</f>
        <v>1.0951702989814915</v>
      </c>
    </row>
    <row r="1294" spans="1:3" x14ac:dyDescent="0.45">
      <c r="A1294" vm="2535">
        <v>45307</v>
      </c>
      <c r="B1294" vm="2536">
        <v>0.91930000000000001</v>
      </c>
      <c r="C1294">
        <f>1/T_USD_EUR[[#This Row],[USDEUR]]</f>
        <v>1.0877841836179702</v>
      </c>
    </row>
    <row r="1295" spans="1:3" x14ac:dyDescent="0.45">
      <c r="A1295" vm="2537">
        <v>45308</v>
      </c>
      <c r="B1295" vm="2538">
        <v>0.91869999999999996</v>
      </c>
      <c r="C1295">
        <f>1/T_USD_EUR[[#This Row],[USDEUR]]</f>
        <v>1.088494611951671</v>
      </c>
    </row>
    <row r="1296" spans="1:3" x14ac:dyDescent="0.45">
      <c r="A1296" vm="2539">
        <v>45309</v>
      </c>
      <c r="B1296" vm="2536">
        <v>0.91930000000000001</v>
      </c>
      <c r="C1296">
        <f>1/T_USD_EUR[[#This Row],[USDEUR]]</f>
        <v>1.0877841836179702</v>
      </c>
    </row>
    <row r="1297" spans="1:3" x14ac:dyDescent="0.45">
      <c r="A1297" vm="2540">
        <v>45310</v>
      </c>
      <c r="B1297" vm="2541">
        <v>0.91749999999999998</v>
      </c>
      <c r="C1297">
        <f>1/T_USD_EUR[[#This Row],[USDEUR]]</f>
        <v>1.0899182561307903</v>
      </c>
    </row>
    <row r="1298" spans="1:3" x14ac:dyDescent="0.45">
      <c r="A1298" vm="2542">
        <v>45313</v>
      </c>
      <c r="B1298" vm="2538">
        <v>0.91869999999999996</v>
      </c>
      <c r="C1298">
        <f>1/T_USD_EUR[[#This Row],[USDEUR]]</f>
        <v>1.088494611951671</v>
      </c>
    </row>
    <row r="1299" spans="1:3" x14ac:dyDescent="0.45">
      <c r="A1299" vm="2543">
        <v>45314</v>
      </c>
      <c r="B1299" vm="2544">
        <v>0.92159999999999997</v>
      </c>
      <c r="C1299">
        <f>1/T_USD_EUR[[#This Row],[USDEUR]]</f>
        <v>1.0850694444444444</v>
      </c>
    </row>
    <row r="1300" spans="1:3" x14ac:dyDescent="0.45">
      <c r="A1300" vm="2545">
        <v>45315</v>
      </c>
      <c r="B1300" vm="2546">
        <v>0.91849999999999998</v>
      </c>
      <c r="C1300">
        <f>1/T_USD_EUR[[#This Row],[USDEUR]]</f>
        <v>1.0887316276537833</v>
      </c>
    </row>
    <row r="1301" spans="1:3" x14ac:dyDescent="0.45">
      <c r="A1301" vm="2547">
        <v>45316</v>
      </c>
      <c r="B1301" vm="876">
        <v>0.92190000000000005</v>
      </c>
      <c r="C1301">
        <f>1/T_USD_EUR[[#This Row],[USDEUR]]</f>
        <v>1.0847163466753444</v>
      </c>
    </row>
    <row r="1302" spans="1:3" x14ac:dyDescent="0.45">
      <c r="A1302" vm="2548">
        <v>45317</v>
      </c>
      <c r="B1302" vm="878">
        <v>0.92110000000000003</v>
      </c>
      <c r="C1302">
        <f>1/T_USD_EUR[[#This Row],[USDEUR]]</f>
        <v>1.0856584518510477</v>
      </c>
    </row>
    <row r="1303" spans="1:3" x14ac:dyDescent="0.45">
      <c r="A1303" vm="2549">
        <v>45320</v>
      </c>
      <c r="B1303" vm="2327">
        <v>0.92290000000000005</v>
      </c>
      <c r="C1303">
        <f>1/T_USD_EUR[[#This Row],[USDEUR]]</f>
        <v>1.0835410120273052</v>
      </c>
    </row>
    <row r="1304" spans="1:3" x14ac:dyDescent="0.45">
      <c r="A1304" vm="2550">
        <v>45321</v>
      </c>
      <c r="B1304" vm="2173">
        <v>0.92179999999999995</v>
      </c>
      <c r="C1304">
        <f>1/T_USD_EUR[[#This Row],[USDEUR]]</f>
        <v>1.0848340203948796</v>
      </c>
    </row>
    <row r="1305" spans="1:3" x14ac:dyDescent="0.45">
      <c r="A1305" vm="2551">
        <v>45322</v>
      </c>
      <c r="B1305" vm="2157">
        <v>0.92420000000000002</v>
      </c>
      <c r="C1305">
        <f>1/T_USD_EUR[[#This Row],[USDEUR]]</f>
        <v>1.0820168794633196</v>
      </c>
    </row>
    <row r="1306" spans="1:3" x14ac:dyDescent="0.45">
      <c r="A1306" vm="2552">
        <v>45323</v>
      </c>
      <c r="B1306" vm="2553">
        <v>0.91959999999999997</v>
      </c>
      <c r="C1306">
        <f>1/T_USD_EUR[[#This Row],[USDEUR]]</f>
        <v>1.0874293170943889</v>
      </c>
    </row>
    <row r="1307" spans="1:3" x14ac:dyDescent="0.45">
      <c r="A1307" vm="2554">
        <v>45324</v>
      </c>
      <c r="B1307" vm="2555">
        <v>0.92700000000000005</v>
      </c>
      <c r="C1307">
        <f>1/T_USD_EUR[[#This Row],[USDEUR]]</f>
        <v>1.0787486515641855</v>
      </c>
    </row>
    <row r="1308" spans="1:3" x14ac:dyDescent="0.45">
      <c r="A1308" vm="2556">
        <v>45327</v>
      </c>
      <c r="B1308" vm="2557">
        <v>0.93069999999999997</v>
      </c>
      <c r="C1308">
        <f>1/T_USD_EUR[[#This Row],[USDEUR]]</f>
        <v>1.0744600838078866</v>
      </c>
    </row>
    <row r="1309" spans="1:3" x14ac:dyDescent="0.45">
      <c r="A1309" vm="2558">
        <v>45328</v>
      </c>
      <c r="B1309" vm="2559">
        <v>0.92979999999999996</v>
      </c>
      <c r="C1309">
        <f>1/T_USD_EUR[[#This Row],[USDEUR]]</f>
        <v>1.0755001075500108</v>
      </c>
    </row>
    <row r="1310" spans="1:3" x14ac:dyDescent="0.45">
      <c r="A1310" vm="2560">
        <v>45329</v>
      </c>
      <c r="B1310" vm="2561">
        <v>0.92810000000000004</v>
      </c>
      <c r="C1310">
        <f>1/T_USD_EUR[[#This Row],[USDEUR]]</f>
        <v>1.0774701002047193</v>
      </c>
    </row>
    <row r="1311" spans="1:3" x14ac:dyDescent="0.45">
      <c r="A1311" vm="2562">
        <v>45330</v>
      </c>
      <c r="B1311" vm="952">
        <v>0.92759999999999998</v>
      </c>
      <c r="C1311">
        <f>1/T_USD_EUR[[#This Row],[USDEUR]]</f>
        <v>1.0780508840017249</v>
      </c>
    </row>
    <row r="1312" spans="1:3" x14ac:dyDescent="0.45">
      <c r="A1312" vm="2563">
        <v>45331</v>
      </c>
      <c r="B1312" vm="874">
        <v>0.92710000000000004</v>
      </c>
      <c r="C1312">
        <f>1/T_USD_EUR[[#This Row],[USDEUR]]</f>
        <v>1.0786322942508899</v>
      </c>
    </row>
    <row r="1313" spans="1:3" x14ac:dyDescent="0.45">
      <c r="A1313" vm="2564">
        <v>45334</v>
      </c>
      <c r="B1313" vm="2296">
        <v>0.92820000000000003</v>
      </c>
      <c r="C1313">
        <f>1/T_USD_EUR[[#This Row],[USDEUR]]</f>
        <v>1.0773540185304891</v>
      </c>
    </row>
    <row r="1314" spans="1:3" x14ac:dyDescent="0.45">
      <c r="A1314" vm="2565">
        <v>45335</v>
      </c>
      <c r="B1314" vm="2566">
        <v>0.93359999999999999</v>
      </c>
      <c r="C1314">
        <f>1/T_USD_EUR[[#This Row],[USDEUR]]</f>
        <v>1.0711225364181662</v>
      </c>
    </row>
    <row r="1315" spans="1:3" x14ac:dyDescent="0.45">
      <c r="A1315" vm="2567">
        <v>45336</v>
      </c>
      <c r="B1315" vm="1842">
        <v>0.93210000000000004</v>
      </c>
      <c r="C1315">
        <f>1/T_USD_EUR[[#This Row],[USDEUR]]</f>
        <v>1.0728462611307799</v>
      </c>
    </row>
    <row r="1316" spans="1:3" x14ac:dyDescent="0.45">
      <c r="A1316" vm="2568">
        <v>45337</v>
      </c>
      <c r="B1316" vm="2561">
        <v>0.92810000000000004</v>
      </c>
      <c r="C1316">
        <f>1/T_USD_EUR[[#This Row],[USDEUR]]</f>
        <v>1.0774701002047193</v>
      </c>
    </row>
    <row r="1317" spans="1:3" x14ac:dyDescent="0.45">
      <c r="A1317" vm="2569">
        <v>45338</v>
      </c>
      <c r="B1317" vm="2570">
        <v>0.92779999999999996</v>
      </c>
      <c r="C1317">
        <f>1/T_USD_EUR[[#This Row],[USDEUR]]</f>
        <v>1.0778184953653804</v>
      </c>
    </row>
    <row r="1318" spans="1:3" x14ac:dyDescent="0.45">
      <c r="A1318" vm="2571">
        <v>45341</v>
      </c>
      <c r="B1318" vm="952">
        <v>0.92759999999999998</v>
      </c>
      <c r="C1318">
        <f>1/T_USD_EUR[[#This Row],[USDEUR]]</f>
        <v>1.0780508840017249</v>
      </c>
    </row>
    <row r="1319" spans="1:3" x14ac:dyDescent="0.45">
      <c r="A1319" vm="2572">
        <v>45342</v>
      </c>
      <c r="B1319" vm="2573">
        <v>0.92530000000000001</v>
      </c>
      <c r="C1319">
        <f>1/T_USD_EUR[[#This Row],[USDEUR]]</f>
        <v>1.0807305738679347</v>
      </c>
    </row>
    <row r="1320" spans="1:3" x14ac:dyDescent="0.45">
      <c r="A1320" vm="2574">
        <v>45343</v>
      </c>
      <c r="B1320" vm="2397">
        <v>0.92410000000000003</v>
      </c>
      <c r="C1320">
        <f>1/T_USD_EUR[[#This Row],[USDEUR]]</f>
        <v>1.0821339681852613</v>
      </c>
    </row>
    <row r="1321" spans="1:3" x14ac:dyDescent="0.45">
      <c r="A1321" vm="2575">
        <v>45344</v>
      </c>
      <c r="B1321" vm="2576">
        <v>0.92359999999999998</v>
      </c>
      <c r="C1321">
        <f>1/T_USD_EUR[[#This Row],[USDEUR]]</f>
        <v>1.0827197921178</v>
      </c>
    </row>
    <row r="1322" spans="1:3" x14ac:dyDescent="0.45">
      <c r="A1322" vm="2577">
        <v>45345</v>
      </c>
      <c r="B1322" vm="957">
        <v>0.92400000000000004</v>
      </c>
      <c r="C1322">
        <f>1/T_USD_EUR[[#This Row],[USDEUR]]</f>
        <v>1.0822510822510822</v>
      </c>
    </row>
    <row r="1323" spans="1:3" x14ac:dyDescent="0.45">
      <c r="A1323" vm="2578">
        <v>45348</v>
      </c>
      <c r="B1323" vm="2579">
        <v>0.9214</v>
      </c>
      <c r="C1323">
        <f>1/T_USD_EUR[[#This Row],[USDEUR]]</f>
        <v>1.0853049706967659</v>
      </c>
    </row>
    <row r="1324" spans="1:3" x14ac:dyDescent="0.45">
      <c r="A1324" vm="2580">
        <v>45349</v>
      </c>
      <c r="B1324" vm="2173">
        <v>0.92179999999999995</v>
      </c>
      <c r="C1324">
        <f>1/T_USD_EUR[[#This Row],[USDEUR]]</f>
        <v>1.0848340203948796</v>
      </c>
    </row>
    <row r="1325" spans="1:3" x14ac:dyDescent="0.45">
      <c r="A1325" vm="2581">
        <v>45350</v>
      </c>
      <c r="B1325" vm="1794">
        <v>0.92249999999999999</v>
      </c>
      <c r="C1325">
        <f>1/T_USD_EUR[[#This Row],[USDEUR]]</f>
        <v>1.0840108401084012</v>
      </c>
    </row>
    <row r="1326" spans="1:3" x14ac:dyDescent="0.45">
      <c r="A1326" vm="2582">
        <v>45351</v>
      </c>
      <c r="B1326" vm="2573">
        <v>0.92530000000000001</v>
      </c>
      <c r="C1326">
        <f>1/T_USD_EUR[[#This Row],[USDEUR]]</f>
        <v>1.0807305738679347</v>
      </c>
    </row>
    <row r="1327" spans="1:3" x14ac:dyDescent="0.45">
      <c r="A1327" vm="2583">
        <v>45352</v>
      </c>
      <c r="B1327" vm="971">
        <v>0.9224</v>
      </c>
      <c r="C1327">
        <f>1/T_USD_EUR[[#This Row],[USDEUR]]</f>
        <v>1.0841283607979184</v>
      </c>
    </row>
    <row r="1328" spans="1:3" x14ac:dyDescent="0.45">
      <c r="A1328" vm="2584">
        <v>45355</v>
      </c>
      <c r="B1328" vm="2163">
        <v>0.92100000000000004</v>
      </c>
      <c r="C1328">
        <f>1/T_USD_EUR[[#This Row],[USDEUR]]</f>
        <v>1.0857763300760044</v>
      </c>
    </row>
    <row r="1329" spans="1:3" x14ac:dyDescent="0.45">
      <c r="A1329" vm="2585">
        <v>45356</v>
      </c>
      <c r="B1329" vm="2240">
        <v>0.92090000000000005</v>
      </c>
      <c r="C1329">
        <f>1/T_USD_EUR[[#This Row],[USDEUR]]</f>
        <v>1.085894233901618</v>
      </c>
    </row>
    <row r="1330" spans="1:3" x14ac:dyDescent="0.45">
      <c r="A1330" vm="2586">
        <v>45357</v>
      </c>
      <c r="B1330" vm="711">
        <v>0.9173</v>
      </c>
      <c r="C1330">
        <f>1/T_USD_EUR[[#This Row],[USDEUR]]</f>
        <v>1.0901558922925978</v>
      </c>
    </row>
    <row r="1331" spans="1:3" x14ac:dyDescent="0.45">
      <c r="A1331" vm="2587">
        <v>45358</v>
      </c>
      <c r="B1331" vm="2588">
        <v>0.91320000000000001</v>
      </c>
      <c r="C1331">
        <f>1/T_USD_EUR[[#This Row],[USDEUR]]</f>
        <v>1.0950503723171265</v>
      </c>
    </row>
    <row r="1332" spans="1:3" x14ac:dyDescent="0.45">
      <c r="A1332" vm="2589">
        <v>45359</v>
      </c>
      <c r="B1332" vm="1746">
        <v>0.91400000000000003</v>
      </c>
      <c r="C1332">
        <f>1/T_USD_EUR[[#This Row],[USDEUR]]</f>
        <v>1.0940919037199124</v>
      </c>
    </row>
    <row r="1333" spans="1:3" x14ac:dyDescent="0.45">
      <c r="A1333" vm="2590">
        <v>45362</v>
      </c>
      <c r="B1333" vm="2510">
        <v>0.91520000000000001</v>
      </c>
      <c r="C1333">
        <f>1/T_USD_EUR[[#This Row],[USDEUR]]</f>
        <v>1.0926573426573427</v>
      </c>
    </row>
    <row r="1334" spans="1:3" x14ac:dyDescent="0.45">
      <c r="A1334" vm="2591">
        <v>45363</v>
      </c>
      <c r="B1334" vm="1738">
        <v>0.91510000000000002</v>
      </c>
      <c r="C1334">
        <f>1/T_USD_EUR[[#This Row],[USDEUR]]</f>
        <v>1.0927767457108513</v>
      </c>
    </row>
    <row r="1335" spans="1:3" x14ac:dyDescent="0.45">
      <c r="A1335" vm="2592">
        <v>45364</v>
      </c>
      <c r="B1335" vm="2593">
        <v>0.9133</v>
      </c>
      <c r="C1335">
        <f>1/T_USD_EUR[[#This Row],[USDEUR]]</f>
        <v>1.0949304719150335</v>
      </c>
    </row>
    <row r="1336" spans="1:3" x14ac:dyDescent="0.45">
      <c r="A1336" vm="2594">
        <v>45365</v>
      </c>
      <c r="B1336" vm="2538">
        <v>0.91869999999999996</v>
      </c>
      <c r="C1336">
        <f>1/T_USD_EUR[[#This Row],[USDEUR]]</f>
        <v>1.088494611951671</v>
      </c>
    </row>
    <row r="1337" spans="1:3" x14ac:dyDescent="0.45">
      <c r="A1337" vm="2595">
        <v>45366</v>
      </c>
      <c r="B1337" vm="2349">
        <v>0.91820000000000002</v>
      </c>
      <c r="C1337">
        <f>1/T_USD_EUR[[#This Row],[USDEUR]]</f>
        <v>1.0890873448050533</v>
      </c>
    </row>
    <row r="1338" spans="1:3" x14ac:dyDescent="0.45">
      <c r="A1338" vm="2596">
        <v>45369</v>
      </c>
      <c r="B1338" vm="862">
        <v>0.91949999999999998</v>
      </c>
      <c r="C1338">
        <f>1/T_USD_EUR[[#This Row],[USDEUR]]</f>
        <v>1.0875475802066341</v>
      </c>
    </row>
    <row r="1339" spans="1:3" x14ac:dyDescent="0.45">
      <c r="A1339" vm="2597">
        <v>45370</v>
      </c>
      <c r="B1339" vm="2598">
        <v>0.92020000000000002</v>
      </c>
      <c r="C1339">
        <f>1/T_USD_EUR[[#This Row],[USDEUR]]</f>
        <v>1.0867202782003913</v>
      </c>
    </row>
    <row r="1340" spans="1:3" x14ac:dyDescent="0.45">
      <c r="A1340" vm="2599">
        <v>45371</v>
      </c>
      <c r="B1340" vm="2524">
        <v>0.91559999999999997</v>
      </c>
      <c r="C1340">
        <f>1/T_USD_EUR[[#This Row],[USDEUR]]</f>
        <v>1.09217999126256</v>
      </c>
    </row>
    <row r="1341" spans="1:3" x14ac:dyDescent="0.45">
      <c r="A1341" vm="2600">
        <v>45372</v>
      </c>
      <c r="B1341" vm="2601">
        <v>0.92069999999999996</v>
      </c>
      <c r="C1341">
        <f>1/T_USD_EUR[[#This Row],[USDEUR]]</f>
        <v>1.0861301183881829</v>
      </c>
    </row>
    <row r="1342" spans="1:3" x14ac:dyDescent="0.45">
      <c r="A1342" vm="2602">
        <v>45373</v>
      </c>
      <c r="B1342" vm="872">
        <v>0.92520000000000002</v>
      </c>
      <c r="C1342">
        <f>1/T_USD_EUR[[#This Row],[USDEUR]]</f>
        <v>1.0808473843493298</v>
      </c>
    </row>
    <row r="1343" spans="1:3" x14ac:dyDescent="0.45">
      <c r="A1343" vm="2603">
        <v>45376</v>
      </c>
      <c r="B1343" vm="944">
        <v>0.92259999999999998</v>
      </c>
      <c r="C1343">
        <f>1/T_USD_EUR[[#This Row],[USDEUR]]</f>
        <v>1.0838933448948624</v>
      </c>
    </row>
    <row r="1344" spans="1:3" x14ac:dyDescent="0.45">
      <c r="A1344" vm="2604">
        <v>45377</v>
      </c>
      <c r="B1344" vm="866">
        <v>0.92300000000000004</v>
      </c>
      <c r="C1344">
        <f>1/T_USD_EUR[[#This Row],[USDEUR]]</f>
        <v>1.0834236186348862</v>
      </c>
    </row>
    <row r="1345" spans="1:3" x14ac:dyDescent="0.45">
      <c r="A1345" vm="2605">
        <v>45378</v>
      </c>
      <c r="B1345" vm="1781">
        <v>0.9234</v>
      </c>
      <c r="C1345">
        <f>1/T_USD_EUR[[#This Row],[USDEUR]]</f>
        <v>1.0829542993285683</v>
      </c>
    </row>
    <row r="1346" spans="1:3" x14ac:dyDescent="0.45">
      <c r="A1346" vm="2606">
        <v>45379</v>
      </c>
      <c r="B1346" vm="914">
        <v>0.92669999999999997</v>
      </c>
      <c r="C1346">
        <f>1/T_USD_EUR[[#This Row],[USDEUR]]</f>
        <v>1.0790978741771879</v>
      </c>
    </row>
    <row r="1347" spans="1:3" x14ac:dyDescent="0.45">
      <c r="A1347" vm="2607">
        <v>45380</v>
      </c>
      <c r="B1347" vm="929">
        <v>0.9264</v>
      </c>
      <c r="C1347">
        <f>1/T_USD_EUR[[#This Row],[USDEUR]]</f>
        <v>1.0794473229706389</v>
      </c>
    </row>
    <row r="1348" spans="1:3" x14ac:dyDescent="0.45">
      <c r="A1348" vm="2608">
        <v>45383</v>
      </c>
      <c r="B1348" vm="2609">
        <v>0.93079999999999996</v>
      </c>
      <c r="C1348">
        <f>1/T_USD_EUR[[#This Row],[USDEUR]]</f>
        <v>1.0743446497636442</v>
      </c>
    </row>
    <row r="1349" spans="1:3" x14ac:dyDescent="0.45">
      <c r="A1349" vm="2610">
        <v>45384</v>
      </c>
      <c r="B1349" vm="2301">
        <v>0.9284</v>
      </c>
      <c r="C1349">
        <f>1/T_USD_EUR[[#This Row],[USDEUR]]</f>
        <v>1.077121930202499</v>
      </c>
    </row>
    <row r="1350" spans="1:3" x14ac:dyDescent="0.45">
      <c r="A1350" vm="2611">
        <v>45385</v>
      </c>
      <c r="B1350" vm="868">
        <v>0.92279999999999995</v>
      </c>
      <c r="C1350">
        <f>1/T_USD_EUR[[#This Row],[USDEUR]]</f>
        <v>1.0836584308625921</v>
      </c>
    </row>
    <row r="1351" spans="1:3" x14ac:dyDescent="0.45">
      <c r="A1351" vm="2612">
        <v>45386</v>
      </c>
      <c r="B1351" vm="944">
        <v>0.92259999999999998</v>
      </c>
      <c r="C1351">
        <f>1/T_USD_EUR[[#This Row],[USDEUR]]</f>
        <v>1.0838933448948624</v>
      </c>
    </row>
    <row r="1352" spans="1:3" x14ac:dyDescent="0.45">
      <c r="A1352" vm="2613">
        <v>45387</v>
      </c>
      <c r="B1352" vm="944">
        <v>0.92259999999999998</v>
      </c>
      <c r="C1352">
        <f>1/T_USD_EUR[[#This Row],[USDEUR]]</f>
        <v>1.0838933448948624</v>
      </c>
    </row>
    <row r="1353" spans="1:3" x14ac:dyDescent="0.45">
      <c r="A1353" vm="2614">
        <v>45390</v>
      </c>
      <c r="B1353" vm="2601">
        <v>0.92069999999999996</v>
      </c>
      <c r="C1353">
        <f>1/T_USD_EUR[[#This Row],[USDEUR]]</f>
        <v>1.0861301183881829</v>
      </c>
    </row>
    <row r="1354" spans="1:3" x14ac:dyDescent="0.45">
      <c r="A1354" vm="2615">
        <v>45391</v>
      </c>
      <c r="B1354" vm="2240">
        <v>0.92090000000000005</v>
      </c>
      <c r="C1354">
        <f>1/T_USD_EUR[[#This Row],[USDEUR]]</f>
        <v>1.085894233901618</v>
      </c>
    </row>
    <row r="1355" spans="1:3" x14ac:dyDescent="0.45">
      <c r="A1355" vm="2616">
        <v>45392</v>
      </c>
      <c r="B1355" vm="2609">
        <v>0.93079999999999996</v>
      </c>
      <c r="C1355">
        <f>1/T_USD_EUR[[#This Row],[USDEUR]]</f>
        <v>1.0743446497636442</v>
      </c>
    </row>
    <row r="1356" spans="1:3" x14ac:dyDescent="0.45">
      <c r="A1356" vm="2617">
        <v>45393</v>
      </c>
      <c r="B1356" vm="1842">
        <v>0.93210000000000004</v>
      </c>
      <c r="C1356">
        <f>1/T_USD_EUR[[#This Row],[USDEUR]]</f>
        <v>1.0728462611307799</v>
      </c>
    </row>
    <row r="1357" spans="1:3" x14ac:dyDescent="0.45">
      <c r="A1357" vm="2618">
        <v>45394</v>
      </c>
      <c r="B1357" vm="2619">
        <v>0.93930000000000002</v>
      </c>
      <c r="C1357">
        <f>1/T_USD_EUR[[#This Row],[USDEUR]]</f>
        <v>1.0646225912913871</v>
      </c>
    </row>
    <row r="1358" spans="1:3" x14ac:dyDescent="0.45">
      <c r="A1358" vm="2620">
        <v>45397</v>
      </c>
      <c r="B1358" vm="2621">
        <v>0.94110000000000005</v>
      </c>
      <c r="C1358">
        <f>1/T_USD_EUR[[#This Row],[USDEUR]]</f>
        <v>1.06258633513973</v>
      </c>
    </row>
    <row r="1359" spans="1:3" x14ac:dyDescent="0.45">
      <c r="A1359" vm="2622">
        <v>45398</v>
      </c>
      <c r="B1359" vm="2445">
        <v>0.9415</v>
      </c>
      <c r="C1359">
        <f>1/T_USD_EUR[[#This Row],[USDEUR]]</f>
        <v>1.0621348911311737</v>
      </c>
    </row>
    <row r="1360" spans="1:3" x14ac:dyDescent="0.45">
      <c r="A1360" vm="2623">
        <v>45399</v>
      </c>
      <c r="B1360" vm="2624">
        <v>0.93679999999999997</v>
      </c>
      <c r="C1360">
        <f>1/T_USD_EUR[[#This Row],[USDEUR]]</f>
        <v>1.067463706233988</v>
      </c>
    </row>
    <row r="1361" spans="1:3" x14ac:dyDescent="0.45">
      <c r="A1361" vm="2625">
        <v>45400</v>
      </c>
      <c r="B1361" vm="2227">
        <v>0.93940000000000001</v>
      </c>
      <c r="C1361">
        <f>1/T_USD_EUR[[#This Row],[USDEUR]]</f>
        <v>1.0645092612305727</v>
      </c>
    </row>
    <row r="1362" spans="1:3" x14ac:dyDescent="0.45">
      <c r="A1362" vm="2626">
        <v>45401</v>
      </c>
      <c r="B1362" vm="2423">
        <v>0.93840000000000001</v>
      </c>
      <c r="C1362">
        <f>1/T_USD_EUR[[#This Row],[USDEUR]]</f>
        <v>1.0656436487638534</v>
      </c>
    </row>
    <row r="1363" spans="1:3" x14ac:dyDescent="0.45">
      <c r="A1363" vm="2627">
        <v>45404</v>
      </c>
      <c r="B1363" vm="2423">
        <v>0.93840000000000001</v>
      </c>
      <c r="C1363">
        <f>1/T_USD_EUR[[#This Row],[USDEUR]]</f>
        <v>1.0656436487638534</v>
      </c>
    </row>
    <row r="1364" spans="1:3" x14ac:dyDescent="0.45">
      <c r="A1364" vm="2628">
        <v>45405</v>
      </c>
      <c r="B1364" vm="1855">
        <v>0.93430000000000002</v>
      </c>
      <c r="C1364">
        <f>1/T_USD_EUR[[#This Row],[USDEUR]]</f>
        <v>1.0703200256876806</v>
      </c>
    </row>
    <row r="1365" spans="1:3" x14ac:dyDescent="0.45">
      <c r="A1365" vm="2629">
        <v>45406</v>
      </c>
      <c r="B1365" vm="2320">
        <v>0.9345</v>
      </c>
      <c r="C1365">
        <f>1/T_USD_EUR[[#This Row],[USDEUR]]</f>
        <v>1.0700909577314073</v>
      </c>
    </row>
    <row r="1366" spans="1:3" x14ac:dyDescent="0.45">
      <c r="A1366" vm="2630">
        <v>45407</v>
      </c>
      <c r="B1366" vm="2413">
        <v>0.93200000000000005</v>
      </c>
      <c r="C1366">
        <f>1/T_USD_EUR[[#This Row],[USDEUR]]</f>
        <v>1.0729613733905579</v>
      </c>
    </row>
    <row r="1367" spans="1:3" x14ac:dyDescent="0.45">
      <c r="A1367" vm="2631">
        <v>45408</v>
      </c>
      <c r="B1367" vm="910">
        <v>0.93489999999999995</v>
      </c>
      <c r="C1367">
        <f>1/T_USD_EUR[[#This Row],[USDEUR]]</f>
        <v>1.0696331158412664</v>
      </c>
    </row>
    <row r="1368" spans="1:3" x14ac:dyDescent="0.45">
      <c r="A1368" vm="2632">
        <v>45411</v>
      </c>
      <c r="B1368" vm="2190">
        <v>0.93259999999999998</v>
      </c>
      <c r="C1368">
        <f>1/T_USD_EUR[[#This Row],[USDEUR]]</f>
        <v>1.0722710701265281</v>
      </c>
    </row>
    <row r="1369" spans="1:3" x14ac:dyDescent="0.45">
      <c r="A1369" vm="2633">
        <v>45412</v>
      </c>
      <c r="B1369" vm="2634">
        <v>0.93740000000000001</v>
      </c>
      <c r="C1369">
        <f>1/T_USD_EUR[[#This Row],[USDEUR]]</f>
        <v>1.0667804565820354</v>
      </c>
    </row>
    <row r="1370" spans="1:3" x14ac:dyDescent="0.45">
      <c r="A1370" vm="2635">
        <v>45413</v>
      </c>
      <c r="B1370" vm="2184">
        <v>0.93340000000000001</v>
      </c>
      <c r="C1370">
        <f>1/T_USD_EUR[[#This Row],[USDEUR]]</f>
        <v>1.0713520462824084</v>
      </c>
    </row>
    <row r="1371" spans="1:3" x14ac:dyDescent="0.45">
      <c r="A1371" vm="2636">
        <v>45414</v>
      </c>
      <c r="B1371" vm="1842">
        <v>0.93210000000000004</v>
      </c>
      <c r="C1371">
        <f>1/T_USD_EUR[[#This Row],[USDEUR]]</f>
        <v>1.0728462611307799</v>
      </c>
    </row>
    <row r="1372" spans="1:3" x14ac:dyDescent="0.45">
      <c r="A1372" vm="2637">
        <v>45415</v>
      </c>
      <c r="B1372" vm="2638">
        <v>0.92920000000000003</v>
      </c>
      <c r="C1372">
        <f>1/T_USD_EUR[[#This Row],[USDEUR]]</f>
        <v>1.076194575979337</v>
      </c>
    </row>
    <row r="1373" spans="1:3" x14ac:dyDescent="0.45">
      <c r="A1373" vm="2639">
        <v>45418</v>
      </c>
      <c r="B1373" vm="2640">
        <v>0.92849999999999999</v>
      </c>
      <c r="C1373">
        <f>1/T_USD_EUR[[#This Row],[USDEUR]]</f>
        <v>1.0770059235325795</v>
      </c>
    </row>
    <row r="1374" spans="1:3" x14ac:dyDescent="0.45">
      <c r="A1374" vm="2641">
        <v>45419</v>
      </c>
      <c r="B1374" vm="2411">
        <v>0.92959999999999998</v>
      </c>
      <c r="C1374">
        <f>1/T_USD_EUR[[#This Row],[USDEUR]]</f>
        <v>1.0757314974182444</v>
      </c>
    </row>
    <row r="1375" spans="1:3" x14ac:dyDescent="0.45">
      <c r="A1375" vm="2642">
        <v>45420</v>
      </c>
      <c r="B1375" vm="1850">
        <v>0.93020000000000003</v>
      </c>
      <c r="C1375">
        <f>1/T_USD_EUR[[#This Row],[USDEUR]]</f>
        <v>1.075037626316921</v>
      </c>
    </row>
    <row r="1376" spans="1:3" x14ac:dyDescent="0.45">
      <c r="A1376" vm="2643">
        <v>45421</v>
      </c>
      <c r="B1376" vm="2644">
        <v>0.9274</v>
      </c>
      <c r="C1376">
        <f>1/T_USD_EUR[[#This Row],[USDEUR]]</f>
        <v>1.0782833728703904</v>
      </c>
    </row>
    <row r="1377" spans="1:3" x14ac:dyDescent="0.45">
      <c r="A1377" vm="2645">
        <v>45422</v>
      </c>
      <c r="B1377" vm="2296">
        <v>0.92820000000000003</v>
      </c>
      <c r="C1377">
        <f>1/T_USD_EUR[[#This Row],[USDEUR]]</f>
        <v>1.0773540185304891</v>
      </c>
    </row>
    <row r="1378" spans="1:3" x14ac:dyDescent="0.45">
      <c r="A1378" vm="2646">
        <v>45425</v>
      </c>
      <c r="B1378" vm="914">
        <v>0.92669999999999997</v>
      </c>
      <c r="C1378">
        <f>1/T_USD_EUR[[#This Row],[USDEUR]]</f>
        <v>1.0790978741771879</v>
      </c>
    </row>
    <row r="1379" spans="1:3" x14ac:dyDescent="0.45">
      <c r="A1379" vm="2647">
        <v>45426</v>
      </c>
      <c r="B1379" vm="957">
        <v>0.92400000000000004</v>
      </c>
      <c r="C1379">
        <f>1/T_USD_EUR[[#This Row],[USDEUR]]</f>
        <v>1.0822510822510822</v>
      </c>
    </row>
    <row r="1380" spans="1:3" x14ac:dyDescent="0.45">
      <c r="A1380" vm="2648">
        <v>45427</v>
      </c>
      <c r="B1380" vm="2649">
        <v>0.91859999999999997</v>
      </c>
      <c r="C1380">
        <f>1/T_USD_EUR[[#This Row],[USDEUR]]</f>
        <v>1.0886131069018072</v>
      </c>
    </row>
    <row r="1381" spans="1:3" x14ac:dyDescent="0.45">
      <c r="A1381" vm="2650">
        <v>45428</v>
      </c>
      <c r="B1381" vm="2651">
        <v>0.92</v>
      </c>
      <c r="C1381">
        <f>1/T_USD_EUR[[#This Row],[USDEUR]]</f>
        <v>1.0869565217391304</v>
      </c>
    </row>
    <row r="1382" spans="1:3" x14ac:dyDescent="0.45">
      <c r="A1382" vm="2652">
        <v>45429</v>
      </c>
      <c r="B1382" vm="2553">
        <v>0.91959999999999997</v>
      </c>
      <c r="C1382">
        <f>1/T_USD_EUR[[#This Row],[USDEUR]]</f>
        <v>1.0874293170943889</v>
      </c>
    </row>
    <row r="1383" spans="1:3" x14ac:dyDescent="0.45">
      <c r="A1383" vm="2653">
        <v>45432</v>
      </c>
      <c r="B1383" vm="2240">
        <v>0.92090000000000005</v>
      </c>
      <c r="C1383">
        <f>1/T_USD_EUR[[#This Row],[USDEUR]]</f>
        <v>1.085894233901618</v>
      </c>
    </row>
    <row r="1384" spans="1:3" x14ac:dyDescent="0.45">
      <c r="A1384" vm="2654">
        <v>45433</v>
      </c>
      <c r="B1384" vm="1792">
        <v>0.92120000000000002</v>
      </c>
      <c r="C1384">
        <f>1/T_USD_EUR[[#This Row],[USDEUR]]</f>
        <v>1.0855405992184108</v>
      </c>
    </row>
    <row r="1385" spans="1:3" x14ac:dyDescent="0.45">
      <c r="A1385" vm="2655">
        <v>45434</v>
      </c>
      <c r="B1385" vm="2656">
        <v>0.92379999999999995</v>
      </c>
      <c r="C1385">
        <f>1/T_USD_EUR[[#This Row],[USDEUR]]</f>
        <v>1.082485386447283</v>
      </c>
    </row>
    <row r="1386" spans="1:3" x14ac:dyDescent="0.45">
      <c r="A1386" vm="2657">
        <v>45435</v>
      </c>
      <c r="B1386" vm="2299">
        <v>0.92459999999999998</v>
      </c>
      <c r="C1386">
        <f>1/T_USD_EUR[[#This Row],[USDEUR]]</f>
        <v>1.0815487778498811</v>
      </c>
    </row>
    <row r="1387" spans="1:3" x14ac:dyDescent="0.45">
      <c r="A1387" vm="2658">
        <v>45436</v>
      </c>
      <c r="B1387" vm="974">
        <v>0.92169999999999996</v>
      </c>
      <c r="C1387">
        <f>1/T_USD_EUR[[#This Row],[USDEUR]]</f>
        <v>1.0849517196484757</v>
      </c>
    </row>
    <row r="1388" spans="1:3" x14ac:dyDescent="0.45">
      <c r="A1388" vm="2659">
        <v>45439</v>
      </c>
      <c r="B1388" vm="2240">
        <v>0.92090000000000005</v>
      </c>
      <c r="C1388">
        <f>1/T_USD_EUR[[#This Row],[USDEUR]]</f>
        <v>1.085894233901618</v>
      </c>
    </row>
    <row r="1389" spans="1:3" x14ac:dyDescent="0.45">
      <c r="A1389" vm="2660">
        <v>45440</v>
      </c>
      <c r="B1389" vm="2240">
        <v>0.92090000000000005</v>
      </c>
      <c r="C1389">
        <f>1/T_USD_EUR[[#This Row],[USDEUR]]</f>
        <v>1.085894233901618</v>
      </c>
    </row>
    <row r="1390" spans="1:3" x14ac:dyDescent="0.45">
      <c r="A1390" vm="2661">
        <v>45441</v>
      </c>
      <c r="B1390" vm="2395">
        <v>0.92559999999999998</v>
      </c>
      <c r="C1390">
        <f>1/T_USD_EUR[[#This Row],[USDEUR]]</f>
        <v>1.0803802938634399</v>
      </c>
    </row>
    <row r="1391" spans="1:3" x14ac:dyDescent="0.45">
      <c r="A1391" vm="2662">
        <v>45442</v>
      </c>
      <c r="B1391" vm="866">
        <v>0.92300000000000004</v>
      </c>
      <c r="C1391">
        <f>1/T_USD_EUR[[#This Row],[USDEUR]]</f>
        <v>1.0834236186348862</v>
      </c>
    </row>
    <row r="1392" spans="1:3" x14ac:dyDescent="0.45">
      <c r="A1392" vm="2663">
        <v>45443</v>
      </c>
      <c r="B1392" vm="2247">
        <v>0.92210000000000003</v>
      </c>
      <c r="C1392">
        <f>1/T_USD_EUR[[#This Row],[USDEUR]]</f>
        <v>1.0844810758052272</v>
      </c>
    </row>
    <row r="1393" spans="1:3" x14ac:dyDescent="0.45">
      <c r="A1393" vm="2664">
        <v>45446</v>
      </c>
      <c r="B1393" vm="2384">
        <v>0.91690000000000005</v>
      </c>
      <c r="C1393">
        <f>1/T_USD_EUR[[#This Row],[USDEUR]]</f>
        <v>1.0906314756243864</v>
      </c>
    </row>
    <row r="1394" spans="1:3" x14ac:dyDescent="0.45">
      <c r="A1394" vm="2665">
        <v>45447</v>
      </c>
      <c r="B1394" vm="880">
        <v>0.91890000000000005</v>
      </c>
      <c r="C1394">
        <f>1/T_USD_EUR[[#This Row],[USDEUR]]</f>
        <v>1.0882576994232234</v>
      </c>
    </row>
    <row r="1395" spans="1:3" x14ac:dyDescent="0.45">
      <c r="A1395" vm="2666">
        <v>45448</v>
      </c>
      <c r="B1395" vm="2171">
        <v>0.91990000000000005</v>
      </c>
      <c r="C1395">
        <f>1/T_USD_EUR[[#This Row],[USDEUR]]</f>
        <v>1.0870746820306554</v>
      </c>
    </row>
    <row r="1396" spans="1:3" x14ac:dyDescent="0.45">
      <c r="A1396" vm="2667">
        <v>45449</v>
      </c>
      <c r="B1396" vm="2668">
        <v>0.91810000000000003</v>
      </c>
      <c r="C1396">
        <f>1/T_USD_EUR[[#This Row],[USDEUR]]</f>
        <v>1.0892059688487092</v>
      </c>
    </row>
    <row r="1397" spans="1:3" x14ac:dyDescent="0.45">
      <c r="A1397" vm="2669">
        <v>45450</v>
      </c>
      <c r="B1397" vm="2395">
        <v>0.92559999999999998</v>
      </c>
      <c r="C1397">
        <f>1/T_USD_EUR[[#This Row],[USDEUR]]</f>
        <v>1.0803802938634399</v>
      </c>
    </row>
    <row r="1398" spans="1:3" x14ac:dyDescent="0.45">
      <c r="A1398" vm="2670">
        <v>45453</v>
      </c>
      <c r="B1398" vm="2503">
        <v>0.92879999999999996</v>
      </c>
      <c r="C1398">
        <f>1/T_USD_EUR[[#This Row],[USDEUR]]</f>
        <v>1.0766580534022394</v>
      </c>
    </row>
    <row r="1399" spans="1:3" x14ac:dyDescent="0.45">
      <c r="A1399" vm="2671">
        <v>45454</v>
      </c>
      <c r="B1399" vm="2672">
        <v>0.93100000000000005</v>
      </c>
      <c r="C1399">
        <f>1/T_USD_EUR[[#This Row],[USDEUR]]</f>
        <v>1.0741138560687433</v>
      </c>
    </row>
    <row r="1400" spans="1:3" x14ac:dyDescent="0.45">
      <c r="A1400" vm="2673">
        <v>45455</v>
      </c>
      <c r="B1400" vm="2674">
        <v>0.92500000000000004</v>
      </c>
      <c r="C1400">
        <f>1/T_USD_EUR[[#This Row],[USDEUR]]</f>
        <v>1.0810810810810809</v>
      </c>
    </row>
    <row r="1401" spans="1:3" x14ac:dyDescent="0.45">
      <c r="A1401" vm="2675">
        <v>45456</v>
      </c>
      <c r="B1401" vm="2192">
        <v>0.93120000000000003</v>
      </c>
      <c r="C1401">
        <f>1/T_USD_EUR[[#This Row],[USDEUR]]</f>
        <v>1.0738831615120275</v>
      </c>
    </row>
    <row r="1402" spans="1:3" x14ac:dyDescent="0.45">
      <c r="A1402" vm="2676">
        <v>45457</v>
      </c>
      <c r="B1402" vm="2677">
        <v>0.93420000000000003</v>
      </c>
      <c r="C1402">
        <f>1/T_USD_EUR[[#This Row],[USDEUR]]</f>
        <v>1.070434596446157</v>
      </c>
    </row>
    <row r="1403" spans="1:3" x14ac:dyDescent="0.45">
      <c r="A1403" vm="2678">
        <v>45460</v>
      </c>
      <c r="B1403" vm="2679">
        <v>0.93149999999999999</v>
      </c>
      <c r="C1403">
        <f>1/T_USD_EUR[[#This Row],[USDEUR]]</f>
        <v>1.0735373054213635</v>
      </c>
    </row>
    <row r="1404" spans="1:3" x14ac:dyDescent="0.45">
      <c r="A1404" vm="2680">
        <v>45461</v>
      </c>
      <c r="B1404" vm="2681">
        <v>0.93089999999999995</v>
      </c>
      <c r="C1404">
        <f>1/T_USD_EUR[[#This Row],[USDEUR]]</f>
        <v>1.074229240519927</v>
      </c>
    </row>
    <row r="1405" spans="1:3" x14ac:dyDescent="0.45">
      <c r="A1405" vm="2682">
        <v>45462</v>
      </c>
      <c r="B1405" vm="2683">
        <v>0.93049999999999999</v>
      </c>
      <c r="C1405">
        <f>1/T_USD_EUR[[#This Row],[USDEUR]]</f>
        <v>1.0746910263299301</v>
      </c>
    </row>
    <row r="1406" spans="1:3" x14ac:dyDescent="0.45">
      <c r="A1406" vm="2684">
        <v>45463</v>
      </c>
      <c r="B1406" vm="2677">
        <v>0.93420000000000003</v>
      </c>
      <c r="C1406">
        <f>1/T_USD_EUR[[#This Row],[USDEUR]]</f>
        <v>1.070434596446157</v>
      </c>
    </row>
    <row r="1407" spans="1:3" x14ac:dyDescent="0.45">
      <c r="A1407" vm="2685">
        <v>45464</v>
      </c>
      <c r="B1407" vm="2198">
        <v>0.93500000000000005</v>
      </c>
      <c r="C1407">
        <f>1/T_USD_EUR[[#This Row],[USDEUR]]</f>
        <v>1.0695187165775399</v>
      </c>
    </row>
    <row r="1408" spans="1:3" x14ac:dyDescent="0.45">
      <c r="A1408" vm="2686">
        <v>45467</v>
      </c>
      <c r="B1408" vm="2181">
        <v>0.93159999999999998</v>
      </c>
      <c r="C1408">
        <f>1/T_USD_EUR[[#This Row],[USDEUR]]</f>
        <v>1.0734220695577501</v>
      </c>
    </row>
    <row r="1409" spans="1:3" x14ac:dyDescent="0.45">
      <c r="A1409" vm="2687">
        <v>45468</v>
      </c>
      <c r="B1409" vm="2317">
        <v>0.93320000000000003</v>
      </c>
      <c r="C1409">
        <f>1/T_USD_EUR[[#This Row],[USDEUR]]</f>
        <v>1.0715816545220747</v>
      </c>
    </row>
    <row r="1410" spans="1:3" x14ac:dyDescent="0.45">
      <c r="A1410" vm="2688">
        <v>45469</v>
      </c>
      <c r="B1410" vm="2188">
        <v>0.93620000000000003</v>
      </c>
      <c r="C1410">
        <f>1/T_USD_EUR[[#This Row],[USDEUR]]</f>
        <v>1.0681478316599018</v>
      </c>
    </row>
    <row r="1411" spans="1:3" x14ac:dyDescent="0.45">
      <c r="A1411" vm="2689">
        <v>45470</v>
      </c>
      <c r="B1411" vm="2137">
        <v>0.93410000000000004</v>
      </c>
      <c r="C1411">
        <f>1/T_USD_EUR[[#This Row],[USDEUR]]</f>
        <v>1.0705491917353602</v>
      </c>
    </row>
    <row r="1412" spans="1:3" x14ac:dyDescent="0.45">
      <c r="A1412" vm="2690">
        <v>45471</v>
      </c>
      <c r="B1412" vm="2691">
        <v>0.93310000000000004</v>
      </c>
      <c r="C1412">
        <f>1/T_USD_EUR[[#This Row],[USDEUR]]</f>
        <v>1.0716964955524595</v>
      </c>
    </row>
    <row r="1413" spans="1:3" x14ac:dyDescent="0.45">
      <c r="A1413" vm="2692">
        <v>45474</v>
      </c>
      <c r="B1413" vm="2681">
        <v>0.93089999999999995</v>
      </c>
      <c r="C1413">
        <f>1/T_USD_EUR[[#This Row],[USDEUR]]</f>
        <v>1.074229240519927</v>
      </c>
    </row>
    <row r="1414" spans="1:3" x14ac:dyDescent="0.45">
      <c r="A1414" vm="2693">
        <v>45475</v>
      </c>
      <c r="B1414" vm="2683">
        <v>0.93049999999999999</v>
      </c>
      <c r="C1414">
        <f>1/T_USD_EUR[[#This Row],[USDEUR]]</f>
        <v>1.0746910263299301</v>
      </c>
    </row>
    <row r="1415" spans="1:3" x14ac:dyDescent="0.45">
      <c r="A1415" vm="2694">
        <v>45476</v>
      </c>
      <c r="B1415" vm="2555">
        <v>0.92700000000000005</v>
      </c>
      <c r="C1415">
        <f>1/T_USD_EUR[[#This Row],[USDEUR]]</f>
        <v>1.0787486515641855</v>
      </c>
    </row>
    <row r="1416" spans="1:3" x14ac:dyDescent="0.45">
      <c r="A1416" vm="2695">
        <v>45477</v>
      </c>
      <c r="B1416" vm="2696">
        <v>0.92490000000000006</v>
      </c>
      <c r="C1416">
        <f>1/T_USD_EUR[[#This Row],[USDEUR]]</f>
        <v>1.0811979673478214</v>
      </c>
    </row>
    <row r="1417" spans="1:3" x14ac:dyDescent="0.45">
      <c r="A1417" vm="2697">
        <v>45478</v>
      </c>
      <c r="B1417" vm="1794">
        <v>0.92249999999999999</v>
      </c>
      <c r="C1417">
        <f>1/T_USD_EUR[[#This Row],[USDEUR]]</f>
        <v>1.0840108401084012</v>
      </c>
    </row>
    <row r="1418" spans="1:3" x14ac:dyDescent="0.45">
      <c r="A1418" vm="2698">
        <v>45481</v>
      </c>
      <c r="B1418" vm="2699">
        <v>0.92369999999999997</v>
      </c>
      <c r="C1418">
        <f>1/T_USD_EUR[[#This Row],[USDEUR]]</f>
        <v>1.0826025765941323</v>
      </c>
    </row>
    <row r="1419" spans="1:3" x14ac:dyDescent="0.45">
      <c r="A1419" vm="2700">
        <v>45482</v>
      </c>
      <c r="B1419" vm="2299">
        <v>0.92459999999999998</v>
      </c>
      <c r="C1419">
        <f>1/T_USD_EUR[[#This Row],[USDEUR]]</f>
        <v>1.0815487778498811</v>
      </c>
    </row>
    <row r="1420" spans="1:3" x14ac:dyDescent="0.45">
      <c r="A1420" vm="2701">
        <v>45483</v>
      </c>
      <c r="B1420" vm="1785">
        <v>0.92330000000000001</v>
      </c>
      <c r="C1420">
        <f>1/T_USD_EUR[[#This Row],[USDEUR]]</f>
        <v>1.0830715910321673</v>
      </c>
    </row>
    <row r="1421" spans="1:3" x14ac:dyDescent="0.45">
      <c r="A1421" vm="2702">
        <v>45484</v>
      </c>
      <c r="B1421" vm="2651">
        <v>0.92</v>
      </c>
      <c r="C1421">
        <f>1/T_USD_EUR[[#This Row],[USDEUR]]</f>
        <v>1.0869565217391304</v>
      </c>
    </row>
    <row r="1422" spans="1:3" x14ac:dyDescent="0.45">
      <c r="A1422" vm="2703">
        <v>45485</v>
      </c>
      <c r="B1422" vm="2704">
        <v>0.91669999999999996</v>
      </c>
      <c r="C1422">
        <f>1/T_USD_EUR[[#This Row],[USDEUR]]</f>
        <v>1.0908694229300753</v>
      </c>
    </row>
    <row r="1423" spans="1:3" x14ac:dyDescent="0.45">
      <c r="A1423" vm="2705">
        <v>45488</v>
      </c>
      <c r="B1423" vm="2389">
        <v>0.91790000000000005</v>
      </c>
      <c r="C1423">
        <f>1/T_USD_EUR[[#This Row],[USDEUR]]</f>
        <v>1.0894432944765224</v>
      </c>
    </row>
    <row r="1424" spans="1:3" x14ac:dyDescent="0.45">
      <c r="A1424" vm="2706">
        <v>45489</v>
      </c>
      <c r="B1424" vm="711">
        <v>0.9173</v>
      </c>
      <c r="C1424">
        <f>1/T_USD_EUR[[#This Row],[USDEUR]]</f>
        <v>1.0901558922925978</v>
      </c>
    </row>
    <row r="1425" spans="1:3" x14ac:dyDescent="0.45">
      <c r="A1425" vm="2707">
        <v>45490</v>
      </c>
      <c r="B1425" vm="1746">
        <v>0.91400000000000003</v>
      </c>
      <c r="C1425">
        <f>1/T_USD_EUR[[#This Row],[USDEUR]]</f>
        <v>1.0940919037199124</v>
      </c>
    </row>
    <row r="1426" spans="1:3" x14ac:dyDescent="0.45">
      <c r="A1426" vm="2708">
        <v>45491</v>
      </c>
      <c r="B1426" vm="2709">
        <v>0.91779999999999995</v>
      </c>
      <c r="C1426">
        <f>1/T_USD_EUR[[#This Row],[USDEUR]]</f>
        <v>1.0895619960775769</v>
      </c>
    </row>
    <row r="1427" spans="1:3" x14ac:dyDescent="0.45">
      <c r="A1427" vm="2710">
        <v>45492</v>
      </c>
      <c r="B1427" vm="2346">
        <v>0.91900000000000004</v>
      </c>
      <c r="C1427">
        <f>1/T_USD_EUR[[#This Row],[USDEUR]]</f>
        <v>1.088139281828074</v>
      </c>
    </row>
    <row r="1428" spans="1:3" x14ac:dyDescent="0.45">
      <c r="A1428" vm="2711">
        <v>45495</v>
      </c>
      <c r="B1428" vm="2389">
        <v>0.91790000000000005</v>
      </c>
      <c r="C1428">
        <f>1/T_USD_EUR[[#This Row],[USDEUR]]</f>
        <v>1.0894432944765224</v>
      </c>
    </row>
    <row r="1429" spans="1:3" x14ac:dyDescent="0.45">
      <c r="A1429" vm="2712">
        <v>45496</v>
      </c>
      <c r="B1429" vm="1792">
        <v>0.92120000000000002</v>
      </c>
      <c r="C1429">
        <f>1/T_USD_EUR[[#This Row],[USDEUR]]</f>
        <v>1.0855405992184108</v>
      </c>
    </row>
    <row r="1430" spans="1:3" x14ac:dyDescent="0.45">
      <c r="A1430" vm="2713">
        <v>45497</v>
      </c>
      <c r="B1430" vm="864">
        <v>0.92230000000000001</v>
      </c>
      <c r="C1430">
        <f>1/T_USD_EUR[[#This Row],[USDEUR]]</f>
        <v>1.0842459069717012</v>
      </c>
    </row>
    <row r="1431" spans="1:3" x14ac:dyDescent="0.45">
      <c r="A1431" vm="2714">
        <v>45498</v>
      </c>
      <c r="B1431" vm="2173">
        <v>0.92179999999999995</v>
      </c>
      <c r="C1431">
        <f>1/T_USD_EUR[[#This Row],[USDEUR]]</f>
        <v>1.0848340203948796</v>
      </c>
    </row>
    <row r="1432" spans="1:3" x14ac:dyDescent="0.45">
      <c r="A1432" vm="2715">
        <v>45499</v>
      </c>
      <c r="B1432" vm="925">
        <v>0.92079999999999995</v>
      </c>
      <c r="C1432">
        <f>1/T_USD_EUR[[#This Row],[USDEUR]]</f>
        <v>1.0860121633362294</v>
      </c>
    </row>
    <row r="1433" spans="1:3" x14ac:dyDescent="0.45">
      <c r="A1433" vm="2716">
        <v>45502</v>
      </c>
      <c r="B1433" vm="957">
        <v>0.92400000000000004</v>
      </c>
      <c r="C1433">
        <f>1/T_USD_EUR[[#This Row],[USDEUR]]</f>
        <v>1.0822510822510822</v>
      </c>
    </row>
    <row r="1434" spans="1:3" x14ac:dyDescent="0.45">
      <c r="A1434" vm="2717">
        <v>45503</v>
      </c>
      <c r="B1434" vm="2299">
        <v>0.92459999999999998</v>
      </c>
      <c r="C1434">
        <f>1/T_USD_EUR[[#This Row],[USDEUR]]</f>
        <v>1.0815487778498811</v>
      </c>
    </row>
    <row r="1435" spans="1:3" x14ac:dyDescent="0.45">
      <c r="A1435" vm="2718">
        <v>45504</v>
      </c>
      <c r="B1435" vm="2699">
        <v>0.92369999999999997</v>
      </c>
      <c r="C1435">
        <f>1/T_USD_EUR[[#This Row],[USDEUR]]</f>
        <v>1.0826025765941323</v>
      </c>
    </row>
    <row r="1436" spans="1:3" x14ac:dyDescent="0.45">
      <c r="A1436" vm="2719">
        <v>45505</v>
      </c>
      <c r="B1436" vm="2720">
        <v>0.92659999999999998</v>
      </c>
      <c r="C1436">
        <f>1/T_USD_EUR[[#This Row],[USDEUR]]</f>
        <v>1.0792143319663285</v>
      </c>
    </row>
    <row r="1437" spans="1:3" x14ac:dyDescent="0.45">
      <c r="A1437" vm="2721">
        <v>45506</v>
      </c>
      <c r="B1437" vm="858">
        <v>0.91639999999999999</v>
      </c>
      <c r="C1437">
        <f>1/T_USD_EUR[[#This Row],[USDEUR]]</f>
        <v>1.0912265386294195</v>
      </c>
    </row>
    <row r="1438" spans="1:3" x14ac:dyDescent="0.45">
      <c r="A1438" vm="2722">
        <v>45509</v>
      </c>
      <c r="B1438" vm="1748">
        <v>0.91279999999999994</v>
      </c>
      <c r="C1438">
        <f>1/T_USD_EUR[[#This Row],[USDEUR]]</f>
        <v>1.0955302366345312</v>
      </c>
    </row>
    <row r="1439" spans="1:3" x14ac:dyDescent="0.45">
      <c r="A1439" vm="2723">
        <v>45510</v>
      </c>
      <c r="B1439" vm="2530">
        <v>0.91469999999999996</v>
      </c>
      <c r="C1439">
        <f>1/T_USD_EUR[[#This Row],[USDEUR]]</f>
        <v>1.0932546190007653</v>
      </c>
    </row>
    <row r="1440" spans="1:3" x14ac:dyDescent="0.45">
      <c r="A1440" vm="2724">
        <v>45511</v>
      </c>
      <c r="B1440" vm="707">
        <v>0.91549999999999998</v>
      </c>
      <c r="C1440">
        <f>1/T_USD_EUR[[#This Row],[USDEUR]]</f>
        <v>1.0922992900054616</v>
      </c>
    </row>
    <row r="1441" spans="1:3" x14ac:dyDescent="0.45">
      <c r="A1441" vm="2725">
        <v>45512</v>
      </c>
      <c r="B1441" vm="2168">
        <v>0.91579999999999995</v>
      </c>
      <c r="C1441">
        <f>1/T_USD_EUR[[#This Row],[USDEUR]]</f>
        <v>1.0919414719371043</v>
      </c>
    </row>
    <row r="1442" spans="1:3" x14ac:dyDescent="0.45">
      <c r="A1442" vm="2726">
        <v>45513</v>
      </c>
      <c r="B1442" vm="906">
        <v>0.91600000000000004</v>
      </c>
      <c r="C1442">
        <f>1/T_USD_EUR[[#This Row],[USDEUR]]</f>
        <v>1.0917030567685588</v>
      </c>
    </row>
    <row r="1443" spans="1:3" x14ac:dyDescent="0.45">
      <c r="A1443" vm="2727">
        <v>45516</v>
      </c>
      <c r="B1443" vm="2530">
        <v>0.91469999999999996</v>
      </c>
      <c r="C1443">
        <f>1/T_USD_EUR[[#This Row],[USDEUR]]</f>
        <v>1.0932546190007653</v>
      </c>
    </row>
    <row r="1444" spans="1:3" x14ac:dyDescent="0.45">
      <c r="A1444" vm="2728">
        <v>45517</v>
      </c>
      <c r="B1444" vm="2492">
        <v>0.90959999999999996</v>
      </c>
      <c r="C1444">
        <f>1/T_USD_EUR[[#This Row],[USDEUR]]</f>
        <v>1.0993843447669305</v>
      </c>
    </row>
    <row r="1445" spans="1:3" x14ac:dyDescent="0.45">
      <c r="A1445" vm="2729">
        <v>45518</v>
      </c>
      <c r="B1445" vm="845">
        <v>0.90800000000000003</v>
      </c>
      <c r="C1445">
        <f>1/T_USD_EUR[[#This Row],[USDEUR]]</f>
        <v>1.1013215859030836</v>
      </c>
    </row>
    <row r="1446" spans="1:3" x14ac:dyDescent="0.45">
      <c r="A1446" vm="2730">
        <v>45519</v>
      </c>
      <c r="B1446" vm="725">
        <v>0.9113</v>
      </c>
      <c r="C1446">
        <f>1/T_USD_EUR[[#This Row],[USDEUR]]</f>
        <v>1.097333479644464</v>
      </c>
    </row>
    <row r="1447" spans="1:3" x14ac:dyDescent="0.45">
      <c r="A1447" vm="2731">
        <v>45520</v>
      </c>
      <c r="B1447" vm="2732">
        <v>0.90669999999999995</v>
      </c>
      <c r="C1447">
        <f>1/T_USD_EUR[[#This Row],[USDEUR]]</f>
        <v>1.1029006286533585</v>
      </c>
    </row>
    <row r="1448" spans="1:3" x14ac:dyDescent="0.45">
      <c r="A1448" vm="2733">
        <v>45523</v>
      </c>
      <c r="B1448" vm="635">
        <v>0.90200000000000002</v>
      </c>
      <c r="C1448">
        <f>1/T_USD_EUR[[#This Row],[USDEUR]]</f>
        <v>1.1086474501108647</v>
      </c>
    </row>
    <row r="1449" spans="1:3" x14ac:dyDescent="0.45">
      <c r="A1449" vm="2734">
        <v>45524</v>
      </c>
      <c r="B1449" vm="561">
        <v>0.89839999999999998</v>
      </c>
      <c r="C1449">
        <f>1/T_USD_EUR[[#This Row],[USDEUR]]</f>
        <v>1.1130899376669636</v>
      </c>
    </row>
    <row r="1450" spans="1:3" x14ac:dyDescent="0.45">
      <c r="A1450" vm="2735">
        <v>45525</v>
      </c>
      <c r="B1450" vm="799">
        <v>0.89680000000000004</v>
      </c>
      <c r="C1450">
        <f>1/T_USD_EUR[[#This Row],[USDEUR]]</f>
        <v>1.1150758251561106</v>
      </c>
    </row>
    <row r="1451" spans="1:3" x14ac:dyDescent="0.45">
      <c r="A1451" vm="2736">
        <v>45526</v>
      </c>
      <c r="B1451" vm="746">
        <v>0.89980000000000004</v>
      </c>
      <c r="C1451">
        <f>1/T_USD_EUR[[#This Row],[USDEUR]]</f>
        <v>1.1113580795732385</v>
      </c>
    </row>
    <row r="1452" spans="1:3" x14ac:dyDescent="0.45">
      <c r="A1452" vm="2737">
        <v>45527</v>
      </c>
      <c r="B1452" vm="2738">
        <v>0.89339999999999997</v>
      </c>
      <c r="C1452">
        <f>1/T_USD_EUR[[#This Row],[USDEUR]]</f>
        <v>1.1193194537721065</v>
      </c>
    </row>
    <row r="1453" spans="1:3" x14ac:dyDescent="0.45">
      <c r="A1453" vm="2739">
        <v>45530</v>
      </c>
      <c r="B1453" vm="2740">
        <v>0.89590000000000003</v>
      </c>
      <c r="C1453">
        <f>1/T_USD_EUR[[#This Row],[USDEUR]]</f>
        <v>1.1161960040183057</v>
      </c>
    </row>
    <row r="1454" spans="1:3" x14ac:dyDescent="0.45">
      <c r="A1454" vm="2741">
        <v>45531</v>
      </c>
      <c r="B1454" vm="902">
        <v>0.89410000000000001</v>
      </c>
      <c r="C1454">
        <f>1/T_USD_EUR[[#This Row],[USDEUR]]</f>
        <v>1.1184431271669835</v>
      </c>
    </row>
    <row r="1455" spans="1:3" x14ac:dyDescent="0.45">
      <c r="A1455" vm="2742">
        <v>45532</v>
      </c>
      <c r="B1455" vm="2743">
        <v>0.8992</v>
      </c>
      <c r="C1455">
        <f>1/T_USD_EUR[[#This Row],[USDEUR]]</f>
        <v>1.1120996441281139</v>
      </c>
    </row>
    <row r="1456" spans="1:3" x14ac:dyDescent="0.45">
      <c r="A1456" vm="2744">
        <v>45533</v>
      </c>
      <c r="B1456" vm="633">
        <v>0.90269999999999995</v>
      </c>
      <c r="C1456">
        <f>1/T_USD_EUR[[#This Row],[USDEUR]]</f>
        <v>1.1077877478675087</v>
      </c>
    </row>
    <row r="1457" spans="1:3" x14ac:dyDescent="0.45">
      <c r="A1457" vm="2745">
        <v>45534</v>
      </c>
      <c r="B1457" vm="2746">
        <v>0.90510000000000002</v>
      </c>
      <c r="C1457">
        <f>1/T_USD_EUR[[#This Row],[USDEUR]]</f>
        <v>1.1048502927853276</v>
      </c>
    </row>
    <row r="1458" spans="1:3" x14ac:dyDescent="0.45">
      <c r="A1458" vm="2747">
        <v>45537</v>
      </c>
      <c r="B1458" vm="2748">
        <v>0.90310000000000001</v>
      </c>
      <c r="C1458">
        <f>1/T_USD_EUR[[#This Row],[USDEUR]]</f>
        <v>1.107297087808659</v>
      </c>
    </row>
    <row r="1459" spans="1:3" x14ac:dyDescent="0.45">
      <c r="A1459" vm="2749">
        <v>45538</v>
      </c>
      <c r="B1459" vm="684">
        <v>0.90549999999999997</v>
      </c>
      <c r="C1459">
        <f>1/T_USD_EUR[[#This Row],[USDEUR]]</f>
        <v>1.1043622308117063</v>
      </c>
    </row>
    <row r="1460" spans="1:3" x14ac:dyDescent="0.45">
      <c r="A1460" vm="2750">
        <v>45539</v>
      </c>
      <c r="B1460" vm="2751">
        <v>0.90229999999999999</v>
      </c>
      <c r="C1460">
        <f>1/T_USD_EUR[[#This Row],[USDEUR]]</f>
        <v>1.1082788429568879</v>
      </c>
    </row>
    <row r="1461" spans="1:3" x14ac:dyDescent="0.45">
      <c r="A1461" vm="2752">
        <v>45540</v>
      </c>
      <c r="B1461" vm="637">
        <v>0.9</v>
      </c>
      <c r="C1461">
        <f>1/T_USD_EUR[[#This Row],[USDEUR]]</f>
        <v>1.1111111111111112</v>
      </c>
    </row>
    <row r="1462" spans="1:3" x14ac:dyDescent="0.45">
      <c r="A1462" vm="2753">
        <v>45541</v>
      </c>
      <c r="B1462" vm="635">
        <v>0.90200000000000002</v>
      </c>
      <c r="C1462">
        <f>1/T_USD_EUR[[#This Row],[USDEUR]]</f>
        <v>1.1086474501108647</v>
      </c>
    </row>
    <row r="1463" spans="1:3" x14ac:dyDescent="0.45">
      <c r="A1463" vm="2754">
        <v>45544</v>
      </c>
      <c r="B1463" vm="732">
        <v>0.90620000000000001</v>
      </c>
      <c r="C1463">
        <f>1/T_USD_EUR[[#This Row],[USDEUR]]</f>
        <v>1.1035091591260207</v>
      </c>
    </row>
    <row r="1464" spans="1:3" x14ac:dyDescent="0.45">
      <c r="A1464" vm="2755">
        <v>45545</v>
      </c>
      <c r="B1464" vm="841">
        <v>0.90739999999999998</v>
      </c>
      <c r="C1464">
        <f>1/T_USD_EUR[[#This Row],[USDEUR]]</f>
        <v>1.1020498126515319</v>
      </c>
    </row>
    <row r="1465" spans="1:3" x14ac:dyDescent="0.45">
      <c r="A1465" vm="2756">
        <v>45546</v>
      </c>
      <c r="B1465" vm="776">
        <v>0.90790000000000004</v>
      </c>
      <c r="C1465">
        <f>1/T_USD_EUR[[#This Row],[USDEUR]]</f>
        <v>1.1014428901861437</v>
      </c>
    </row>
    <row r="1466" spans="1:3" x14ac:dyDescent="0.45">
      <c r="A1466" vm="2757">
        <v>45547</v>
      </c>
      <c r="B1466" vm="755">
        <v>0.90290000000000004</v>
      </c>
      <c r="C1466">
        <f>1/T_USD_EUR[[#This Row],[USDEUR]]</f>
        <v>1.1075423634954036</v>
      </c>
    </row>
    <row r="1467" spans="1:3" x14ac:dyDescent="0.45">
      <c r="A1467" vm="2758">
        <v>45548</v>
      </c>
      <c r="B1467" vm="690">
        <v>0.90280000000000005</v>
      </c>
      <c r="C1467">
        <f>1/T_USD_EUR[[#This Row],[USDEUR]]</f>
        <v>1.1076650420912715</v>
      </c>
    </row>
    <row r="1468" spans="1:3" x14ac:dyDescent="0.45">
      <c r="A1468" vm="2759">
        <v>45551</v>
      </c>
      <c r="B1468" vm="559">
        <v>0.8982</v>
      </c>
      <c r="C1468">
        <f>1/T_USD_EUR[[#This Row],[USDEUR]]</f>
        <v>1.11333778668448</v>
      </c>
    </row>
    <row r="1469" spans="1:3" x14ac:dyDescent="0.45">
      <c r="A1469" vm="2760">
        <v>45552</v>
      </c>
      <c r="B1469" vm="746">
        <v>0.89980000000000004</v>
      </c>
      <c r="C1469">
        <f>1/T_USD_EUR[[#This Row],[USDEUR]]</f>
        <v>1.1113580795732385</v>
      </c>
    </row>
    <row r="1470" spans="1:3" x14ac:dyDescent="0.45">
      <c r="A1470" vm="2761">
        <v>45553</v>
      </c>
      <c r="B1470" vm="2762">
        <v>0.89939999999999998</v>
      </c>
      <c r="C1470">
        <f>1/T_USD_EUR[[#This Row],[USDEUR]]</f>
        <v>1.1118523460084502</v>
      </c>
    </row>
    <row r="1471" spans="1:3" x14ac:dyDescent="0.45">
      <c r="A1471" vm="2763">
        <v>45554</v>
      </c>
      <c r="B1471" vm="2740">
        <v>0.89590000000000003</v>
      </c>
      <c r="C1471">
        <f>1/T_USD_EUR[[#This Row],[USDEUR]]</f>
        <v>1.1161960040183057</v>
      </c>
    </row>
    <row r="1472" spans="1:3" x14ac:dyDescent="0.45">
      <c r="A1472" vm="2764">
        <v>45555</v>
      </c>
      <c r="B1472" vm="550">
        <v>0.89580000000000004</v>
      </c>
      <c r="C1472">
        <f>1/T_USD_EUR[[#This Row],[USDEUR]]</f>
        <v>1.1163206072784102</v>
      </c>
    </row>
    <row r="1473" spans="1:3" x14ac:dyDescent="0.45">
      <c r="A1473" vm="2765">
        <v>45558</v>
      </c>
      <c r="B1473" vm="746">
        <v>0.89980000000000004</v>
      </c>
      <c r="C1473">
        <f>1/T_USD_EUR[[#This Row],[USDEUR]]</f>
        <v>1.1113580795732385</v>
      </c>
    </row>
    <row r="1474" spans="1:3" x14ac:dyDescent="0.45">
      <c r="A1474" vm="2766">
        <v>45559</v>
      </c>
      <c r="B1474" vm="529">
        <v>0.89439999999999997</v>
      </c>
      <c r="C1474">
        <f>1/T_USD_EUR[[#This Row],[USDEUR]]</f>
        <v>1.1180679785330949</v>
      </c>
    </row>
    <row r="1475" spans="1:3" x14ac:dyDescent="0.45">
      <c r="A1475" vm="2767">
        <v>45560</v>
      </c>
      <c r="B1475" vm="519">
        <v>0.89810000000000001</v>
      </c>
      <c r="C1475">
        <f>1/T_USD_EUR[[#This Row],[USDEUR]]</f>
        <v>1.1134617525887986</v>
      </c>
    </row>
    <row r="1476" spans="1:3" x14ac:dyDescent="0.45">
      <c r="A1476" vm="2768">
        <v>45561</v>
      </c>
      <c r="B1476" vm="2769">
        <v>0.89470000000000005</v>
      </c>
      <c r="C1476">
        <f>1/T_USD_EUR[[#This Row],[USDEUR]]</f>
        <v>1.1176930814798256</v>
      </c>
    </row>
    <row r="1477" spans="1:3" x14ac:dyDescent="0.45">
      <c r="A1477" vm="2770">
        <v>45562</v>
      </c>
      <c r="B1477" vm="2771">
        <v>0.89570000000000005</v>
      </c>
      <c r="C1477">
        <f>1/T_USD_EUR[[#This Row],[USDEUR]]</f>
        <v>1.1164452383610584</v>
      </c>
    </row>
    <row r="1478" spans="1:3" x14ac:dyDescent="0.45">
      <c r="A1478" vm="2772">
        <v>45565</v>
      </c>
      <c r="B1478" vm="519">
        <v>0.89810000000000001</v>
      </c>
      <c r="C1478">
        <f>1/T_USD_EUR[[#This Row],[USDEUR]]</f>
        <v>1.1134617525887986</v>
      </c>
    </row>
    <row r="1479" spans="1:3" x14ac:dyDescent="0.45">
      <c r="A1479" vm="2773">
        <v>45566</v>
      </c>
      <c r="B1479" vm="1767">
        <v>0.90339999999999998</v>
      </c>
      <c r="C1479">
        <f>1/T_USD_EUR[[#This Row],[USDEUR]]</f>
        <v>1.1069293779056897</v>
      </c>
    </row>
    <row r="1480" spans="1:3" x14ac:dyDescent="0.45">
      <c r="A1480" vm="2774">
        <v>45567</v>
      </c>
      <c r="B1480" vm="2517">
        <v>0.90529999999999999</v>
      </c>
      <c r="C1480">
        <f>1/T_USD_EUR[[#This Row],[USDEUR]]</f>
        <v>1.1046062078868883</v>
      </c>
    </row>
    <row r="1481" spans="1:3" x14ac:dyDescent="0.45">
      <c r="A1481" vm="2775">
        <v>45568</v>
      </c>
      <c r="B1481" vm="680">
        <v>0.90649999999999997</v>
      </c>
      <c r="C1481">
        <f>1/T_USD_EUR[[#This Row],[USDEUR]]</f>
        <v>1.1031439602868174</v>
      </c>
    </row>
    <row r="1482" spans="1:3" x14ac:dyDescent="0.45">
      <c r="A1482" vm="2776">
        <v>45569</v>
      </c>
      <c r="B1482" vm="2777">
        <v>0.91090000000000004</v>
      </c>
      <c r="C1482">
        <f>1/T_USD_EUR[[#This Row],[USDEUR]]</f>
        <v>1.0978153474585575</v>
      </c>
    </row>
    <row r="1483" spans="1:3" x14ac:dyDescent="0.45">
      <c r="A1483" vm="2778">
        <v>45572</v>
      </c>
      <c r="B1483" vm="2367">
        <v>0.91100000000000003</v>
      </c>
      <c r="C1483">
        <f>1/T_USD_EUR[[#This Row],[USDEUR]]</f>
        <v>1.097694840834248</v>
      </c>
    </row>
    <row r="1484" spans="1:3" x14ac:dyDescent="0.45">
      <c r="A1484" vm="2779">
        <v>45573</v>
      </c>
      <c r="B1484" vm="940">
        <v>0.91049999999999998</v>
      </c>
      <c r="C1484">
        <f>1/T_USD_EUR[[#This Row],[USDEUR]]</f>
        <v>1.0982976386600769</v>
      </c>
    </row>
    <row r="1485" spans="1:3" x14ac:dyDescent="0.45">
      <c r="A1485" vm="2780">
        <v>45574</v>
      </c>
      <c r="B1485" vm="709">
        <v>0.91410000000000002</v>
      </c>
      <c r="C1485">
        <f>1/T_USD_EUR[[#This Row],[USDEUR]]</f>
        <v>1.0939722131057872</v>
      </c>
    </row>
    <row r="1486" spans="1:3" x14ac:dyDescent="0.45">
      <c r="A1486" vm="2781">
        <v>45575</v>
      </c>
      <c r="B1486" vm="2782">
        <v>0.91439999999999999</v>
      </c>
      <c r="C1486">
        <f>1/T_USD_EUR[[#This Row],[USDEUR]]</f>
        <v>1.0936132983377078</v>
      </c>
    </row>
    <row r="1487" spans="1:3" x14ac:dyDescent="0.45">
      <c r="A1487" vm="2783">
        <v>45576</v>
      </c>
      <c r="B1487" vm="936">
        <v>0.91420000000000001</v>
      </c>
      <c r="C1487">
        <f>1/T_USD_EUR[[#This Row],[USDEUR]]</f>
        <v>1.0938525486764383</v>
      </c>
    </row>
    <row r="1488" spans="1:3" x14ac:dyDescent="0.45">
      <c r="A1488" vm="2784">
        <v>45579</v>
      </c>
      <c r="B1488" vm="964">
        <v>0.91659999999999997</v>
      </c>
      <c r="C1488">
        <f>1/T_USD_EUR[[#This Row],[USDEUR]]</f>
        <v>1.0909884355225834</v>
      </c>
    </row>
    <row r="1489" spans="1:3" x14ac:dyDescent="0.45">
      <c r="A1489" vm="2785">
        <v>45580</v>
      </c>
      <c r="B1489" vm="2668">
        <v>0.91810000000000003</v>
      </c>
      <c r="C1489">
        <f>1/T_USD_EUR[[#This Row],[USDEUR]]</f>
        <v>1.0892059688487092</v>
      </c>
    </row>
    <row r="1490" spans="1:3" x14ac:dyDescent="0.45">
      <c r="A1490" vm="2786">
        <v>45581</v>
      </c>
      <c r="B1490" vm="2259">
        <v>0.92059999999999997</v>
      </c>
      <c r="C1490">
        <f>1/T_USD_EUR[[#This Row],[USDEUR]]</f>
        <v>1.0862480990658268</v>
      </c>
    </row>
    <row r="1491" spans="1:3" x14ac:dyDescent="0.45">
      <c r="A1491" vm="2787">
        <v>45582</v>
      </c>
      <c r="B1491" vm="955">
        <v>0.92320000000000002</v>
      </c>
      <c r="C1491">
        <f>1/T_USD_EUR[[#This Row],[USDEUR]]</f>
        <v>1.0831889081455806</v>
      </c>
    </row>
    <row r="1492" spans="1:3" x14ac:dyDescent="0.45">
      <c r="A1492" vm="2788">
        <v>45583</v>
      </c>
      <c r="B1492" vm="2598">
        <v>0.92020000000000002</v>
      </c>
      <c r="C1492">
        <f>1/T_USD_EUR[[#This Row],[USDEUR]]</f>
        <v>1.0867202782003913</v>
      </c>
    </row>
    <row r="1493" spans="1:3" x14ac:dyDescent="0.45">
      <c r="A1493" vm="2789">
        <v>45586</v>
      </c>
      <c r="B1493" vm="2299">
        <v>0.92459999999999998</v>
      </c>
      <c r="C1493">
        <f>1/T_USD_EUR[[#This Row],[USDEUR]]</f>
        <v>1.0815487778498811</v>
      </c>
    </row>
    <row r="1494" spans="1:3" x14ac:dyDescent="0.45">
      <c r="A1494" vm="2790">
        <v>45587</v>
      </c>
      <c r="B1494" vm="2791">
        <v>0.92579999999999996</v>
      </c>
      <c r="C1494">
        <f>1/T_USD_EUR[[#This Row],[USDEUR]]</f>
        <v>1.0801468999783972</v>
      </c>
    </row>
    <row r="1495" spans="1:3" x14ac:dyDescent="0.45">
      <c r="A1495" vm="2792">
        <v>45588</v>
      </c>
      <c r="B1495" vm="1788">
        <v>0.92730000000000001</v>
      </c>
      <c r="C1495">
        <f>1/T_USD_EUR[[#This Row],[USDEUR]]</f>
        <v>1.0783996549121104</v>
      </c>
    </row>
    <row r="1496" spans="1:3" x14ac:dyDescent="0.45">
      <c r="A1496" vm="2793">
        <v>45589</v>
      </c>
      <c r="B1496" vm="2794">
        <v>0.92349999999999999</v>
      </c>
      <c r="C1496">
        <f>1/T_USD_EUR[[#This Row],[USDEUR]]</f>
        <v>1.0828370330265296</v>
      </c>
    </row>
    <row r="1497" spans="1:3" x14ac:dyDescent="0.45">
      <c r="A1497" vm="2795">
        <v>45590</v>
      </c>
      <c r="B1497" vm="2179">
        <v>0.92620000000000002</v>
      </c>
      <c r="C1497">
        <f>1/T_USD_EUR[[#This Row],[USDEUR]]</f>
        <v>1.0796804145972791</v>
      </c>
    </row>
    <row r="1498" spans="1:3" x14ac:dyDescent="0.45">
      <c r="A1498" vm="2796">
        <v>45593</v>
      </c>
      <c r="B1498" vm="2393">
        <v>0.92479999999999996</v>
      </c>
      <c r="C1498">
        <f>1/T_USD_EUR[[#This Row],[USDEUR]]</f>
        <v>1.0813148788927336</v>
      </c>
    </row>
    <row r="1499" spans="1:3" x14ac:dyDescent="0.45">
      <c r="A1499" vm="2797">
        <v>45594</v>
      </c>
      <c r="B1499" vm="976">
        <v>0.92430000000000001</v>
      </c>
      <c r="C1499">
        <f>1/T_USD_EUR[[#This Row],[USDEUR]]</f>
        <v>1.0818998160770312</v>
      </c>
    </row>
    <row r="1500" spans="1:3" x14ac:dyDescent="0.45">
      <c r="A1500" vm="2798">
        <v>45595</v>
      </c>
      <c r="B1500" vm="878">
        <v>0.92110000000000003</v>
      </c>
      <c r="C1500">
        <f>1/T_USD_EUR[[#This Row],[USDEUR]]</f>
        <v>1.0856584518510477</v>
      </c>
    </row>
    <row r="1501" spans="1:3" x14ac:dyDescent="0.45">
      <c r="A1501" vm="2799">
        <v>45596</v>
      </c>
      <c r="B1501" vm="916">
        <v>0.91879999999999995</v>
      </c>
      <c r="C1501">
        <f>1/T_USD_EUR[[#This Row],[USDEUR]]</f>
        <v>1.0883761427949501</v>
      </c>
    </row>
    <row r="1502" spans="1:3" x14ac:dyDescent="0.45">
      <c r="A1502" vm="2800">
        <v>45597</v>
      </c>
      <c r="B1502" vm="866">
        <v>0.92300000000000004</v>
      </c>
      <c r="C1502">
        <f>1/T_USD_EUR[[#This Row],[USDEUR]]</f>
        <v>1.0834236186348862</v>
      </c>
    </row>
    <row r="1503" spans="1:3" x14ac:dyDescent="0.45">
      <c r="A1503" vm="2801">
        <v>45600</v>
      </c>
      <c r="B1503" vm="2536">
        <v>0.91930000000000001</v>
      </c>
      <c r="C1503">
        <f>1/T_USD_EUR[[#This Row],[USDEUR]]</f>
        <v>1.0877841836179702</v>
      </c>
    </row>
    <row r="1504" spans="1:3" x14ac:dyDescent="0.45">
      <c r="A1504" vm="2802">
        <v>45601</v>
      </c>
      <c r="B1504" vm="2530">
        <v>0.91469999999999996</v>
      </c>
      <c r="C1504">
        <f>1/T_USD_EUR[[#This Row],[USDEUR]]</f>
        <v>1.0932546190007653</v>
      </c>
    </row>
    <row r="1505" spans="1:3" x14ac:dyDescent="0.45">
      <c r="A1505" vm="2803">
        <v>45602</v>
      </c>
      <c r="B1505" vm="2413">
        <v>0.93200000000000005</v>
      </c>
      <c r="C1505">
        <f>1/T_USD_EUR[[#This Row],[USDEUR]]</f>
        <v>1.0729613733905579</v>
      </c>
    </row>
    <row r="1506" spans="1:3" x14ac:dyDescent="0.45">
      <c r="A1506" vm="2804">
        <v>45603</v>
      </c>
      <c r="B1506" vm="978">
        <v>0.9254</v>
      </c>
      <c r="C1506">
        <f>1/T_USD_EUR[[#This Row],[USDEUR]]</f>
        <v>1.0806137886319429</v>
      </c>
    </row>
    <row r="1507" spans="1:3" x14ac:dyDescent="0.45">
      <c r="A1507" vm="2805">
        <v>45604</v>
      </c>
      <c r="B1507" vm="2806">
        <v>0.93289999999999995</v>
      </c>
      <c r="C1507">
        <f>1/T_USD_EUR[[#This Row],[USDEUR]]</f>
        <v>1.0719262514738988</v>
      </c>
    </row>
    <row r="1508" spans="1:3" x14ac:dyDescent="0.45">
      <c r="A1508" vm="2807">
        <v>45607</v>
      </c>
      <c r="B1508" vm="2808">
        <v>0.93830000000000002</v>
      </c>
      <c r="C1508">
        <f>1/T_USD_EUR[[#This Row],[USDEUR]]</f>
        <v>1.0657572205051689</v>
      </c>
    </row>
    <row r="1509" spans="1:3" x14ac:dyDescent="0.45">
      <c r="A1509" vm="2809">
        <v>45608</v>
      </c>
      <c r="B1509" vm="2123">
        <v>0.94130000000000003</v>
      </c>
      <c r="C1509">
        <f>1/T_USD_EUR[[#This Row],[USDEUR]]</f>
        <v>1.0623605651758206</v>
      </c>
    </row>
    <row r="1510" spans="1:3" x14ac:dyDescent="0.45">
      <c r="A1510" vm="2810">
        <v>45609</v>
      </c>
      <c r="B1510" vm="2811">
        <v>0.94650000000000001</v>
      </c>
      <c r="C1510">
        <f>1/T_USD_EUR[[#This Row],[USDEUR]]</f>
        <v>1.0565240359218173</v>
      </c>
    </row>
    <row r="1511" spans="1:3" x14ac:dyDescent="0.45">
      <c r="A1511" vm="2812">
        <v>45610</v>
      </c>
      <c r="B1511" vm="1818">
        <v>0.9496</v>
      </c>
      <c r="C1511">
        <f>1/T_USD_EUR[[#This Row],[USDEUR]]</f>
        <v>1.0530749789385003</v>
      </c>
    </row>
    <row r="1512" spans="1:3" x14ac:dyDescent="0.45">
      <c r="A1512" vm="2813">
        <v>45611</v>
      </c>
      <c r="B1512" vm="2100">
        <v>0.9486</v>
      </c>
      <c r="C1512">
        <f>1/T_USD_EUR[[#This Row],[USDEUR]]</f>
        <v>1.0541851149061776</v>
      </c>
    </row>
    <row r="1513" spans="1:3" x14ac:dyDescent="0.45">
      <c r="A1513" vm="2814">
        <v>45614</v>
      </c>
      <c r="B1513" vm="2815">
        <v>0.94330000000000003</v>
      </c>
      <c r="C1513">
        <f>1/T_USD_EUR[[#This Row],[USDEUR]]</f>
        <v>1.060108131029365</v>
      </c>
    </row>
    <row r="1514" spans="1:3" x14ac:dyDescent="0.45">
      <c r="A1514" vm="2816">
        <v>45615</v>
      </c>
      <c r="B1514" vm="2127">
        <v>0.94369999999999998</v>
      </c>
      <c r="C1514">
        <f>1/T_USD_EUR[[#This Row],[USDEUR]]</f>
        <v>1.0596587898696619</v>
      </c>
    </row>
    <row r="1515" spans="1:3" x14ac:dyDescent="0.45">
      <c r="A1515" vm="2817">
        <v>45616</v>
      </c>
      <c r="B1515" vm="1805">
        <v>0.94830000000000003</v>
      </c>
      <c r="C1515">
        <f>1/T_USD_EUR[[#This Row],[USDEUR]]</f>
        <v>1.0545186122535062</v>
      </c>
    </row>
    <row r="1516" spans="1:3" x14ac:dyDescent="0.45">
      <c r="A1516" vm="2818">
        <v>45617</v>
      </c>
      <c r="B1516" vm="2819">
        <v>0.9546</v>
      </c>
      <c r="C1516">
        <f>1/T_USD_EUR[[#This Row],[USDEUR]]</f>
        <v>1.0475591870940708</v>
      </c>
    </row>
    <row r="1517" spans="1:3" x14ac:dyDescent="0.45">
      <c r="A1517" vm="2820">
        <v>45618</v>
      </c>
      <c r="B1517" vm="2821">
        <v>0.95950000000000002</v>
      </c>
      <c r="C1517">
        <f>1/T_USD_EUR[[#This Row],[USDEUR]]</f>
        <v>1.0422094841063054</v>
      </c>
    </row>
    <row r="1518" spans="1:3" x14ac:dyDescent="0.45">
      <c r="A1518" vm="2822">
        <v>45621</v>
      </c>
      <c r="B1518" vm="2823">
        <v>0.95279999999999998</v>
      </c>
      <c r="C1518">
        <f>1/T_USD_EUR[[#This Row],[USDEUR]]</f>
        <v>1.0495382031905962</v>
      </c>
    </row>
    <row r="1519" spans="1:3" x14ac:dyDescent="0.45">
      <c r="A1519" vm="2824">
        <v>45622</v>
      </c>
      <c r="B1519" vm="2825">
        <v>0.95330000000000004</v>
      </c>
      <c r="C1519">
        <f>1/T_USD_EUR[[#This Row],[USDEUR]]</f>
        <v>1.0489877268435959</v>
      </c>
    </row>
    <row r="1520" spans="1:3" x14ac:dyDescent="0.45">
      <c r="A1520" vm="2826">
        <v>45623</v>
      </c>
      <c r="B1520" vm="1876">
        <v>0.94630000000000003</v>
      </c>
      <c r="C1520">
        <f>1/T_USD_EUR[[#This Row],[USDEUR]]</f>
        <v>1.0567473317129874</v>
      </c>
    </row>
    <row r="1521" spans="1:3" x14ac:dyDescent="0.45">
      <c r="A1521" vm="2827">
        <v>45624</v>
      </c>
      <c r="B1521" vm="2828">
        <v>0.94720000000000004</v>
      </c>
      <c r="C1521">
        <f>1/T_USD_EUR[[#This Row],[USDEUR]]</f>
        <v>1.0557432432432432</v>
      </c>
    </row>
    <row r="1522" spans="1:3" x14ac:dyDescent="0.45">
      <c r="A1522" vm="2829">
        <v>45625</v>
      </c>
      <c r="B1522" vm="2830">
        <v>0.94540000000000002</v>
      </c>
      <c r="C1522">
        <f>1/T_USD_EUR[[#This Row],[USDEUR]]</f>
        <v>1.0577533319229955</v>
      </c>
    </row>
    <row r="1523" spans="1:3" x14ac:dyDescent="0.45">
      <c r="A1523" vm="2831">
        <v>45628</v>
      </c>
      <c r="B1523" vm="2832">
        <v>0.9526</v>
      </c>
      <c r="C1523">
        <f>1/T_USD_EUR[[#This Row],[USDEUR]]</f>
        <v>1.0497585555322275</v>
      </c>
    </row>
    <row r="1524" spans="1:3" x14ac:dyDescent="0.45">
      <c r="A1524" vm="2833">
        <v>45629</v>
      </c>
      <c r="B1524" vm="2834">
        <v>0.95150000000000001</v>
      </c>
      <c r="C1524">
        <f>1/T_USD_EUR[[#This Row],[USDEUR]]</f>
        <v>1.0509721492380453</v>
      </c>
    </row>
    <row r="1525" spans="1:3" x14ac:dyDescent="0.45">
      <c r="A1525" vm="2835">
        <v>45630</v>
      </c>
      <c r="B1525" vm="2836">
        <v>0.95130000000000003</v>
      </c>
      <c r="C1525">
        <f>1/T_USD_EUR[[#This Row],[USDEUR]]</f>
        <v>1.0511931041732365</v>
      </c>
    </row>
    <row r="1526" spans="1:3" x14ac:dyDescent="0.45">
      <c r="A1526" vm="2837">
        <v>45631</v>
      </c>
      <c r="B1526" vm="2838">
        <v>0.94450000000000001</v>
      </c>
      <c r="C1526">
        <f>1/T_USD_EUR[[#This Row],[USDEUR]]</f>
        <v>1.0587612493382743</v>
      </c>
    </row>
    <row r="1527" spans="1:3" x14ac:dyDescent="0.45">
      <c r="A1527" vm="2839">
        <v>45632</v>
      </c>
      <c r="B1527" vm="2840">
        <v>0.94599999999999995</v>
      </c>
      <c r="C1527">
        <f>1/T_USD_EUR[[#This Row],[USDEUR]]</f>
        <v>1.0570824524312896</v>
      </c>
    </row>
    <row r="1528" spans="1:3" x14ac:dyDescent="0.45">
      <c r="A1528" vm="2841">
        <v>45635</v>
      </c>
      <c r="B1528" vm="1815">
        <v>0.94740000000000002</v>
      </c>
      <c r="C1528">
        <f>1/T_USD_EUR[[#This Row],[USDEUR]]</f>
        <v>1.0555203715431707</v>
      </c>
    </row>
    <row r="1529" spans="1:3" x14ac:dyDescent="0.45">
      <c r="A1529" vm="2842">
        <v>45636</v>
      </c>
      <c r="B1529" vm="1874">
        <v>0.94979999999999998</v>
      </c>
      <c r="C1529">
        <f>1/T_USD_EUR[[#This Row],[USDEUR]]</f>
        <v>1.0528532322594231</v>
      </c>
    </row>
    <row r="1530" spans="1:3" x14ac:dyDescent="0.45">
      <c r="A1530" vm="2843">
        <v>45637</v>
      </c>
      <c r="B1530" vm="2844">
        <v>0.95269999999999999</v>
      </c>
      <c r="C1530">
        <f>1/T_USD_EUR[[#This Row],[USDEUR]]</f>
        <v>1.0496483677967881</v>
      </c>
    </row>
    <row r="1531" spans="1:3" x14ac:dyDescent="0.45">
      <c r="A1531" vm="2845">
        <v>45638</v>
      </c>
      <c r="B1531" vm="2846">
        <v>0.95530000000000004</v>
      </c>
      <c r="C1531">
        <f>1/T_USD_EUR[[#This Row],[USDEUR]]</f>
        <v>1.0467915837956663</v>
      </c>
    </row>
    <row r="1532" spans="1:3" x14ac:dyDescent="0.45">
      <c r="A1532" vm="2847">
        <v>45639</v>
      </c>
      <c r="B1532" vm="2848">
        <v>0.95209999999999995</v>
      </c>
      <c r="C1532">
        <f>1/T_USD_EUR[[#This Row],[USDEUR]]</f>
        <v>1.0503098414032139</v>
      </c>
    </row>
    <row r="1533" spans="1:3" x14ac:dyDescent="0.45">
      <c r="A1533" vm="2849">
        <v>45642</v>
      </c>
      <c r="B1533" vm="2850">
        <v>0.95109999999999995</v>
      </c>
      <c r="C1533">
        <f>1/T_USD_EUR[[#This Row],[USDEUR]]</f>
        <v>1.0514141520344864</v>
      </c>
    </row>
    <row r="1534" spans="1:3" x14ac:dyDescent="0.45">
      <c r="A1534" vm="2851">
        <v>45643</v>
      </c>
      <c r="B1534" vm="2102">
        <v>0.95299999999999996</v>
      </c>
      <c r="C1534">
        <f>1/T_USD_EUR[[#This Row],[USDEUR]]</f>
        <v>1.0493179433368311</v>
      </c>
    </row>
    <row r="1535" spans="1:3" x14ac:dyDescent="0.45">
      <c r="A1535" vm="2852">
        <v>45644</v>
      </c>
      <c r="B1535" vm="2853">
        <v>0.96589999999999998</v>
      </c>
      <c r="C1535">
        <f>1/T_USD_EUR[[#This Row],[USDEUR]]</f>
        <v>1.035303861683404</v>
      </c>
    </row>
    <row r="1536" spans="1:3" x14ac:dyDescent="0.45">
      <c r="A1536" vm="2854">
        <v>45645</v>
      </c>
      <c r="B1536" vm="2079">
        <v>0.96489999999999998</v>
      </c>
      <c r="C1536">
        <f>1/T_USD_EUR[[#This Row],[USDEUR]]</f>
        <v>1.0363768266141569</v>
      </c>
    </row>
    <row r="1537" spans="1:3" x14ac:dyDescent="0.45">
      <c r="A1537" vm="2855">
        <v>45646</v>
      </c>
      <c r="B1537" vm="2856">
        <v>0.9587</v>
      </c>
      <c r="C1537">
        <f>1/T_USD_EUR[[#This Row],[USDEUR]]</f>
        <v>1.043079169708981</v>
      </c>
    </row>
    <row r="1538" spans="1:3" x14ac:dyDescent="0.45">
      <c r="A1538" vm="2857">
        <v>45649</v>
      </c>
      <c r="B1538" vm="2858">
        <v>0.96099999999999997</v>
      </c>
      <c r="C1538">
        <f>1/T_USD_EUR[[#This Row],[USDEUR]]</f>
        <v>1.0405827263267431</v>
      </c>
    </row>
    <row r="1539" spans="1:3" x14ac:dyDescent="0.45">
      <c r="A1539" vm="2859">
        <v>45650</v>
      </c>
      <c r="B1539" vm="2091">
        <v>0.96160000000000001</v>
      </c>
      <c r="C1539">
        <f>1/T_USD_EUR[[#This Row],[USDEUR]]</f>
        <v>1.0399334442595674</v>
      </c>
    </row>
    <row r="1540" spans="1:3" x14ac:dyDescent="0.45">
      <c r="A1540" vm="2860">
        <v>45651</v>
      </c>
      <c r="B1540" vm="2861">
        <v>0.96089999999999998</v>
      </c>
      <c r="C1540">
        <f>1/T_USD_EUR[[#This Row],[USDEUR]]</f>
        <v>1.0406910188365075</v>
      </c>
    </row>
    <row r="1541" spans="1:3" x14ac:dyDescent="0.45">
      <c r="A1541" vm="2862">
        <v>45652</v>
      </c>
      <c r="B1541" vm="2863">
        <v>0.95930000000000004</v>
      </c>
      <c r="C1541">
        <f>1/T_USD_EUR[[#This Row],[USDEUR]]</f>
        <v>1.0424267695194411</v>
      </c>
    </row>
    <row r="1542" spans="1:3" x14ac:dyDescent="0.45">
      <c r="A1542" vm="2864">
        <v>45653</v>
      </c>
      <c r="B1542" vm="2865">
        <v>0.95889999999999997</v>
      </c>
      <c r="C1542">
        <f>1/T_USD_EUR[[#This Row],[USDEUR]]</f>
        <v>1.0428616122640526</v>
      </c>
    </row>
    <row r="1543" spans="1:3" x14ac:dyDescent="0.45">
      <c r="A1543" vm="2866">
        <v>45656</v>
      </c>
      <c r="B1543" vm="2867">
        <v>0.96079999999999999</v>
      </c>
      <c r="C1543">
        <f>1/T_USD_EUR[[#This Row],[USDEUR]]</f>
        <v>1.0407993338884263</v>
      </c>
    </row>
    <row r="1544" spans="1:3" x14ac:dyDescent="0.45">
      <c r="A1544" vm="2868">
        <v>45657</v>
      </c>
      <c r="B1544" vm="2869">
        <v>0.96579999999999999</v>
      </c>
      <c r="C1544">
        <f>1/T_USD_EUR[[#This Row],[USDEUR]]</f>
        <v>1.0354110581901015</v>
      </c>
    </row>
    <row r="1545" spans="1:3" x14ac:dyDescent="0.45">
      <c r="A1545" vm="2870">
        <v>45658</v>
      </c>
      <c r="B1545" vm="2871">
        <v>0.96540000000000004</v>
      </c>
      <c r="C1545">
        <f>1/T_USD_EUR[[#This Row],[USDEUR]]</f>
        <v>1.0358400662937641</v>
      </c>
    </row>
    <row r="1546" spans="1:3" x14ac:dyDescent="0.45">
      <c r="A1546" vm="1">
        <v>45659</v>
      </c>
      <c r="B1546" vm="1930">
        <v>0.97419999999999995</v>
      </c>
      <c r="C1546">
        <f>1/T_USD_EUR[[#This Row],[USDEUR]]</f>
        <v>1.0264832683227263</v>
      </c>
    </row>
    <row r="1547" spans="1:3" x14ac:dyDescent="0.45">
      <c r="A1547" vm="3">
        <v>45660</v>
      </c>
      <c r="B1547" vm="2872">
        <v>0.97</v>
      </c>
      <c r="C1547">
        <f>1/T_USD_EUR[[#This Row],[USDEUR]]</f>
        <v>1.0309278350515465</v>
      </c>
    </row>
    <row r="1548" spans="1:3" x14ac:dyDescent="0.45">
      <c r="A1548" vm="5">
        <v>45663</v>
      </c>
      <c r="B1548" vm="2873">
        <v>0.96240000000000003</v>
      </c>
      <c r="C1548">
        <f>1/T_USD_EUR[[#This Row],[USDEUR]]</f>
        <v>1.0390689941812137</v>
      </c>
    </row>
    <row r="1549" spans="1:3" x14ac:dyDescent="0.45">
      <c r="A1549" vm="7">
        <v>45664</v>
      </c>
      <c r="B1549" vm="2093">
        <v>0.96699999999999997</v>
      </c>
      <c r="C1549">
        <f>1/T_USD_EUR[[#This Row],[USDEUR]]</f>
        <v>1.0341261633919339</v>
      </c>
    </row>
    <row r="1550" spans="1:3" x14ac:dyDescent="0.45">
      <c r="A1550" vm="9">
        <v>45665</v>
      </c>
      <c r="B1550" vm="1944">
        <v>0.96899999999999997</v>
      </c>
      <c r="C1550">
        <f>1/T_USD_EUR[[#This Row],[USDEUR]]</f>
        <v>1.0319917440660475</v>
      </c>
    </row>
    <row r="1551" spans="1:3" x14ac:dyDescent="0.45">
      <c r="A1551" vm="2874">
        <v>45666</v>
      </c>
      <c r="B1551" vm="1942">
        <v>0.9708</v>
      </c>
      <c r="C1551">
        <f>1/T_USD_EUR[[#This Row],[USDEUR]]</f>
        <v>1.0300782859497322</v>
      </c>
    </row>
    <row r="1552" spans="1:3" x14ac:dyDescent="0.45">
      <c r="A1552" vm="11">
        <v>45667</v>
      </c>
      <c r="B1552" vm="1935">
        <v>0.97589999999999999</v>
      </c>
      <c r="C1552">
        <f>1/T_USD_EUR[[#This Row],[USDEUR]]</f>
        <v>1.0246951531919255</v>
      </c>
    </row>
    <row r="1553" spans="1:3" x14ac:dyDescent="0.45">
      <c r="A1553" vm="13">
        <v>45670</v>
      </c>
      <c r="B1553" vm="2875">
        <v>0.97599999999999998</v>
      </c>
      <c r="C1553">
        <f>1/T_USD_EUR[[#This Row],[USDEUR]]</f>
        <v>1.0245901639344261</v>
      </c>
    </row>
    <row r="1554" spans="1:3" x14ac:dyDescent="0.45">
      <c r="A1554" vm="15">
        <v>45671</v>
      </c>
      <c r="B1554" vm="2876">
        <v>0.96989999999999998</v>
      </c>
      <c r="C1554">
        <f>1/T_USD_EUR[[#This Row],[USDEUR]]</f>
        <v>1.0310341272296113</v>
      </c>
    </row>
    <row r="1555" spans="1:3" x14ac:dyDescent="0.45">
      <c r="A1555" vm="17">
        <v>45672</v>
      </c>
      <c r="B1555" vm="2877">
        <v>0.9718</v>
      </c>
      <c r="C1555">
        <f>1/T_USD_EUR[[#This Row],[USDEUR]]</f>
        <v>1.0290183165260343</v>
      </c>
    </row>
    <row r="1556" spans="1:3" x14ac:dyDescent="0.45">
      <c r="A1556" vm="19">
        <v>45673</v>
      </c>
      <c r="B1556" vm="2878">
        <v>0.97089999999999999</v>
      </c>
      <c r="C1556">
        <f>1/T_USD_EUR[[#This Row],[USDEUR]]</f>
        <v>1.0299721907508497</v>
      </c>
    </row>
    <row r="1557" spans="1:3" x14ac:dyDescent="0.45">
      <c r="A1557" vm="21">
        <v>45674</v>
      </c>
      <c r="B1557" vm="2879">
        <v>0.97350000000000003</v>
      </c>
      <c r="C1557">
        <f>1/T_USD_EUR[[#This Row],[USDEUR]]</f>
        <v>1.027221366204417</v>
      </c>
    </row>
    <row r="1558" spans="1:3" x14ac:dyDescent="0.45">
      <c r="A1558" vm="2880">
        <v>45677</v>
      </c>
      <c r="B1558" vm="2881">
        <v>0.95989999999999998</v>
      </c>
      <c r="C1558">
        <f>1/T_USD_EUR[[#This Row],[USDEUR]]</f>
        <v>1.0417751849150954</v>
      </c>
    </row>
    <row r="1559" spans="1:3" x14ac:dyDescent="0.45">
      <c r="A1559" vm="23">
        <v>45678</v>
      </c>
      <c r="B1559" vm="1888">
        <v>0.95879999999999999</v>
      </c>
      <c r="C1559">
        <f>1/T_USD_EUR[[#This Row],[USDEUR]]</f>
        <v>1.0429703796412182</v>
      </c>
    </row>
    <row r="1560" spans="1:3" x14ac:dyDescent="0.45">
      <c r="A1560" vm="25">
        <v>45679</v>
      </c>
      <c r="B1560" vm="2089">
        <v>0.96060000000000001</v>
      </c>
      <c r="C1560">
        <f>1/T_USD_EUR[[#This Row],[USDEUR]]</f>
        <v>1.0410160316468873</v>
      </c>
    </row>
    <row r="1561" spans="1:3" x14ac:dyDescent="0.45">
      <c r="A1561" vm="27">
        <v>45680</v>
      </c>
      <c r="B1561" vm="2882">
        <v>0.96</v>
      </c>
      <c r="C1561">
        <f>1/T_USD_EUR[[#This Row],[USDEUR]]</f>
        <v>1.0416666666666667</v>
      </c>
    </row>
    <row r="1562" spans="1:3" x14ac:dyDescent="0.45">
      <c r="A1562" vm="29">
        <v>45681</v>
      </c>
      <c r="B1562" vm="2823">
        <v>0.95279999999999998</v>
      </c>
      <c r="C1562">
        <f>1/T_USD_EUR[[#This Row],[USDEUR]]</f>
        <v>1.0495382031905962</v>
      </c>
    </row>
    <row r="1563" spans="1:3" x14ac:dyDescent="0.45">
      <c r="A1563" vm="31">
        <v>45684</v>
      </c>
      <c r="B1563" vm="2102">
        <v>0.95299999999999996</v>
      </c>
      <c r="C1563">
        <f>1/T_USD_EUR[[#This Row],[USDEUR]]</f>
        <v>1.0493179433368311</v>
      </c>
    </row>
    <row r="1564" spans="1:3" x14ac:dyDescent="0.45">
      <c r="A1564" vm="33">
        <v>45685</v>
      </c>
      <c r="B1564" vm="2883">
        <v>0.95860000000000001</v>
      </c>
      <c r="C1564">
        <f>1/T_USD_EUR[[#This Row],[USDEUR]]</f>
        <v>1.0431879824744419</v>
      </c>
    </row>
    <row r="1565" spans="1:3" x14ac:dyDescent="0.45">
      <c r="A1565" vm="35">
        <v>45686</v>
      </c>
      <c r="B1565" vm="2884">
        <v>0.95960000000000001</v>
      </c>
      <c r="C1565">
        <f>1/T_USD_EUR[[#This Row],[USDEUR]]</f>
        <v>1.0421008753647354</v>
      </c>
    </row>
    <row r="1566" spans="1:3" x14ac:dyDescent="0.45">
      <c r="A1566" vm="37">
        <v>45687</v>
      </c>
      <c r="B1566" vm="2873">
        <v>0.96240000000000003</v>
      </c>
      <c r="C1566">
        <f>1/T_USD_EUR[[#This Row],[USDEUR]]</f>
        <v>1.0390689941812137</v>
      </c>
    </row>
    <row r="1567" spans="1:3" x14ac:dyDescent="0.45">
      <c r="A1567" vm="39">
        <v>45688</v>
      </c>
      <c r="B1567" vm="2885">
        <v>0.96479999999999999</v>
      </c>
      <c r="C1567">
        <f>1/T_USD_EUR[[#This Row],[USDEUR]]</f>
        <v>1.0364842454394694</v>
      </c>
    </row>
    <row r="1568" spans="1:3" x14ac:dyDescent="0.45">
      <c r="A1568" vm="41">
        <v>45691</v>
      </c>
      <c r="B1568" vm="2886">
        <v>0.9667</v>
      </c>
      <c r="C1568">
        <f>1/T_USD_EUR[[#This Row],[USDEUR]]</f>
        <v>1.0344470880314471</v>
      </c>
    </row>
    <row r="1569" spans="1:3" x14ac:dyDescent="0.45">
      <c r="A1569" vm="43">
        <v>45692</v>
      </c>
      <c r="B1569" vm="1822">
        <v>0.96330000000000005</v>
      </c>
      <c r="C1569">
        <f>1/T_USD_EUR[[#This Row],[USDEUR]]</f>
        <v>1.0380982040901068</v>
      </c>
    </row>
    <row r="1570" spans="1:3" x14ac:dyDescent="0.45">
      <c r="A1570" vm="45">
        <v>45693</v>
      </c>
      <c r="B1570" vm="2887">
        <v>0.96130000000000004</v>
      </c>
      <c r="C1570">
        <f>1/T_USD_EUR[[#This Row],[USDEUR]]</f>
        <v>1.040257983980027</v>
      </c>
    </row>
    <row r="1571" spans="1:3" x14ac:dyDescent="0.45">
      <c r="A1571" vm="47">
        <v>45694</v>
      </c>
      <c r="B1571" vm="2888">
        <v>0.96289999999999998</v>
      </c>
      <c r="C1571">
        <f>1/T_USD_EUR[[#This Row],[USDEUR]]</f>
        <v>1.0385294423096896</v>
      </c>
    </row>
    <row r="1572" spans="1:3" x14ac:dyDescent="0.45">
      <c r="A1572" vm="49">
        <v>45695</v>
      </c>
      <c r="B1572" vm="2889">
        <v>0.96819999999999995</v>
      </c>
      <c r="C1572">
        <f>1/T_USD_EUR[[#This Row],[USDEUR]]</f>
        <v>1.0328444536252841</v>
      </c>
    </row>
    <row r="1573" spans="1:3" x14ac:dyDescent="0.45">
      <c r="A1573" vm="51">
        <v>45698</v>
      </c>
      <c r="B1573" vm="2872">
        <v>0.97</v>
      </c>
      <c r="C1573">
        <f>1/T_USD_EUR[[#This Row],[USDEUR]]</f>
        <v>1.0309278350515465</v>
      </c>
    </row>
    <row r="1574" spans="1:3" x14ac:dyDescent="0.45">
      <c r="A1574" vm="53">
        <v>45699</v>
      </c>
      <c r="B1574" vm="2890">
        <v>0.96499999999999997</v>
      </c>
      <c r="C1574">
        <f>1/T_USD_EUR[[#This Row],[USDEUR]]</f>
        <v>1.0362694300518136</v>
      </c>
    </row>
    <row r="1575" spans="1:3" x14ac:dyDescent="0.45">
      <c r="A1575" vm="55">
        <v>45700</v>
      </c>
      <c r="B1575" vm="2891">
        <v>0.96309999999999996</v>
      </c>
      <c r="C1575">
        <f>1/T_USD_EUR[[#This Row],[USDEUR]]</f>
        <v>1.0383137784238397</v>
      </c>
    </row>
    <row r="1576" spans="1:3" x14ac:dyDescent="0.45">
      <c r="A1576" vm="57">
        <v>45701</v>
      </c>
      <c r="B1576" vm="2892">
        <v>0.9556</v>
      </c>
      <c r="C1576">
        <f>1/T_USD_EUR[[#This Row],[USDEUR]]</f>
        <v>1.0464629552113855</v>
      </c>
    </row>
    <row r="1577" spans="1:3" x14ac:dyDescent="0.45">
      <c r="A1577" vm="59">
        <v>45702</v>
      </c>
      <c r="B1577" vm="2823">
        <v>0.95279999999999998</v>
      </c>
      <c r="C1577">
        <f>1/T_USD_EUR[[#This Row],[USDEUR]]</f>
        <v>1.0495382031905962</v>
      </c>
    </row>
    <row r="1578" spans="1:3" x14ac:dyDescent="0.45">
      <c r="A1578" vm="2893">
        <v>45705</v>
      </c>
      <c r="B1578" vm="1886">
        <v>0.95369999999999999</v>
      </c>
      <c r="C1578">
        <f>1/T_USD_EUR[[#This Row],[USDEUR]]</f>
        <v>1.0485477613505296</v>
      </c>
    </row>
    <row r="1579" spans="1:3" x14ac:dyDescent="0.45">
      <c r="A1579" vm="61">
        <v>45706</v>
      </c>
      <c r="B1579" vm="2894">
        <v>0.95709999999999995</v>
      </c>
      <c r="C1579">
        <f>1/T_USD_EUR[[#This Row],[USDEUR]]</f>
        <v>1.0448229025180233</v>
      </c>
    </row>
    <row r="1580" spans="1:3" x14ac:dyDescent="0.45">
      <c r="A1580" vm="63">
        <v>45707</v>
      </c>
      <c r="B1580" vm="2895">
        <v>0.95940000000000003</v>
      </c>
      <c r="C1580">
        <f>1/T_USD_EUR[[#This Row],[USDEUR]]</f>
        <v>1.0423181154888472</v>
      </c>
    </row>
    <row r="1581" spans="1:3" x14ac:dyDescent="0.45">
      <c r="A1581" vm="65">
        <v>45708</v>
      </c>
      <c r="B1581" vm="2848">
        <v>0.95209999999999995</v>
      </c>
      <c r="C1581">
        <f>1/T_USD_EUR[[#This Row],[USDEUR]]</f>
        <v>1.0503098414032139</v>
      </c>
    </row>
    <row r="1582" spans="1:3" x14ac:dyDescent="0.45">
      <c r="A1582" vm="66">
        <v>45709</v>
      </c>
      <c r="B1582" vm="2896">
        <v>0.95599999999999996</v>
      </c>
      <c r="C1582">
        <f>1/T_USD_EUR[[#This Row],[USDEUR]]</f>
        <v>1.0460251046025104</v>
      </c>
    </row>
    <row r="1583" spans="1:3" x14ac:dyDescent="0.45">
      <c r="A1583" vm="67">
        <v>45712</v>
      </c>
      <c r="B1583" vm="2436">
        <v>0.95520000000000005</v>
      </c>
      <c r="C1583">
        <f>1/T_USD_EUR[[#This Row],[USDEUR]]</f>
        <v>1.0469011725293131</v>
      </c>
    </row>
    <row r="1584" spans="1:3" x14ac:dyDescent="0.45">
      <c r="A1584" vm="68">
        <v>45713</v>
      </c>
      <c r="B1584" vm="2850">
        <v>0.95109999999999995</v>
      </c>
      <c r="C1584">
        <f>1/T_USD_EUR[[#This Row],[USDEUR]]</f>
        <v>1.0514141520344864</v>
      </c>
    </row>
    <row r="1585" spans="1:3" x14ac:dyDescent="0.45">
      <c r="A1585" vm="70">
        <v>45714</v>
      </c>
      <c r="B1585" vm="1886">
        <v>0.95369999999999999</v>
      </c>
      <c r="C1585">
        <f>1/T_USD_EUR[[#This Row],[USDEUR]]</f>
        <v>1.0485477613505296</v>
      </c>
    </row>
    <row r="1586" spans="1:3" x14ac:dyDescent="0.45">
      <c r="A1586" vm="72">
        <v>45715</v>
      </c>
      <c r="B1586" vm="2897">
        <v>0.96150000000000002</v>
      </c>
      <c r="C1586">
        <f>1/T_USD_EUR[[#This Row],[USDEUR]]</f>
        <v>1.0400416016640666</v>
      </c>
    </row>
    <row r="1587" spans="1:3" x14ac:dyDescent="0.45">
      <c r="A1587" vm="74">
        <v>45716</v>
      </c>
      <c r="B1587" vm="2898">
        <v>0.9637</v>
      </c>
      <c r="C1587">
        <f>1/T_USD_EUR[[#This Row],[USDEUR]]</f>
        <v>1.0376673238559717</v>
      </c>
    </row>
    <row r="1588" spans="1:3" x14ac:dyDescent="0.45">
      <c r="A1588" vm="76">
        <v>45719</v>
      </c>
      <c r="B1588" vm="2825">
        <v>0.95330000000000004</v>
      </c>
      <c r="C1588">
        <f>1/T_USD_EUR[[#This Row],[USDEUR]]</f>
        <v>1.0489877268435959</v>
      </c>
    </row>
    <row r="1589" spans="1:3" x14ac:dyDescent="0.45">
      <c r="A1589" vm="78">
        <v>45720</v>
      </c>
      <c r="B1589" vm="2899">
        <v>0.94089999999999996</v>
      </c>
      <c r="C1589">
        <f>1/T_USD_EUR[[#This Row],[USDEUR]]</f>
        <v>1.0628122010840686</v>
      </c>
    </row>
    <row r="1590" spans="1:3" x14ac:dyDescent="0.45">
      <c r="A1590" vm="80">
        <v>45721</v>
      </c>
      <c r="B1590" vm="914">
        <v>0.92669999999999997</v>
      </c>
      <c r="C1590">
        <f>1/T_USD_EUR[[#This Row],[USDEUR]]</f>
        <v>1.0790978741771879</v>
      </c>
    </row>
    <row r="1591" spans="1:3" x14ac:dyDescent="0.45">
      <c r="A1591" vm="82">
        <v>45722</v>
      </c>
      <c r="B1591" vm="874">
        <v>0.92710000000000004</v>
      </c>
      <c r="C1591">
        <f>1/T_USD_EUR[[#This Row],[USDEUR]]</f>
        <v>1.0786322942508899</v>
      </c>
    </row>
    <row r="1592" spans="1:3" x14ac:dyDescent="0.45">
      <c r="A1592" vm="84">
        <v>45723</v>
      </c>
      <c r="B1592" vm="2327">
        <v>0.92290000000000005</v>
      </c>
      <c r="C1592">
        <f>1/T_USD_EUR[[#This Row],[USDEUR]]</f>
        <v>1.0835410120273052</v>
      </c>
    </row>
    <row r="1593" spans="1:3" x14ac:dyDescent="0.45">
      <c r="A1593" vm="86">
        <v>45726</v>
      </c>
      <c r="B1593" vm="868">
        <v>0.92279999999999995</v>
      </c>
      <c r="C1593">
        <f>1/T_USD_EUR[[#This Row],[USDEUR]]</f>
        <v>1.0836584308625921</v>
      </c>
    </row>
    <row r="1594" spans="1:3" x14ac:dyDescent="0.45">
      <c r="A1594" vm="88">
        <v>45727</v>
      </c>
      <c r="B1594" vm="2168">
        <v>0.91579999999999995</v>
      </c>
      <c r="C1594">
        <f>1/T_USD_EUR[[#This Row],[USDEUR]]</f>
        <v>1.0919414719371043</v>
      </c>
    </row>
    <row r="1595" spans="1:3" x14ac:dyDescent="0.45">
      <c r="A1595" vm="90">
        <v>45728</v>
      </c>
      <c r="B1595" vm="1783">
        <v>0.91839999999999999</v>
      </c>
      <c r="C1595">
        <f>1/T_USD_EUR[[#This Row],[USDEUR]]</f>
        <v>1.0888501742160279</v>
      </c>
    </row>
    <row r="1596" spans="1:3" x14ac:dyDescent="0.45">
      <c r="A1596" vm="92">
        <v>45729</v>
      </c>
      <c r="B1596" vm="2579">
        <v>0.9214</v>
      </c>
      <c r="C1596">
        <f>1/T_USD_EUR[[#This Row],[USDEUR]]</f>
        <v>1.0853049706967659</v>
      </c>
    </row>
    <row r="1597" spans="1:3" x14ac:dyDescent="0.45">
      <c r="A1597" vm="94">
        <v>45730</v>
      </c>
      <c r="B1597" vm="880">
        <v>0.91890000000000005</v>
      </c>
      <c r="C1597">
        <f>1/T_USD_EUR[[#This Row],[USDEUR]]</f>
        <v>1.0882576994232234</v>
      </c>
    </row>
    <row r="1598" spans="1:3" x14ac:dyDescent="0.45">
      <c r="A1598" vm="96">
        <v>45733</v>
      </c>
      <c r="B1598" vm="984">
        <v>0.9153</v>
      </c>
      <c r="C1598">
        <f>1/T_USD_EUR[[#This Row],[USDEUR]]</f>
        <v>1.0925379656943079</v>
      </c>
    </row>
    <row r="1599" spans="1:3" x14ac:dyDescent="0.45">
      <c r="A1599" vm="98">
        <v>45734</v>
      </c>
      <c r="B1599" vm="2900">
        <v>0.91359999999999997</v>
      </c>
      <c r="C1599">
        <f>1/T_USD_EUR[[#This Row],[USDEUR]]</f>
        <v>1.0945709281961471</v>
      </c>
    </row>
    <row r="1600" spans="1:3" x14ac:dyDescent="0.45">
      <c r="A1600" vm="100">
        <v>45735</v>
      </c>
      <c r="B1600" vm="2901">
        <v>0.91710000000000003</v>
      </c>
      <c r="C1600">
        <f>1/T_USD_EUR[[#This Row],[USDEUR]]</f>
        <v>1.0903936321011884</v>
      </c>
    </row>
    <row r="1601" spans="1:3" x14ac:dyDescent="0.45">
      <c r="A1601" vm="102">
        <v>45736</v>
      </c>
      <c r="B1601" vm="2481">
        <v>0.92130000000000001</v>
      </c>
      <c r="C1601">
        <f>1/T_USD_EUR[[#This Row],[USDEUR]]</f>
        <v>1.08542277216976</v>
      </c>
    </row>
    <row r="1602" spans="1:3" x14ac:dyDescent="0.45">
      <c r="A1602" vm="104">
        <v>45737</v>
      </c>
      <c r="B1602" vm="2299">
        <v>0.92459999999999998</v>
      </c>
      <c r="C1602">
        <f>1/T_USD_EUR[[#This Row],[USDEUR]]</f>
        <v>1.0815487778498811</v>
      </c>
    </row>
    <row r="1603" spans="1:3" x14ac:dyDescent="0.45">
      <c r="A1603" vm="106">
        <v>45740</v>
      </c>
      <c r="B1603" vm="2791">
        <v>0.92579999999999996</v>
      </c>
      <c r="C1603">
        <f>1/T_USD_EUR[[#This Row],[USDEUR]]</f>
        <v>1.0801468999783972</v>
      </c>
    </row>
    <row r="1604" spans="1:3" x14ac:dyDescent="0.45">
      <c r="A1604" vm="108">
        <v>45741</v>
      </c>
      <c r="B1604" vm="2720">
        <v>0.92659999999999998</v>
      </c>
      <c r="C1604">
        <f>1/T_USD_EUR[[#This Row],[USDEUR]]</f>
        <v>1.0792143319663285</v>
      </c>
    </row>
    <row r="1605" spans="1:3" x14ac:dyDescent="0.45">
      <c r="A1605" vm="110">
        <v>45742</v>
      </c>
      <c r="B1605" vm="2559">
        <v>0.92979999999999996</v>
      </c>
      <c r="C1605">
        <f>1/T_USD_EUR[[#This Row],[USDEUR]]</f>
        <v>1.0755001075500108</v>
      </c>
    </row>
    <row r="1606" spans="1:3" x14ac:dyDescent="0.45">
      <c r="A1606" vm="112">
        <v>45743</v>
      </c>
      <c r="B1606" vm="2791">
        <v>0.92579999999999996</v>
      </c>
      <c r="C1606">
        <f>1/T_USD_EUR[[#This Row],[USDEUR]]</f>
        <v>1.0801468999783972</v>
      </c>
    </row>
    <row r="1607" spans="1:3" x14ac:dyDescent="0.45">
      <c r="A1607" vm="114">
        <v>45744</v>
      </c>
      <c r="B1607" vm="1781">
        <v>0.9234</v>
      </c>
      <c r="C1607">
        <f>1/T_USD_EUR[[#This Row],[USDEUR]]</f>
        <v>1.0829542993285683</v>
      </c>
    </row>
    <row r="1608" spans="1:3" x14ac:dyDescent="0.45">
      <c r="A1608" vm="116">
        <v>45747</v>
      </c>
      <c r="B1608" vm="2902">
        <v>0.9244</v>
      </c>
      <c r="C1608">
        <f>1/T_USD_EUR[[#This Row],[USDEUR]]</f>
        <v>1.0817827780181739</v>
      </c>
    </row>
    <row r="1609" spans="1:3" x14ac:dyDescent="0.45">
      <c r="A1609" vm="118">
        <v>45748</v>
      </c>
      <c r="B1609" vm="929">
        <v>0.9264</v>
      </c>
      <c r="C1609">
        <f>1/T_USD_EUR[[#This Row],[USDEUR]]</f>
        <v>1.0794473229706389</v>
      </c>
    </row>
    <row r="1610" spans="1:3" x14ac:dyDescent="0.45">
      <c r="A1610" vm="120">
        <v>45749</v>
      </c>
      <c r="B1610" vm="878">
        <v>0.92110000000000003</v>
      </c>
      <c r="C1610">
        <f>1/T_USD_EUR[[#This Row],[USDEUR]]</f>
        <v>1.0856584518510477</v>
      </c>
    </row>
    <row r="1611" spans="1:3" x14ac:dyDescent="0.45">
      <c r="A1611" vm="122">
        <v>45750</v>
      </c>
      <c r="B1611" vm="768">
        <v>0.90459999999999996</v>
      </c>
      <c r="C1611">
        <f>1/T_USD_EUR[[#This Row],[USDEUR]]</f>
        <v>1.1054609772275039</v>
      </c>
    </row>
    <row r="1612" spans="1:3" x14ac:dyDescent="0.45">
      <c r="A1612" vm="124">
        <v>45751</v>
      </c>
      <c r="B1612" vm="2268">
        <v>0.91269999999999996</v>
      </c>
      <c r="C1612">
        <f>1/T_USD_EUR[[#This Row],[USDEUR]]</f>
        <v>1.0956502684343159</v>
      </c>
    </row>
    <row r="1613" spans="1:3" x14ac:dyDescent="0.45">
      <c r="A1613" vm="126">
        <v>45754</v>
      </c>
      <c r="B1613" vm="2250">
        <v>0.91700000000000004</v>
      </c>
      <c r="C1613">
        <f>1/T_USD_EUR[[#This Row],[USDEUR]]</f>
        <v>1.0905125408942202</v>
      </c>
    </row>
    <row r="1614" spans="1:3" x14ac:dyDescent="0.45">
      <c r="A1614" vm="128">
        <v>45755</v>
      </c>
      <c r="B1614" vm="723">
        <v>0.91259999999999997</v>
      </c>
      <c r="C1614">
        <f>1/T_USD_EUR[[#This Row],[USDEUR]]</f>
        <v>1.0957703265395573</v>
      </c>
    </row>
    <row r="1615" spans="1:3" x14ac:dyDescent="0.45">
      <c r="A1615" vm="130">
        <v>45756</v>
      </c>
      <c r="B1615" vm="987">
        <v>0.91310000000000002</v>
      </c>
      <c r="C1615">
        <f>1/T_USD_EUR[[#This Row],[USDEUR]]</f>
        <v>1.0951702989814915</v>
      </c>
    </row>
    <row r="1616" spans="1:3" x14ac:dyDescent="0.45">
      <c r="A1616" vm="132">
        <v>45757</v>
      </c>
      <c r="B1616" vm="821">
        <v>0.89290000000000003</v>
      </c>
      <c r="C1616">
        <f>1/T_USD_EUR[[#This Row],[USDEUR]]</f>
        <v>1.1199462425803561</v>
      </c>
    </row>
    <row r="1617" spans="1:3" x14ac:dyDescent="0.45">
      <c r="A1617" vm="134">
        <v>45758</v>
      </c>
      <c r="B1617" vm="2903">
        <v>0.88019999999999998</v>
      </c>
      <c r="C1617">
        <f>1/T_USD_EUR[[#This Row],[USDEUR]]</f>
        <v>1.1361054305839582</v>
      </c>
    </row>
    <row r="1618" spans="1:3" x14ac:dyDescent="0.45">
      <c r="A1618" vm="136">
        <v>45761</v>
      </c>
      <c r="B1618" vm="415">
        <v>0.88109999999999999</v>
      </c>
      <c r="C1618">
        <f>1/T_USD_EUR[[#This Row],[USDEUR]]</f>
        <v>1.1349449551696742</v>
      </c>
    </row>
    <row r="1619" spans="1:3" x14ac:dyDescent="0.45">
      <c r="A1619" vm="138">
        <v>45762</v>
      </c>
      <c r="B1619" vm="2904">
        <v>0.88629999999999998</v>
      </c>
      <c r="C1619">
        <f>1/T_USD_EUR[[#This Row],[USDEUR]]</f>
        <v>1.1282861333634211</v>
      </c>
    </row>
    <row r="1620" spans="1:3" x14ac:dyDescent="0.45">
      <c r="A1620" vm="140">
        <v>45763</v>
      </c>
      <c r="B1620" vm="2905">
        <v>0.87729999999999997</v>
      </c>
      <c r="C1620">
        <f>1/T_USD_EUR[[#This Row],[USDEUR]]</f>
        <v>1.1398609369656902</v>
      </c>
    </row>
    <row r="1621" spans="1:3" x14ac:dyDescent="0.45">
      <c r="A1621" vm="142">
        <v>45764</v>
      </c>
      <c r="B1621" vm="2906">
        <v>0.87980000000000003</v>
      </c>
      <c r="C1621">
        <f>1/T_USD_EUR[[#This Row],[USDEUR]]</f>
        <v>1.1366219595362581</v>
      </c>
    </row>
    <row r="1622" spans="1:3" x14ac:dyDescent="0.45">
      <c r="A1622" vm="2907">
        <v>45765</v>
      </c>
      <c r="B1622" vm="2908">
        <v>0.87770000000000004</v>
      </c>
      <c r="C1622">
        <f>1/T_USD_EUR[[#This Row],[USDEUR]]</f>
        <v>1.1393414606357526</v>
      </c>
    </row>
    <row r="1623" spans="1:3" x14ac:dyDescent="0.45">
      <c r="A1623" vm="143">
        <v>45768</v>
      </c>
      <c r="B1623" vm="2909">
        <v>0.86839999999999995</v>
      </c>
      <c r="C1623">
        <f>1/T_USD_EUR[[#This Row],[USDEUR]]</f>
        <v>1.1515430677107323</v>
      </c>
    </row>
    <row r="1624" spans="1:3" x14ac:dyDescent="0.45">
      <c r="A1624" vm="145">
        <v>45769</v>
      </c>
      <c r="B1624" vm="2910">
        <v>0.87560000000000004</v>
      </c>
      <c r="C1624">
        <f>1/T_USD_EUR[[#This Row],[USDEUR]]</f>
        <v>1.1420740063956143</v>
      </c>
    </row>
    <row r="1625" spans="1:3" x14ac:dyDescent="0.45">
      <c r="A1625" vm="147">
        <v>45770</v>
      </c>
      <c r="B1625" vm="574">
        <v>0.88360000000000005</v>
      </c>
      <c r="C1625">
        <f>1/T_USD_EUR[[#This Row],[USDEUR]]</f>
        <v>1.1317338162064281</v>
      </c>
    </row>
    <row r="1626" spans="1:3" x14ac:dyDescent="0.45">
      <c r="A1626" vm="149">
        <v>45771</v>
      </c>
      <c r="B1626" vm="2911">
        <v>0.878</v>
      </c>
      <c r="C1626">
        <f>1/T_USD_EUR[[#This Row],[USDEUR]]</f>
        <v>1.1389521640091116</v>
      </c>
    </row>
    <row r="1627" spans="1:3" x14ac:dyDescent="0.45">
      <c r="A1627" vm="151">
        <v>45772</v>
      </c>
      <c r="B1627" vm="2906">
        <v>0.87980000000000003</v>
      </c>
      <c r="C1627">
        <f>1/T_USD_EUR[[#This Row],[USDEUR]]</f>
        <v>1.1366219595362581</v>
      </c>
    </row>
    <row r="1628" spans="1:3" x14ac:dyDescent="0.45">
      <c r="A1628" vm="153">
        <v>45775</v>
      </c>
      <c r="B1628" vm="2912">
        <v>0.87539999999999996</v>
      </c>
      <c r="C1628">
        <f>1/T_USD_EUR[[#This Row],[USDEUR]]</f>
        <v>1.142334932602239</v>
      </c>
    </row>
    <row r="1629" spans="1:3" x14ac:dyDescent="0.45">
      <c r="A1629" vm="155">
        <v>45776</v>
      </c>
      <c r="B1629" vm="1047">
        <v>0.87829999999999997</v>
      </c>
      <c r="C1629">
        <f>1/T_USD_EUR[[#This Row],[USDEUR]]</f>
        <v>1.1385631333257429</v>
      </c>
    </row>
    <row r="1630" spans="1:3" x14ac:dyDescent="0.45">
      <c r="A1630" vm="157">
        <v>45777</v>
      </c>
      <c r="B1630" vm="1669">
        <v>0.88260000000000005</v>
      </c>
      <c r="C1630">
        <f>1/T_USD_EUR[[#This Row],[USDEUR]]</f>
        <v>1.1330160888284613</v>
      </c>
    </row>
    <row r="1631" spans="1:3" x14ac:dyDescent="0.45">
      <c r="A1631" vm="159">
        <v>45778</v>
      </c>
      <c r="B1631" vm="1656">
        <v>0.88539999999999996</v>
      </c>
      <c r="C1631">
        <f>1/T_USD_EUR[[#This Row],[USDEUR]]</f>
        <v>1.12943302462164</v>
      </c>
    </row>
    <row r="1632" spans="1:3" x14ac:dyDescent="0.45">
      <c r="A1632" vm="161">
        <v>45779</v>
      </c>
      <c r="B1632" vm="425">
        <v>0.88519999999999999</v>
      </c>
      <c r="C1632">
        <f>1/T_USD_EUR[[#This Row],[USDEUR]]</f>
        <v>1.1296882060551288</v>
      </c>
    </row>
    <row r="1633" spans="1:3" x14ac:dyDescent="0.45">
      <c r="A1633" vm="162">
        <v>45782</v>
      </c>
      <c r="B1633" vm="475">
        <v>0.88380000000000003</v>
      </c>
      <c r="C1633">
        <f>1/T_USD_EUR[[#This Row],[USDEUR]]</f>
        <v>1.1314777098891151</v>
      </c>
    </row>
    <row r="1634" spans="1:3" x14ac:dyDescent="0.45">
      <c r="A1634" vm="164">
        <v>45783</v>
      </c>
      <c r="B1634" vm="445">
        <v>0.87939999999999996</v>
      </c>
      <c r="C1634">
        <f>1/T_USD_EUR[[#This Row],[USDEUR]]</f>
        <v>1.1371389583807141</v>
      </c>
    </row>
    <row r="1635" spans="1:3" x14ac:dyDescent="0.45">
      <c r="A1635" vm="166">
        <v>45784</v>
      </c>
      <c r="B1635" vm="502">
        <v>0.88460000000000005</v>
      </c>
      <c r="C1635">
        <f>1/T_USD_EUR[[#This Row],[USDEUR]]</f>
        <v>1.1304544426859597</v>
      </c>
    </row>
    <row r="1636" spans="1:3" x14ac:dyDescent="0.45">
      <c r="A1636" vm="168">
        <v>45785</v>
      </c>
      <c r="B1636" vm="587">
        <v>0.89059999999999995</v>
      </c>
      <c r="C1636">
        <f>1/T_USD_EUR[[#This Row],[USDEUR]]</f>
        <v>1.1228385358185493</v>
      </c>
    </row>
    <row r="1637" spans="1:3" x14ac:dyDescent="0.45">
      <c r="A1637" vm="170">
        <v>45786</v>
      </c>
      <c r="B1637" vm="2913">
        <v>0.88900000000000001</v>
      </c>
      <c r="C1637">
        <f>1/T_USD_EUR[[#This Row],[USDEUR]]</f>
        <v>1.124859392575928</v>
      </c>
    </row>
    <row r="1638" spans="1:3" x14ac:dyDescent="0.45">
      <c r="A1638" vm="172">
        <v>45789</v>
      </c>
      <c r="B1638" vm="2914">
        <v>0.90190000000000003</v>
      </c>
      <c r="C1638">
        <f>1/T_USD_EUR[[#This Row],[USDEUR]]</f>
        <v>1.1087703736556158</v>
      </c>
    </row>
    <row r="1639" spans="1:3" x14ac:dyDescent="0.45">
      <c r="A1639" vm="174">
        <v>45790</v>
      </c>
      <c r="B1639" vm="899">
        <v>0.89390000000000003</v>
      </c>
      <c r="C1639">
        <f>1/T_USD_EUR[[#This Row],[USDEUR]]</f>
        <v>1.1186933661483387</v>
      </c>
    </row>
    <row r="1640" spans="1:3" x14ac:dyDescent="0.45">
      <c r="A1640" vm="176">
        <v>45791</v>
      </c>
      <c r="B1640" vm="544">
        <v>0.89480000000000004</v>
      </c>
      <c r="C1640">
        <f>1/T_USD_EUR[[#This Row],[USDEUR]]</f>
        <v>1.1175681716584711</v>
      </c>
    </row>
    <row r="1641" spans="1:3" x14ac:dyDescent="0.45">
      <c r="A1641" vm="178">
        <v>45792</v>
      </c>
      <c r="B1641" vm="2915">
        <v>0.89359999999999995</v>
      </c>
      <c r="C1641">
        <f>1/T_USD_EUR[[#This Row],[USDEUR]]</f>
        <v>1.1190689346463742</v>
      </c>
    </row>
    <row r="1642" spans="1:3" x14ac:dyDescent="0.45">
      <c r="A1642" vm="180">
        <v>45793</v>
      </c>
      <c r="B1642" vm="2771">
        <v>0.89570000000000005</v>
      </c>
      <c r="C1642">
        <f>1/T_USD_EUR[[#This Row],[USDEUR]]</f>
        <v>1.1164452383610584</v>
      </c>
    </row>
    <row r="1643" spans="1:3" x14ac:dyDescent="0.45">
      <c r="A1643" vm="182">
        <v>45796</v>
      </c>
      <c r="B1643" vm="2916">
        <v>0.88929999999999998</v>
      </c>
      <c r="C1643">
        <f>1/T_USD_EUR[[#This Row],[USDEUR]]</f>
        <v>1.1244799280332847</v>
      </c>
    </row>
    <row r="1644" spans="1:3" x14ac:dyDescent="0.45">
      <c r="A1644" vm="184">
        <v>45797</v>
      </c>
      <c r="B1644" vm="2917">
        <v>0.88619999999999999</v>
      </c>
      <c r="C1644">
        <f>1/T_USD_EUR[[#This Row],[USDEUR]]</f>
        <v>1.1284134506883323</v>
      </c>
    </row>
    <row r="1645" spans="1:3" x14ac:dyDescent="0.45">
      <c r="A1645" vm="186">
        <v>45798</v>
      </c>
      <c r="B1645" vm="417">
        <v>0.88239999999999996</v>
      </c>
      <c r="C1645">
        <f>1/T_USD_EUR[[#This Row],[USDEUR]]</f>
        <v>1.1332728921124207</v>
      </c>
    </row>
    <row r="1646" spans="1:3" x14ac:dyDescent="0.45">
      <c r="A1646" vm="187">
        <v>45799</v>
      </c>
      <c r="B1646" vm="506">
        <v>0.88639999999999997</v>
      </c>
      <c r="C1646">
        <f>1/T_USD_EUR[[#This Row],[USDEUR]]</f>
        <v>1.128158844765343</v>
      </c>
    </row>
    <row r="1647" spans="1:3" x14ac:dyDescent="0.45">
      <c r="A1647" vm="188">
        <v>45800</v>
      </c>
      <c r="B1647" vm="2906">
        <v>0.87980000000000003</v>
      </c>
      <c r="C1647">
        <f>1/T_USD_EUR[[#This Row],[USDEUR]]</f>
        <v>1.1366219595362581</v>
      </c>
    </row>
    <row r="1648" spans="1:3" x14ac:dyDescent="0.45">
      <c r="A1648" vm="2918">
        <v>45803</v>
      </c>
      <c r="B1648" vm="2911">
        <v>0.878</v>
      </c>
      <c r="C1648">
        <f>1/T_USD_EUR[[#This Row],[USDEUR]]</f>
        <v>1.1389521640091116</v>
      </c>
    </row>
    <row r="1649" spans="1:3" x14ac:dyDescent="0.45">
      <c r="A1649" vm="190">
        <v>45804</v>
      </c>
      <c r="B1649" vm="1669">
        <v>0.88260000000000005</v>
      </c>
      <c r="C1649">
        <f>1/T_USD_EUR[[#This Row],[USDEUR]]</f>
        <v>1.1330160888284613</v>
      </c>
    </row>
    <row r="1650" spans="1:3" x14ac:dyDescent="0.45">
      <c r="A1650" vm="192">
        <v>45805</v>
      </c>
      <c r="B1650" vm="1656">
        <v>0.88539999999999996</v>
      </c>
      <c r="C1650">
        <f>1/T_USD_EUR[[#This Row],[USDEUR]]</f>
        <v>1.12943302462164</v>
      </c>
    </row>
    <row r="1651" spans="1:3" x14ac:dyDescent="0.45">
      <c r="A1651" vm="194">
        <v>45806</v>
      </c>
      <c r="B1651" vm="1008">
        <v>0.87929999999999997</v>
      </c>
      <c r="C1651">
        <f>1/T_USD_EUR[[#This Row],[USDEUR]]</f>
        <v>1.1372682815876265</v>
      </c>
    </row>
    <row r="1652" spans="1:3" x14ac:dyDescent="0.45">
      <c r="A1652" vm="196">
        <v>45807</v>
      </c>
      <c r="B1652" vm="415">
        <v>0.88109999999999999</v>
      </c>
      <c r="C1652">
        <f>1/T_USD_EUR[[#This Row],[USDEUR]]</f>
        <v>1.1349449551696742</v>
      </c>
    </row>
    <row r="1653" spans="1:3" x14ac:dyDescent="0.45">
      <c r="A1653" vm="198">
        <v>45810</v>
      </c>
      <c r="B1653" vm="1712">
        <v>0.87390000000000001</v>
      </c>
      <c r="C1653">
        <f>1/T_USD_EUR[[#This Row],[USDEUR]]</f>
        <v>1.1442956860052638</v>
      </c>
    </row>
    <row r="1654" spans="1:3" x14ac:dyDescent="0.45">
      <c r="A1654" vm="200">
        <v>45811</v>
      </c>
      <c r="B1654" vm="445">
        <v>0.87939999999999996</v>
      </c>
      <c r="C1654">
        <f>1/T_USD_EUR[[#This Row],[USDEUR]]</f>
        <v>1.1371389583807141</v>
      </c>
    </row>
    <row r="1655" spans="1:3" x14ac:dyDescent="0.45">
      <c r="A1655" vm="201">
        <v>45812</v>
      </c>
      <c r="B1655" vm="1689">
        <v>0.87580000000000002</v>
      </c>
      <c r="C1655">
        <f>1/T_USD_EUR[[#This Row],[USDEUR]]</f>
        <v>1.1418131993605847</v>
      </c>
    </row>
    <row r="1656" spans="1:3" x14ac:dyDescent="0.45">
      <c r="A1656" vm="203">
        <v>45813</v>
      </c>
      <c r="B1656" vm="1686">
        <v>0.87370000000000003</v>
      </c>
      <c r="C1656">
        <f>1/T_USD_EUR[[#This Row],[USDEUR]]</f>
        <v>1.1445576284765937</v>
      </c>
    </row>
    <row r="1657" spans="1:3" x14ac:dyDescent="0.45">
      <c r="A1657" vm="205">
        <v>45814</v>
      </c>
      <c r="B1657" vm="2919">
        <v>0.87749999999999995</v>
      </c>
      <c r="C1657">
        <f>1/T_USD_EUR[[#This Row],[USDEUR]]</f>
        <v>1.1396011396011396</v>
      </c>
    </row>
    <row r="1658" spans="1:3" x14ac:dyDescent="0.45">
      <c r="A1658" vm="207">
        <v>45817</v>
      </c>
      <c r="B1658" vm="2912">
        <v>0.87539999999999996</v>
      </c>
      <c r="C1658">
        <f>1/T_USD_EUR[[#This Row],[USDEUR]]</f>
        <v>1.142334932602239</v>
      </c>
    </row>
    <row r="1659" spans="1:3" x14ac:dyDescent="0.45">
      <c r="A1659" vm="208">
        <v>45818</v>
      </c>
      <c r="B1659" vm="2920">
        <v>0.87509999999999999</v>
      </c>
      <c r="C1659">
        <f>1/T_USD_EUR[[#This Row],[USDEUR]]</f>
        <v>1.142726545537653</v>
      </c>
    </row>
    <row r="1660" spans="1:3" x14ac:dyDescent="0.45">
      <c r="A1660" vm="210">
        <v>45819</v>
      </c>
      <c r="B1660" vm="2921">
        <v>0.87050000000000005</v>
      </c>
      <c r="C1660">
        <f>1/T_USD_EUR[[#This Row],[USDEUR]]</f>
        <v>1.1487650775416427</v>
      </c>
    </row>
    <row r="1661" spans="1:3" x14ac:dyDescent="0.45">
      <c r="A1661" vm="212">
        <v>45820</v>
      </c>
      <c r="B1661" vm="2922">
        <v>0.86299999999999999</v>
      </c>
      <c r="C1661">
        <f>1/T_USD_EUR[[#This Row],[USDEUR]]</f>
        <v>1.1587485515643106</v>
      </c>
    </row>
    <row r="1662" spans="1:3" x14ac:dyDescent="0.45">
      <c r="A1662" vm="214">
        <v>45821</v>
      </c>
      <c r="B1662" vm="1583">
        <v>0.86560000000000004</v>
      </c>
      <c r="C1662">
        <f>1/T_USD_EUR[[#This Row],[USDEUR]]</f>
        <v>1.155268022181146</v>
      </c>
    </row>
    <row r="1663" spans="1:3" x14ac:dyDescent="0.45">
      <c r="A1663" vm="216">
        <v>45824</v>
      </c>
      <c r="B1663" vm="2923">
        <v>0.86480000000000001</v>
      </c>
      <c r="C1663">
        <f>1/T_USD_EUR[[#This Row],[USDEUR]]</f>
        <v>1.1563367252543941</v>
      </c>
    </row>
    <row r="1664" spans="1:3" x14ac:dyDescent="0.45">
      <c r="A1664" vm="218">
        <v>45825</v>
      </c>
      <c r="B1664" vm="1624">
        <v>0.87090000000000001</v>
      </c>
      <c r="C1664">
        <f>1/T_USD_EUR[[#This Row],[USDEUR]]</f>
        <v>1.1482374555057986</v>
      </c>
    </row>
    <row r="1665" spans="1:3" x14ac:dyDescent="0.45">
      <c r="A1665" vm="220">
        <v>45826</v>
      </c>
      <c r="B1665" vm="1624">
        <v>0.87090000000000001</v>
      </c>
      <c r="C1665">
        <f>1/T_USD_EUR[[#This Row],[USDEUR]]</f>
        <v>1.1482374555057986</v>
      </c>
    </row>
    <row r="1666" spans="1:3" x14ac:dyDescent="0.45">
      <c r="A1666" vm="2924">
        <v>45827</v>
      </c>
      <c r="B1666" vm="2925">
        <v>0.86990000000000001</v>
      </c>
      <c r="C1666">
        <f>1/T_USD_EUR[[#This Row],[USDEUR]]</f>
        <v>1.1495574203931487</v>
      </c>
    </row>
    <row r="1667" spans="1:3" x14ac:dyDescent="0.45">
      <c r="A1667" vm="222">
        <v>45828</v>
      </c>
      <c r="B1667" vm="2926">
        <v>0.86780000000000002</v>
      </c>
      <c r="C1667">
        <f>1/T_USD_EUR[[#This Row],[USDEUR]]</f>
        <v>1.1523392486748099</v>
      </c>
    </row>
    <row r="1668" spans="1:3" x14ac:dyDescent="0.45">
      <c r="A1668" vm="224">
        <v>45831</v>
      </c>
      <c r="B1668" vm="2927">
        <v>0.86370000000000002</v>
      </c>
      <c r="C1668">
        <f>1/T_USD_EUR[[#This Row],[USDEUR]]</f>
        <v>1.1578094245687161</v>
      </c>
    </row>
    <row r="1669" spans="1:3" x14ac:dyDescent="0.45">
      <c r="A1669" vm="226">
        <v>45832</v>
      </c>
      <c r="B1669" vm="1601">
        <v>0.86129999999999995</v>
      </c>
      <c r="C1669">
        <f>1/T_USD_EUR[[#This Row],[USDEUR]]</f>
        <v>1.1610356437942646</v>
      </c>
    </row>
    <row r="1670" spans="1:3" x14ac:dyDescent="0.45">
      <c r="A1670" vm="228">
        <v>45833</v>
      </c>
      <c r="B1670" vm="2928">
        <v>0.85760000000000003</v>
      </c>
      <c r="C1670">
        <f>1/T_USD_EUR[[#This Row],[USDEUR]]</f>
        <v>1.166044776119403</v>
      </c>
    </row>
    <row r="1671" spans="1:3" x14ac:dyDescent="0.45">
      <c r="A1671" vm="230">
        <v>45834</v>
      </c>
      <c r="B1671" vm="2929">
        <v>0.85460000000000003</v>
      </c>
      <c r="C1671">
        <f>1/T_USD_EUR[[#This Row],[USDEUR]]</f>
        <v>1.1701380762930025</v>
      </c>
    </row>
    <row r="1672" spans="1:3" x14ac:dyDescent="0.45">
      <c r="A1672" vm="232">
        <v>45835</v>
      </c>
      <c r="B1672" vm="1169">
        <v>0.85319999999999996</v>
      </c>
      <c r="C1672">
        <f>1/T_USD_EUR[[#This Row],[USDEUR]]</f>
        <v>1.1720581340834506</v>
      </c>
    </row>
    <row r="1673" spans="1:3" x14ac:dyDescent="0.45">
      <c r="A1673" vm="234">
        <v>45838</v>
      </c>
      <c r="B1673" vm="1078">
        <v>0.84819999999999995</v>
      </c>
      <c r="C1673">
        <f>1/T_USD_EUR[[#This Row],[USDEUR]]</f>
        <v>1.1789672247111531</v>
      </c>
    </row>
    <row r="1674" spans="1:3" x14ac:dyDescent="0.45">
      <c r="A1674" vm="236">
        <v>45839</v>
      </c>
      <c r="B1674" vm="1199">
        <v>0.84689999999999999</v>
      </c>
      <c r="C1674">
        <f>1/T_USD_EUR[[#This Row],[USDEUR]]</f>
        <v>1.1807769512339119</v>
      </c>
    </row>
    <row r="1675" spans="1:3" x14ac:dyDescent="0.45">
      <c r="A1675" vm="238">
        <v>45840</v>
      </c>
      <c r="B1675" vm="1098">
        <v>0.84750000000000003</v>
      </c>
      <c r="C1675">
        <f>1/T_USD_EUR[[#This Row],[USDEUR]]</f>
        <v>1.1799410029498525</v>
      </c>
    </row>
    <row r="1676" spans="1:3" x14ac:dyDescent="0.45">
      <c r="A1676" vm="240">
        <v>45841</v>
      </c>
      <c r="B1676" vm="2930">
        <v>0.85050000000000003</v>
      </c>
      <c r="C1676">
        <f>1/T_USD_EUR[[#This Row],[USDEUR]]</f>
        <v>1.1757789535567313</v>
      </c>
    </row>
    <row r="1677" spans="1:3" x14ac:dyDescent="0.45">
      <c r="A1677" vm="2931">
        <v>45842</v>
      </c>
      <c r="B1677" vm="2932">
        <v>0.84889999999999999</v>
      </c>
      <c r="C1677">
        <f>1/T_USD_EUR[[#This Row],[USDEUR]]</f>
        <v>1.1779950524207798</v>
      </c>
    </row>
    <row r="1678" spans="1:3" x14ac:dyDescent="0.45">
      <c r="A1678" vm="242">
        <v>45845</v>
      </c>
      <c r="B1678" vm="1137">
        <v>0.85399999999999998</v>
      </c>
      <c r="C1678">
        <f>1/T_USD_EUR[[#This Row],[USDEUR]]</f>
        <v>1.1709601873536299</v>
      </c>
    </row>
    <row r="1679" spans="1:3" x14ac:dyDescent="0.45">
      <c r="A1679" vm="244">
        <v>45846</v>
      </c>
      <c r="B1679" vm="2933">
        <v>0.8528</v>
      </c>
      <c r="C1679">
        <f>1/T_USD_EUR[[#This Row],[USDEUR]]</f>
        <v>1.1726078799249531</v>
      </c>
    </row>
    <row r="1680" spans="1:3" x14ac:dyDescent="0.45">
      <c r="A1680" vm="245">
        <v>45847</v>
      </c>
      <c r="B1680" vm="1149">
        <v>0.85309999999999997</v>
      </c>
      <c r="C1680">
        <f>1/T_USD_EUR[[#This Row],[USDEUR]]</f>
        <v>1.1721955222131051</v>
      </c>
    </row>
    <row r="1681" spans="1:3" x14ac:dyDescent="0.45">
      <c r="A1681" vm="247">
        <v>45848</v>
      </c>
      <c r="B1681" vm="2929">
        <v>0.85460000000000003</v>
      </c>
      <c r="C1681">
        <f>1/T_USD_EUR[[#This Row],[USDEUR]]</f>
        <v>1.1701380762930025</v>
      </c>
    </row>
    <row r="1682" spans="1:3" x14ac:dyDescent="0.45">
      <c r="A1682" vm="249">
        <v>45849</v>
      </c>
      <c r="B1682" vm="1562">
        <v>0.85540000000000005</v>
      </c>
      <c r="C1682">
        <f>1/T_USD_EUR[[#This Row],[USDEUR]]</f>
        <v>1.1690437222352115</v>
      </c>
    </row>
    <row r="1683" spans="1:3" x14ac:dyDescent="0.45">
      <c r="A1683" vm="251">
        <v>45852</v>
      </c>
      <c r="B1683" vm="2934">
        <v>0.85719999999999996</v>
      </c>
      <c r="C1683">
        <f>1/T_USD_EUR[[#This Row],[USDEUR]]</f>
        <v>1.1665888940737286</v>
      </c>
    </row>
    <row r="1684" spans="1:3" x14ac:dyDescent="0.45">
      <c r="A1684" vm="253">
        <v>45853</v>
      </c>
      <c r="B1684" vm="2935">
        <v>0.86180000000000001</v>
      </c>
      <c r="C1684">
        <f>1/T_USD_EUR[[#This Row],[USDEUR]]</f>
        <v>1.1603620329542816</v>
      </c>
    </row>
    <row r="1685" spans="1:3" x14ac:dyDescent="0.45">
      <c r="A1685" vm="255">
        <v>45854</v>
      </c>
      <c r="B1685" vm="1594">
        <v>0.85940000000000005</v>
      </c>
      <c r="C1685">
        <f>1/T_USD_EUR[[#This Row],[USDEUR]]</f>
        <v>1.1636025133814287</v>
      </c>
    </row>
    <row r="1686" spans="1:3" x14ac:dyDescent="0.45">
      <c r="A1686" vm="257">
        <v>45855</v>
      </c>
      <c r="B1686" vm="1603">
        <v>0.86229999999999996</v>
      </c>
      <c r="C1686">
        <f>1/T_USD_EUR[[#This Row],[USDEUR]]</f>
        <v>1.1596892032935173</v>
      </c>
    </row>
    <row r="1687" spans="1:3" x14ac:dyDescent="0.45">
      <c r="A1687" vm="259">
        <v>45856</v>
      </c>
      <c r="B1687" vm="2936">
        <v>0.86009999999999998</v>
      </c>
      <c r="C1687">
        <f>1/T_USD_EUR[[#This Row],[USDEUR]]</f>
        <v>1.162655505173817</v>
      </c>
    </row>
    <row r="1688" spans="1:3" x14ac:dyDescent="0.45">
      <c r="A1688" vm="261">
        <v>45859</v>
      </c>
      <c r="B1688" vm="2937">
        <v>0.85499999999999998</v>
      </c>
      <c r="C1688">
        <f>1/T_USD_EUR[[#This Row],[USDEUR]]</f>
        <v>1.1695906432748537</v>
      </c>
    </row>
    <row r="1689" spans="1:3" x14ac:dyDescent="0.45">
      <c r="A1689" vm="263">
        <v>45860</v>
      </c>
      <c r="B1689" vm="1534">
        <v>0.85060000000000002</v>
      </c>
      <c r="C1689">
        <f>1/T_USD_EUR[[#This Row],[USDEUR]]</f>
        <v>1.175640724194686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d639a8-f065-40ba-9a57-208beaef03ad">
      <Terms xmlns="http://schemas.microsoft.com/office/infopath/2007/PartnerControls"/>
    </lcf76f155ced4ddcb4097134ff3c332f>
    <TaxCatchAll xmlns="c32c0ff9-2223-4c40-ae80-429ddbd65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F660A225386440816C891D4B34640C" ma:contentTypeVersion="10" ma:contentTypeDescription="Crear nuevo documento." ma:contentTypeScope="" ma:versionID="f10542e4138f85b293fef8026ed75d5b">
  <xsd:schema xmlns:xsd="http://www.w3.org/2001/XMLSchema" xmlns:xs="http://www.w3.org/2001/XMLSchema" xmlns:p="http://schemas.microsoft.com/office/2006/metadata/properties" xmlns:ns2="e1d639a8-f065-40ba-9a57-208beaef03ad" xmlns:ns3="c32c0ff9-2223-4c40-ae80-429ddbd65487" targetNamespace="http://schemas.microsoft.com/office/2006/metadata/properties" ma:root="true" ma:fieldsID="4971c00b59f9ebfc0db65ac0e9fe934b" ns2:_="" ns3:_="">
    <xsd:import namespace="e1d639a8-f065-40ba-9a57-208beaef03ad"/>
    <xsd:import namespace="c32c0ff9-2223-4c40-ae80-429ddbd6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639a8-f065-40ba-9a57-208beaef0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ed1588a-e339-424e-aba8-92cee36181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c0ff9-2223-4c40-ae80-429ddbd6548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dc2e71a-3232-4015-861f-a481f7178412}" ma:internalName="TaxCatchAll" ma:showField="CatchAllData" ma:web="c32c0ff9-2223-4c40-ae80-429ddbd6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B434B0-9AD8-401E-B5D2-2D3239045D76}">
  <ds:schemaRefs>
    <ds:schemaRef ds:uri="http://schemas.microsoft.com/office/2006/metadata/properties"/>
    <ds:schemaRef ds:uri="http://schemas.microsoft.com/office/infopath/2007/PartnerControls"/>
    <ds:schemaRef ds:uri="e1d639a8-f065-40ba-9a57-208beaef03ad"/>
    <ds:schemaRef ds:uri="c32c0ff9-2223-4c40-ae80-429ddbd65487"/>
  </ds:schemaRefs>
</ds:datastoreItem>
</file>

<file path=customXml/itemProps2.xml><?xml version="1.0" encoding="utf-8"?>
<ds:datastoreItem xmlns:ds="http://schemas.openxmlformats.org/officeDocument/2006/customXml" ds:itemID="{10316C39-7EDA-4C04-924B-9913577CD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35ED8-FD38-4B9B-BB91-2879A3D71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d639a8-f065-40ba-9a57-208beaef03ad"/>
    <ds:schemaRef ds:uri="c32c0ff9-2223-4c40-ae80-429ddbd65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Movimientos</vt:lpstr>
      <vt:lpstr>Especie</vt:lpstr>
      <vt:lpstr>Saldo</vt:lpstr>
      <vt:lpstr>Transacciones</vt:lpstr>
      <vt:lpstr>Elementos Financieros</vt:lpstr>
      <vt:lpstr>Stocks</vt:lpstr>
      <vt:lpstr>Impuestos IRPF Ahorro</vt:lpstr>
      <vt:lpstr>USD 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Iván Moreno Muñoz</cp:lastModifiedBy>
  <dcterms:created xsi:type="dcterms:W3CDTF">2025-07-23T09:46:06Z</dcterms:created>
  <dcterms:modified xsi:type="dcterms:W3CDTF">2025-11-16T15:33:09Z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0x01010057F660A225386440816C891D4B34640C</vt:lpwstr>
  </property>
  <property fmtid="{D5CDD505-2E9C-101B-9397-08002B2CF9AE}" pid="3" name="MediaServiceImageTags">
    <vt:lpwstr/>
  </property>
</Properties>
</file>